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62" firstSheet="0" activeTab="0" autoFilterDateGrouping="1"/>
  </bookViews>
  <sheets>
    <sheet name="Hoja1" sheetId="1" state="visible" r:id="rId1"/>
    <sheet name="Hoja2" sheetId="2" state="visible" r:id="rId2"/>
    <sheet name="Hoja3" sheetId="3" state="visible" r:id="rId3"/>
    <sheet name="Hoja4" sheetId="4" state="visible" r:id="rId4"/>
    <sheet name="Hoja5" sheetId="5" state="visible" r:id="rId5"/>
    <sheet name="Hoja6" sheetId="6" state="visible" r:id="rId6"/>
    <sheet name="Hoja7" sheetId="7" state="visible" r:id="rId7"/>
    <sheet name="Hoja8" sheetId="8" state="visible" r:id="rId8"/>
    <sheet name="Hoja9" sheetId="9" state="visible" r:id="rId9"/>
    <sheet name="Hoja10" sheetId="10" state="visible" r:id="rId10"/>
    <sheet name="Hoja11" sheetId="11" state="visible" r:id="rId11"/>
    <sheet name="Hoja12" sheetId="12" state="visible" r:id="rId12"/>
    <sheet name="Hoja13" sheetId="13" state="visible" r:id="rId13"/>
    <sheet name="Hoja14" sheetId="14" state="visible" r:id="rId14"/>
    <sheet name="Hoja15" sheetId="15" state="visible" r:id="rId15"/>
    <sheet name="Hoja16" sheetId="16" state="visible" r:id="rId16"/>
    <sheet name="Hoja17" sheetId="17" state="visible" r:id="rId17"/>
    <sheet name="Hoja18" sheetId="18" state="visible" r:id="rId18"/>
  </sheets>
  <definedNames/>
  <calcPr calcId="191029" fullCalcOnLoad="1"/>
</workbook>
</file>

<file path=xl/styles.xml><?xml version="1.0" encoding="utf-8"?>
<styleSheet xmlns="http://schemas.openxmlformats.org/spreadsheetml/2006/main">
  <numFmts count="5">
    <numFmt numFmtId="164" formatCode="_-&quot;$&quot;\ * #,##0.00_-;\-&quot;$&quot;\ * #,##0.00_-;_-&quot;$&quot;\ * &quot;-&quot;??_-;_-@_-"/>
    <numFmt numFmtId="165" formatCode="_-&quot;$&quot;\ * #,##0_-;\-&quot;$&quot;\ * #,##0_-;_-&quot;$&quot;\ * &quot;-&quot;??_-;_-@_-"/>
    <numFmt numFmtId="166" formatCode="_-* #,##0.000_-;\-* #,##0.000_-;_-* &quot;-&quot;??_-;_-@_-"/>
    <numFmt numFmtId="167" formatCode="_-* #,##0.00_-;\-* #,##0.00_-;_-* &quot;-&quot;??_-;_-@_-"/>
    <numFmt numFmtId="168" formatCode="0.00_ ;\-0.00\ "/>
  </numFmts>
  <fonts count="1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Calibri"/>
      <family val="2"/>
      <b val="1"/>
      <color rgb="FFFF0000"/>
      <sz val="11"/>
      <scheme val="minor"/>
    </font>
    <font>
      <name val="Calibri"/>
      <family val="2"/>
      <b val="1"/>
      <sz val="11"/>
      <scheme val="minor"/>
    </font>
    <font>
      <name val="Calibri"/>
      <family val="2"/>
      <color rgb="FFFF0000"/>
      <sz val="22"/>
      <scheme val="minor"/>
    </font>
    <font>
      <name val="Calibri"/>
      <family val="2"/>
      <sz val="11"/>
      <scheme val="minor"/>
    </font>
    <font>
      <name val="Calibri"/>
      <family val="2"/>
      <b val="1"/>
      <color rgb="FF00B050"/>
      <sz val="11"/>
      <scheme val="minor"/>
    </font>
    <font>
      <b val="1"/>
      <color rgb="001F4E79"/>
      <sz val="12"/>
    </font>
    <font>
      <i val="1"/>
      <color rgb="00595959"/>
      <sz val="9"/>
    </font>
    <font>
      <b val="1"/>
      <color rgb="00FFFFFF"/>
    </font>
    <font>
      <b val="1"/>
    </font>
  </fonts>
  <fills count="12">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3999755851924192"/>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5999938962981048"/>
        <bgColor indexed="64"/>
      </patternFill>
    </fill>
    <fill>
      <patternFill patternType="solid">
        <fgColor rgb="004472C4"/>
      </patternFill>
    </fill>
    <fill>
      <patternFill patternType="solid">
        <fgColor rgb="00D9E1F2"/>
      </patternFill>
    </fill>
    <fill>
      <patternFill patternType="solid">
        <fgColor rgb="00C6E0B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00BFBFBF"/>
      </left>
      <right style="thin">
        <color rgb="00BFBFBF"/>
      </right>
      <top style="thin">
        <color rgb="00BFBFBF"/>
      </top>
      <bottom style="thin">
        <color rgb="00BFBFBF"/>
      </bottom>
    </border>
  </borders>
  <cellStyleXfs count="3">
    <xf numFmtId="0" fontId="1" fillId="0" borderId="0"/>
    <xf numFmtId="43" fontId="1" fillId="0" borderId="0"/>
    <xf numFmtId="44" fontId="1" fillId="0" borderId="0"/>
  </cellStyleXfs>
  <cellXfs count="92">
    <xf numFmtId="0" fontId="0" fillId="0" borderId="0" pivotButton="0" quotePrefix="0" xfId="0"/>
    <xf numFmtId="0" fontId="0" fillId="0" borderId="1" pivotButton="0" quotePrefix="0" xfId="0"/>
    <xf numFmtId="0" fontId="3" fillId="0" borderId="1" pivotButton="0" quotePrefix="0" xfId="0"/>
    <xf numFmtId="0" fontId="3" fillId="0" borderId="1" applyAlignment="1" pivotButton="0" quotePrefix="0" xfId="0">
      <alignment wrapText="1"/>
    </xf>
    <xf numFmtId="164" fontId="0" fillId="0" borderId="1" pivotButton="0" quotePrefix="0" xfId="2"/>
    <xf numFmtId="0" fontId="3" fillId="0" borderId="0" applyAlignment="1" pivotButton="0" quotePrefix="0" xfId="0">
      <alignment horizontal="center"/>
    </xf>
    <xf numFmtId="164" fontId="3" fillId="0" borderId="0" pivotButton="0" quotePrefix="0" xfId="2"/>
    <xf numFmtId="0" fontId="2" fillId="0" borderId="0" applyAlignment="1" pivotButton="0" quotePrefix="0" xfId="0">
      <alignment wrapText="1"/>
    </xf>
    <xf numFmtId="0" fontId="3" fillId="0" borderId="0" pivotButton="0" quotePrefix="0" xfId="0"/>
    <xf numFmtId="0" fontId="2" fillId="0" borderId="0" applyAlignment="1" pivotButton="0" quotePrefix="0" xfId="0">
      <alignment horizontal="center"/>
    </xf>
    <xf numFmtId="0" fontId="4" fillId="0" borderId="1" pivotButton="0" quotePrefix="0" xfId="0"/>
    <xf numFmtId="165" fontId="2" fillId="0" borderId="0" pivotButton="0" quotePrefix="0" xfId="2"/>
    <xf numFmtId="0" fontId="4" fillId="2" borderId="0" applyAlignment="1" pivotButton="0" quotePrefix="0" xfId="0">
      <alignment wrapText="1"/>
    </xf>
    <xf numFmtId="0" fontId="4" fillId="2" borderId="1" applyAlignment="1" pivotButton="0" quotePrefix="0" xfId="0">
      <alignment wrapText="1"/>
    </xf>
    <xf numFmtId="0" fontId="4" fillId="0" borderId="0" applyAlignment="1" pivotButton="0" quotePrefix="0" xfId="0">
      <alignment wrapText="1"/>
    </xf>
    <xf numFmtId="0" fontId="4" fillId="0" borderId="1" applyAlignment="1" pivotButton="0" quotePrefix="0" xfId="0">
      <alignment horizontal="left" wrapText="1"/>
    </xf>
    <xf numFmtId="0" fontId="4" fillId="0" borderId="1" applyAlignment="1" pivotButton="0" quotePrefix="0" xfId="0">
      <alignment wrapText="1"/>
    </xf>
    <xf numFmtId="0" fontId="0" fillId="3" borderId="1" pivotButton="0" quotePrefix="0" xfId="0"/>
    <xf numFmtId="166" fontId="0" fillId="0" borderId="1" pivotButton="0" quotePrefix="0" xfId="1"/>
    <xf numFmtId="0" fontId="4" fillId="0" borderId="1" applyAlignment="1" pivotButton="0" quotePrefix="0" xfId="0">
      <alignment horizontal="left" wrapText="1"/>
    </xf>
    <xf numFmtId="0" fontId="2" fillId="0" borderId="1" applyAlignment="1" pivotButton="0" quotePrefix="0" xfId="0">
      <alignment wrapText="1"/>
    </xf>
    <xf numFmtId="165" fontId="3" fillId="0" borderId="1" pivotButton="0" quotePrefix="0" xfId="2"/>
    <xf numFmtId="0" fontId="0" fillId="0" borderId="1" pivotButton="0" quotePrefix="0" xfId="0"/>
    <xf numFmtId="0" fontId="0" fillId="4" borderId="1" pivotButton="0" quotePrefix="0" xfId="0"/>
    <xf numFmtId="167" fontId="0" fillId="0" borderId="0" pivotButton="0" quotePrefix="0" xfId="0"/>
    <xf numFmtId="0" fontId="0" fillId="6" borderId="1" pivotButton="0" quotePrefix="0" xfId="0"/>
    <xf numFmtId="0" fontId="3" fillId="0" borderId="1" applyAlignment="1" pivotButton="0" quotePrefix="0" xfId="0">
      <alignment horizontal="center"/>
    </xf>
    <xf numFmtId="164" fontId="0" fillId="0" borderId="1" pivotButton="0" quotePrefix="0" xfId="2"/>
    <xf numFmtId="164" fontId="0" fillId="0" borderId="1" pivotButton="0" quotePrefix="0" xfId="0"/>
    <xf numFmtId="164" fontId="3" fillId="0" borderId="1" applyAlignment="1" pivotButton="0" quotePrefix="0" xfId="0">
      <alignment horizontal="center"/>
    </xf>
    <xf numFmtId="0" fontId="3" fillId="0" borderId="1" applyAlignment="1" pivotButton="0" quotePrefix="0" xfId="0">
      <alignment horizontal="center"/>
    </xf>
    <xf numFmtId="164" fontId="0" fillId="0" borderId="0" pivotButton="0" quotePrefix="0" xfId="2"/>
    <xf numFmtId="0" fontId="4" fillId="0" borderId="0" pivotButton="0" quotePrefix="0" xfId="0"/>
    <xf numFmtId="0" fontId="0" fillId="7" borderId="1" pivotButton="0" quotePrefix="0" xfId="0"/>
    <xf numFmtId="0" fontId="0" fillId="8" borderId="0" applyAlignment="1" pivotButton="0" quotePrefix="0" xfId="0">
      <alignment wrapText="1"/>
    </xf>
    <xf numFmtId="168" fontId="0" fillId="5" borderId="1" pivotButton="0" quotePrefix="0" xfId="1"/>
    <xf numFmtId="0" fontId="3" fillId="0" borderId="1" applyAlignment="1" pivotButton="0" quotePrefix="0" xfId="0">
      <alignment horizontal="center"/>
    </xf>
    <xf numFmtId="0" fontId="3" fillId="0" borderId="1" applyAlignment="1" pivotButton="0" quotePrefix="0" xfId="0">
      <alignment horizontal="center"/>
    </xf>
    <xf numFmtId="164" fontId="3" fillId="0" borderId="1" pivotButton="0" quotePrefix="0" xfId="2"/>
    <xf numFmtId="0" fontId="4" fillId="0" borderId="0" applyAlignment="1" pivotButton="0" quotePrefix="0" xfId="0">
      <alignment horizontal="center"/>
    </xf>
    <xf numFmtId="0" fontId="3" fillId="0" borderId="1" applyAlignment="1" pivotButton="0" quotePrefix="0" xfId="0">
      <alignment horizontal="right"/>
    </xf>
    <xf numFmtId="0" fontId="3"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0" borderId="1" applyAlignment="1" pivotButton="0" quotePrefix="0" xfId="2">
      <alignment vertical="center" wrapText="1"/>
    </xf>
    <xf numFmtId="164" fontId="0" fillId="0" borderId="1" applyAlignment="1" pivotButton="0" quotePrefix="0" xfId="2">
      <alignment vertical="center" wrapText="1"/>
    </xf>
    <xf numFmtId="0" fontId="0" fillId="0" borderId="1" applyAlignment="1" pivotButton="0" quotePrefix="0" xfId="0">
      <alignment vertical="center" wrapText="1"/>
    </xf>
    <xf numFmtId="2" fontId="0" fillId="0" borderId="1" applyAlignment="1" pivotButton="0" quotePrefix="0" xfId="0">
      <alignment vertical="center" wrapText="1"/>
    </xf>
    <xf numFmtId="0" fontId="7" fillId="7" borderId="1" applyAlignment="1" pivotButton="0" quotePrefix="0" xfId="0">
      <alignment vertical="center" wrapText="1"/>
    </xf>
    <xf numFmtId="0" fontId="7" fillId="0" borderId="1" applyAlignment="1" pivotButton="0" quotePrefix="0" xfId="0">
      <alignment horizontal="left" vertical="center" wrapText="1"/>
    </xf>
    <xf numFmtId="164" fontId="3" fillId="0" borderId="1" pivotButton="0" quotePrefix="0" xfId="2"/>
    <xf numFmtId="164" fontId="3" fillId="0" borderId="1" pivotButton="0" quotePrefix="0" xfId="0"/>
    <xf numFmtId="164" fontId="3" fillId="0" borderId="1" applyAlignment="1" pivotButton="0" quotePrefix="0" xfId="2">
      <alignment horizontal="right"/>
    </xf>
    <xf numFmtId="0" fontId="8" fillId="0" borderId="1" pivotButton="0" quotePrefix="0" xfId="0"/>
    <xf numFmtId="0" fontId="8" fillId="0" borderId="1" applyAlignment="1" pivotButton="0" quotePrefix="0" xfId="0">
      <alignment wrapText="1"/>
    </xf>
    <xf numFmtId="0" fontId="8" fillId="0" borderId="1" applyAlignment="1" pivotButton="0" quotePrefix="0" xfId="0">
      <alignment horizontal="center" wrapText="1"/>
    </xf>
    <xf numFmtId="164" fontId="0" fillId="5" borderId="1" pivotButton="0" quotePrefix="0" xfId="2"/>
    <xf numFmtId="0" fontId="3" fillId="0" borderId="1" applyAlignment="1" pivotButton="0" quotePrefix="0" xfId="0">
      <alignment horizontal="center"/>
    </xf>
    <xf numFmtId="0" fontId="6" fillId="5" borderId="0" applyAlignment="1" pivotButton="0" quotePrefix="0" xfId="0">
      <alignment horizontal="center" wrapText="1"/>
    </xf>
    <xf numFmtId="0" fontId="3" fillId="0" borderId="2" applyAlignment="1" pivotButton="0" quotePrefix="0" xfId="0">
      <alignment horizontal="center"/>
    </xf>
    <xf numFmtId="0" fontId="3" fillId="0" borderId="3" applyAlignment="1" pivotButton="0" quotePrefix="0" xfId="0">
      <alignment horizontal="center"/>
    </xf>
    <xf numFmtId="0" fontId="3" fillId="0" borderId="4" applyAlignment="1" pivotButton="0" quotePrefix="0" xfId="0">
      <alignment horizontal="center"/>
    </xf>
    <xf numFmtId="0" fontId="0" fillId="0" borderId="3" pivotButton="0" quotePrefix="0" xfId="0"/>
    <xf numFmtId="0" fontId="0" fillId="0" borderId="4" pivotButton="0" quotePrefix="0" xfId="0"/>
    <xf numFmtId="165" fontId="3" fillId="0" borderId="1" pivotButton="0" quotePrefix="0" xfId="2"/>
    <xf numFmtId="164" fontId="0" fillId="0" borderId="1" pivotButton="0" quotePrefix="0" xfId="2"/>
    <xf numFmtId="164" fontId="3" fillId="0" borderId="0" pivotButton="0" quotePrefix="0" xfId="2"/>
    <xf numFmtId="0" fontId="0" fillId="0" borderId="7" pivotButton="0" quotePrefix="0" xfId="0"/>
    <xf numFmtId="0" fontId="0" fillId="0" borderId="7" applyAlignment="1" pivotButton="0" quotePrefix="0" xfId="0">
      <alignment horizontal="center" vertical="center" wrapText="1"/>
    </xf>
    <xf numFmtId="4" fontId="0" fillId="0" borderId="7" pivotButton="0" quotePrefix="0" xfId="0"/>
    <xf numFmtId="4" fontId="0" fillId="0" borderId="7" pivotButton="0" quotePrefix="0" xfId="2"/>
    <xf numFmtId="4" fontId="0" fillId="4" borderId="7" pivotButton="0" quotePrefix="0" xfId="0"/>
    <xf numFmtId="4" fontId="0" fillId="5" borderId="7" pivotButton="0" quotePrefix="0" xfId="2"/>
    <xf numFmtId="167" fontId="0" fillId="0" borderId="0" pivotButton="0" quotePrefix="0" xfId="0"/>
    <xf numFmtId="165" fontId="2" fillId="0" borderId="0" pivotButton="0" quotePrefix="0" xfId="2"/>
    <xf numFmtId="168" fontId="0" fillId="5" borderId="1" pivotButton="0" quotePrefix="0" xfId="1"/>
    <xf numFmtId="164" fontId="3" fillId="0" borderId="1" pivotButton="0" quotePrefix="0" xfId="2"/>
    <xf numFmtId="164" fontId="3" fillId="0" borderId="1" applyAlignment="1" pivotButton="0" quotePrefix="0" xfId="0">
      <alignment horizontal="center"/>
    </xf>
    <xf numFmtId="0" fontId="9" fillId="0" borderId="0" pivotButton="0" quotePrefix="0" xfId="0"/>
    <xf numFmtId="0" fontId="10" fillId="0" borderId="0" pivotButton="0" quotePrefix="0" xfId="0"/>
    <xf numFmtId="0" fontId="11" fillId="9" borderId="7" applyAlignment="1" pivotButton="0" quotePrefix="0" xfId="0">
      <alignment horizontal="center" vertical="center" wrapText="1"/>
    </xf>
    <xf numFmtId="0" fontId="10" fillId="0" borderId="7" applyAlignment="1" pivotButton="0" quotePrefix="0" xfId="0">
      <alignment horizontal="center" vertical="center" wrapText="1"/>
    </xf>
    <xf numFmtId="0" fontId="12" fillId="10" borderId="7" applyAlignment="1" pivotButton="0" quotePrefix="0" xfId="0">
      <alignment horizontal="right" vertical="center" wrapText="1"/>
    </xf>
    <xf numFmtId="0" fontId="0" fillId="10" borderId="7" pivotButton="0" quotePrefix="0" xfId="0"/>
    <xf numFmtId="4" fontId="12" fillId="10" borderId="7" pivotButton="0" quotePrefix="0" xfId="0"/>
    <xf numFmtId="0" fontId="0" fillId="11" borderId="7" pivotButton="0" quotePrefix="0" xfId="0"/>
    <xf numFmtId="164" fontId="3" fillId="0" borderId="1" applyAlignment="1" pivotButton="0" quotePrefix="0" xfId="2">
      <alignment horizontal="right"/>
    </xf>
    <xf numFmtId="164" fontId="3" fillId="0" borderId="1" pivotButton="0" quotePrefix="0" xfId="0"/>
    <xf numFmtId="164" fontId="0" fillId="0" borderId="0" pivotButton="0" quotePrefix="0" xfId="2"/>
    <xf numFmtId="164" fontId="0" fillId="0" borderId="1" pivotButton="0" quotePrefix="0" xfId="0"/>
    <xf numFmtId="164" fontId="0" fillId="0" borderId="1" applyAlignment="1" pivotButton="0" quotePrefix="0" xfId="2">
      <alignment vertical="center" wrapText="1"/>
    </xf>
  </cellXfs>
  <cellStyles count="3">
    <cellStyle name="Normal" xfId="0" builtinId="0"/>
    <cellStyle name="Millares" xfId="1" builtinId="3"/>
    <cellStyle name="Moneda"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29"/>
  <sheetViews>
    <sheetView tabSelected="1" topLeftCell="A4" workbookViewId="0">
      <selection activeCell="D15" sqref="D15"/>
    </sheetView>
  </sheetViews>
  <sheetFormatPr baseColWidth="10" defaultRowHeight="14.4"/>
  <cols>
    <col width="33.88671875" customWidth="1" min="1" max="1"/>
    <col width="13.88671875" bestFit="1" customWidth="1" min="2" max="2"/>
    <col width="20.33203125" customWidth="1" min="4" max="4"/>
    <col width="19.5546875" bestFit="1" customWidth="1" min="5" max="5"/>
    <col width="28.6640625" customWidth="1" min="6" max="6"/>
    <col width="21" bestFit="1" customWidth="1" min="7" max="7"/>
  </cols>
  <sheetData>
    <row r="1">
      <c r="A1" s="2" t="inlineStr">
        <is>
          <t>APU</t>
        </is>
      </c>
      <c r="B1" s="58" t="inlineStr">
        <is>
          <t xml:space="preserve">  localización y replanteo</t>
        </is>
      </c>
      <c r="C1" s="63" t="n"/>
      <c r="D1" s="63" t="n"/>
      <c r="E1" s="63" t="n"/>
      <c r="F1" s="64" t="n"/>
    </row>
    <row r="2" ht="28.8" customHeight="1">
      <c r="A2" s="20" t="inlineStr">
        <is>
          <t>Cantidad definida en el presupuesto (CP)</t>
        </is>
      </c>
      <c r="B2" s="2" t="n">
        <v>72</v>
      </c>
      <c r="C2" s="8" t="inlineStr">
        <is>
          <t>m2</t>
        </is>
      </c>
    </row>
    <row r="3">
      <c r="A3" s="20" t="inlineStr">
        <is>
          <t>Valor del item en el presupuesto</t>
        </is>
      </c>
      <c r="B3" s="65" t="n">
        <v>127655.58</v>
      </c>
      <c r="C3" s="8" t="n"/>
    </row>
    <row r="4">
      <c r="H4" s="59" t="inlineStr">
        <is>
          <t>IMPORTANTE DEJE LA DURACIÓN FIJA</t>
        </is>
      </c>
    </row>
    <row r="5">
      <c r="A5" s="8" t="inlineStr">
        <is>
          <t>APU</t>
        </is>
      </c>
      <c r="C5" s="9" t="n"/>
      <c r="D5" s="9" t="n"/>
      <c r="E5" s="9" t="n"/>
    </row>
    <row r="6">
      <c r="A6" s="58" t="inlineStr">
        <is>
          <t xml:space="preserve">  localización y replanteo</t>
        </is>
      </c>
      <c r="B6" s="63" t="n"/>
      <c r="C6" s="63" t="n"/>
      <c r="D6" s="63" t="n"/>
      <c r="E6" s="64" t="n"/>
      <c r="F6" s="2" t="inlineStr">
        <is>
          <t>m2</t>
        </is>
      </c>
    </row>
    <row r="7">
      <c r="A7" s="2" t="inlineStr">
        <is>
          <t>RECURSOS</t>
        </is>
      </c>
      <c r="B7" s="2" t="inlineStr">
        <is>
          <t>Un</t>
        </is>
      </c>
      <c r="C7" s="3" t="inlineStr">
        <is>
          <t>Cantidad</t>
        </is>
      </c>
      <c r="D7" s="2" t="inlineStr">
        <is>
          <t>Desperdicio</t>
        </is>
      </c>
      <c r="E7" s="2" t="inlineStr">
        <is>
          <t>V. Unitario</t>
        </is>
      </c>
      <c r="F7" s="2" t="inlineStr">
        <is>
          <t>V. Parcial</t>
        </is>
      </c>
    </row>
    <row r="8">
      <c r="A8" s="22" t="inlineStr">
        <is>
          <t>Puntilla 2" 1/2 a 3" 1/2</t>
        </is>
      </c>
      <c r="B8" s="22" t="inlineStr">
        <is>
          <t>lb</t>
        </is>
      </c>
      <c r="C8" s="22" t="n">
        <v>0.01</v>
      </c>
      <c r="D8" s="22" t="n">
        <v>0</v>
      </c>
      <c r="E8" s="22" t="n">
        <v>2100</v>
      </c>
      <c r="F8" s="66">
        <f>+C8*E8</f>
        <v/>
      </c>
    </row>
    <row r="9">
      <c r="A9" s="22" t="inlineStr">
        <is>
          <t>Madera medio cerco</t>
        </is>
      </c>
      <c r="B9" s="22" t="inlineStr">
        <is>
          <t>ml</t>
        </is>
      </c>
      <c r="C9" s="22" t="n">
        <v>0.2</v>
      </c>
      <c r="D9" s="22" t="n">
        <v>0</v>
      </c>
      <c r="E9" s="22" t="n">
        <v>3900</v>
      </c>
      <c r="F9" s="66">
        <f>+C9*E9</f>
        <v/>
      </c>
    </row>
    <row r="10">
      <c r="A10" s="22" t="inlineStr">
        <is>
          <t>Herramienta menor</t>
        </is>
      </c>
      <c r="B10" s="22" t="inlineStr">
        <is>
          <t>%Mo</t>
        </is>
      </c>
      <c r="C10" s="22" t="n">
        <v>0.05</v>
      </c>
      <c r="D10" s="22" t="n">
        <v>0</v>
      </c>
      <c r="E10" s="22" t="n">
        <v>259.04</v>
      </c>
      <c r="F10" s="66">
        <f>+C10*E10</f>
        <v/>
      </c>
    </row>
    <row r="11">
      <c r="A11" s="22" t="inlineStr">
        <is>
          <t>Equipo topografico precision</t>
        </is>
      </c>
      <c r="B11" s="22" t="inlineStr">
        <is>
          <t>Dia</t>
        </is>
      </c>
      <c r="C11" s="22" t="n">
        <v>0.02</v>
      </c>
      <c r="D11" s="22" t="n">
        <v>0</v>
      </c>
      <c r="E11" s="22" t="n">
        <v>35000</v>
      </c>
      <c r="F11" s="66">
        <f>+C11*E11</f>
        <v/>
      </c>
    </row>
    <row r="12">
      <c r="A12" s="22" t="inlineStr">
        <is>
          <t>Mano de obra cuadrilla topografica</t>
        </is>
      </c>
      <c r="B12" s="22" t="inlineStr">
        <is>
          <t>hc</t>
        </is>
      </c>
      <c r="C12" s="22" t="n">
        <v>0.01</v>
      </c>
      <c r="D12" s="22" t="n">
        <v>0</v>
      </c>
      <c r="E12" s="23" t="n">
        <v>25904.41</v>
      </c>
      <c r="F12" s="66">
        <f>+C12*E12</f>
        <v/>
      </c>
    </row>
    <row r="13">
      <c r="E13" s="5" t="inlineStr">
        <is>
          <t>V. Total</t>
        </is>
      </c>
      <c r="F13" s="67">
        <f>SUM(F8:F12)</f>
        <v/>
      </c>
    </row>
    <row r="14"/>
    <row r="15" ht="100.8" customHeight="1">
      <c r="B15" s="14" t="n"/>
      <c r="F15" s="13" t="inlineStr">
        <is>
          <t>Esta columna es la que se inserta en la ventana del project - "INFORMACIÓN DE LA TAREA" - MENOS LA MANO DE OBRA PORQUE QUE ACA SE TIENE EN CUENTA EL FACTOR MULTIPLICADOR</t>
        </is>
      </c>
    </row>
    <row r="16" ht="115.2" customHeight="1">
      <c r="A16" s="32" t="inlineStr">
        <is>
          <t>TABLA PROJECT</t>
        </is>
      </c>
      <c r="C16" s="9" t="n"/>
      <c r="D16" s="12" t="inlineStr">
        <is>
          <t>Esta columna es la que se inserta en la "HOJA DE RECURSOS" del Project</t>
        </is>
      </c>
      <c r="F16" s="34" t="inlineStr">
        <is>
          <t>Tenga en cuenta que cuando se selecciona en la "HOJA DE RECURSOS" el recurso "COSTOS" se coloca directamente el "valor total" de esta tabla en la columna COSTO de la ventana de Project "INFORMACIÓN DE LA TAREA"</t>
        </is>
      </c>
    </row>
    <row r="17">
      <c r="A17" s="2" t="inlineStr">
        <is>
          <t>RECURSOS</t>
        </is>
      </c>
      <c r="B17" s="2" t="inlineStr">
        <is>
          <t>Un</t>
        </is>
      </c>
      <c r="C17" s="3" t="inlineStr">
        <is>
          <t>Cantidad</t>
        </is>
      </c>
      <c r="D17" s="2" t="inlineStr">
        <is>
          <t>V. Unitario</t>
        </is>
      </c>
      <c r="E17" s="10" t="inlineStr">
        <is>
          <t>Cantidad presupuesto</t>
        </is>
      </c>
      <c r="F17" s="10" t="inlineStr">
        <is>
          <t>Cant. Total</t>
        </is>
      </c>
      <c r="G17" s="10" t="inlineStr">
        <is>
          <t>Valor total</t>
        </is>
      </c>
    </row>
    <row r="18">
      <c r="A18" s="54" t="inlineStr">
        <is>
          <t>APU</t>
        </is>
      </c>
      <c r="B18" s="54" t="inlineStr">
        <is>
          <t>APU</t>
        </is>
      </c>
      <c r="C18" s="55" t="inlineStr">
        <is>
          <t>APU</t>
        </is>
      </c>
      <c r="D18" s="54" t="inlineStr">
        <is>
          <t>APU</t>
        </is>
      </c>
      <c r="E18" s="54" t="inlineStr">
        <is>
          <t>Presupuesto</t>
        </is>
      </c>
      <c r="F18" s="54" t="inlineStr">
        <is>
          <t>(Cantidad x Cantidad presupuesto)</t>
        </is>
      </c>
      <c r="G18" s="54" t="inlineStr">
        <is>
          <t>Cant. Total x V. Unitario</t>
        </is>
      </c>
    </row>
    <row r="19">
      <c r="A19" s="68">
        <f>+A8</f>
        <v/>
      </c>
      <c r="B19" s="69">
        <f>+B8</f>
        <v/>
      </c>
      <c r="C19" s="68">
        <f>+C8</f>
        <v/>
      </c>
      <c r="D19" s="70">
        <f>+E8</f>
        <v/>
      </c>
      <c r="E19" s="68">
        <f>+$B$2</f>
        <v/>
      </c>
      <c r="F19" s="68">
        <f>C19*(1+D8)*E19</f>
        <v/>
      </c>
      <c r="G19" s="71">
        <f>F19*D19</f>
        <v/>
      </c>
    </row>
    <row r="20">
      <c r="A20" s="68">
        <f>+A9</f>
        <v/>
      </c>
      <c r="B20" s="69">
        <f>+B9</f>
        <v/>
      </c>
      <c r="C20" s="68">
        <f>+C9</f>
        <v/>
      </c>
      <c r="D20" s="70">
        <f>+E9</f>
        <v/>
      </c>
      <c r="E20" s="68">
        <f>+$B$2</f>
        <v/>
      </c>
      <c r="F20" s="68">
        <f>C20*(1+D9)*E20</f>
        <v/>
      </c>
      <c r="G20" s="71">
        <f>F20*D20</f>
        <v/>
      </c>
    </row>
    <row r="21">
      <c r="A21" s="68">
        <f>+A10</f>
        <v/>
      </c>
      <c r="B21" s="69">
        <f>+B10</f>
        <v/>
      </c>
      <c r="C21" s="68">
        <f>+C10</f>
        <v/>
      </c>
      <c r="D21" s="70">
        <f>+E10</f>
        <v/>
      </c>
      <c r="E21" s="68">
        <f>+$B$2</f>
        <v/>
      </c>
      <c r="F21" s="68">
        <f>C21*(1+D10)*E21</f>
        <v/>
      </c>
      <c r="G21" s="71">
        <f>F21*D21</f>
        <v/>
      </c>
    </row>
    <row r="22">
      <c r="A22" s="68">
        <f>+A11</f>
        <v/>
      </c>
      <c r="B22" s="69">
        <f>+B11</f>
        <v/>
      </c>
      <c r="C22" s="68">
        <f>+C11</f>
        <v/>
      </c>
      <c r="D22" s="70">
        <f>+E11</f>
        <v/>
      </c>
      <c r="E22" s="68">
        <f>+$B$2</f>
        <v/>
      </c>
      <c r="F22" s="68">
        <f>C22*(1+D11)*E22</f>
        <v/>
      </c>
      <c r="G22" s="71">
        <f>F22*D22</f>
        <v/>
      </c>
    </row>
    <row r="23">
      <c r="A23" s="68">
        <f>+A12</f>
        <v/>
      </c>
      <c r="B23" s="69">
        <f>+B12</f>
        <v/>
      </c>
      <c r="C23" s="68">
        <f>+C12</f>
        <v/>
      </c>
      <c r="D23" s="72">
        <f>+E12</f>
        <v/>
      </c>
      <c r="E23" s="68">
        <f>+$B$2</f>
        <v/>
      </c>
      <c r="F23" s="68">
        <f>C23*(1+D12)*E23</f>
        <v/>
      </c>
      <c r="G23" s="73">
        <f>F23*D23</f>
        <v/>
      </c>
    </row>
    <row r="24">
      <c r="D24" s="74" t="n"/>
      <c r="G24" s="75">
        <f>SUM(G19:G23)</f>
        <v/>
      </c>
    </row>
    <row r="27" ht="72" customHeight="1">
      <c r="A27" s="19" t="inlineStr">
        <is>
          <t>V. Unitario mano de obra "TABLA APU"</t>
        </is>
      </c>
      <c r="B27" s="19" t="inlineStr">
        <is>
          <t>Horas trabajadas diarias</t>
        </is>
      </c>
      <c r="C27" s="19" t="inlineStr">
        <is>
          <t>Dias trabajados para cada tarea o actividad</t>
        </is>
      </c>
      <c r="D27" s="19" t="inlineStr">
        <is>
          <t>Producto (A X B X C)</t>
        </is>
      </c>
      <c r="E27" s="16" t="inlineStr">
        <is>
          <t>Valor Total mano de obra "TABLA PROJECT"</t>
        </is>
      </c>
      <c r="F27" s="16" t="inlineStr">
        <is>
          <t>FACTOR MULTIPLICADOR</t>
        </is>
      </c>
      <c r="G27" s="19" t="inlineStr">
        <is>
          <t>FACTOR MULTIPLICADOR -EN PORCENTAJE</t>
        </is>
      </c>
    </row>
    <row r="28">
      <c r="A28" s="56" t="inlineStr">
        <is>
          <t>A</t>
        </is>
      </c>
      <c r="B28" s="56" t="inlineStr">
        <is>
          <t>B</t>
        </is>
      </c>
      <c r="C28" s="56" t="inlineStr">
        <is>
          <t>C</t>
        </is>
      </c>
      <c r="D28" s="56" t="inlineStr">
        <is>
          <t>D</t>
        </is>
      </c>
      <c r="E28" s="56" t="inlineStr">
        <is>
          <t>F</t>
        </is>
      </c>
      <c r="F28" s="56" t="inlineStr">
        <is>
          <t>F/D</t>
        </is>
      </c>
      <c r="G28" s="56" t="inlineStr">
        <is>
          <t>(F/D)*100</t>
        </is>
      </c>
    </row>
    <row r="29">
      <c r="A29" s="23">
        <f>+E12</f>
        <v/>
      </c>
      <c r="B29" s="22" t="n">
        <v>8</v>
      </c>
      <c r="C29" s="17" t="n">
        <v>2</v>
      </c>
      <c r="D29" s="22">
        <f>A29*B29*C29</f>
        <v/>
      </c>
      <c r="E29" s="76">
        <f>+G23</f>
        <v/>
      </c>
      <c r="F29" s="18">
        <f>+E29/D29</f>
        <v/>
      </c>
      <c r="G29" s="22">
        <f>+F29*100</f>
        <v/>
      </c>
    </row>
  </sheetData>
  <mergeCells count="3">
    <mergeCell ref="A6:E6"/>
    <mergeCell ref="H4:L8"/>
    <mergeCell ref="B1:F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B4" sqref="B4"/>
    </sheetView>
  </sheetViews>
  <sheetFormatPr baseColWidth="10" defaultRowHeight="14.4"/>
  <cols>
    <col width="34" customWidth="1" min="1" max="1"/>
    <col width="14" bestFit="1" customWidth="1" min="2" max="2"/>
    <col width="16" customWidth="1" min="3" max="3"/>
    <col width="16" customWidth="1" min="4" max="4"/>
    <col width="18" customWidth="1" min="5" max="5"/>
    <col width="20" customWidth="1" min="6" max="6"/>
    <col width="16" customWidth="1" min="7" max="7"/>
    <col width="30" customWidth="1" min="8" max="8"/>
  </cols>
  <sheetData>
    <row r="1">
      <c r="A1" s="2" t="inlineStr">
        <is>
          <t>APU</t>
        </is>
      </c>
      <c r="B1" s="58" t="inlineStr">
        <is>
          <t>Excavacion</t>
        </is>
      </c>
      <c r="C1" s="63" t="n"/>
      <c r="D1" s="63" t="n"/>
      <c r="E1" s="63" t="n"/>
      <c r="F1" s="64" t="n"/>
    </row>
    <row r="2" ht="28.8" customHeight="1">
      <c r="A2" s="20" t="inlineStr">
        <is>
          <t>Cantidad definida en el presupuesto (CP)</t>
        </is>
      </c>
      <c r="B2" s="2" t="n">
        <v>7.12</v>
      </c>
      <c r="C2" s="8" t="inlineStr">
        <is>
          <t>m3</t>
        </is>
      </c>
    </row>
    <row r="3" ht="28.8" customHeight="1">
      <c r="A3" s="20" t="inlineStr">
        <is>
          <t>Valor del item en el presupuesto</t>
        </is>
      </c>
      <c r="B3" s="77" t="n">
        <v>208943.52</v>
      </c>
      <c r="C3" s="8" t="n"/>
    </row>
    <row r="4">
      <c r="A4" s="7" t="n"/>
      <c r="B4" s="67" t="n"/>
      <c r="C4" s="8" t="n"/>
    </row>
    <row r="5">
      <c r="A5" s="41" t="inlineStr">
        <is>
          <t>Descripción</t>
        </is>
      </c>
      <c r="B5" s="2" t="inlineStr">
        <is>
          <t>Un</t>
        </is>
      </c>
      <c r="C5" s="3" t="inlineStr">
        <is>
          <t>Cantidad</t>
        </is>
      </c>
      <c r="D5" s="2" t="inlineStr">
        <is>
          <t>Desperdicio</t>
        </is>
      </c>
      <c r="E5" s="2" t="inlineStr">
        <is>
          <t>V. Unitario</t>
        </is>
      </c>
      <c r="F5" s="2" t="inlineStr">
        <is>
          <t>V. Parcial</t>
        </is>
      </c>
    </row>
    <row r="6">
      <c r="A6" s="22" t="inlineStr">
        <is>
          <t>Herramienta menor 2</t>
        </is>
      </c>
      <c r="B6" s="22" t="inlineStr">
        <is>
          <t>%mo</t>
        </is>
      </c>
      <c r="C6" s="22" t="n">
        <v>0.05</v>
      </c>
      <c r="D6" s="22" t="n">
        <v>0</v>
      </c>
      <c r="E6" s="22" t="n">
        <v>27948.71</v>
      </c>
      <c r="F6" s="66">
        <f>+C6*E6</f>
        <v/>
      </c>
    </row>
    <row r="7">
      <c r="A7" s="22" t="inlineStr">
        <is>
          <t>Mano de obra cuadrilla aa</t>
        </is>
      </c>
      <c r="B7" s="22" t="inlineStr">
        <is>
          <t>Hc</t>
        </is>
      </c>
      <c r="C7" s="22" t="n">
        <v>1.8</v>
      </c>
      <c r="D7" s="22" t="n">
        <v>0</v>
      </c>
      <c r="E7" s="25" t="n">
        <v>15527.06</v>
      </c>
      <c r="F7" s="66">
        <f>+C7*E7</f>
        <v/>
      </c>
    </row>
    <row r="8">
      <c r="E8" s="5" t="inlineStr">
        <is>
          <t>V. Total</t>
        </is>
      </c>
      <c r="F8" s="78">
        <f>SUM(F6:F7)</f>
        <v/>
      </c>
    </row>
    <row r="11">
      <c r="A11" s="79" t="inlineStr">
        <is>
          <t>TABLA PROJECT</t>
        </is>
      </c>
      <c r="B11" s="80" t="inlineStr">
        <is>
          <t>(Duración = 2 días  |  CP = $B$2)</t>
        </is>
      </c>
    </row>
    <row r="12">
      <c r="A12" s="81" t="inlineStr">
        <is>
          <t>RECURSOS</t>
        </is>
      </c>
      <c r="B12" s="81" t="inlineStr">
        <is>
          <t>Un</t>
        </is>
      </c>
      <c r="C12" s="81" t="inlineStr">
        <is>
          <t>Cantidad</t>
        </is>
      </c>
      <c r="D12" s="81" t="inlineStr">
        <is>
          <t>V. Unitario</t>
        </is>
      </c>
      <c r="E12" s="81" t="inlineStr">
        <is>
          <t>Cantidad presupuesto</t>
        </is>
      </c>
      <c r="F12" s="81" t="inlineStr">
        <is>
          <t>Cant. Total</t>
        </is>
      </c>
      <c r="G12" s="81" t="inlineStr">
        <is>
          <t>Valor total</t>
        </is>
      </c>
    </row>
    <row r="13">
      <c r="A13" s="82" t="inlineStr">
        <is>
          <t>APU</t>
        </is>
      </c>
      <c r="B13" s="82" t="inlineStr">
        <is>
          <t>APU</t>
        </is>
      </c>
      <c r="C13" s="82" t="inlineStr">
        <is>
          <t>APU</t>
        </is>
      </c>
      <c r="D13" s="82" t="inlineStr">
        <is>
          <t>APU</t>
        </is>
      </c>
      <c r="E13" s="82" t="inlineStr">
        <is>
          <t>Presupuesto</t>
        </is>
      </c>
      <c r="F13" s="82" t="inlineStr">
        <is>
          <t>Cantidad × (1+Desp) × Cant. presup.</t>
        </is>
      </c>
      <c r="G13" s="82" t="inlineStr">
        <is>
          <t>Cant. Total × V. Unitario</t>
        </is>
      </c>
    </row>
    <row r="14">
      <c r="A14" s="68">
        <f>+A6</f>
        <v/>
      </c>
      <c r="B14" s="69">
        <f>+B6</f>
        <v/>
      </c>
      <c r="C14" s="68">
        <f>+C6</f>
        <v/>
      </c>
      <c r="D14" s="70">
        <f>+E6</f>
        <v/>
      </c>
      <c r="E14" s="68">
        <f>+$B$2</f>
        <v/>
      </c>
      <c r="F14" s="68">
        <f>C14*(1+D6)*E14</f>
        <v/>
      </c>
      <c r="G14" s="70">
        <f>F14*D14</f>
        <v/>
      </c>
    </row>
    <row r="15">
      <c r="A15" s="68">
        <f>+A7</f>
        <v/>
      </c>
      <c r="B15" s="69">
        <f>+B7</f>
        <v/>
      </c>
      <c r="C15" s="68">
        <f>+C7</f>
        <v/>
      </c>
      <c r="D15" s="70">
        <f>+E7</f>
        <v/>
      </c>
      <c r="E15" s="68">
        <f>+$B$2</f>
        <v/>
      </c>
      <c r="F15" s="68">
        <f>C15*(1+D7)*E15</f>
        <v/>
      </c>
      <c r="G15" s="70">
        <f>F15*D15</f>
        <v/>
      </c>
    </row>
    <row r="16">
      <c r="E16" s="83" t="inlineStr">
        <is>
          <t>V. TOTAL</t>
        </is>
      </c>
      <c r="F16" s="84" t="inlineStr"/>
      <c r="G16" s="85">
        <f>SUM(G14:G15)</f>
        <v/>
      </c>
    </row>
    <row r="18">
      <c r="A18" s="79" t="inlineStr">
        <is>
          <t>FACTOR MULTIPLICADOR — MANO DE OBRA</t>
        </is>
      </c>
    </row>
    <row r="19">
      <c r="A19" s="81" t="inlineStr">
        <is>
          <t>V. Unitario mano de obra "TABLA APU"</t>
        </is>
      </c>
      <c r="B19" s="81" t="inlineStr">
        <is>
          <t>Horas trabajadas diarias</t>
        </is>
      </c>
      <c r="C19" s="81" t="inlineStr">
        <is>
          <t>Dias trabajados para cada tarea o actividad</t>
        </is>
      </c>
      <c r="D19" s="81" t="inlineStr">
        <is>
          <t>Producto (A X B X C)</t>
        </is>
      </c>
      <c r="E19" s="81" t="inlineStr">
        <is>
          <t>Valor Total mano de obra "TABLA PROJECT"</t>
        </is>
      </c>
      <c r="F19" s="81" t="inlineStr">
        <is>
          <t>FACTOR MULTIPLICADOR</t>
        </is>
      </c>
      <c r="G19" s="81" t="inlineStr">
        <is>
          <t>FACTOR MULTIPLICADOR - EN %</t>
        </is>
      </c>
      <c r="H19" s="81" t="inlineStr">
        <is>
          <t>Recurso</t>
        </is>
      </c>
    </row>
    <row r="20">
      <c r="A20" s="82" t="inlineStr">
        <is>
          <t>A</t>
        </is>
      </c>
      <c r="B20" s="82" t="inlineStr">
        <is>
          <t>B</t>
        </is>
      </c>
      <c r="C20" s="82" t="inlineStr">
        <is>
          <t>C</t>
        </is>
      </c>
      <c r="D20" s="82" t="inlineStr">
        <is>
          <t>D</t>
        </is>
      </c>
      <c r="E20" s="82" t="inlineStr">
        <is>
          <t>F</t>
        </is>
      </c>
      <c r="F20" s="82" t="inlineStr">
        <is>
          <t>F/D</t>
        </is>
      </c>
      <c r="G20" s="82" t="inlineStr">
        <is>
          <t>(F/D)*100</t>
        </is>
      </c>
    </row>
    <row r="21">
      <c r="A21" s="70">
        <f>+E7</f>
        <v/>
      </c>
      <c r="B21" s="69" t="n">
        <v>8</v>
      </c>
      <c r="C21" s="69" t="n">
        <v>2</v>
      </c>
      <c r="D21" s="70">
        <f>A21*B21*C21</f>
        <v/>
      </c>
      <c r="E21" s="70">
        <f>+G15</f>
        <v/>
      </c>
      <c r="F21" s="86">
        <f>+E21/D21</f>
        <v/>
      </c>
      <c r="G21" s="86">
        <f>+F21*100</f>
        <v/>
      </c>
      <c r="H21" s="68">
        <f>+A7</f>
        <v/>
      </c>
    </row>
  </sheetData>
  <mergeCells count="1">
    <mergeCell ref="B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5"/>
  <sheetViews>
    <sheetView workbookViewId="0">
      <selection activeCell="E14" sqref="E14"/>
    </sheetView>
  </sheetViews>
  <sheetFormatPr baseColWidth="10" defaultRowHeight="14.4"/>
  <cols>
    <col width="34" customWidth="1" min="1" max="1"/>
    <col width="14" customWidth="1" min="2" max="2"/>
    <col width="16" customWidth="1" min="3" max="3"/>
    <col width="16" customWidth="1" min="4" max="4"/>
    <col width="18" bestFit="1" customWidth="1" min="5" max="5"/>
    <col width="20" customWidth="1" min="6" max="6"/>
    <col width="16" customWidth="1" min="7" max="7"/>
    <col width="30" customWidth="1" min="8" max="8"/>
  </cols>
  <sheetData>
    <row r="1">
      <c r="A1" s="2" t="inlineStr">
        <is>
          <t>APU</t>
        </is>
      </c>
      <c r="B1" s="58" t="inlineStr">
        <is>
          <t>Retiro material sobrante</t>
        </is>
      </c>
      <c r="C1" s="63" t="n"/>
      <c r="D1" s="63" t="n"/>
      <c r="E1" s="63" t="n"/>
      <c r="F1" s="64" t="n"/>
    </row>
    <row r="2" ht="28.8" customHeight="1">
      <c r="A2" s="20" t="inlineStr">
        <is>
          <t>Cantidad definida en el presupuesto (CP)</t>
        </is>
      </c>
      <c r="B2" s="40" t="n">
        <v>5.53</v>
      </c>
      <c r="C2" s="2" t="inlineStr">
        <is>
          <t>m3</t>
        </is>
      </c>
    </row>
    <row r="3">
      <c r="A3" s="20" t="inlineStr">
        <is>
          <t>Valor del item en el presupuesto</t>
        </is>
      </c>
      <c r="B3" s="87" t="n">
        <v>92367.59000000001</v>
      </c>
      <c r="C3" s="2" t="n"/>
    </row>
    <row r="4"/>
    <row r="5">
      <c r="A5" s="41" t="inlineStr">
        <is>
          <t>Descripción</t>
        </is>
      </c>
      <c r="B5" s="2" t="inlineStr">
        <is>
          <t>Un</t>
        </is>
      </c>
      <c r="C5" s="3" t="inlineStr">
        <is>
          <t>Cantidad</t>
        </is>
      </c>
      <c r="D5" s="2" t="inlineStr">
        <is>
          <t>Desperdicio</t>
        </is>
      </c>
      <c r="E5" s="2" t="inlineStr">
        <is>
          <t>V. Unitario</t>
        </is>
      </c>
      <c r="F5" s="2" t="inlineStr">
        <is>
          <t>V. Parcial</t>
        </is>
      </c>
    </row>
    <row r="6">
      <c r="A6" s="22" t="inlineStr">
        <is>
          <t>Escombrera</t>
        </is>
      </c>
      <c r="B6" s="22" t="inlineStr">
        <is>
          <t>m3</t>
        </is>
      </c>
      <c r="C6" s="22" t="n">
        <v>1</v>
      </c>
      <c r="D6" s="22" t="n">
        <v>0</v>
      </c>
      <c r="E6" s="22" t="n">
        <v>4166</v>
      </c>
      <c r="F6" s="66">
        <f>+C6*E6</f>
        <v/>
      </c>
    </row>
    <row r="7">
      <c r="A7" s="22" t="inlineStr">
        <is>
          <t>mano de obra cuadrilla aa</t>
        </is>
      </c>
      <c r="B7" s="22" t="inlineStr">
        <is>
          <t>Hc</t>
        </is>
      </c>
      <c r="C7" s="22" t="n">
        <v>0.4</v>
      </c>
      <c r="D7" s="22" t="n">
        <v>0</v>
      </c>
      <c r="E7" s="23" t="n">
        <v>15527.06</v>
      </c>
      <c r="F7" s="66">
        <f>+C7*E7</f>
        <v/>
      </c>
    </row>
    <row r="8">
      <c r="A8" s="22" t="inlineStr">
        <is>
          <t>volqueta</t>
        </is>
      </c>
      <c r="B8" s="22" t="inlineStr">
        <is>
          <t>m3/km</t>
        </is>
      </c>
      <c r="C8" s="22" t="n">
        <v>8</v>
      </c>
      <c r="D8" s="22" t="n">
        <v>0</v>
      </c>
      <c r="E8" s="22" t="n">
        <v>752</v>
      </c>
      <c r="F8" s="66">
        <f>+C8*E8</f>
        <v/>
      </c>
    </row>
    <row r="9">
      <c r="A9" s="22" t="inlineStr">
        <is>
          <t>Herramienta menor 3</t>
        </is>
      </c>
      <c r="B9" s="22" t="inlineStr">
        <is>
          <t>%mo</t>
        </is>
      </c>
      <c r="C9" s="22" t="n">
        <v>0.05</v>
      </c>
      <c r="D9" s="22" t="n">
        <v>0</v>
      </c>
      <c r="E9" s="22" t="n">
        <v>6210.83</v>
      </c>
      <c r="F9" s="66">
        <f>+C9*E9</f>
        <v/>
      </c>
    </row>
    <row r="10">
      <c r="E10" s="58" t="inlineStr">
        <is>
          <t>V. Total</t>
        </is>
      </c>
      <c r="F10" s="88">
        <f>SUM(F6:F9)</f>
        <v/>
      </c>
    </row>
    <row r="13">
      <c r="A13" s="79" t="inlineStr">
        <is>
          <t>TABLA PROJECT</t>
        </is>
      </c>
      <c r="B13" s="80" t="inlineStr">
        <is>
          <t>(Duración = 1 días  |  CP = $B$2)</t>
        </is>
      </c>
    </row>
    <row r="14">
      <c r="A14" s="81" t="inlineStr">
        <is>
          <t>RECURSOS</t>
        </is>
      </c>
      <c r="B14" s="81" t="inlineStr">
        <is>
          <t>Un</t>
        </is>
      </c>
      <c r="C14" s="81" t="inlineStr">
        <is>
          <t>Cantidad</t>
        </is>
      </c>
      <c r="D14" s="81" t="inlineStr">
        <is>
          <t>V. Unitario</t>
        </is>
      </c>
      <c r="E14" s="81" t="inlineStr">
        <is>
          <t>Cantidad presupuesto</t>
        </is>
      </c>
      <c r="F14" s="81" t="inlineStr">
        <is>
          <t>Cant. Total</t>
        </is>
      </c>
      <c r="G14" s="81" t="inlineStr">
        <is>
          <t>Valor total</t>
        </is>
      </c>
    </row>
    <row r="15">
      <c r="A15" s="82" t="inlineStr">
        <is>
          <t>APU</t>
        </is>
      </c>
      <c r="B15" s="82" t="inlineStr">
        <is>
          <t>APU</t>
        </is>
      </c>
      <c r="C15" s="82" t="inlineStr">
        <is>
          <t>APU</t>
        </is>
      </c>
      <c r="D15" s="82" t="inlineStr">
        <is>
          <t>APU</t>
        </is>
      </c>
      <c r="E15" s="82" t="inlineStr">
        <is>
          <t>Presupuesto</t>
        </is>
      </c>
      <c r="F15" s="82" t="inlineStr">
        <is>
          <t>Cantidad × (1+Desp) × Cant. presup.</t>
        </is>
      </c>
      <c r="G15" s="82" t="inlineStr">
        <is>
          <t>Cant. Total × V. Unitario</t>
        </is>
      </c>
    </row>
    <row r="16">
      <c r="A16" s="68">
        <f>+A6</f>
        <v/>
      </c>
      <c r="B16" s="69">
        <f>+B6</f>
        <v/>
      </c>
      <c r="C16" s="68">
        <f>+C6</f>
        <v/>
      </c>
      <c r="D16" s="70">
        <f>+E6</f>
        <v/>
      </c>
      <c r="E16" s="68">
        <f>+$B$2</f>
        <v/>
      </c>
      <c r="F16" s="68">
        <f>C16*(1+D6)*E16</f>
        <v/>
      </c>
      <c r="G16" s="70">
        <f>F16*D16</f>
        <v/>
      </c>
    </row>
    <row r="17">
      <c r="A17" s="68">
        <f>+A7</f>
        <v/>
      </c>
      <c r="B17" s="69">
        <f>+B7</f>
        <v/>
      </c>
      <c r="C17" s="68">
        <f>+C7</f>
        <v/>
      </c>
      <c r="D17" s="70">
        <f>+E7</f>
        <v/>
      </c>
      <c r="E17" s="68">
        <f>+$B$2</f>
        <v/>
      </c>
      <c r="F17" s="68">
        <f>C17*(1+D7)*E17</f>
        <v/>
      </c>
      <c r="G17" s="70">
        <f>F17*D17</f>
        <v/>
      </c>
    </row>
    <row r="18">
      <c r="A18" s="68">
        <f>+A8</f>
        <v/>
      </c>
      <c r="B18" s="69">
        <f>+B8</f>
        <v/>
      </c>
      <c r="C18" s="68">
        <f>+C8</f>
        <v/>
      </c>
      <c r="D18" s="70">
        <f>+E8</f>
        <v/>
      </c>
      <c r="E18" s="68">
        <f>+$B$2</f>
        <v/>
      </c>
      <c r="F18" s="68">
        <f>C18*(1+D8)*E18</f>
        <v/>
      </c>
      <c r="G18" s="70">
        <f>F18*D18</f>
        <v/>
      </c>
    </row>
    <row r="19">
      <c r="A19" s="68">
        <f>+A9</f>
        <v/>
      </c>
      <c r="B19" s="69">
        <f>+B9</f>
        <v/>
      </c>
      <c r="C19" s="68">
        <f>+C9</f>
        <v/>
      </c>
      <c r="D19" s="70">
        <f>+E9</f>
        <v/>
      </c>
      <c r="E19" s="68">
        <f>+$B$2</f>
        <v/>
      </c>
      <c r="F19" s="68">
        <f>C19*(1+D9)*E19</f>
        <v/>
      </c>
      <c r="G19" s="70">
        <f>F19*D19</f>
        <v/>
      </c>
    </row>
    <row r="20">
      <c r="E20" s="83" t="inlineStr">
        <is>
          <t>V. TOTAL</t>
        </is>
      </c>
      <c r="F20" s="84" t="inlineStr"/>
      <c r="G20" s="85">
        <f>SUM(G16:G19)</f>
        <v/>
      </c>
    </row>
    <row r="22">
      <c r="A22" s="79" t="inlineStr">
        <is>
          <t>FACTOR MULTIPLICADOR — MANO DE OBRA</t>
        </is>
      </c>
    </row>
    <row r="23">
      <c r="A23" s="81" t="inlineStr">
        <is>
          <t>V. Unitario mano de obra "TABLA APU"</t>
        </is>
      </c>
      <c r="B23" s="81" t="inlineStr">
        <is>
          <t>Horas trabajadas diarias</t>
        </is>
      </c>
      <c r="C23" s="81" t="inlineStr">
        <is>
          <t>Dias trabajados para cada tarea o actividad</t>
        </is>
      </c>
      <c r="D23" s="81" t="inlineStr">
        <is>
          <t>Producto (A X B X C)</t>
        </is>
      </c>
      <c r="E23" s="81" t="inlineStr">
        <is>
          <t>Valor Total mano de obra "TABLA PROJECT"</t>
        </is>
      </c>
      <c r="F23" s="81" t="inlineStr">
        <is>
          <t>FACTOR MULTIPLICADOR</t>
        </is>
      </c>
      <c r="G23" s="81" t="inlineStr">
        <is>
          <t>FACTOR MULTIPLICADOR - EN %</t>
        </is>
      </c>
      <c r="H23" s="81" t="inlineStr">
        <is>
          <t>Recurso</t>
        </is>
      </c>
    </row>
    <row r="24">
      <c r="A24" s="82" t="inlineStr">
        <is>
          <t>A</t>
        </is>
      </c>
      <c r="B24" s="82" t="inlineStr">
        <is>
          <t>B</t>
        </is>
      </c>
      <c r="C24" s="82" t="inlineStr">
        <is>
          <t>C</t>
        </is>
      </c>
      <c r="D24" s="82" t="inlineStr">
        <is>
          <t>D</t>
        </is>
      </c>
      <c r="E24" s="82" t="inlineStr">
        <is>
          <t>F</t>
        </is>
      </c>
      <c r="F24" s="82" t="inlineStr">
        <is>
          <t>F/D</t>
        </is>
      </c>
      <c r="G24" s="82" t="inlineStr">
        <is>
          <t>(F/D)*100</t>
        </is>
      </c>
    </row>
    <row r="25">
      <c r="A25" s="70">
        <f>+E7</f>
        <v/>
      </c>
      <c r="B25" s="69" t="n">
        <v>8</v>
      </c>
      <c r="C25" s="69" t="n">
        <v>1</v>
      </c>
      <c r="D25" s="70">
        <f>A25*B25*C25</f>
        <v/>
      </c>
      <c r="E25" s="70">
        <f>+G17</f>
        <v/>
      </c>
      <c r="F25" s="86">
        <f>+E25/D25</f>
        <v/>
      </c>
      <c r="G25" s="86">
        <f>+F25*100</f>
        <v/>
      </c>
      <c r="H25" s="68">
        <f>+A7</f>
        <v/>
      </c>
    </row>
  </sheetData>
  <mergeCells count="1">
    <mergeCell ref="B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C16" sqref="C16"/>
    </sheetView>
  </sheetViews>
  <sheetFormatPr baseColWidth="10" defaultRowHeight="14.4"/>
  <cols>
    <col width="34" bestFit="1" customWidth="1" min="1" max="1"/>
    <col width="14" bestFit="1" customWidth="1" min="2" max="2"/>
    <col width="16" customWidth="1" min="3" max="3"/>
    <col width="16" customWidth="1" min="4" max="4"/>
    <col width="18" bestFit="1" customWidth="1" min="5" max="5"/>
    <col width="20" customWidth="1" min="6" max="6"/>
    <col width="16" bestFit="1" customWidth="1" min="7" max="7"/>
    <col width="30" customWidth="1" min="8" max="8"/>
  </cols>
  <sheetData>
    <row r="1">
      <c r="A1" s="2" t="inlineStr">
        <is>
          <t>APU</t>
        </is>
      </c>
      <c r="B1" s="58" t="inlineStr">
        <is>
          <t>SOLADO e=0.05m</t>
        </is>
      </c>
      <c r="C1" s="63" t="n"/>
      <c r="D1" s="63" t="n"/>
      <c r="E1" s="63" t="n"/>
      <c r="F1" s="64" t="n"/>
    </row>
    <row r="2" ht="28.8" customHeight="1">
      <c r="A2" s="20" t="inlineStr">
        <is>
          <t>Cantidad definida en el presupuesto (CP)</t>
        </is>
      </c>
      <c r="B2" s="40" t="n">
        <v>26.87</v>
      </c>
      <c r="C2" s="2" t="inlineStr">
        <is>
          <t>m2</t>
        </is>
      </c>
    </row>
    <row r="3">
      <c r="A3" s="20" t="inlineStr">
        <is>
          <t>Valor del item en el presupuesto</t>
        </is>
      </c>
      <c r="B3" s="87" t="n">
        <v>522456.79</v>
      </c>
      <c r="C3" s="2" t="n"/>
    </row>
    <row r="4"/>
    <row r="5">
      <c r="A5" s="32" t="inlineStr">
        <is>
          <t>NOTA/ TENGA EN CUENTA EL DESPERDICIO DEL CONCRETO</t>
        </is>
      </c>
    </row>
    <row r="6">
      <c r="A6" s="8" t="n"/>
    </row>
    <row r="7">
      <c r="A7" s="41" t="inlineStr">
        <is>
          <t>Descripción</t>
        </is>
      </c>
      <c r="B7" s="2" t="inlineStr">
        <is>
          <t>Un</t>
        </is>
      </c>
      <c r="C7" s="3" t="inlineStr">
        <is>
          <t>Cantidad</t>
        </is>
      </c>
      <c r="D7" s="2" t="inlineStr">
        <is>
          <t>Desperdicio</t>
        </is>
      </c>
      <c r="E7" s="2" t="inlineStr">
        <is>
          <t>V. Unitario</t>
        </is>
      </c>
      <c r="F7" s="2" t="inlineStr">
        <is>
          <t>V. Parcial</t>
        </is>
      </c>
    </row>
    <row r="8">
      <c r="A8" s="22" t="inlineStr">
        <is>
          <t>Mezcla de concreto pobre de 3000psi</t>
        </is>
      </c>
      <c r="B8" s="22" t="inlineStr">
        <is>
          <t>m3</t>
        </is>
      </c>
      <c r="C8" s="22" t="n">
        <v>0.05</v>
      </c>
      <c r="D8" s="33" t="n">
        <v>0.05</v>
      </c>
      <c r="E8" s="22" t="n">
        <v>277197.13</v>
      </c>
      <c r="F8" s="66">
        <f>+C8*E8*1.05</f>
        <v/>
      </c>
    </row>
    <row r="9">
      <c r="A9" s="22" t="inlineStr">
        <is>
          <t>mano de obra cuadrilla aa</t>
        </is>
      </c>
      <c r="B9" s="22" t="inlineStr">
        <is>
          <t>Hc</t>
        </is>
      </c>
      <c r="C9" s="22" t="n">
        <v>0.3</v>
      </c>
      <c r="D9" s="22" t="n">
        <v>0</v>
      </c>
      <c r="E9" s="22" t="n">
        <v>15527.06</v>
      </c>
      <c r="F9" s="66">
        <f>+C9*E9</f>
        <v/>
      </c>
    </row>
    <row r="10">
      <c r="A10" s="22" t="inlineStr">
        <is>
          <t>Herramienta menor 4</t>
        </is>
      </c>
      <c r="B10" s="22" t="inlineStr">
        <is>
          <t>%mo</t>
        </is>
      </c>
      <c r="C10" s="22" t="n">
        <v>0.05</v>
      </c>
      <c r="D10" s="22" t="n">
        <v>0</v>
      </c>
      <c r="E10" s="22" t="n">
        <v>4658.12</v>
      </c>
      <c r="F10" s="66">
        <f>+C10*E10</f>
        <v/>
      </c>
    </row>
    <row r="11">
      <c r="E11" s="5" t="inlineStr">
        <is>
          <t>V. Total</t>
        </is>
      </c>
      <c r="F11" s="67">
        <f>SUM(F8:F10)</f>
        <v/>
      </c>
    </row>
    <row r="14">
      <c r="A14" s="79" t="inlineStr">
        <is>
          <t>TABLA PROJECT</t>
        </is>
      </c>
      <c r="B14" s="80" t="inlineStr">
        <is>
          <t>(Duración = 4 días  |  CP = $B$2)</t>
        </is>
      </c>
    </row>
    <row r="15">
      <c r="A15" s="81" t="inlineStr">
        <is>
          <t>RECURSOS</t>
        </is>
      </c>
      <c r="B15" s="81" t="inlineStr">
        <is>
          <t>Un</t>
        </is>
      </c>
      <c r="C15" s="81" t="inlineStr">
        <is>
          <t>Cantidad</t>
        </is>
      </c>
      <c r="D15" s="81" t="inlineStr">
        <is>
          <t>V. Unitario</t>
        </is>
      </c>
      <c r="E15" s="81" t="inlineStr">
        <is>
          <t>Cantidad presupuesto</t>
        </is>
      </c>
      <c r="F15" s="81" t="inlineStr">
        <is>
          <t>Cant. Total</t>
        </is>
      </c>
      <c r="G15" s="81" t="inlineStr">
        <is>
          <t>Valor total</t>
        </is>
      </c>
    </row>
    <row r="16">
      <c r="A16" s="82" t="inlineStr">
        <is>
          <t>APU</t>
        </is>
      </c>
      <c r="B16" s="82" t="inlineStr">
        <is>
          <t>APU</t>
        </is>
      </c>
      <c r="C16" s="82" t="inlineStr">
        <is>
          <t>APU</t>
        </is>
      </c>
      <c r="D16" s="82" t="inlineStr">
        <is>
          <t>APU</t>
        </is>
      </c>
      <c r="E16" s="82" t="inlineStr">
        <is>
          <t>Presupuesto</t>
        </is>
      </c>
      <c r="F16" s="82" t="inlineStr">
        <is>
          <t>Cantidad × (1+Desp) × Cant. presup.</t>
        </is>
      </c>
      <c r="G16" s="82" t="inlineStr">
        <is>
          <t>Cant. Total × V. Unitario</t>
        </is>
      </c>
    </row>
    <row r="17">
      <c r="A17" s="68">
        <f>+A8</f>
        <v/>
      </c>
      <c r="B17" s="69">
        <f>+B8</f>
        <v/>
      </c>
      <c r="C17" s="68">
        <f>+C8</f>
        <v/>
      </c>
      <c r="D17" s="70">
        <f>+E8</f>
        <v/>
      </c>
      <c r="E17" s="68">
        <f>+$B$2</f>
        <v/>
      </c>
      <c r="F17" s="68">
        <f>C17*(1+D8)*E17</f>
        <v/>
      </c>
      <c r="G17" s="70">
        <f>F17*D17</f>
        <v/>
      </c>
    </row>
    <row r="18">
      <c r="A18" s="68">
        <f>+A9</f>
        <v/>
      </c>
      <c r="B18" s="69">
        <f>+B9</f>
        <v/>
      </c>
      <c r="C18" s="68">
        <f>+C9</f>
        <v/>
      </c>
      <c r="D18" s="70">
        <f>+E9</f>
        <v/>
      </c>
      <c r="E18" s="68">
        <f>+$B$2</f>
        <v/>
      </c>
      <c r="F18" s="68">
        <f>C18*(1+D9)*E18</f>
        <v/>
      </c>
      <c r="G18" s="70">
        <f>F18*D18</f>
        <v/>
      </c>
    </row>
    <row r="19">
      <c r="A19" s="68">
        <f>+A10</f>
        <v/>
      </c>
      <c r="B19" s="69">
        <f>+B10</f>
        <v/>
      </c>
      <c r="C19" s="68">
        <f>+C10</f>
        <v/>
      </c>
      <c r="D19" s="70">
        <f>+E10</f>
        <v/>
      </c>
      <c r="E19" s="68">
        <f>+$B$2</f>
        <v/>
      </c>
      <c r="F19" s="68">
        <f>C19*(1+D10)*E19</f>
        <v/>
      </c>
      <c r="G19" s="70">
        <f>F19*D19</f>
        <v/>
      </c>
    </row>
    <row r="20">
      <c r="E20" s="83" t="inlineStr">
        <is>
          <t>V. TOTAL</t>
        </is>
      </c>
      <c r="F20" s="84" t="inlineStr"/>
      <c r="G20" s="85">
        <f>SUM(G17:G19)</f>
        <v/>
      </c>
    </row>
    <row r="22">
      <c r="A22" s="79" t="inlineStr">
        <is>
          <t>FACTOR MULTIPLICADOR — MANO DE OBRA</t>
        </is>
      </c>
    </row>
    <row r="23">
      <c r="A23" s="81" t="inlineStr">
        <is>
          <t>V. Unitario mano de obra "TABLA APU"</t>
        </is>
      </c>
      <c r="B23" s="81" t="inlineStr">
        <is>
          <t>Horas trabajadas diarias</t>
        </is>
      </c>
      <c r="C23" s="81" t="inlineStr">
        <is>
          <t>Dias trabajados para cada tarea o actividad</t>
        </is>
      </c>
      <c r="D23" s="81" t="inlineStr">
        <is>
          <t>Producto (A X B X C)</t>
        </is>
      </c>
      <c r="E23" s="81" t="inlineStr">
        <is>
          <t>Valor Total mano de obra "TABLA PROJECT"</t>
        </is>
      </c>
      <c r="F23" s="81" t="inlineStr">
        <is>
          <t>FACTOR MULTIPLICADOR</t>
        </is>
      </c>
      <c r="G23" s="81" t="inlineStr">
        <is>
          <t>FACTOR MULTIPLICADOR - EN %</t>
        </is>
      </c>
      <c r="H23" s="81" t="inlineStr">
        <is>
          <t>Recurso</t>
        </is>
      </c>
    </row>
    <row r="24">
      <c r="A24" s="82" t="inlineStr">
        <is>
          <t>A</t>
        </is>
      </c>
      <c r="B24" s="82" t="inlineStr">
        <is>
          <t>B</t>
        </is>
      </c>
      <c r="C24" s="82" t="inlineStr">
        <is>
          <t>C</t>
        </is>
      </c>
      <c r="D24" s="82" t="inlineStr">
        <is>
          <t>D</t>
        </is>
      </c>
      <c r="E24" s="82" t="inlineStr">
        <is>
          <t>F</t>
        </is>
      </c>
      <c r="F24" s="82" t="inlineStr">
        <is>
          <t>F/D</t>
        </is>
      </c>
      <c r="G24" s="82" t="inlineStr">
        <is>
          <t>(F/D)*100</t>
        </is>
      </c>
    </row>
    <row r="25">
      <c r="A25" s="70">
        <f>+E9</f>
        <v/>
      </c>
      <c r="B25" s="69" t="n">
        <v>8</v>
      </c>
      <c r="C25" s="69" t="n">
        <v>4</v>
      </c>
      <c r="D25" s="70">
        <f>A25*B25*C25</f>
        <v/>
      </c>
      <c r="E25" s="70">
        <f>+G18</f>
        <v/>
      </c>
      <c r="F25" s="86">
        <f>+E25/D25</f>
        <v/>
      </c>
      <c r="G25" s="86">
        <f>+F25*100</f>
        <v/>
      </c>
      <c r="H25" s="68">
        <f>+A9</f>
        <v/>
      </c>
    </row>
  </sheetData>
  <mergeCells count="1">
    <mergeCell ref="B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C13" sqref="C13"/>
    </sheetView>
  </sheetViews>
  <sheetFormatPr baseColWidth="10" defaultRowHeight="14.4"/>
  <cols>
    <col width="34" customWidth="1" min="1" max="1"/>
    <col width="14" bestFit="1" customWidth="1" min="2" max="2"/>
    <col width="16" customWidth="1" min="3" max="3"/>
    <col width="16" customWidth="1" min="4" max="4"/>
    <col width="18" bestFit="1"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RELLENO Y COMPACTACION MATERIAL IMPORTADO</t>
        </is>
      </c>
      <c r="C2" s="63" t="n"/>
      <c r="D2" s="63" t="n"/>
      <c r="E2" s="63" t="n"/>
      <c r="F2" s="64" t="n"/>
    </row>
    <row r="3" ht="28.8" customHeight="1">
      <c r="A3" s="20" t="inlineStr">
        <is>
          <t>Cantidad definida en el presupuesto (CP)</t>
        </is>
      </c>
      <c r="B3" s="2" t="n">
        <v>8.199999999999999</v>
      </c>
      <c r="C3" s="2" t="inlineStr">
        <is>
          <t>m2</t>
        </is>
      </c>
    </row>
    <row r="4">
      <c r="A4" s="20" t="inlineStr">
        <is>
          <t>Valor del item en el presupuesto</t>
        </is>
      </c>
      <c r="B4" s="77" t="n">
        <v>262236</v>
      </c>
      <c r="C4" s="2" t="n"/>
    </row>
    <row r="5">
      <c r="A5" s="7" t="n"/>
      <c r="B5" s="67" t="n"/>
      <c r="C5" s="8" t="n"/>
    </row>
    <row r="6">
      <c r="A6" s="8" t="n"/>
      <c r="E6" s="14" t="n"/>
    </row>
    <row r="7">
      <c r="A7" s="41" t="inlineStr">
        <is>
          <t>Descripción</t>
        </is>
      </c>
      <c r="B7" s="2" t="inlineStr">
        <is>
          <t>Un</t>
        </is>
      </c>
      <c r="C7" s="3" t="inlineStr">
        <is>
          <t>Cantidad</t>
        </is>
      </c>
      <c r="D7" s="2" t="inlineStr">
        <is>
          <t>Desperdicio</t>
        </is>
      </c>
      <c r="E7" s="2" t="inlineStr">
        <is>
          <t>V. Unitario</t>
        </is>
      </c>
      <c r="F7" s="2" t="inlineStr">
        <is>
          <t>V. Parcial</t>
        </is>
      </c>
    </row>
    <row r="8">
      <c r="A8" s="22" t="inlineStr">
        <is>
          <t>Material de rio sucio-tierra</t>
        </is>
      </c>
      <c r="B8" s="22" t="inlineStr">
        <is>
          <t>m3</t>
        </is>
      </c>
      <c r="C8" s="22" t="n">
        <v>1.2</v>
      </c>
      <c r="D8" s="22" t="n">
        <v>0</v>
      </c>
      <c r="E8" s="22" t="n">
        <v>8000</v>
      </c>
      <c r="F8" s="66">
        <f>+C8*E8</f>
        <v/>
      </c>
      <c r="G8" s="89" t="n"/>
    </row>
    <row r="9">
      <c r="A9" s="22" t="inlineStr">
        <is>
          <t>Mano de obra albeñeleria 1A</t>
        </is>
      </c>
      <c r="B9" s="22" t="inlineStr">
        <is>
          <t>Hc</t>
        </is>
      </c>
      <c r="C9" s="22" t="n">
        <v>2</v>
      </c>
      <c r="D9" s="22" t="n">
        <v>0</v>
      </c>
      <c r="E9" s="22" t="n">
        <v>6500</v>
      </c>
      <c r="F9" s="66">
        <f>+C9*E9</f>
        <v/>
      </c>
      <c r="G9" s="89" t="n"/>
    </row>
    <row r="10">
      <c r="A10" s="22" t="inlineStr">
        <is>
          <t>Pison</t>
        </is>
      </c>
      <c r="B10" s="22" t="inlineStr">
        <is>
          <t>Hrs</t>
        </is>
      </c>
      <c r="C10" s="22" t="n">
        <v>0.07000000000000001</v>
      </c>
      <c r="D10" s="22" t="n">
        <v>0</v>
      </c>
      <c r="E10" s="22" t="n">
        <v>4000</v>
      </c>
      <c r="F10" s="66">
        <f>+C10*E10</f>
        <v/>
      </c>
      <c r="G10" s="89" t="n"/>
    </row>
    <row r="11">
      <c r="A11" s="22" t="inlineStr">
        <is>
          <t>Volqueta transporte petreos 1-10 km</t>
        </is>
      </c>
      <c r="B11" s="22" t="inlineStr">
        <is>
          <t>m3</t>
        </is>
      </c>
      <c r="C11" s="22" t="n">
        <v>1.3</v>
      </c>
      <c r="D11" s="22" t="n">
        <v>0</v>
      </c>
      <c r="E11" s="22" t="n">
        <v>7000</v>
      </c>
      <c r="F11" s="66">
        <f>+C11*E11</f>
        <v/>
      </c>
      <c r="G11" s="89" t="n"/>
    </row>
    <row r="12">
      <c r="E12" s="5" t="inlineStr">
        <is>
          <t>V. Total</t>
        </is>
      </c>
      <c r="F12" s="67">
        <f>SUM(F8:F11)</f>
        <v/>
      </c>
      <c r="G12" s="89" t="n"/>
    </row>
    <row r="13">
      <c r="G13" s="89" t="n"/>
    </row>
    <row r="16">
      <c r="A16" s="79" t="inlineStr">
        <is>
          <t>TABLA PROJECT</t>
        </is>
      </c>
      <c r="B16" s="80" t="inlineStr">
        <is>
          <t>(Duración = 3 días  |  CP = $B$3)</t>
        </is>
      </c>
    </row>
    <row r="17">
      <c r="A17" s="81" t="inlineStr">
        <is>
          <t>RECURSOS</t>
        </is>
      </c>
      <c r="B17" s="81" t="inlineStr">
        <is>
          <t>Un</t>
        </is>
      </c>
      <c r="C17" s="81" t="inlineStr">
        <is>
          <t>Cantidad</t>
        </is>
      </c>
      <c r="D17" s="81" t="inlineStr">
        <is>
          <t>V. Unitario</t>
        </is>
      </c>
      <c r="E17" s="81" t="inlineStr">
        <is>
          <t>Cantidad presupuesto</t>
        </is>
      </c>
      <c r="F17" s="81" t="inlineStr">
        <is>
          <t>Cant. Total</t>
        </is>
      </c>
      <c r="G17" s="81" t="inlineStr">
        <is>
          <t>Valor total</t>
        </is>
      </c>
    </row>
    <row r="18">
      <c r="A18" s="82" t="inlineStr">
        <is>
          <t>APU</t>
        </is>
      </c>
      <c r="B18" s="82" t="inlineStr">
        <is>
          <t>APU</t>
        </is>
      </c>
      <c r="C18" s="82" t="inlineStr">
        <is>
          <t>APU</t>
        </is>
      </c>
      <c r="D18" s="82" t="inlineStr">
        <is>
          <t>APU</t>
        </is>
      </c>
      <c r="E18" s="82" t="inlineStr">
        <is>
          <t>Presupuesto</t>
        </is>
      </c>
      <c r="F18" s="82" t="inlineStr">
        <is>
          <t>Cantidad × (1+Desp) × Cant. presup.</t>
        </is>
      </c>
      <c r="G18" s="82" t="inlineStr">
        <is>
          <t>Cant. Total × V. Unitario</t>
        </is>
      </c>
    </row>
    <row r="19">
      <c r="A19" s="68">
        <f>+A8</f>
        <v/>
      </c>
      <c r="B19" s="69">
        <f>+B8</f>
        <v/>
      </c>
      <c r="C19" s="68">
        <f>+C8</f>
        <v/>
      </c>
      <c r="D19" s="70">
        <f>+E8</f>
        <v/>
      </c>
      <c r="E19" s="68">
        <f>+$B$3</f>
        <v/>
      </c>
      <c r="F19" s="68">
        <f>C19*(1+D8)*E19</f>
        <v/>
      </c>
      <c r="G19" s="70">
        <f>F19*D19</f>
        <v/>
      </c>
    </row>
    <row r="20">
      <c r="A20" s="68">
        <f>+A9</f>
        <v/>
      </c>
      <c r="B20" s="69">
        <f>+B9</f>
        <v/>
      </c>
      <c r="C20" s="68">
        <f>+C9</f>
        <v/>
      </c>
      <c r="D20" s="70">
        <f>+E9</f>
        <v/>
      </c>
      <c r="E20" s="68">
        <f>+$B$3</f>
        <v/>
      </c>
      <c r="F20" s="68">
        <f>C20*(1+D9)*E20</f>
        <v/>
      </c>
      <c r="G20" s="70">
        <f>F20*D20</f>
        <v/>
      </c>
    </row>
    <row r="21">
      <c r="A21" s="68">
        <f>+A10</f>
        <v/>
      </c>
      <c r="B21" s="69">
        <f>+B10</f>
        <v/>
      </c>
      <c r="C21" s="68">
        <f>+C10</f>
        <v/>
      </c>
      <c r="D21" s="70">
        <f>+E10</f>
        <v/>
      </c>
      <c r="E21" s="68">
        <f>+$B$3</f>
        <v/>
      </c>
      <c r="F21" s="68">
        <f>C21*(1+D10)*E21</f>
        <v/>
      </c>
      <c r="G21" s="70">
        <f>F21*D21</f>
        <v/>
      </c>
    </row>
    <row r="22">
      <c r="A22" s="68">
        <f>+A11</f>
        <v/>
      </c>
      <c r="B22" s="69">
        <f>+B11</f>
        <v/>
      </c>
      <c r="C22" s="68">
        <f>+C11</f>
        <v/>
      </c>
      <c r="D22" s="70">
        <f>+E11</f>
        <v/>
      </c>
      <c r="E22" s="68">
        <f>+$B$3</f>
        <v/>
      </c>
      <c r="F22" s="68">
        <f>C22*(1+D11)*E22</f>
        <v/>
      </c>
      <c r="G22" s="70">
        <f>F22*D22</f>
        <v/>
      </c>
    </row>
    <row r="23">
      <c r="E23" s="83" t="inlineStr">
        <is>
          <t>V. TOTAL</t>
        </is>
      </c>
      <c r="F23" s="84" t="inlineStr"/>
      <c r="G23" s="85">
        <f>SUM(G19:G22)</f>
        <v/>
      </c>
    </row>
    <row r="25">
      <c r="A25" s="79" t="inlineStr">
        <is>
          <t>FACTOR MULTIPLICADOR — MANO DE OBRA</t>
        </is>
      </c>
    </row>
    <row r="26">
      <c r="A26" s="81" t="inlineStr">
        <is>
          <t>V. Unitario mano de obra "TABLA APU"</t>
        </is>
      </c>
      <c r="B26" s="81" t="inlineStr">
        <is>
          <t>Horas trabajadas diarias</t>
        </is>
      </c>
      <c r="C26" s="81" t="inlineStr">
        <is>
          <t>Dias trabajados para cada tarea o actividad</t>
        </is>
      </c>
      <c r="D26" s="81" t="inlineStr">
        <is>
          <t>Producto (A X B X C)</t>
        </is>
      </c>
      <c r="E26" s="81" t="inlineStr">
        <is>
          <t>Valor Total mano de obra "TABLA PROJECT"</t>
        </is>
      </c>
      <c r="F26" s="81" t="inlineStr">
        <is>
          <t>FACTOR MULTIPLICADOR</t>
        </is>
      </c>
      <c r="G26" s="81" t="inlineStr">
        <is>
          <t>FACTOR MULTIPLICADOR - EN %</t>
        </is>
      </c>
      <c r="H26" s="81" t="inlineStr">
        <is>
          <t>Recurso</t>
        </is>
      </c>
    </row>
    <row r="27">
      <c r="A27" s="82" t="inlineStr">
        <is>
          <t>A</t>
        </is>
      </c>
      <c r="B27" s="82" t="inlineStr">
        <is>
          <t>B</t>
        </is>
      </c>
      <c r="C27" s="82" t="inlineStr">
        <is>
          <t>C</t>
        </is>
      </c>
      <c r="D27" s="82" t="inlineStr">
        <is>
          <t>D</t>
        </is>
      </c>
      <c r="E27" s="82" t="inlineStr">
        <is>
          <t>F</t>
        </is>
      </c>
      <c r="F27" s="82" t="inlineStr">
        <is>
          <t>F/D</t>
        </is>
      </c>
      <c r="G27" s="82" t="inlineStr">
        <is>
          <t>(F/D)*100</t>
        </is>
      </c>
    </row>
    <row r="28">
      <c r="A28" s="70">
        <f>+E9</f>
        <v/>
      </c>
      <c r="B28" s="69" t="n">
        <v>8</v>
      </c>
      <c r="C28" s="69" t="n">
        <v>3</v>
      </c>
      <c r="D28" s="70">
        <f>A28*B28*C28</f>
        <v/>
      </c>
      <c r="E28" s="70">
        <f>+G20</f>
        <v/>
      </c>
      <c r="F28" s="86">
        <f>+E28/D28</f>
        <v/>
      </c>
      <c r="G28" s="86">
        <f>+F28*100</f>
        <v/>
      </c>
      <c r="H28" s="68">
        <f>+A9</f>
        <v/>
      </c>
    </row>
  </sheetData>
  <mergeCells count="1">
    <mergeCell ref="B2:F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9"/>
  <sheetViews>
    <sheetView workbookViewId="0">
      <selection activeCell="D20" sqref="D20"/>
    </sheetView>
  </sheetViews>
  <sheetFormatPr baseColWidth="10" defaultRowHeight="14.4"/>
  <cols>
    <col width="34" customWidth="1" min="1" max="1"/>
    <col width="14" customWidth="1" min="2" max="2"/>
    <col width="16" customWidth="1" min="3" max="3"/>
    <col width="16" customWidth="1" min="4" max="4"/>
    <col width="18" bestFit="1" customWidth="1" min="5" max="5"/>
    <col width="20" customWidth="1" min="6" max="6"/>
    <col width="16" bestFit="1" customWidth="1" min="7" max="7"/>
    <col width="30" customWidth="1" min="8" max="8"/>
    <col width="1.88671875" bestFit="1" customWidth="1" min="10" max="10"/>
    <col width="8.88671875" bestFit="1" customWidth="1" min="11" max="11"/>
  </cols>
  <sheetData>
    <row r="1"/>
    <row r="2">
      <c r="A2" s="2" t="inlineStr">
        <is>
          <t>APU</t>
        </is>
      </c>
      <c r="B2" s="58" t="inlineStr">
        <is>
          <t>Figurado y armada acero 60000 psi vaciado zapatas en concreto de 3000 psi</t>
        </is>
      </c>
      <c r="C2" s="63" t="n"/>
      <c r="D2" s="63" t="n"/>
      <c r="E2" s="63" t="n"/>
      <c r="F2" s="64" t="n"/>
    </row>
    <row r="3" ht="28.8" customHeight="1">
      <c r="A3" s="20" t="inlineStr">
        <is>
          <t>Cantidad definida en el presupuesto (CP)</t>
        </is>
      </c>
      <c r="B3" s="2" t="n">
        <v>823.45</v>
      </c>
      <c r="C3" s="8" t="inlineStr">
        <is>
          <t>kg</t>
        </is>
      </c>
    </row>
    <row r="4">
      <c r="A4" s="20" t="inlineStr">
        <is>
          <t>Valor del item en el presupuesto</t>
        </is>
      </c>
      <c r="B4" s="77" t="n">
        <v>2919056.14</v>
      </c>
      <c r="C4" s="8" t="n"/>
    </row>
    <row r="5">
      <c r="A5" s="7" t="n"/>
      <c r="B5" s="67" t="n"/>
      <c r="C5" s="8" t="n"/>
    </row>
    <row r="6">
      <c r="A6" s="8" t="n"/>
      <c r="E6" s="14" t="n"/>
    </row>
    <row r="7">
      <c r="A7" s="41" t="inlineStr">
        <is>
          <t>Descripción</t>
        </is>
      </c>
      <c r="B7" s="2" t="inlineStr">
        <is>
          <t>Un</t>
        </is>
      </c>
      <c r="C7" s="3" t="inlineStr">
        <is>
          <t>Cantidad</t>
        </is>
      </c>
      <c r="D7" s="2" t="inlineStr">
        <is>
          <t>Desperdicio</t>
        </is>
      </c>
      <c r="E7" s="2" t="inlineStr">
        <is>
          <t>V. Unitario</t>
        </is>
      </c>
      <c r="F7" s="2" t="inlineStr">
        <is>
          <t>V. Parcial</t>
        </is>
      </c>
    </row>
    <row r="8">
      <c r="A8" s="22" t="inlineStr">
        <is>
          <t>Acero de 420 Mpa</t>
        </is>
      </c>
      <c r="B8" s="22" t="inlineStr">
        <is>
          <t>kg</t>
        </is>
      </c>
      <c r="C8" s="22" t="n">
        <v>1</v>
      </c>
      <c r="D8" s="33" t="n">
        <v>0.03</v>
      </c>
      <c r="E8" s="22" t="n">
        <v>2083.33</v>
      </c>
      <c r="F8" s="66">
        <f>+C8*E8*1.03</f>
        <v/>
      </c>
      <c r="G8" s="89" t="n"/>
    </row>
    <row r="9">
      <c r="A9" s="22" t="inlineStr">
        <is>
          <t>Alambre negro</t>
        </is>
      </c>
      <c r="B9" s="22" t="inlineStr">
        <is>
          <t>kg</t>
        </is>
      </c>
      <c r="C9" s="22" t="n">
        <v>0.08</v>
      </c>
      <c r="D9" s="22" t="n">
        <v>0</v>
      </c>
      <c r="E9" s="22" t="n">
        <v>3500</v>
      </c>
      <c r="F9" s="66">
        <f>+C9*E9</f>
        <v/>
      </c>
      <c r="G9" s="89" t="n"/>
    </row>
    <row r="10">
      <c r="A10" s="22" t="inlineStr">
        <is>
          <t>Mano de obra cuadrilla aa</t>
        </is>
      </c>
      <c r="B10" s="22" t="inlineStr">
        <is>
          <t>hc</t>
        </is>
      </c>
      <c r="C10" s="22" t="n">
        <v>0.06</v>
      </c>
      <c r="D10" s="22" t="n">
        <v>0</v>
      </c>
      <c r="E10" s="22" t="n">
        <v>15527.06</v>
      </c>
      <c r="F10" s="66">
        <f>+C10*E10</f>
        <v/>
      </c>
      <c r="G10" s="89" t="n"/>
    </row>
    <row r="11">
      <c r="A11" s="22" t="inlineStr">
        <is>
          <t>Segueta sin marco</t>
        </is>
      </c>
      <c r="B11" s="22" t="inlineStr">
        <is>
          <t>glb</t>
        </is>
      </c>
      <c r="C11" s="22" t="n">
        <v>0.04</v>
      </c>
      <c r="D11" s="22" t="n">
        <v>0</v>
      </c>
      <c r="E11" s="22" t="n">
        <v>3522</v>
      </c>
      <c r="F11" s="66">
        <f>+C11*E11</f>
        <v/>
      </c>
      <c r="G11" s="89" t="n"/>
    </row>
    <row r="12">
      <c r="A12" s="22" t="inlineStr">
        <is>
          <t>Herramienta menor 5</t>
        </is>
      </c>
      <c r="B12" s="22" t="inlineStr">
        <is>
          <t>%mo</t>
        </is>
      </c>
      <c r="C12" s="22" t="n">
        <v>0.05</v>
      </c>
      <c r="D12" s="22" t="n">
        <v>0</v>
      </c>
      <c r="E12" s="22" t="n">
        <v>931.62</v>
      </c>
      <c r="F12" s="66">
        <f>+C12*E12</f>
        <v/>
      </c>
      <c r="G12" s="89" t="n"/>
    </row>
    <row r="13">
      <c r="E13" s="58" t="inlineStr">
        <is>
          <t>V. Total</t>
        </is>
      </c>
      <c r="F13" s="90">
        <f>SUM(F8:F12)</f>
        <v/>
      </c>
    </row>
    <row r="16">
      <c r="A16" s="79" t="inlineStr">
        <is>
          <t>TABLA PROJECT</t>
        </is>
      </c>
      <c r="B16" s="80" t="inlineStr">
        <is>
          <t>(Duración = 6 días  |  CP = $B$3)</t>
        </is>
      </c>
    </row>
    <row r="17">
      <c r="A17" s="81" t="inlineStr">
        <is>
          <t>RECURSOS</t>
        </is>
      </c>
      <c r="B17" s="81" t="inlineStr">
        <is>
          <t>Un</t>
        </is>
      </c>
      <c r="C17" s="81" t="inlineStr">
        <is>
          <t>Cantidad</t>
        </is>
      </c>
      <c r="D17" s="81" t="inlineStr">
        <is>
          <t>V. Unitario</t>
        </is>
      </c>
      <c r="E17" s="81" t="inlineStr">
        <is>
          <t>Cantidad presupuesto</t>
        </is>
      </c>
      <c r="F17" s="81" t="inlineStr">
        <is>
          <t>Cant. Total</t>
        </is>
      </c>
      <c r="G17" s="81" t="inlineStr">
        <is>
          <t>Valor total</t>
        </is>
      </c>
    </row>
    <row r="18">
      <c r="A18" s="82" t="inlineStr">
        <is>
          <t>APU</t>
        </is>
      </c>
      <c r="B18" s="82" t="inlineStr">
        <is>
          <t>APU</t>
        </is>
      </c>
      <c r="C18" s="82" t="inlineStr">
        <is>
          <t>APU</t>
        </is>
      </c>
      <c r="D18" s="82" t="inlineStr">
        <is>
          <t>APU</t>
        </is>
      </c>
      <c r="E18" s="82" t="inlineStr">
        <is>
          <t>Presupuesto</t>
        </is>
      </c>
      <c r="F18" s="82" t="inlineStr">
        <is>
          <t>Cantidad × (1+Desp) × Cant. presup.</t>
        </is>
      </c>
      <c r="G18" s="82" t="inlineStr">
        <is>
          <t>Cant. Total × V. Unitario</t>
        </is>
      </c>
    </row>
    <row r="19">
      <c r="A19" s="68">
        <f>+A8</f>
        <v/>
      </c>
      <c r="B19" s="69">
        <f>+B8</f>
        <v/>
      </c>
      <c r="C19" s="68">
        <f>+C8</f>
        <v/>
      </c>
      <c r="D19" s="70">
        <f>+E8</f>
        <v/>
      </c>
      <c r="E19" s="68">
        <f>+$B$3</f>
        <v/>
      </c>
      <c r="F19" s="68">
        <f>C19*(1+D8)*E19</f>
        <v/>
      </c>
      <c r="G19" s="70">
        <f>F19*D19</f>
        <v/>
      </c>
    </row>
    <row r="20">
      <c r="A20" s="68">
        <f>+A9</f>
        <v/>
      </c>
      <c r="B20" s="69">
        <f>+B9</f>
        <v/>
      </c>
      <c r="C20" s="68">
        <f>+C9</f>
        <v/>
      </c>
      <c r="D20" s="70">
        <f>+E9</f>
        <v/>
      </c>
      <c r="E20" s="68">
        <f>+$B$3</f>
        <v/>
      </c>
      <c r="F20" s="68">
        <f>C20*(1+D9)*E20</f>
        <v/>
      </c>
      <c r="G20" s="70">
        <f>F20*D20</f>
        <v/>
      </c>
    </row>
    <row r="21">
      <c r="A21" s="68">
        <f>+A10</f>
        <v/>
      </c>
      <c r="B21" s="69">
        <f>+B10</f>
        <v/>
      </c>
      <c r="C21" s="68">
        <f>+C10</f>
        <v/>
      </c>
      <c r="D21" s="70">
        <f>+E10</f>
        <v/>
      </c>
      <c r="E21" s="68">
        <f>+$B$3</f>
        <v/>
      </c>
      <c r="F21" s="68">
        <f>C21*(1+D10)*E21</f>
        <v/>
      </c>
      <c r="G21" s="70">
        <f>F21*D21</f>
        <v/>
      </c>
    </row>
    <row r="22">
      <c r="A22" s="68">
        <f>+A11</f>
        <v/>
      </c>
      <c r="B22" s="69">
        <f>+B11</f>
        <v/>
      </c>
      <c r="C22" s="68">
        <f>+C11</f>
        <v/>
      </c>
      <c r="D22" s="70">
        <f>+E11</f>
        <v/>
      </c>
      <c r="E22" s="68">
        <f>+$B$3</f>
        <v/>
      </c>
      <c r="F22" s="68">
        <f>C22*(1+D11)*E22</f>
        <v/>
      </c>
      <c r="G22" s="70">
        <f>F22*D22</f>
        <v/>
      </c>
    </row>
    <row r="23">
      <c r="A23" s="68">
        <f>+A12</f>
        <v/>
      </c>
      <c r="B23" s="69">
        <f>+B12</f>
        <v/>
      </c>
      <c r="C23" s="68">
        <f>+C12</f>
        <v/>
      </c>
      <c r="D23" s="70">
        <f>+E12</f>
        <v/>
      </c>
      <c r="E23" s="68">
        <f>+$B$3</f>
        <v/>
      </c>
      <c r="F23" s="68">
        <f>C23*(1+D12)*E23</f>
        <v/>
      </c>
      <c r="G23" s="70">
        <f>F23*D23</f>
        <v/>
      </c>
    </row>
    <row r="24">
      <c r="E24" s="83" t="inlineStr">
        <is>
          <t>V. TOTAL</t>
        </is>
      </c>
      <c r="F24" s="84" t="inlineStr"/>
      <c r="G24" s="85">
        <f>SUM(G19:G23)</f>
        <v/>
      </c>
    </row>
    <row r="26">
      <c r="A26" s="79" t="inlineStr">
        <is>
          <t>FACTOR MULTIPLICADOR — MANO DE OBRA</t>
        </is>
      </c>
    </row>
    <row r="27">
      <c r="A27" s="81" t="inlineStr">
        <is>
          <t>V. Unitario mano de obra "TABLA APU"</t>
        </is>
      </c>
      <c r="B27" s="81" t="inlineStr">
        <is>
          <t>Horas trabajadas diarias</t>
        </is>
      </c>
      <c r="C27" s="81" t="inlineStr">
        <is>
          <t>Dias trabajados para cada tarea o actividad</t>
        </is>
      </c>
      <c r="D27" s="81" t="inlineStr">
        <is>
          <t>Producto (A X B X C)</t>
        </is>
      </c>
      <c r="E27" s="81" t="inlineStr">
        <is>
          <t>Valor Total mano de obra "TABLA PROJECT"</t>
        </is>
      </c>
      <c r="F27" s="81" t="inlineStr">
        <is>
          <t>FACTOR MULTIPLICADOR</t>
        </is>
      </c>
      <c r="G27" s="81" t="inlineStr">
        <is>
          <t>FACTOR MULTIPLICADOR - EN %</t>
        </is>
      </c>
      <c r="H27" s="81" t="inlineStr">
        <is>
          <t>Recurso</t>
        </is>
      </c>
    </row>
    <row r="28">
      <c r="A28" s="82" t="inlineStr">
        <is>
          <t>A</t>
        </is>
      </c>
      <c r="B28" s="82" t="inlineStr">
        <is>
          <t>B</t>
        </is>
      </c>
      <c r="C28" s="82" t="inlineStr">
        <is>
          <t>C</t>
        </is>
      </c>
      <c r="D28" s="82" t="inlineStr">
        <is>
          <t>D</t>
        </is>
      </c>
      <c r="E28" s="82" t="inlineStr">
        <is>
          <t>F</t>
        </is>
      </c>
      <c r="F28" s="82" t="inlineStr">
        <is>
          <t>F/D</t>
        </is>
      </c>
      <c r="G28" s="82" t="inlineStr">
        <is>
          <t>(F/D)*100</t>
        </is>
      </c>
    </row>
    <row r="29">
      <c r="A29" s="70">
        <f>+E10</f>
        <v/>
      </c>
      <c r="B29" s="69" t="n">
        <v>8</v>
      </c>
      <c r="C29" s="69" t="n">
        <v>6</v>
      </c>
      <c r="D29" s="70">
        <f>A29*B29*C29</f>
        <v/>
      </c>
      <c r="E29" s="70">
        <f>+G21</f>
        <v/>
      </c>
      <c r="F29" s="86">
        <f>+E29/D29</f>
        <v/>
      </c>
      <c r="G29" s="86">
        <f>+F29*100</f>
        <v/>
      </c>
      <c r="H29" s="68">
        <f>+A10</f>
        <v/>
      </c>
    </row>
  </sheetData>
  <mergeCells count="1">
    <mergeCell ref="B2:F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4"/>
  <sheetViews>
    <sheetView workbookViewId="0">
      <selection activeCell="F11" sqref="F11"/>
    </sheetView>
  </sheetViews>
  <sheetFormatPr baseColWidth="10" defaultRowHeight="14.4"/>
  <cols>
    <col width="34" customWidth="1" min="1" max="1"/>
    <col width="14" customWidth="1" min="2" max="2"/>
    <col width="16" customWidth="1" min="3" max="3"/>
    <col width="16" customWidth="1" min="4" max="4"/>
    <col width="18" bestFit="1" customWidth="1" min="5" max="5"/>
    <col width="20" customWidth="1" min="6" max="6"/>
    <col width="16" bestFit="1" customWidth="1" min="7" max="7"/>
    <col width="30" customWidth="1" min="8" max="8"/>
    <col width="1.88671875" bestFit="1" customWidth="1" min="10" max="10"/>
    <col width="8.88671875" bestFit="1" customWidth="1" min="11" max="11"/>
  </cols>
  <sheetData>
    <row r="1"/>
    <row r="2">
      <c r="A2" s="2" t="inlineStr">
        <is>
          <t>APU</t>
        </is>
      </c>
      <c r="B2" s="58" t="inlineStr">
        <is>
          <t>VIGA DE CIMENTACION DE 3000 PSI (0.25 X 0.25) (m3)</t>
        </is>
      </c>
      <c r="C2" s="63" t="n"/>
      <c r="D2" s="63" t="n"/>
      <c r="E2" s="63" t="n"/>
      <c r="F2" s="64" t="n"/>
    </row>
    <row r="3" ht="28.8" customHeight="1">
      <c r="A3" s="20" t="inlineStr">
        <is>
          <t>Cantidad definida en el presupuesto (CP)</t>
        </is>
      </c>
      <c r="B3" s="2" t="n">
        <v>3.38</v>
      </c>
      <c r="C3" s="2" t="inlineStr">
        <is>
          <t>m2</t>
        </is>
      </c>
    </row>
    <row r="4">
      <c r="A4" s="20" t="inlineStr">
        <is>
          <t>Valor del item en el presupuesto</t>
        </is>
      </c>
      <c r="B4" s="77" t="n">
        <v>1871279</v>
      </c>
      <c r="C4" s="2" t="n"/>
    </row>
    <row r="5">
      <c r="A5" s="7" t="n"/>
      <c r="B5" s="67" t="n"/>
      <c r="C5" s="8" t="n"/>
    </row>
    <row r="6">
      <c r="A6" s="8" t="n"/>
      <c r="E6" s="14" t="n"/>
    </row>
    <row r="7">
      <c r="A7" s="41" t="inlineStr">
        <is>
          <t>Descripción</t>
        </is>
      </c>
      <c r="B7" s="2" t="inlineStr">
        <is>
          <t>Un</t>
        </is>
      </c>
      <c r="C7" s="3" t="inlineStr">
        <is>
          <t>Cantidad</t>
        </is>
      </c>
      <c r="D7" s="2" t="inlineStr">
        <is>
          <t>Desperdicio</t>
        </is>
      </c>
      <c r="E7" s="2" t="inlineStr">
        <is>
          <t>V. Unitario</t>
        </is>
      </c>
      <c r="F7" s="2" t="inlineStr">
        <is>
          <t>V. Parcial</t>
        </is>
      </c>
    </row>
    <row r="8">
      <c r="A8" s="22" t="inlineStr">
        <is>
          <t>Puntilla 2" 1/2 a 3" 1/2</t>
        </is>
      </c>
      <c r="B8" s="22" t="inlineStr">
        <is>
          <t>lbs</t>
        </is>
      </c>
      <c r="C8" s="22" t="n">
        <v>1</v>
      </c>
      <c r="D8" s="22" t="n">
        <v>0</v>
      </c>
      <c r="E8" s="22" t="n">
        <v>2100</v>
      </c>
      <c r="F8" s="66">
        <f>+C8*E8</f>
        <v/>
      </c>
      <c r="G8" s="89" t="n"/>
    </row>
    <row r="9">
      <c r="A9" s="22" t="inlineStr">
        <is>
          <t>Tabla 1x 10 x 300 otobo</t>
        </is>
      </c>
      <c r="B9" s="22" t="inlineStr">
        <is>
          <t>und</t>
        </is>
      </c>
      <c r="C9" s="22" t="n">
        <v>5.5</v>
      </c>
      <c r="D9" s="22" t="n">
        <v>0</v>
      </c>
      <c r="E9" s="22" t="n">
        <v>10600</v>
      </c>
      <c r="F9" s="66">
        <f>+C9*E9</f>
        <v/>
      </c>
      <c r="G9" s="89" t="n"/>
    </row>
    <row r="10">
      <c r="A10" s="22" t="inlineStr">
        <is>
          <t>Vareta 2" x 2" x 3m otobo</t>
        </is>
      </c>
      <c r="B10" s="22" t="inlineStr">
        <is>
          <t>Hrs</t>
        </is>
      </c>
      <c r="C10" s="22" t="n">
        <v>2.67</v>
      </c>
      <c r="D10" s="22" t="n">
        <v>0</v>
      </c>
      <c r="E10" s="22" t="n">
        <v>3200</v>
      </c>
      <c r="F10" s="66">
        <f>+C10*E10</f>
        <v/>
      </c>
      <c r="G10" s="89" t="n"/>
    </row>
    <row r="11">
      <c r="A11" s="22" t="inlineStr">
        <is>
          <t xml:space="preserve">Mezcla concreto 3000 psi </t>
        </is>
      </c>
      <c r="B11" s="22" t="inlineStr">
        <is>
          <t>m3</t>
        </is>
      </c>
      <c r="C11" s="22" t="n">
        <v>1</v>
      </c>
      <c r="D11" s="33" t="n">
        <v>0.05</v>
      </c>
      <c r="E11" s="22" t="n">
        <v>337000</v>
      </c>
      <c r="F11" s="66">
        <f>+C11*E11*1.05</f>
        <v/>
      </c>
      <c r="G11" s="89" t="n"/>
    </row>
    <row r="12">
      <c r="A12" s="22" t="inlineStr">
        <is>
          <t>Mano de obra cuadrilla aa 2+1</t>
        </is>
      </c>
      <c r="B12" s="22" t="inlineStr">
        <is>
          <t>Hc</t>
        </is>
      </c>
      <c r="C12" s="22" t="n">
        <v>5.9</v>
      </c>
      <c r="D12" s="22" t="n">
        <v>0</v>
      </c>
      <c r="E12" s="22" t="n">
        <v>20839.2</v>
      </c>
      <c r="F12" s="66">
        <f>+C12*E12</f>
        <v/>
      </c>
      <c r="G12" s="89" t="n"/>
    </row>
    <row r="13">
      <c r="A13" s="22" t="inlineStr">
        <is>
          <t>vibrador electrico</t>
        </is>
      </c>
      <c r="B13" s="22" t="inlineStr">
        <is>
          <t>Dia</t>
        </is>
      </c>
      <c r="C13" s="22" t="n">
        <v>0.05</v>
      </c>
      <c r="D13" s="22" t="n">
        <v>0</v>
      </c>
      <c r="E13" s="22" t="n">
        <v>34800</v>
      </c>
      <c r="F13" s="66">
        <f>+C13*E13</f>
        <v/>
      </c>
      <c r="G13" s="89" t="n"/>
    </row>
    <row r="14">
      <c r="A14" s="22" t="inlineStr">
        <is>
          <t>Herramienta menor 6</t>
        </is>
      </c>
      <c r="B14" s="22" t="inlineStr">
        <is>
          <t>%mo</t>
        </is>
      </c>
      <c r="C14" s="22" t="n">
        <v>0.05</v>
      </c>
      <c r="D14" s="22" t="n">
        <v>0</v>
      </c>
      <c r="E14" s="22" t="n">
        <v>122951.28</v>
      </c>
      <c r="F14" s="66">
        <f>+C14*E14</f>
        <v/>
      </c>
      <c r="G14" s="89" t="n"/>
    </row>
    <row r="15">
      <c r="E15" s="5" t="inlineStr">
        <is>
          <t>V. Total</t>
        </is>
      </c>
      <c r="F15" s="67">
        <f>SUM(F8:F14)</f>
        <v/>
      </c>
      <c r="G15" s="89" t="n"/>
    </row>
    <row r="16">
      <c r="G16" s="89" t="n"/>
    </row>
    <row r="19">
      <c r="A19" s="79" t="inlineStr">
        <is>
          <t>TABLA PROJECT</t>
        </is>
      </c>
      <c r="B19" s="80" t="inlineStr">
        <is>
          <t>(Duración = 1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+A8</f>
        <v/>
      </c>
      <c r="B22" s="69">
        <f>+B8</f>
        <v/>
      </c>
      <c r="C22" s="68">
        <f>+C8</f>
        <v/>
      </c>
      <c r="D22" s="70">
        <f>+E8</f>
        <v/>
      </c>
      <c r="E22" s="68">
        <f>+$B$3</f>
        <v/>
      </c>
      <c r="F22" s="68">
        <f>C22*(1+D8)*E22</f>
        <v/>
      </c>
      <c r="G22" s="70">
        <f>F22*D22</f>
        <v/>
      </c>
    </row>
    <row r="23">
      <c r="A23" s="68">
        <f>+A9</f>
        <v/>
      </c>
      <c r="B23" s="69">
        <f>+B9</f>
        <v/>
      </c>
      <c r="C23" s="68">
        <f>+C9</f>
        <v/>
      </c>
      <c r="D23" s="70">
        <f>+E9</f>
        <v/>
      </c>
      <c r="E23" s="68">
        <f>+$B$3</f>
        <v/>
      </c>
      <c r="F23" s="68">
        <f>C23*(1+D9)*E23</f>
        <v/>
      </c>
      <c r="G23" s="70">
        <f>F23*D23</f>
        <v/>
      </c>
    </row>
    <row r="24">
      <c r="A24" s="68">
        <f>+A10</f>
        <v/>
      </c>
      <c r="B24" s="69">
        <f>+B10</f>
        <v/>
      </c>
      <c r="C24" s="68">
        <f>+C10</f>
        <v/>
      </c>
      <c r="D24" s="70">
        <f>+E10</f>
        <v/>
      </c>
      <c r="E24" s="68">
        <f>+$B$3</f>
        <v/>
      </c>
      <c r="F24" s="68">
        <f>C24*(1+D10)*E24</f>
        <v/>
      </c>
      <c r="G24" s="70">
        <f>F24*D24</f>
        <v/>
      </c>
    </row>
    <row r="25">
      <c r="A25" s="68">
        <f>+A11</f>
        <v/>
      </c>
      <c r="B25" s="69">
        <f>+B11</f>
        <v/>
      </c>
      <c r="C25" s="68">
        <f>+C11</f>
        <v/>
      </c>
      <c r="D25" s="70">
        <f>+E11</f>
        <v/>
      </c>
      <c r="E25" s="68">
        <f>+$B$3</f>
        <v/>
      </c>
      <c r="F25" s="68">
        <f>C25*(1+D11)*E25</f>
        <v/>
      </c>
      <c r="G25" s="70">
        <f>F25*D25</f>
        <v/>
      </c>
    </row>
    <row r="26">
      <c r="A26" s="68">
        <f>+A12</f>
        <v/>
      </c>
      <c r="B26" s="69">
        <f>+B12</f>
        <v/>
      </c>
      <c r="C26" s="68">
        <f>+C12</f>
        <v/>
      </c>
      <c r="D26" s="70">
        <f>+E12</f>
        <v/>
      </c>
      <c r="E26" s="68">
        <f>+$B$3</f>
        <v/>
      </c>
      <c r="F26" s="68">
        <f>C26*(1+D12)*E26</f>
        <v/>
      </c>
      <c r="G26" s="70">
        <f>F26*D26</f>
        <v/>
      </c>
    </row>
    <row r="27">
      <c r="A27" s="68">
        <f>+A13</f>
        <v/>
      </c>
      <c r="B27" s="69">
        <f>+B13</f>
        <v/>
      </c>
      <c r="C27" s="68">
        <f>+C13</f>
        <v/>
      </c>
      <c r="D27" s="70">
        <f>+E13</f>
        <v/>
      </c>
      <c r="E27" s="68">
        <f>+$B$3</f>
        <v/>
      </c>
      <c r="F27" s="68">
        <f>C27*(1+D13)*E27</f>
        <v/>
      </c>
      <c r="G27" s="70">
        <f>F27*D27</f>
        <v/>
      </c>
    </row>
    <row r="28">
      <c r="A28" s="68">
        <f>+A14</f>
        <v/>
      </c>
      <c r="B28" s="69">
        <f>+B14</f>
        <v/>
      </c>
      <c r="C28" s="68">
        <f>+C14</f>
        <v/>
      </c>
      <c r="D28" s="70">
        <f>+E14</f>
        <v/>
      </c>
      <c r="E28" s="68">
        <f>+$B$3</f>
        <v/>
      </c>
      <c r="F28" s="68">
        <f>C28*(1+D14)*E28</f>
        <v/>
      </c>
      <c r="G28" s="70">
        <f>F28*D28</f>
        <v/>
      </c>
    </row>
    <row r="29">
      <c r="E29" s="83" t="inlineStr">
        <is>
          <t>V. TOTAL</t>
        </is>
      </c>
      <c r="F29" s="84" t="inlineStr"/>
      <c r="G29" s="85">
        <f>SUM(G22:G28)</f>
        <v/>
      </c>
    </row>
    <row r="31">
      <c r="A31" s="79" t="inlineStr">
        <is>
          <t>FACTOR MULTIPLICADOR — MANO DE OBRA</t>
        </is>
      </c>
    </row>
    <row r="32">
      <c r="A32" s="81" t="inlineStr">
        <is>
          <t>V. Unitario mano de obra "TABLA APU"</t>
        </is>
      </c>
      <c r="B32" s="81" t="inlineStr">
        <is>
          <t>Horas trabajadas diarias</t>
        </is>
      </c>
      <c r="C32" s="81" t="inlineStr">
        <is>
          <t>Dias trabajados para cada tarea o actividad</t>
        </is>
      </c>
      <c r="D32" s="81" t="inlineStr">
        <is>
          <t>Producto (A X B X C)</t>
        </is>
      </c>
      <c r="E32" s="81" t="inlineStr">
        <is>
          <t>Valor Total mano de obra "TABLA PROJECT"</t>
        </is>
      </c>
      <c r="F32" s="81" t="inlineStr">
        <is>
          <t>FACTOR MULTIPLICADOR</t>
        </is>
      </c>
      <c r="G32" s="81" t="inlineStr">
        <is>
          <t>FACTOR MULTIPLICADOR - EN %</t>
        </is>
      </c>
      <c r="H32" s="81" t="inlineStr">
        <is>
          <t>Recurso</t>
        </is>
      </c>
    </row>
    <row r="33">
      <c r="A33" s="82" t="inlineStr">
        <is>
          <t>A</t>
        </is>
      </c>
      <c r="B33" s="82" t="inlineStr">
        <is>
          <t>B</t>
        </is>
      </c>
      <c r="C33" s="82" t="inlineStr">
        <is>
          <t>C</t>
        </is>
      </c>
      <c r="D33" s="82" t="inlineStr">
        <is>
          <t>D</t>
        </is>
      </c>
      <c r="E33" s="82" t="inlineStr">
        <is>
          <t>F</t>
        </is>
      </c>
      <c r="F33" s="82" t="inlineStr">
        <is>
          <t>F/D</t>
        </is>
      </c>
      <c r="G33" s="82" t="inlineStr">
        <is>
          <t>(F/D)*100</t>
        </is>
      </c>
    </row>
    <row r="34">
      <c r="A34" s="70">
        <f>+E12</f>
        <v/>
      </c>
      <c r="B34" s="69" t="n">
        <v>8</v>
      </c>
      <c r="C34" s="69" t="n">
        <v>1</v>
      </c>
      <c r="D34" s="70">
        <f>A34*B34*C34</f>
        <v/>
      </c>
      <c r="E34" s="70">
        <f>+G26</f>
        <v/>
      </c>
      <c r="F34" s="86">
        <f>+E34/D34</f>
        <v/>
      </c>
      <c r="G34" s="86">
        <f>+F34*100</f>
        <v/>
      </c>
      <c r="H34" s="68">
        <f>+A12</f>
        <v/>
      </c>
    </row>
  </sheetData>
  <mergeCells count="1">
    <mergeCell ref="B2:F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G14" sqref="G14"/>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LOSA DE CONTRAPISO</t>
        </is>
      </c>
      <c r="C2" s="63" t="n"/>
      <c r="D2" s="63" t="n"/>
      <c r="E2" s="63" t="n"/>
      <c r="F2" s="64" t="n"/>
    </row>
    <row r="3" ht="28.8" customHeight="1">
      <c r="A3" s="20" t="inlineStr">
        <is>
          <t>Cantidad definida en el presupuesto (CP)</t>
        </is>
      </c>
      <c r="B3" s="2" t="n">
        <v>72</v>
      </c>
      <c r="C3" s="2" t="inlineStr">
        <is>
          <t>m2</t>
        </is>
      </c>
    </row>
    <row r="4">
      <c r="A4" s="20" t="inlineStr">
        <is>
          <t>Valor del item en el presupuesto</t>
        </is>
      </c>
      <c r="B4" s="77" t="n">
        <v>4143024</v>
      </c>
      <c r="C4" s="8"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Puntilla 2"</t>
        </is>
      </c>
      <c r="B7" s="22" t="inlineStr">
        <is>
          <t>lb</t>
        </is>
      </c>
      <c r="C7" s="22" t="n">
        <v>0.2</v>
      </c>
      <c r="D7" s="22" t="n">
        <v>0</v>
      </c>
      <c r="E7" s="22" t="n">
        <v>2000</v>
      </c>
      <c r="F7" s="66">
        <f>+C7*E7</f>
        <v/>
      </c>
      <c r="G7" s="89" t="n"/>
    </row>
    <row r="8">
      <c r="A8" s="22" t="inlineStr">
        <is>
          <t>Tabla 1 x 10 x 300</t>
        </is>
      </c>
      <c r="B8" s="22" t="inlineStr">
        <is>
          <t>U</t>
        </is>
      </c>
      <c r="C8" s="22" t="n">
        <v>1</v>
      </c>
      <c r="D8" s="22" t="n">
        <v>0</v>
      </c>
      <c r="E8" s="22" t="n">
        <v>8500</v>
      </c>
      <c r="F8" s="66">
        <f>+C8*E8</f>
        <v/>
      </c>
      <c r="G8" s="89" t="n"/>
    </row>
    <row r="9">
      <c r="A9" s="22" t="inlineStr">
        <is>
          <t>Mezcla de concreto 1:2:3 21 Mpa</t>
        </is>
      </c>
      <c r="B9" s="22" t="inlineStr">
        <is>
          <t>m3</t>
        </is>
      </c>
      <c r="C9" s="22" t="n">
        <v>0.1</v>
      </c>
      <c r="D9" s="33" t="n">
        <v>0.15</v>
      </c>
      <c r="E9" s="22" t="n">
        <v>337000</v>
      </c>
      <c r="F9" s="66">
        <f>+C9*E9*1.15</f>
        <v/>
      </c>
      <c r="G9" s="89" t="n"/>
    </row>
    <row r="10">
      <c r="A10" s="22" t="inlineStr">
        <is>
          <t>Mano de obra albañeleria 3a 1o</t>
        </is>
      </c>
      <c r="B10" s="22" t="inlineStr">
        <is>
          <t>Hc</t>
        </is>
      </c>
      <c r="C10" s="22" t="n">
        <v>0.25</v>
      </c>
      <c r="D10" s="22" t="n">
        <v>0</v>
      </c>
      <c r="E10" s="22" t="n">
        <v>28600</v>
      </c>
      <c r="F10" s="66">
        <f>+C10*E10</f>
        <v/>
      </c>
      <c r="G10" s="89" t="n"/>
    </row>
    <row r="11">
      <c r="A11" s="22" t="inlineStr">
        <is>
          <t>Vibrador electrico</t>
        </is>
      </c>
      <c r="B11" s="22" t="inlineStr">
        <is>
          <t>Dia</t>
        </is>
      </c>
      <c r="C11" s="22" t="n">
        <v>0.02</v>
      </c>
      <c r="D11" s="22" t="n">
        <v>0</v>
      </c>
      <c r="E11" s="22" t="n">
        <v>35000</v>
      </c>
      <c r="F11" s="66">
        <f>+C11*E11</f>
        <v/>
      </c>
      <c r="G11" s="89" t="n"/>
    </row>
    <row r="12">
      <c r="A12" s="22" t="inlineStr">
        <is>
          <t>Volqueta transporte petreos 1-10 km</t>
        </is>
      </c>
      <c r="B12" s="22" t="inlineStr">
        <is>
          <t>m3</t>
        </is>
      </c>
      <c r="C12" s="22" t="n">
        <v>0.225</v>
      </c>
      <c r="D12" s="22" t="n">
        <v>0</v>
      </c>
      <c r="E12" s="22" t="n">
        <v>7000</v>
      </c>
      <c r="F12" s="66">
        <f>+C12*E12</f>
        <v/>
      </c>
      <c r="G12" s="89" t="n"/>
    </row>
    <row r="13">
      <c r="A13" s="22" t="inlineStr">
        <is>
          <t>Herramienta menor 7</t>
        </is>
      </c>
      <c r="B13" s="22" t="inlineStr">
        <is>
          <t>%mo</t>
        </is>
      </c>
      <c r="C13" s="22" t="n">
        <v>0.33</v>
      </c>
      <c r="D13" s="22" t="n">
        <v>0</v>
      </c>
      <c r="E13" s="22" t="n">
        <v>1400</v>
      </c>
      <c r="F13" s="66">
        <f>+C13*E13</f>
        <v/>
      </c>
      <c r="G13" s="89" t="n"/>
    </row>
    <row r="14">
      <c r="E14" s="58" t="inlineStr">
        <is>
          <t>V. Total</t>
        </is>
      </c>
      <c r="F14" s="77">
        <f>SUM(F7:F13)</f>
        <v/>
      </c>
      <c r="G14" s="89" t="n"/>
    </row>
    <row r="17">
      <c r="A17" s="79" t="inlineStr">
        <is>
          <t>TABLA PROJECT</t>
        </is>
      </c>
      <c r="B17" s="80" t="inlineStr">
        <is>
          <t>(Duración = 1 días  |  CP = $B$3)</t>
        </is>
      </c>
    </row>
    <row r="18">
      <c r="A18" s="81" t="inlineStr">
        <is>
          <t>RECURSOS</t>
        </is>
      </c>
      <c r="B18" s="81" t="inlineStr">
        <is>
          <t>Un</t>
        </is>
      </c>
      <c r="C18" s="81" t="inlineStr">
        <is>
          <t>Cantidad</t>
        </is>
      </c>
      <c r="D18" s="81" t="inlineStr">
        <is>
          <t>V. Unitario</t>
        </is>
      </c>
      <c r="E18" s="81" t="inlineStr">
        <is>
          <t>Cantidad presupuesto</t>
        </is>
      </c>
      <c r="F18" s="81" t="inlineStr">
        <is>
          <t>Cant. Total</t>
        </is>
      </c>
      <c r="G18" s="81" t="inlineStr">
        <is>
          <t>Valor total</t>
        </is>
      </c>
    </row>
    <row r="19">
      <c r="A19" s="82" t="inlineStr">
        <is>
          <t>APU</t>
        </is>
      </c>
      <c r="B19" s="82" t="inlineStr">
        <is>
          <t>APU</t>
        </is>
      </c>
      <c r="C19" s="82" t="inlineStr">
        <is>
          <t>APU</t>
        </is>
      </c>
      <c r="D19" s="82" t="inlineStr">
        <is>
          <t>APU</t>
        </is>
      </c>
      <c r="E19" s="82" t="inlineStr">
        <is>
          <t>Presupuesto</t>
        </is>
      </c>
      <c r="F19" s="82" t="inlineStr">
        <is>
          <t>Cantidad × (1+Desp) × Cant. presup.</t>
        </is>
      </c>
      <c r="G19" s="82" t="inlineStr">
        <is>
          <t>Cant. Total × V. Unitario</t>
        </is>
      </c>
    </row>
    <row r="20">
      <c r="A20" s="68">
        <f>+A7</f>
        <v/>
      </c>
      <c r="B20" s="69">
        <f>+B7</f>
        <v/>
      </c>
      <c r="C20" s="68">
        <f>+C7</f>
        <v/>
      </c>
      <c r="D20" s="70">
        <f>+E7</f>
        <v/>
      </c>
      <c r="E20" s="68">
        <f>+$B$3</f>
        <v/>
      </c>
      <c r="F20" s="68">
        <f>C20*(1+D7)*E20</f>
        <v/>
      </c>
      <c r="G20" s="70">
        <f>F20*D20</f>
        <v/>
      </c>
    </row>
    <row r="21">
      <c r="A21" s="68">
        <f>+A8</f>
        <v/>
      </c>
      <c r="B21" s="69">
        <f>+B8</f>
        <v/>
      </c>
      <c r="C21" s="68">
        <f>+C8</f>
        <v/>
      </c>
      <c r="D21" s="70">
        <f>+E8</f>
        <v/>
      </c>
      <c r="E21" s="68">
        <f>+$B$3</f>
        <v/>
      </c>
      <c r="F21" s="68">
        <f>C21*(1+D8)*E21</f>
        <v/>
      </c>
      <c r="G21" s="70">
        <f>F21*D21</f>
        <v/>
      </c>
    </row>
    <row r="22">
      <c r="A22" s="68">
        <f>+A9</f>
        <v/>
      </c>
      <c r="B22" s="69">
        <f>+B9</f>
        <v/>
      </c>
      <c r="C22" s="68">
        <f>+C9</f>
        <v/>
      </c>
      <c r="D22" s="70">
        <f>+E9</f>
        <v/>
      </c>
      <c r="E22" s="68">
        <f>+$B$3</f>
        <v/>
      </c>
      <c r="F22" s="68">
        <f>C22*(1+D9)*E22</f>
        <v/>
      </c>
      <c r="G22" s="70">
        <f>F22*D22</f>
        <v/>
      </c>
    </row>
    <row r="23">
      <c r="A23" s="68">
        <f>+A10</f>
        <v/>
      </c>
      <c r="B23" s="69">
        <f>+B10</f>
        <v/>
      </c>
      <c r="C23" s="68">
        <f>+C10</f>
        <v/>
      </c>
      <c r="D23" s="70">
        <f>+E10</f>
        <v/>
      </c>
      <c r="E23" s="68">
        <f>+$B$3</f>
        <v/>
      </c>
      <c r="F23" s="68">
        <f>C23*(1+D10)*E23</f>
        <v/>
      </c>
      <c r="G23" s="70">
        <f>F23*D23</f>
        <v/>
      </c>
    </row>
    <row r="24">
      <c r="A24" s="68">
        <f>+A11</f>
        <v/>
      </c>
      <c r="B24" s="69">
        <f>+B11</f>
        <v/>
      </c>
      <c r="C24" s="68">
        <f>+C11</f>
        <v/>
      </c>
      <c r="D24" s="70">
        <f>+E11</f>
        <v/>
      </c>
      <c r="E24" s="68">
        <f>+$B$3</f>
        <v/>
      </c>
      <c r="F24" s="68">
        <f>C24*(1+D11)*E24</f>
        <v/>
      </c>
      <c r="G24" s="70">
        <f>F24*D24</f>
        <v/>
      </c>
    </row>
    <row r="25">
      <c r="A25" s="68">
        <f>+A12</f>
        <v/>
      </c>
      <c r="B25" s="69">
        <f>+B12</f>
        <v/>
      </c>
      <c r="C25" s="68">
        <f>+C12</f>
        <v/>
      </c>
      <c r="D25" s="70">
        <f>+E12</f>
        <v/>
      </c>
      <c r="E25" s="68">
        <f>+$B$3</f>
        <v/>
      </c>
      <c r="F25" s="68">
        <f>C25*(1+D12)*E25</f>
        <v/>
      </c>
      <c r="G25" s="70">
        <f>F25*D25</f>
        <v/>
      </c>
    </row>
    <row r="26">
      <c r="A26" s="68">
        <f>+A13</f>
        <v/>
      </c>
      <c r="B26" s="69">
        <f>+B13</f>
        <v/>
      </c>
      <c r="C26" s="68">
        <f>+C13</f>
        <v/>
      </c>
      <c r="D26" s="70">
        <f>+E13</f>
        <v/>
      </c>
      <c r="E26" s="68">
        <f>+$B$3</f>
        <v/>
      </c>
      <c r="F26" s="68">
        <f>C26*(1+D13)*E26</f>
        <v/>
      </c>
      <c r="G26" s="70">
        <f>F26*D26</f>
        <v/>
      </c>
    </row>
    <row r="27">
      <c r="E27" s="83" t="inlineStr">
        <is>
          <t>V. TOTAL</t>
        </is>
      </c>
      <c r="F27" s="84" t="inlineStr"/>
      <c r="G27" s="85">
        <f>SUM(G20:G26)</f>
        <v/>
      </c>
    </row>
    <row r="29">
      <c r="A29" s="79" t="inlineStr">
        <is>
          <t>FACTOR MULTIPLICADOR — MANO DE OBRA</t>
        </is>
      </c>
    </row>
    <row r="30">
      <c r="A30" s="81" t="inlineStr">
        <is>
          <t>V. Unitario mano de obra "TABLA APU"</t>
        </is>
      </c>
      <c r="B30" s="81" t="inlineStr">
        <is>
          <t>Horas trabajadas diarias</t>
        </is>
      </c>
      <c r="C30" s="81" t="inlineStr">
        <is>
          <t>Dias trabajados para cada tarea o actividad</t>
        </is>
      </c>
      <c r="D30" s="81" t="inlineStr">
        <is>
          <t>Producto (A X B X C)</t>
        </is>
      </c>
      <c r="E30" s="81" t="inlineStr">
        <is>
          <t>Valor Total mano de obra "TABLA PROJECT"</t>
        </is>
      </c>
      <c r="F30" s="81" t="inlineStr">
        <is>
          <t>FACTOR MULTIPLICADOR</t>
        </is>
      </c>
      <c r="G30" s="81" t="inlineStr">
        <is>
          <t>FACTOR MULTIPLICADOR - EN %</t>
        </is>
      </c>
      <c r="H30" s="81" t="inlineStr">
        <is>
          <t>Recurso</t>
        </is>
      </c>
    </row>
    <row r="31">
      <c r="A31" s="82" t="inlineStr">
        <is>
          <t>A</t>
        </is>
      </c>
      <c r="B31" s="82" t="inlineStr">
        <is>
          <t>B</t>
        </is>
      </c>
      <c r="C31" s="82" t="inlineStr">
        <is>
          <t>C</t>
        </is>
      </c>
      <c r="D31" s="82" t="inlineStr">
        <is>
          <t>D</t>
        </is>
      </c>
      <c r="E31" s="82" t="inlineStr">
        <is>
          <t>F</t>
        </is>
      </c>
      <c r="F31" s="82" t="inlineStr">
        <is>
          <t>F/D</t>
        </is>
      </c>
      <c r="G31" s="82" t="inlineStr">
        <is>
          <t>(F/D)*100</t>
        </is>
      </c>
    </row>
    <row r="32">
      <c r="A32" s="70">
        <f>+E10</f>
        <v/>
      </c>
      <c r="B32" s="69" t="n">
        <v>8</v>
      </c>
      <c r="C32" s="69" t="n">
        <v>1</v>
      </c>
      <c r="D32" s="70">
        <f>A32*B32*C32</f>
        <v/>
      </c>
      <c r="E32" s="70">
        <f>+G23</f>
        <v/>
      </c>
      <c r="F32" s="86">
        <f>+E32/D32</f>
        <v/>
      </c>
      <c r="G32" s="86">
        <f>+F32*100</f>
        <v/>
      </c>
      <c r="H32" s="68">
        <f>+A10</f>
        <v/>
      </c>
    </row>
  </sheetData>
  <mergeCells count="1">
    <mergeCell ref="B2:F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31"/>
  <sheetViews>
    <sheetView workbookViewId="0">
      <selection activeCell="C19" sqref="C19"/>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Figurado y armada acero de Columnas primer piso</t>
        </is>
      </c>
      <c r="C2" s="63" t="n"/>
      <c r="D2" s="63" t="n"/>
      <c r="E2" s="63" t="n"/>
      <c r="F2" s="64" t="n"/>
    </row>
    <row r="3" ht="28.8" customHeight="1">
      <c r="A3" s="20" t="inlineStr">
        <is>
          <t>Cantidad definida en el presupuesto (CP)</t>
        </is>
      </c>
      <c r="B3" s="2" t="n">
        <v>449.6</v>
      </c>
      <c r="C3" s="2" t="inlineStr">
        <is>
          <t>kg</t>
        </is>
      </c>
    </row>
    <row r="4">
      <c r="A4" s="20" t="inlineStr">
        <is>
          <t>Valor del item en el presupuesto</t>
        </is>
      </c>
      <c r="B4" s="77" t="n">
        <v>1593791.536</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Acero de 420 Mpa</t>
        </is>
      </c>
      <c r="B7" s="22" t="inlineStr">
        <is>
          <t>Kg</t>
        </is>
      </c>
      <c r="C7" s="22" t="n">
        <v>1</v>
      </c>
      <c r="D7" s="33" t="n">
        <v>0.03</v>
      </c>
      <c r="E7" s="22" t="n">
        <v>2083.33</v>
      </c>
      <c r="F7" s="66">
        <f>+C7*E7*1.03</f>
        <v/>
      </c>
      <c r="G7" s="89" t="n"/>
    </row>
    <row r="8">
      <c r="A8" s="22" t="inlineStr">
        <is>
          <t>Alambre negro</t>
        </is>
      </c>
      <c r="B8" s="22" t="inlineStr">
        <is>
          <t>Kg</t>
        </is>
      </c>
      <c r="C8" s="22" t="n">
        <v>0.08</v>
      </c>
      <c r="D8" s="22" t="n">
        <v>0</v>
      </c>
      <c r="E8" s="22" t="n">
        <v>3500</v>
      </c>
      <c r="F8" s="66">
        <f>+C8*E8</f>
        <v/>
      </c>
      <c r="G8" s="89" t="n"/>
    </row>
    <row r="9">
      <c r="A9" s="22" t="inlineStr">
        <is>
          <t>Mano de Obra cuadrilla aa</t>
        </is>
      </c>
      <c r="B9" s="22" t="inlineStr">
        <is>
          <t>Hc</t>
        </is>
      </c>
      <c r="C9" s="22" t="n">
        <v>0.06</v>
      </c>
      <c r="D9" s="22" t="n">
        <v>0</v>
      </c>
      <c r="E9" s="22" t="n">
        <v>15527.06</v>
      </c>
      <c r="F9" s="66">
        <f>+C9*E9</f>
        <v/>
      </c>
      <c r="G9" s="89" t="n"/>
    </row>
    <row r="10">
      <c r="A10" s="22" t="inlineStr">
        <is>
          <t>Segueta sin marco</t>
        </is>
      </c>
      <c r="B10" s="22" t="inlineStr">
        <is>
          <t>glb</t>
        </is>
      </c>
      <c r="C10" s="22" t="n">
        <v>0.04</v>
      </c>
      <c r="D10" s="22" t="n">
        <v>0</v>
      </c>
      <c r="E10" s="22" t="n">
        <v>3522</v>
      </c>
      <c r="F10" s="66">
        <f>+C10*E10</f>
        <v/>
      </c>
      <c r="G10" s="89" t="n"/>
    </row>
    <row r="11">
      <c r="A11" s="22" t="inlineStr">
        <is>
          <t>Herramienta menor 8</t>
        </is>
      </c>
      <c r="B11" s="22" t="inlineStr">
        <is>
          <t>%mo</t>
        </is>
      </c>
      <c r="C11" s="22" t="n">
        <v>0.05</v>
      </c>
      <c r="D11" s="22" t="n">
        <v>0</v>
      </c>
      <c r="E11" s="22" t="n">
        <v>931.62</v>
      </c>
      <c r="F11" s="66">
        <f>+C11*E11</f>
        <v/>
      </c>
      <c r="G11" s="89" t="n"/>
    </row>
    <row r="12">
      <c r="E12" s="58" t="inlineStr">
        <is>
          <t>V. Total</t>
        </is>
      </c>
      <c r="F12" s="77">
        <f>SUM(F7:F11)</f>
        <v/>
      </c>
      <c r="G12" s="89" t="n"/>
    </row>
    <row r="13">
      <c r="G13" s="89" t="n"/>
    </row>
    <row r="14">
      <c r="G14" s="89" t="n"/>
    </row>
    <row r="15">
      <c r="G15" s="89" t="n"/>
    </row>
    <row r="18">
      <c r="A18" s="79" t="inlineStr">
        <is>
          <t>TABLA PROJECT</t>
        </is>
      </c>
      <c r="B18" s="80" t="inlineStr">
        <is>
          <t>(Duración = 4 días  |  CP = $B$3)</t>
        </is>
      </c>
    </row>
    <row r="19">
      <c r="A19" s="81" t="inlineStr">
        <is>
          <t>RECURSOS</t>
        </is>
      </c>
      <c r="B19" s="81" t="inlineStr">
        <is>
          <t>Un</t>
        </is>
      </c>
      <c r="C19" s="81" t="inlineStr">
        <is>
          <t>Cantidad</t>
        </is>
      </c>
      <c r="D19" s="81" t="inlineStr">
        <is>
          <t>V. Unitario</t>
        </is>
      </c>
      <c r="E19" s="81" t="inlineStr">
        <is>
          <t>Cantidad presupuesto</t>
        </is>
      </c>
      <c r="F19" s="81" t="inlineStr">
        <is>
          <t>Cant. Total</t>
        </is>
      </c>
      <c r="G19" s="81" t="inlineStr">
        <is>
          <t>Valor total</t>
        </is>
      </c>
    </row>
    <row r="20">
      <c r="A20" s="82" t="inlineStr">
        <is>
          <t>APU</t>
        </is>
      </c>
      <c r="B20" s="82" t="inlineStr">
        <is>
          <t>APU</t>
        </is>
      </c>
      <c r="C20" s="82" t="inlineStr">
        <is>
          <t>APU</t>
        </is>
      </c>
      <c r="D20" s="82" t="inlineStr">
        <is>
          <t>APU</t>
        </is>
      </c>
      <c r="E20" s="82" t="inlineStr">
        <is>
          <t>Presupuesto</t>
        </is>
      </c>
      <c r="F20" s="82" t="inlineStr">
        <is>
          <t>Cantidad × (1+Desp) × Cant. presup.</t>
        </is>
      </c>
      <c r="G20" s="82" t="inlineStr">
        <is>
          <t>Cant. Total × V. Unitario</t>
        </is>
      </c>
    </row>
    <row r="21">
      <c r="A21" s="68">
        <f>+A7</f>
        <v/>
      </c>
      <c r="B21" s="69">
        <f>+B7</f>
        <v/>
      </c>
      <c r="C21" s="68">
        <f>+C7</f>
        <v/>
      </c>
      <c r="D21" s="70">
        <f>+E7</f>
        <v/>
      </c>
      <c r="E21" s="68">
        <f>+$B$3</f>
        <v/>
      </c>
      <c r="F21" s="68">
        <f>C21*(1+D7)*E21</f>
        <v/>
      </c>
      <c r="G21" s="70">
        <f>F21*D21</f>
        <v/>
      </c>
    </row>
    <row r="22">
      <c r="A22" s="68">
        <f>+A8</f>
        <v/>
      </c>
      <c r="B22" s="69">
        <f>+B8</f>
        <v/>
      </c>
      <c r="C22" s="68">
        <f>+C8</f>
        <v/>
      </c>
      <c r="D22" s="70">
        <f>+E8</f>
        <v/>
      </c>
      <c r="E22" s="68">
        <f>+$B$3</f>
        <v/>
      </c>
      <c r="F22" s="68">
        <f>C22*(1+D8)*E22</f>
        <v/>
      </c>
      <c r="G22" s="70">
        <f>F22*D22</f>
        <v/>
      </c>
    </row>
    <row r="23">
      <c r="A23" s="68">
        <f>+A9</f>
        <v/>
      </c>
      <c r="B23" s="69">
        <f>+B9</f>
        <v/>
      </c>
      <c r="C23" s="68">
        <f>+C9</f>
        <v/>
      </c>
      <c r="D23" s="70">
        <f>+E9</f>
        <v/>
      </c>
      <c r="E23" s="68">
        <f>+$B$3</f>
        <v/>
      </c>
      <c r="F23" s="68">
        <f>C23*(1+D9)*E23</f>
        <v/>
      </c>
      <c r="G23" s="70">
        <f>F23*D23</f>
        <v/>
      </c>
    </row>
    <row r="24">
      <c r="A24" s="68">
        <f>+A10</f>
        <v/>
      </c>
      <c r="B24" s="69">
        <f>+B10</f>
        <v/>
      </c>
      <c r="C24" s="68">
        <f>+C10</f>
        <v/>
      </c>
      <c r="D24" s="70">
        <f>+E10</f>
        <v/>
      </c>
      <c r="E24" s="68">
        <f>+$B$3</f>
        <v/>
      </c>
      <c r="F24" s="68">
        <f>C24*(1+D10)*E24</f>
        <v/>
      </c>
      <c r="G24" s="70">
        <f>F24*D24</f>
        <v/>
      </c>
    </row>
    <row r="25">
      <c r="A25" s="68">
        <f>+A11</f>
        <v/>
      </c>
      <c r="B25" s="69">
        <f>+B11</f>
        <v/>
      </c>
      <c r="C25" s="68">
        <f>+C11</f>
        <v/>
      </c>
      <c r="D25" s="70">
        <f>+E11</f>
        <v/>
      </c>
      <c r="E25" s="68">
        <f>+$B$3</f>
        <v/>
      </c>
      <c r="F25" s="68">
        <f>C25*(1+D11)*E25</f>
        <v/>
      </c>
      <c r="G25" s="70">
        <f>F25*D25</f>
        <v/>
      </c>
    </row>
    <row r="26">
      <c r="E26" s="83" t="inlineStr">
        <is>
          <t>V. TOTAL</t>
        </is>
      </c>
      <c r="F26" s="84" t="inlineStr"/>
      <c r="G26" s="85">
        <f>SUM(G21:G25)</f>
        <v/>
      </c>
    </row>
    <row r="28">
      <c r="A28" s="79" t="inlineStr">
        <is>
          <t>FACTOR MULTIPLICADOR — MANO DE OBRA</t>
        </is>
      </c>
    </row>
    <row r="29">
      <c r="A29" s="81" t="inlineStr">
        <is>
          <t>V. Unitario mano de obra "TABLA APU"</t>
        </is>
      </c>
      <c r="B29" s="81" t="inlineStr">
        <is>
          <t>Horas trabajadas diarias</t>
        </is>
      </c>
      <c r="C29" s="81" t="inlineStr">
        <is>
          <t>Dias trabajados para cada tarea o actividad</t>
        </is>
      </c>
      <c r="D29" s="81" t="inlineStr">
        <is>
          <t>Producto (A X B X C)</t>
        </is>
      </c>
      <c r="E29" s="81" t="inlineStr">
        <is>
          <t>Valor Total mano de obra "TABLA PROJECT"</t>
        </is>
      </c>
      <c r="F29" s="81" t="inlineStr">
        <is>
          <t>FACTOR MULTIPLICADOR</t>
        </is>
      </c>
      <c r="G29" s="81" t="inlineStr">
        <is>
          <t>FACTOR MULTIPLICADOR - EN %</t>
        </is>
      </c>
      <c r="H29" s="81" t="inlineStr">
        <is>
          <t>Recurso</t>
        </is>
      </c>
    </row>
    <row r="30">
      <c r="A30" s="82" t="inlineStr">
        <is>
          <t>A</t>
        </is>
      </c>
      <c r="B30" s="82" t="inlineStr">
        <is>
          <t>B</t>
        </is>
      </c>
      <c r="C30" s="82" t="inlineStr">
        <is>
          <t>C</t>
        </is>
      </c>
      <c r="D30" s="82" t="inlineStr">
        <is>
          <t>D</t>
        </is>
      </c>
      <c r="E30" s="82" t="inlineStr">
        <is>
          <t>F</t>
        </is>
      </c>
      <c r="F30" s="82" t="inlineStr">
        <is>
          <t>F/D</t>
        </is>
      </c>
      <c r="G30" s="82" t="inlineStr">
        <is>
          <t>(F/D)*100</t>
        </is>
      </c>
    </row>
    <row r="31">
      <c r="A31" s="70">
        <f>+E9</f>
        <v/>
      </c>
      <c r="B31" s="69" t="n">
        <v>8</v>
      </c>
      <c r="C31" s="69" t="n">
        <v>4</v>
      </c>
      <c r="D31" s="70">
        <f>A31*B31*C31</f>
        <v/>
      </c>
      <c r="E31" s="70">
        <f>+G23</f>
        <v/>
      </c>
      <c r="F31" s="86">
        <f>+E31/D31</f>
        <v/>
      </c>
      <c r="G31" s="86">
        <f>+F31*100</f>
        <v/>
      </c>
      <c r="H31" s="68">
        <f>+A9</f>
        <v/>
      </c>
    </row>
  </sheetData>
  <mergeCells count="1">
    <mergeCell ref="B2:F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33"/>
  <sheetViews>
    <sheetView workbookViewId="0">
      <selection activeCell="B19" sqref="B19"/>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Encofrado y vaciado columnar primer piso</t>
        </is>
      </c>
      <c r="C2" s="63" t="n"/>
      <c r="D2" s="63" t="n"/>
      <c r="E2" s="63" t="n"/>
      <c r="F2" s="64" t="n"/>
    </row>
    <row r="3" ht="28.8" customHeight="1">
      <c r="A3" s="20" t="inlineStr">
        <is>
          <t>Cantidad definida en el presupuesto (CP)</t>
        </is>
      </c>
      <c r="B3" s="2" t="n">
        <v>2.53</v>
      </c>
      <c r="C3" s="2" t="inlineStr">
        <is>
          <t>m2</t>
        </is>
      </c>
    </row>
    <row r="4">
      <c r="A4" s="20" t="inlineStr">
        <is>
          <t>Valor del item en el presupuesto</t>
        </is>
      </c>
      <c r="B4" s="77" t="n">
        <v>1408541.8523</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Mezcla concreto de 3000 psi</t>
        </is>
      </c>
      <c r="B7" s="22" t="inlineStr">
        <is>
          <t>m3</t>
        </is>
      </c>
      <c r="C7" s="22" t="n">
        <v>1</v>
      </c>
      <c r="D7" s="33" t="n">
        <v>0.03</v>
      </c>
      <c r="E7" s="22" t="n">
        <v>337000</v>
      </c>
      <c r="F7" s="66">
        <f>+C7*E7*1.03</f>
        <v/>
      </c>
      <c r="G7" s="89" t="n"/>
    </row>
    <row r="8">
      <c r="A8" s="22" t="inlineStr">
        <is>
          <t>formaleta</t>
        </is>
      </c>
      <c r="B8" s="22" t="inlineStr">
        <is>
          <t>m3</t>
        </is>
      </c>
      <c r="C8" s="22" t="n">
        <v>1</v>
      </c>
      <c r="D8" s="22" t="n">
        <v>0</v>
      </c>
      <c r="E8" s="22" t="n">
        <v>42833.33</v>
      </c>
      <c r="F8" s="66">
        <f>+C8*E8</f>
        <v/>
      </c>
      <c r="G8" s="89" t="n"/>
    </row>
    <row r="9">
      <c r="A9" s="22" t="inlineStr">
        <is>
          <t>andamios</t>
        </is>
      </c>
      <c r="B9" s="22" t="inlineStr">
        <is>
          <t>Dd</t>
        </is>
      </c>
      <c r="C9" s="22" t="n">
        <v>2</v>
      </c>
      <c r="D9" s="22" t="n">
        <v>0</v>
      </c>
      <c r="E9" s="22" t="n">
        <v>1740</v>
      </c>
      <c r="F9" s="66">
        <f>+C9*E9</f>
        <v/>
      </c>
      <c r="G9" s="89" t="n"/>
    </row>
    <row r="10">
      <c r="A10" s="22" t="inlineStr">
        <is>
          <t>Herramienta menor 9</t>
        </is>
      </c>
      <c r="B10" s="22" t="inlineStr">
        <is>
          <t>%mo</t>
        </is>
      </c>
      <c r="C10" s="22" t="n">
        <v>0.05</v>
      </c>
      <c r="D10" s="22" t="n">
        <v>0</v>
      </c>
      <c r="E10" s="22" t="n">
        <v>154210.08</v>
      </c>
      <c r="F10" s="66">
        <f>+C10*E10</f>
        <v/>
      </c>
      <c r="G10" s="89" t="n"/>
    </row>
    <row r="11">
      <c r="A11" s="22" t="inlineStr">
        <is>
          <t>vibrador electrico</t>
        </is>
      </c>
      <c r="B11" s="22" t="inlineStr">
        <is>
          <t>Dia</t>
        </is>
      </c>
      <c r="C11" s="22" t="n">
        <v>0.04</v>
      </c>
      <c r="D11" s="22" t="n">
        <v>0</v>
      </c>
      <c r="E11" s="22" t="n">
        <v>34800</v>
      </c>
      <c r="F11" s="66">
        <f>+C11*E11</f>
        <v/>
      </c>
      <c r="G11" s="89" t="n"/>
    </row>
    <row r="12">
      <c r="A12" s="22" t="inlineStr">
        <is>
          <t>mano de obra cuadrilla aa 2+1</t>
        </is>
      </c>
      <c r="B12" s="22" t="inlineStr">
        <is>
          <t>Hc</t>
        </is>
      </c>
      <c r="C12" s="22" t="n">
        <v>7.4</v>
      </c>
      <c r="D12" s="22" t="n">
        <v>0</v>
      </c>
      <c r="E12" s="22" t="n">
        <v>20839.2</v>
      </c>
      <c r="F12" s="66">
        <f>+C12*E12</f>
        <v/>
      </c>
      <c r="G12" s="89" t="n"/>
    </row>
    <row r="13">
      <c r="E13" s="58" t="inlineStr">
        <is>
          <t>V. Total</t>
        </is>
      </c>
      <c r="F13" s="77">
        <f>SUM(F7:F12)</f>
        <v/>
      </c>
      <c r="G13" s="89" t="n"/>
    </row>
    <row r="14">
      <c r="G14" s="89" t="n"/>
    </row>
    <row r="15">
      <c r="G15" s="89" t="n"/>
    </row>
    <row r="16">
      <c r="G16" s="89" t="n"/>
    </row>
    <row r="19">
      <c r="A19" s="79" t="inlineStr">
        <is>
          <t>TABLA PROJECT</t>
        </is>
      </c>
      <c r="B19" s="80" t="inlineStr">
        <is>
          <t>(Duración = 4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+A7</f>
        <v/>
      </c>
      <c r="B22" s="69">
        <f>+B7</f>
        <v/>
      </c>
      <c r="C22" s="68">
        <f>+C7</f>
        <v/>
      </c>
      <c r="D22" s="70">
        <f>+E7</f>
        <v/>
      </c>
      <c r="E22" s="68">
        <f>+$B$3</f>
        <v/>
      </c>
      <c r="F22" s="68">
        <f>C22*(1+D7)*E22</f>
        <v/>
      </c>
      <c r="G22" s="70">
        <f>F22*D22</f>
        <v/>
      </c>
    </row>
    <row r="23">
      <c r="A23" s="68">
        <f>+A8</f>
        <v/>
      </c>
      <c r="B23" s="69">
        <f>+B8</f>
        <v/>
      </c>
      <c r="C23" s="68">
        <f>+C8</f>
        <v/>
      </c>
      <c r="D23" s="70">
        <f>+E8</f>
        <v/>
      </c>
      <c r="E23" s="68">
        <f>+$B$3</f>
        <v/>
      </c>
      <c r="F23" s="68">
        <f>C23*(1+D8)*E23</f>
        <v/>
      </c>
      <c r="G23" s="70">
        <f>F23*D23</f>
        <v/>
      </c>
    </row>
    <row r="24">
      <c r="A24" s="68">
        <f>+A9</f>
        <v/>
      </c>
      <c r="B24" s="69">
        <f>+B9</f>
        <v/>
      </c>
      <c r="C24" s="68">
        <f>+C9</f>
        <v/>
      </c>
      <c r="D24" s="70">
        <f>+E9</f>
        <v/>
      </c>
      <c r="E24" s="68">
        <f>+$B$3</f>
        <v/>
      </c>
      <c r="F24" s="68">
        <f>C24*(1+D9)*E24</f>
        <v/>
      </c>
      <c r="G24" s="70">
        <f>F24*D24</f>
        <v/>
      </c>
    </row>
    <row r="25">
      <c r="A25" s="68">
        <f>+A10</f>
        <v/>
      </c>
      <c r="B25" s="69">
        <f>+B10</f>
        <v/>
      </c>
      <c r="C25" s="68">
        <f>+C10</f>
        <v/>
      </c>
      <c r="D25" s="70">
        <f>+E10</f>
        <v/>
      </c>
      <c r="E25" s="68">
        <f>+$B$3</f>
        <v/>
      </c>
      <c r="F25" s="68">
        <f>C25*(1+D10)*E25</f>
        <v/>
      </c>
      <c r="G25" s="70">
        <f>F25*D25</f>
        <v/>
      </c>
    </row>
    <row r="26">
      <c r="A26" s="68">
        <f>+A11</f>
        <v/>
      </c>
      <c r="B26" s="69">
        <f>+B11</f>
        <v/>
      </c>
      <c r="C26" s="68">
        <f>+C11</f>
        <v/>
      </c>
      <c r="D26" s="70">
        <f>+E11</f>
        <v/>
      </c>
      <c r="E26" s="68">
        <f>+$B$3</f>
        <v/>
      </c>
      <c r="F26" s="68">
        <f>C26*(1+D11)*E26</f>
        <v/>
      </c>
      <c r="G26" s="70">
        <f>F26*D26</f>
        <v/>
      </c>
    </row>
    <row r="27">
      <c r="A27" s="68">
        <f>+A12</f>
        <v/>
      </c>
      <c r="B27" s="69">
        <f>+B12</f>
        <v/>
      </c>
      <c r="C27" s="68">
        <f>+C12</f>
        <v/>
      </c>
      <c r="D27" s="70">
        <f>+E12</f>
        <v/>
      </c>
      <c r="E27" s="68">
        <f>+$B$3</f>
        <v/>
      </c>
      <c r="F27" s="68">
        <f>C27*(1+D12)*E27</f>
        <v/>
      </c>
      <c r="G27" s="70">
        <f>F27*D27</f>
        <v/>
      </c>
    </row>
    <row r="28">
      <c r="E28" s="83" t="inlineStr">
        <is>
          <t>V. TOTAL</t>
        </is>
      </c>
      <c r="F28" s="84" t="inlineStr"/>
      <c r="G28" s="85">
        <f>SUM(G22:G27)</f>
        <v/>
      </c>
    </row>
    <row r="30">
      <c r="A30" s="79" t="inlineStr">
        <is>
          <t>FACTOR MULTIPLICADOR — MANO DE OBRA</t>
        </is>
      </c>
    </row>
    <row r="31">
      <c r="A31" s="81" t="inlineStr">
        <is>
          <t>V. Unitario mano de obra "TABLA APU"</t>
        </is>
      </c>
      <c r="B31" s="81" t="inlineStr">
        <is>
          <t>Horas trabajadas diarias</t>
        </is>
      </c>
      <c r="C31" s="81" t="inlineStr">
        <is>
          <t>Dias trabajados para cada tarea o actividad</t>
        </is>
      </c>
      <c r="D31" s="81" t="inlineStr">
        <is>
          <t>Producto (A X B X C)</t>
        </is>
      </c>
      <c r="E31" s="81" t="inlineStr">
        <is>
          <t>Valor Total mano de obra "TABLA PROJECT"</t>
        </is>
      </c>
      <c r="F31" s="81" t="inlineStr">
        <is>
          <t>FACTOR MULTIPLICADOR</t>
        </is>
      </c>
      <c r="G31" s="81" t="inlineStr">
        <is>
          <t>FACTOR MULTIPLICADOR - EN %</t>
        </is>
      </c>
      <c r="H31" s="81" t="inlineStr">
        <is>
          <t>Recurso</t>
        </is>
      </c>
    </row>
    <row r="32">
      <c r="A32" s="82" t="inlineStr">
        <is>
          <t>A</t>
        </is>
      </c>
      <c r="B32" s="82" t="inlineStr">
        <is>
          <t>B</t>
        </is>
      </c>
      <c r="C32" s="82" t="inlineStr">
        <is>
          <t>C</t>
        </is>
      </c>
      <c r="D32" s="82" t="inlineStr">
        <is>
          <t>D</t>
        </is>
      </c>
      <c r="E32" s="82" t="inlineStr">
        <is>
          <t>F</t>
        </is>
      </c>
      <c r="F32" s="82" t="inlineStr">
        <is>
          <t>F/D</t>
        </is>
      </c>
      <c r="G32" s="82" t="inlineStr">
        <is>
          <t>(F/D)*100</t>
        </is>
      </c>
    </row>
    <row r="33">
      <c r="A33" s="70">
        <f>+E12</f>
        <v/>
      </c>
      <c r="B33" s="69" t="n">
        <v>8</v>
      </c>
      <c r="C33" s="69" t="n">
        <v>4</v>
      </c>
      <c r="D33" s="70">
        <f>A33*B33*C33</f>
        <v/>
      </c>
      <c r="E33" s="70">
        <f>+G27</f>
        <v/>
      </c>
      <c r="F33" s="86">
        <f>+E33/D33</f>
        <v/>
      </c>
      <c r="G33" s="86">
        <f>+F33*100</f>
        <v/>
      </c>
      <c r="H33" s="68">
        <f>+A12</f>
        <v/>
      </c>
    </row>
  </sheetData>
  <mergeCells count="1">
    <mergeCell ref="B2:F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32"/>
  <sheetViews>
    <sheetView workbookViewId="0">
      <selection activeCell="C18" sqref="C18"/>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Figurado y armado acero losa de contrapiso</t>
        </is>
      </c>
      <c r="C2" s="63" t="n"/>
      <c r="D2" s="63" t="n"/>
      <c r="E2" s="63" t="n"/>
      <c r="F2" s="64" t="n"/>
    </row>
    <row r="3" ht="28.8" customHeight="1">
      <c r="A3" s="20" t="inlineStr">
        <is>
          <t>Cantidad definida en el presupuesto (CP)</t>
        </is>
      </c>
      <c r="B3" s="2" t="n">
        <v>252.72</v>
      </c>
      <c r="C3" s="2" t="inlineStr">
        <is>
          <t>kg</t>
        </is>
      </c>
    </row>
    <row r="4">
      <c r="A4" s="20" t="inlineStr">
        <is>
          <t>Valor del item en el presupuesto</t>
        </is>
      </c>
      <c r="B4" s="77" t="n">
        <v>895869.6551999999</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Acero de 420 Mpa</t>
        </is>
      </c>
      <c r="B7" s="22" t="inlineStr">
        <is>
          <t>Kg</t>
        </is>
      </c>
      <c r="C7" s="22" t="n">
        <v>1</v>
      </c>
      <c r="D7" s="33" t="n">
        <v>0.03</v>
      </c>
      <c r="E7" s="22" t="n">
        <v>2083.33</v>
      </c>
      <c r="F7" s="66">
        <f>+C7*E7*1.03</f>
        <v/>
      </c>
      <c r="G7" s="89" t="n"/>
    </row>
    <row r="8">
      <c r="A8" s="22" t="inlineStr">
        <is>
          <t>Alambre negro</t>
        </is>
      </c>
      <c r="B8" s="22" t="inlineStr">
        <is>
          <t>Kg</t>
        </is>
      </c>
      <c r="C8" s="22" t="n">
        <v>0.08</v>
      </c>
      <c r="D8" s="22" t="n">
        <v>0</v>
      </c>
      <c r="E8" s="22" t="n">
        <v>3500</v>
      </c>
      <c r="F8" s="66">
        <f>+C8*E8</f>
        <v/>
      </c>
      <c r="G8" s="89" t="n"/>
    </row>
    <row r="9">
      <c r="A9" s="22" t="inlineStr">
        <is>
          <t xml:space="preserve">mano de obra cuadrilla aa </t>
        </is>
      </c>
      <c r="B9" s="22" t="inlineStr">
        <is>
          <t>Hc</t>
        </is>
      </c>
      <c r="C9" s="22" t="n">
        <v>0.06</v>
      </c>
      <c r="D9" s="22" t="n">
        <v>0</v>
      </c>
      <c r="E9" s="22" t="n">
        <v>15527.06</v>
      </c>
      <c r="F9" s="66">
        <f>+C9*E9</f>
        <v/>
      </c>
      <c r="G9" s="89" t="n"/>
    </row>
    <row r="10">
      <c r="A10" s="22" t="inlineStr">
        <is>
          <t>Segueta sin marco</t>
        </is>
      </c>
      <c r="B10" s="22" t="inlineStr">
        <is>
          <t>Glb</t>
        </is>
      </c>
      <c r="C10" s="22" t="n">
        <v>0.04</v>
      </c>
      <c r="D10" s="22" t="n">
        <v>0</v>
      </c>
      <c r="E10" s="22" t="n">
        <v>3522</v>
      </c>
      <c r="F10" s="66">
        <f>+C10*E10</f>
        <v/>
      </c>
      <c r="G10" s="89" t="n"/>
    </row>
    <row r="11">
      <c r="A11" s="22" t="inlineStr">
        <is>
          <t>Herramienta menor 10</t>
        </is>
      </c>
      <c r="B11" s="22" t="inlineStr">
        <is>
          <t>%mo</t>
        </is>
      </c>
      <c r="C11" s="22" t="n">
        <v>0.05</v>
      </c>
      <c r="D11" s="22" t="n">
        <v>0</v>
      </c>
      <c r="E11" s="22" t="n">
        <v>931.62</v>
      </c>
      <c r="F11" s="66">
        <f>+C11*E11</f>
        <v/>
      </c>
      <c r="G11" s="89" t="n"/>
    </row>
    <row r="12">
      <c r="E12" s="58" t="inlineStr">
        <is>
          <t>V. Total</t>
        </is>
      </c>
      <c r="F12" s="77">
        <f>SUM(F7:F11)</f>
        <v/>
      </c>
      <c r="G12" s="89" t="n"/>
    </row>
    <row r="13">
      <c r="G13" s="89" t="n"/>
    </row>
    <row r="14">
      <c r="G14" s="89" t="n"/>
    </row>
    <row r="15">
      <c r="G15" s="89" t="n"/>
    </row>
    <row r="16">
      <c r="G16" s="89" t="n"/>
    </row>
    <row r="19">
      <c r="A19" s="79" t="inlineStr">
        <is>
          <t>TABLA PROJECT</t>
        </is>
      </c>
      <c r="B19" s="80" t="inlineStr">
        <is>
          <t>(Duración = 2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+A7</f>
        <v/>
      </c>
      <c r="B22" s="69">
        <f>+B7</f>
        <v/>
      </c>
      <c r="C22" s="68">
        <f>+C7</f>
        <v/>
      </c>
      <c r="D22" s="70">
        <f>+E7</f>
        <v/>
      </c>
      <c r="E22" s="68">
        <f>+$B$3</f>
        <v/>
      </c>
      <c r="F22" s="68">
        <f>C22*(1+D7)*E22</f>
        <v/>
      </c>
      <c r="G22" s="70">
        <f>F22*D22</f>
        <v/>
      </c>
    </row>
    <row r="23">
      <c r="A23" s="68">
        <f>+A8</f>
        <v/>
      </c>
      <c r="B23" s="69">
        <f>+B8</f>
        <v/>
      </c>
      <c r="C23" s="68">
        <f>+C8</f>
        <v/>
      </c>
      <c r="D23" s="70">
        <f>+E8</f>
        <v/>
      </c>
      <c r="E23" s="68">
        <f>+$B$3</f>
        <v/>
      </c>
      <c r="F23" s="68">
        <f>C23*(1+D8)*E23</f>
        <v/>
      </c>
      <c r="G23" s="70">
        <f>F23*D23</f>
        <v/>
      </c>
    </row>
    <row r="24">
      <c r="A24" s="68">
        <f>+A9</f>
        <v/>
      </c>
      <c r="B24" s="69">
        <f>+B9</f>
        <v/>
      </c>
      <c r="C24" s="68">
        <f>+C9</f>
        <v/>
      </c>
      <c r="D24" s="70">
        <f>+E9</f>
        <v/>
      </c>
      <c r="E24" s="68">
        <f>+$B$3</f>
        <v/>
      </c>
      <c r="F24" s="68">
        <f>C24*(1+D9)*E24</f>
        <v/>
      </c>
      <c r="G24" s="70">
        <f>F24*D24</f>
        <v/>
      </c>
    </row>
    <row r="25">
      <c r="A25" s="68">
        <f>+A10</f>
        <v/>
      </c>
      <c r="B25" s="69">
        <f>+B10</f>
        <v/>
      </c>
      <c r="C25" s="68">
        <f>+C10</f>
        <v/>
      </c>
      <c r="D25" s="70">
        <f>+E10</f>
        <v/>
      </c>
      <c r="E25" s="68">
        <f>+$B$3</f>
        <v/>
      </c>
      <c r="F25" s="68">
        <f>C25*(1+D10)*E25</f>
        <v/>
      </c>
      <c r="G25" s="70">
        <f>F25*D25</f>
        <v/>
      </c>
    </row>
    <row r="26">
      <c r="A26" s="68">
        <f>+A11</f>
        <v/>
      </c>
      <c r="B26" s="69">
        <f>+B11</f>
        <v/>
      </c>
      <c r="C26" s="68">
        <f>+C11</f>
        <v/>
      </c>
      <c r="D26" s="70">
        <f>+E11</f>
        <v/>
      </c>
      <c r="E26" s="68">
        <f>+$B$3</f>
        <v/>
      </c>
      <c r="F26" s="68">
        <f>C26*(1+D11)*E26</f>
        <v/>
      </c>
      <c r="G26" s="70">
        <f>F26*D26</f>
        <v/>
      </c>
    </row>
    <row r="27">
      <c r="E27" s="83" t="inlineStr">
        <is>
          <t>V. TOTAL</t>
        </is>
      </c>
      <c r="F27" s="84" t="inlineStr"/>
      <c r="G27" s="85">
        <f>SUM(G22:G26)</f>
        <v/>
      </c>
    </row>
    <row r="29">
      <c r="A29" s="79" t="inlineStr">
        <is>
          <t>FACTOR MULTIPLICADOR — MANO DE OBRA</t>
        </is>
      </c>
    </row>
    <row r="30">
      <c r="A30" s="81" t="inlineStr">
        <is>
          <t>V. Unitario mano de obra "TABLA APU"</t>
        </is>
      </c>
      <c r="B30" s="81" t="inlineStr">
        <is>
          <t>Horas trabajadas diarias</t>
        </is>
      </c>
      <c r="C30" s="81" t="inlineStr">
        <is>
          <t>Dias trabajados para cada tarea o actividad</t>
        </is>
      </c>
      <c r="D30" s="81" t="inlineStr">
        <is>
          <t>Producto (A X B X C)</t>
        </is>
      </c>
      <c r="E30" s="81" t="inlineStr">
        <is>
          <t>Valor Total mano de obra "TABLA PROJECT"</t>
        </is>
      </c>
      <c r="F30" s="81" t="inlineStr">
        <is>
          <t>FACTOR MULTIPLICADOR</t>
        </is>
      </c>
      <c r="G30" s="81" t="inlineStr">
        <is>
          <t>FACTOR MULTIPLICADOR - EN %</t>
        </is>
      </c>
      <c r="H30" s="81" t="inlineStr">
        <is>
          <t>Recurso</t>
        </is>
      </c>
    </row>
    <row r="31">
      <c r="A31" s="82" t="inlineStr">
        <is>
          <t>A</t>
        </is>
      </c>
      <c r="B31" s="82" t="inlineStr">
        <is>
          <t>B</t>
        </is>
      </c>
      <c r="C31" s="82" t="inlineStr">
        <is>
          <t>C</t>
        </is>
      </c>
      <c r="D31" s="82" t="inlineStr">
        <is>
          <t>D</t>
        </is>
      </c>
      <c r="E31" s="82" t="inlineStr">
        <is>
          <t>F</t>
        </is>
      </c>
      <c r="F31" s="82" t="inlineStr">
        <is>
          <t>F/D</t>
        </is>
      </c>
      <c r="G31" s="82" t="inlineStr">
        <is>
          <t>(F/D)*100</t>
        </is>
      </c>
    </row>
    <row r="32">
      <c r="A32" s="70">
        <f>+E9</f>
        <v/>
      </c>
      <c r="B32" s="69" t="n">
        <v>8</v>
      </c>
      <c r="C32" s="69" t="n">
        <v>2</v>
      </c>
      <c r="D32" s="70">
        <f>A32*B32*C32</f>
        <v/>
      </c>
      <c r="E32" s="70">
        <f>+G24</f>
        <v/>
      </c>
      <c r="F32" s="86">
        <f>+E32/D32</f>
        <v/>
      </c>
      <c r="G32" s="86">
        <f>+F32*100</f>
        <v/>
      </c>
      <c r="H32" s="68">
        <f>+A9</f>
        <v/>
      </c>
    </row>
  </sheetData>
  <mergeCells count="1">
    <mergeCell ref="B2:F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35"/>
  <sheetViews>
    <sheetView workbookViewId="0">
      <selection activeCell="B4" sqref="B4"/>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Losa de entrepiso concreto de 3000 psi e=0.05m incluye encofrado</t>
        </is>
      </c>
      <c r="C2" s="63" t="n"/>
      <c r="D2" s="63" t="n"/>
      <c r="E2" s="63" t="n"/>
      <c r="F2" s="64" t="n"/>
    </row>
    <row r="3" ht="28.8" customHeight="1">
      <c r="A3" s="20" t="inlineStr">
        <is>
          <t>Cantidad definida en el presupuesto (CP)</t>
        </is>
      </c>
      <c r="B3" s="2" t="n">
        <v>62.1</v>
      </c>
      <c r="C3" s="2" t="inlineStr">
        <is>
          <t>m2</t>
        </is>
      </c>
    </row>
    <row r="4">
      <c r="A4" s="20" t="inlineStr">
        <is>
          <t>Valor del item en el presupuesto</t>
        </is>
      </c>
      <c r="B4" s="77" t="n">
        <v>4943735.67</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Mezcla concreto de 3000 psi</t>
        </is>
      </c>
      <c r="B7" s="22" t="inlineStr">
        <is>
          <t>m3</t>
        </is>
      </c>
      <c r="C7" s="22" t="n">
        <v>0.098</v>
      </c>
      <c r="D7" s="33" t="n">
        <v>0.05</v>
      </c>
      <c r="E7" s="22" t="n">
        <v>337000</v>
      </c>
      <c r="F7" s="66">
        <f>+C7*E7*1.05</f>
        <v/>
      </c>
      <c r="G7" s="89" t="n"/>
    </row>
    <row r="8">
      <c r="A8" s="22" t="inlineStr">
        <is>
          <t>Caseton de guadua</t>
        </is>
      </c>
      <c r="B8" s="22" t="inlineStr">
        <is>
          <t>Un</t>
        </is>
      </c>
      <c r="C8" s="22" t="n">
        <v>0.7</v>
      </c>
      <c r="D8" s="22" t="n">
        <v>0</v>
      </c>
      <c r="E8" s="22" t="n">
        <v>9726.49</v>
      </c>
      <c r="F8" s="66">
        <f>+C8*E8</f>
        <v/>
      </c>
      <c r="G8" s="89" t="n"/>
    </row>
    <row r="9">
      <c r="A9" s="22" t="inlineStr">
        <is>
          <t>Formaleta</t>
        </is>
      </c>
      <c r="B9" s="22" t="inlineStr">
        <is>
          <t>Un</t>
        </is>
      </c>
      <c r="C9" s="22" t="n">
        <v>1</v>
      </c>
      <c r="D9" s="22" t="n">
        <v>0</v>
      </c>
      <c r="E9" s="22" t="n">
        <v>3057.56</v>
      </c>
      <c r="F9" s="66">
        <f>+C9*E9</f>
        <v/>
      </c>
      <c r="G9" s="89" t="n"/>
    </row>
    <row r="10">
      <c r="A10" s="22" t="inlineStr">
        <is>
          <t>Andamio</t>
        </is>
      </c>
      <c r="B10" s="22" t="inlineStr">
        <is>
          <t>Gl</t>
        </is>
      </c>
      <c r="C10" s="22" t="n">
        <v>0.1</v>
      </c>
      <c r="D10" s="22" t="n">
        <v>0</v>
      </c>
      <c r="E10" s="22" t="n">
        <v>1740</v>
      </c>
      <c r="F10" s="66">
        <f>+C10*E10</f>
        <v/>
      </c>
      <c r="G10" s="89" t="n"/>
    </row>
    <row r="11">
      <c r="A11" s="22" t="inlineStr">
        <is>
          <t>Herramienta menor 11</t>
        </is>
      </c>
      <c r="B11" s="22" t="inlineStr">
        <is>
          <t>%mo</t>
        </is>
      </c>
      <c r="C11" s="22" t="n">
        <v>0.05</v>
      </c>
      <c r="D11" s="22" t="n">
        <v>0</v>
      </c>
      <c r="E11" s="22" t="n">
        <v>31904.63</v>
      </c>
      <c r="F11" s="66">
        <f>+C11*E11</f>
        <v/>
      </c>
      <c r="G11" s="89" t="n"/>
    </row>
    <row r="12">
      <c r="A12" s="22" t="inlineStr">
        <is>
          <t>Vibrador electrico</t>
        </is>
      </c>
      <c r="B12" s="22" t="inlineStr">
        <is>
          <t>Dia</t>
        </is>
      </c>
      <c r="C12" s="22" t="n">
        <v>0.04</v>
      </c>
      <c r="D12" s="22" t="n">
        <v>0</v>
      </c>
      <c r="E12" s="22" t="n">
        <v>34800</v>
      </c>
      <c r="F12" s="66">
        <f>+C12*E12</f>
        <v/>
      </c>
      <c r="G12" s="89" t="n"/>
    </row>
    <row r="13">
      <c r="A13" s="22" t="inlineStr">
        <is>
          <t>mano de obra cuadrilla aa 3+1</t>
        </is>
      </c>
      <c r="B13" s="22" t="inlineStr">
        <is>
          <t>Hc</t>
        </is>
      </c>
      <c r="C13" s="22" t="n">
        <v>1.22</v>
      </c>
      <c r="D13" s="22" t="n">
        <v>0</v>
      </c>
      <c r="E13" s="22" t="n">
        <v>26151.34</v>
      </c>
      <c r="F13" s="66">
        <f>+C13*E13</f>
        <v/>
      </c>
      <c r="G13" s="89" t="n"/>
    </row>
    <row r="14">
      <c r="E14" s="58" t="inlineStr">
        <is>
          <t>V. Total</t>
        </is>
      </c>
      <c r="F14" s="77">
        <f>SUM(F7:F13)</f>
        <v/>
      </c>
      <c r="G14" s="89" t="n"/>
    </row>
    <row r="15">
      <c r="G15" s="89" t="n"/>
    </row>
    <row r="16">
      <c r="G16" s="89" t="n"/>
    </row>
    <row r="17">
      <c r="G17" s="89" t="n"/>
    </row>
    <row r="20">
      <c r="A20" s="79" t="inlineStr">
        <is>
          <t>TABLA PROJECT</t>
        </is>
      </c>
      <c r="B20" s="80" t="inlineStr">
        <is>
          <t>(Duración = 10 días  |  CP = $B$3)</t>
        </is>
      </c>
    </row>
    <row r="21">
      <c r="A21" s="81" t="inlineStr">
        <is>
          <t>RECURSOS</t>
        </is>
      </c>
      <c r="B21" s="81" t="inlineStr">
        <is>
          <t>Un</t>
        </is>
      </c>
      <c r="C21" s="81" t="inlineStr">
        <is>
          <t>Cantidad</t>
        </is>
      </c>
      <c r="D21" s="81" t="inlineStr">
        <is>
          <t>V. Unitario</t>
        </is>
      </c>
      <c r="E21" s="81" t="inlineStr">
        <is>
          <t>Cantidad presupuesto</t>
        </is>
      </c>
      <c r="F21" s="81" t="inlineStr">
        <is>
          <t>Cant. Total</t>
        </is>
      </c>
      <c r="G21" s="81" t="inlineStr">
        <is>
          <t>Valor total</t>
        </is>
      </c>
    </row>
    <row r="22">
      <c r="A22" s="82" t="inlineStr">
        <is>
          <t>APU</t>
        </is>
      </c>
      <c r="B22" s="82" t="inlineStr">
        <is>
          <t>APU</t>
        </is>
      </c>
      <c r="C22" s="82" t="inlineStr">
        <is>
          <t>APU</t>
        </is>
      </c>
      <c r="D22" s="82" t="inlineStr">
        <is>
          <t>APU</t>
        </is>
      </c>
      <c r="E22" s="82" t="inlineStr">
        <is>
          <t>Presupuesto</t>
        </is>
      </c>
      <c r="F22" s="82" t="inlineStr">
        <is>
          <t>Cantidad × (1+Desp) × Cant. presup.</t>
        </is>
      </c>
      <c r="G22" s="82" t="inlineStr">
        <is>
          <t>Cant. Total × V. Unitario</t>
        </is>
      </c>
    </row>
    <row r="23">
      <c r="A23" s="68">
        <f>+A7</f>
        <v/>
      </c>
      <c r="B23" s="69">
        <f>+B7</f>
        <v/>
      </c>
      <c r="C23" s="68">
        <f>+C7</f>
        <v/>
      </c>
      <c r="D23" s="70">
        <f>+E7</f>
        <v/>
      </c>
      <c r="E23" s="68">
        <f>+$B$3</f>
        <v/>
      </c>
      <c r="F23" s="68">
        <f>C23*(1+D7)*E23</f>
        <v/>
      </c>
      <c r="G23" s="70">
        <f>F23*D23</f>
        <v/>
      </c>
    </row>
    <row r="24">
      <c r="A24" s="68">
        <f>+A8</f>
        <v/>
      </c>
      <c r="B24" s="69">
        <f>+B8</f>
        <v/>
      </c>
      <c r="C24" s="68">
        <f>+C8</f>
        <v/>
      </c>
      <c r="D24" s="70">
        <f>+E8</f>
        <v/>
      </c>
      <c r="E24" s="68">
        <f>+$B$3</f>
        <v/>
      </c>
      <c r="F24" s="68">
        <f>C24*(1+D8)*E24</f>
        <v/>
      </c>
      <c r="G24" s="70">
        <f>F24*D24</f>
        <v/>
      </c>
    </row>
    <row r="25">
      <c r="A25" s="68">
        <f>+A9</f>
        <v/>
      </c>
      <c r="B25" s="69">
        <f>+B9</f>
        <v/>
      </c>
      <c r="C25" s="68">
        <f>+C9</f>
        <v/>
      </c>
      <c r="D25" s="70">
        <f>+E9</f>
        <v/>
      </c>
      <c r="E25" s="68">
        <f>+$B$3</f>
        <v/>
      </c>
      <c r="F25" s="68">
        <f>C25*(1+D9)*E25</f>
        <v/>
      </c>
      <c r="G25" s="70">
        <f>F25*D25</f>
        <v/>
      </c>
    </row>
    <row r="26">
      <c r="A26" s="68">
        <f>+A10</f>
        <v/>
      </c>
      <c r="B26" s="69">
        <f>+B10</f>
        <v/>
      </c>
      <c r="C26" s="68">
        <f>+C10</f>
        <v/>
      </c>
      <c r="D26" s="70">
        <f>+E10</f>
        <v/>
      </c>
      <c r="E26" s="68">
        <f>+$B$3</f>
        <v/>
      </c>
      <c r="F26" s="68">
        <f>C26*(1+D10)*E26</f>
        <v/>
      </c>
      <c r="G26" s="70">
        <f>F26*D26</f>
        <v/>
      </c>
    </row>
    <row r="27">
      <c r="A27" s="68">
        <f>+A11</f>
        <v/>
      </c>
      <c r="B27" s="69">
        <f>+B11</f>
        <v/>
      </c>
      <c r="C27" s="68">
        <f>+C11</f>
        <v/>
      </c>
      <c r="D27" s="70">
        <f>+E11</f>
        <v/>
      </c>
      <c r="E27" s="68">
        <f>+$B$3</f>
        <v/>
      </c>
      <c r="F27" s="68">
        <f>C27*(1+D11)*E27</f>
        <v/>
      </c>
      <c r="G27" s="70">
        <f>F27*D27</f>
        <v/>
      </c>
    </row>
    <row r="28">
      <c r="A28" s="68">
        <f>+A12</f>
        <v/>
      </c>
      <c r="B28" s="69">
        <f>+B12</f>
        <v/>
      </c>
      <c r="C28" s="68">
        <f>+C12</f>
        <v/>
      </c>
      <c r="D28" s="70">
        <f>+E12</f>
        <v/>
      </c>
      <c r="E28" s="68">
        <f>+$B$3</f>
        <v/>
      </c>
      <c r="F28" s="68">
        <f>C28*(1+D12)*E28</f>
        <v/>
      </c>
      <c r="G28" s="70">
        <f>F28*D28</f>
        <v/>
      </c>
    </row>
    <row r="29">
      <c r="A29" s="68">
        <f>+A13</f>
        <v/>
      </c>
      <c r="B29" s="69">
        <f>+B13</f>
        <v/>
      </c>
      <c r="C29" s="68">
        <f>+C13</f>
        <v/>
      </c>
      <c r="D29" s="70">
        <f>+E13</f>
        <v/>
      </c>
      <c r="E29" s="68">
        <f>+$B$3</f>
        <v/>
      </c>
      <c r="F29" s="68">
        <f>C29*(1+D13)*E29</f>
        <v/>
      </c>
      <c r="G29" s="70">
        <f>F29*D29</f>
        <v/>
      </c>
    </row>
    <row r="30">
      <c r="E30" s="83" t="inlineStr">
        <is>
          <t>V. TOTAL</t>
        </is>
      </c>
      <c r="F30" s="84" t="inlineStr"/>
      <c r="G30" s="85">
        <f>SUM(G23:G29)</f>
        <v/>
      </c>
    </row>
    <row r="32">
      <c r="A32" s="79" t="inlineStr">
        <is>
          <t>FACTOR MULTIPLICADOR — MANO DE OBRA</t>
        </is>
      </c>
    </row>
    <row r="33">
      <c r="A33" s="81" t="inlineStr">
        <is>
          <t>V. Unitario mano de obra "TABLA APU"</t>
        </is>
      </c>
      <c r="B33" s="81" t="inlineStr">
        <is>
          <t>Horas trabajadas diarias</t>
        </is>
      </c>
      <c r="C33" s="81" t="inlineStr">
        <is>
          <t>Dias trabajados para cada tarea o actividad</t>
        </is>
      </c>
      <c r="D33" s="81" t="inlineStr">
        <is>
          <t>Producto (A X B X C)</t>
        </is>
      </c>
      <c r="E33" s="81" t="inlineStr">
        <is>
          <t>Valor Total mano de obra "TABLA PROJECT"</t>
        </is>
      </c>
      <c r="F33" s="81" t="inlineStr">
        <is>
          <t>FACTOR MULTIPLICADOR</t>
        </is>
      </c>
      <c r="G33" s="81" t="inlineStr">
        <is>
          <t>FACTOR MULTIPLICADOR - EN %</t>
        </is>
      </c>
      <c r="H33" s="81" t="inlineStr">
        <is>
          <t>Recurso</t>
        </is>
      </c>
    </row>
    <row r="34">
      <c r="A34" s="82" t="inlineStr">
        <is>
          <t>A</t>
        </is>
      </c>
      <c r="B34" s="82" t="inlineStr">
        <is>
          <t>B</t>
        </is>
      </c>
      <c r="C34" s="82" t="inlineStr">
        <is>
          <t>C</t>
        </is>
      </c>
      <c r="D34" s="82" t="inlineStr">
        <is>
          <t>D</t>
        </is>
      </c>
      <c r="E34" s="82" t="inlineStr">
        <is>
          <t>F</t>
        </is>
      </c>
      <c r="F34" s="82" t="inlineStr">
        <is>
          <t>F/D</t>
        </is>
      </c>
      <c r="G34" s="82" t="inlineStr">
        <is>
          <t>(F/D)*100</t>
        </is>
      </c>
    </row>
    <row r="35">
      <c r="A35" s="70">
        <f>+E13</f>
        <v/>
      </c>
      <c r="B35" s="69" t="n">
        <v>8</v>
      </c>
      <c r="C35" s="69" t="n">
        <v>10</v>
      </c>
      <c r="D35" s="70">
        <f>A35*B35*C35</f>
        <v/>
      </c>
      <c r="E35" s="70">
        <f>+G29</f>
        <v/>
      </c>
      <c r="F35" s="86">
        <f>+E35/D35</f>
        <v/>
      </c>
      <c r="G35" s="86">
        <f>+F35*100</f>
        <v/>
      </c>
      <c r="H35" s="68">
        <f>+A13</f>
        <v/>
      </c>
    </row>
  </sheetData>
  <mergeCells count="1">
    <mergeCell ref="B2:F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34"/>
  <sheetViews>
    <sheetView workbookViewId="0">
      <selection activeCell="F8" sqref="F8"/>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Muro en bloque ceramico</t>
        </is>
      </c>
      <c r="C2" s="63" t="n"/>
      <c r="D2" s="63" t="n"/>
      <c r="E2" s="63" t="n"/>
      <c r="F2" s="64" t="n"/>
    </row>
    <row r="3" ht="28.8" customHeight="1">
      <c r="A3" s="20" t="inlineStr">
        <is>
          <t>Cantidad definida en el presupuesto (CP)</t>
        </is>
      </c>
      <c r="B3" s="2" t="n">
        <v>140.28</v>
      </c>
      <c r="C3" s="2" t="inlineStr">
        <is>
          <t>m3</t>
        </is>
      </c>
    </row>
    <row r="4">
      <c r="A4" s="20" t="inlineStr">
        <is>
          <t>Valor del item en el presupuesto</t>
        </is>
      </c>
      <c r="B4" s="77" t="n">
        <v>6099771.252119999</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Impermeable sika imprimante</t>
        </is>
      </c>
      <c r="B7" s="22" t="inlineStr">
        <is>
          <t>Kg</t>
        </is>
      </c>
      <c r="C7" s="22" t="n">
        <v>0.3</v>
      </c>
      <c r="D7" s="22" t="n">
        <v>0</v>
      </c>
      <c r="E7" s="22" t="n">
        <v>6200</v>
      </c>
      <c r="F7" s="66">
        <f>+C7*E7</f>
        <v/>
      </c>
      <c r="G7" s="89" t="n"/>
    </row>
    <row r="8">
      <c r="A8" s="22" t="inlineStr">
        <is>
          <t>Bloque ceramico</t>
        </is>
      </c>
      <c r="B8" s="22" t="inlineStr">
        <is>
          <t>Un</t>
        </is>
      </c>
      <c r="C8" s="22" t="n">
        <v>30</v>
      </c>
      <c r="D8" s="33" t="n">
        <v>0.03</v>
      </c>
      <c r="E8" s="22" t="n">
        <v>680</v>
      </c>
      <c r="F8" s="66">
        <f>+C8*E8*1.03</f>
        <v/>
      </c>
      <c r="G8" s="89" t="n"/>
    </row>
    <row r="9">
      <c r="A9" s="22" t="inlineStr">
        <is>
          <t>Mortero de pega 1:4</t>
        </is>
      </c>
      <c r="B9" s="22" t="inlineStr">
        <is>
          <t>m3</t>
        </is>
      </c>
      <c r="C9" s="22" t="n">
        <v>0.02</v>
      </c>
      <c r="D9" s="22" t="n">
        <v>0</v>
      </c>
      <c r="E9" s="22" t="n">
        <v>312000</v>
      </c>
      <c r="F9" s="66">
        <f>+C9*E9</f>
        <v/>
      </c>
      <c r="G9" s="89" t="n"/>
    </row>
    <row r="10">
      <c r="A10" s="22" t="inlineStr">
        <is>
          <t>Herramienta menor 12</t>
        </is>
      </c>
      <c r="B10" s="22" t="inlineStr">
        <is>
          <t>%mo</t>
        </is>
      </c>
      <c r="C10" s="22" t="n">
        <v>0.05</v>
      </c>
      <c r="D10" s="22" t="n">
        <v>0</v>
      </c>
      <c r="E10" s="22" t="n">
        <v>11584.38</v>
      </c>
      <c r="F10" s="66">
        <f>+C10*E10</f>
        <v/>
      </c>
      <c r="G10" s="89" t="n"/>
    </row>
    <row r="11">
      <c r="A11" s="22" t="inlineStr">
        <is>
          <t>Mezcla grouting 3000psi</t>
        </is>
      </c>
      <c r="B11" s="22" t="inlineStr">
        <is>
          <t>m3</t>
        </is>
      </c>
      <c r="C11" s="22" t="n">
        <v>0.006</v>
      </c>
      <c r="D11" s="33" t="n">
        <v>0.03</v>
      </c>
      <c r="E11" s="22" t="n">
        <v>337000</v>
      </c>
      <c r="F11" s="66">
        <f>+C11*E11*1.03</f>
        <v/>
      </c>
      <c r="G11" s="89" t="n"/>
    </row>
    <row r="12">
      <c r="A12" s="22" t="inlineStr">
        <is>
          <t>Andamio</t>
        </is>
      </c>
      <c r="B12" s="22" t="inlineStr">
        <is>
          <t>Glb</t>
        </is>
      </c>
      <c r="C12" s="22" t="n">
        <v>0.07000000000000001</v>
      </c>
      <c r="D12" s="22" t="n">
        <v>0</v>
      </c>
      <c r="E12" s="22" t="n">
        <v>1740</v>
      </c>
      <c r="F12" s="66">
        <f>+C12*E12</f>
        <v/>
      </c>
      <c r="G12" s="89" t="n"/>
    </row>
    <row r="13">
      <c r="A13" s="22" t="inlineStr">
        <is>
          <t>mano de obra cuadrilla aa 5</t>
        </is>
      </c>
      <c r="B13" s="22" t="inlineStr">
        <is>
          <t>Hc</t>
        </is>
      </c>
      <c r="C13" s="22" t="n">
        <v>1</v>
      </c>
      <c r="D13" s="22" t="n">
        <v>0</v>
      </c>
      <c r="E13" s="22" t="n">
        <v>11587.15</v>
      </c>
      <c r="F13" s="66">
        <f>+C13*E13</f>
        <v/>
      </c>
      <c r="G13" s="89" t="n"/>
    </row>
    <row r="14">
      <c r="E14" s="58" t="inlineStr">
        <is>
          <t>V. Total</t>
        </is>
      </c>
      <c r="F14" s="77">
        <f>SUM(F7:F13)</f>
        <v/>
      </c>
      <c r="G14" s="89" t="n"/>
    </row>
    <row r="15">
      <c r="G15" s="89" t="n"/>
    </row>
    <row r="16">
      <c r="G16" s="89" t="n"/>
    </row>
    <row r="19">
      <c r="A19" s="79" t="inlineStr">
        <is>
          <t>TABLA PROJECT</t>
        </is>
      </c>
      <c r="B19" s="80" t="inlineStr">
        <is>
          <t>(Duración = 8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+A7</f>
        <v/>
      </c>
      <c r="B22" s="69">
        <f>+B7</f>
        <v/>
      </c>
      <c r="C22" s="68">
        <f>+C7</f>
        <v/>
      </c>
      <c r="D22" s="70">
        <f>+E7</f>
        <v/>
      </c>
      <c r="E22" s="68">
        <f>+$B$3</f>
        <v/>
      </c>
      <c r="F22" s="68">
        <f>C22*(1+D7)*E22</f>
        <v/>
      </c>
      <c r="G22" s="70">
        <f>F22*D22</f>
        <v/>
      </c>
    </row>
    <row r="23">
      <c r="A23" s="68">
        <f>+A8</f>
        <v/>
      </c>
      <c r="B23" s="69">
        <f>+B8</f>
        <v/>
      </c>
      <c r="C23" s="68">
        <f>+C8</f>
        <v/>
      </c>
      <c r="D23" s="70">
        <f>+E8</f>
        <v/>
      </c>
      <c r="E23" s="68">
        <f>+$B$3</f>
        <v/>
      </c>
      <c r="F23" s="68">
        <f>C23*(1+D8)*E23</f>
        <v/>
      </c>
      <c r="G23" s="70">
        <f>F23*D23</f>
        <v/>
      </c>
    </row>
    <row r="24">
      <c r="A24" s="68">
        <f>+A9</f>
        <v/>
      </c>
      <c r="B24" s="69">
        <f>+B9</f>
        <v/>
      </c>
      <c r="C24" s="68">
        <f>+C9</f>
        <v/>
      </c>
      <c r="D24" s="70">
        <f>+E9</f>
        <v/>
      </c>
      <c r="E24" s="68">
        <f>+$B$3</f>
        <v/>
      </c>
      <c r="F24" s="68">
        <f>C24*(1+D9)*E24</f>
        <v/>
      </c>
      <c r="G24" s="70">
        <f>F24*D24</f>
        <v/>
      </c>
    </row>
    <row r="25">
      <c r="A25" s="68">
        <f>+A10</f>
        <v/>
      </c>
      <c r="B25" s="69">
        <f>+B10</f>
        <v/>
      </c>
      <c r="C25" s="68">
        <f>+C10</f>
        <v/>
      </c>
      <c r="D25" s="70">
        <f>+E10</f>
        <v/>
      </c>
      <c r="E25" s="68">
        <f>+$B$3</f>
        <v/>
      </c>
      <c r="F25" s="68">
        <f>C25*(1+D10)*E25</f>
        <v/>
      </c>
      <c r="G25" s="70">
        <f>F25*D25</f>
        <v/>
      </c>
    </row>
    <row r="26">
      <c r="A26" s="68">
        <f>+A11</f>
        <v/>
      </c>
      <c r="B26" s="69">
        <f>+B11</f>
        <v/>
      </c>
      <c r="C26" s="68">
        <f>+C11</f>
        <v/>
      </c>
      <c r="D26" s="70">
        <f>+E11</f>
        <v/>
      </c>
      <c r="E26" s="68">
        <f>+$B$3</f>
        <v/>
      </c>
      <c r="F26" s="68">
        <f>C26*(1+D11)*E26</f>
        <v/>
      </c>
      <c r="G26" s="70">
        <f>F26*D26</f>
        <v/>
      </c>
    </row>
    <row r="27">
      <c r="A27" s="68">
        <f>+A12</f>
        <v/>
      </c>
      <c r="B27" s="69">
        <f>+B12</f>
        <v/>
      </c>
      <c r="C27" s="68">
        <f>+C12</f>
        <v/>
      </c>
      <c r="D27" s="70">
        <f>+E12</f>
        <v/>
      </c>
      <c r="E27" s="68">
        <f>+$B$3</f>
        <v/>
      </c>
      <c r="F27" s="68">
        <f>C27*(1+D12)*E27</f>
        <v/>
      </c>
      <c r="G27" s="70">
        <f>F27*D27</f>
        <v/>
      </c>
    </row>
    <row r="28">
      <c r="A28" s="68">
        <f>+A13</f>
        <v/>
      </c>
      <c r="B28" s="69">
        <f>+B13</f>
        <v/>
      </c>
      <c r="C28" s="68">
        <f>+C13</f>
        <v/>
      </c>
      <c r="D28" s="70">
        <f>+E13</f>
        <v/>
      </c>
      <c r="E28" s="68">
        <f>+$B$3</f>
        <v/>
      </c>
      <c r="F28" s="68">
        <f>C28*(1+D13)*E28</f>
        <v/>
      </c>
      <c r="G28" s="70">
        <f>F28*D28</f>
        <v/>
      </c>
    </row>
    <row r="29">
      <c r="E29" s="83" t="inlineStr">
        <is>
          <t>V. TOTAL</t>
        </is>
      </c>
      <c r="F29" s="84" t="inlineStr"/>
      <c r="G29" s="85">
        <f>SUM(G22:G28)</f>
        <v/>
      </c>
    </row>
    <row r="31">
      <c r="A31" s="79" t="inlineStr">
        <is>
          <t>FACTOR MULTIPLICADOR — MANO DE OBRA</t>
        </is>
      </c>
    </row>
    <row r="32">
      <c r="A32" s="81" t="inlineStr">
        <is>
          <t>V. Unitario mano de obra "TABLA APU"</t>
        </is>
      </c>
      <c r="B32" s="81" t="inlineStr">
        <is>
          <t>Horas trabajadas diarias</t>
        </is>
      </c>
      <c r="C32" s="81" t="inlineStr">
        <is>
          <t>Dias trabajados para cada tarea o actividad</t>
        </is>
      </c>
      <c r="D32" s="81" t="inlineStr">
        <is>
          <t>Producto (A X B X C)</t>
        </is>
      </c>
      <c r="E32" s="81" t="inlineStr">
        <is>
          <t>Valor Total mano de obra "TABLA PROJECT"</t>
        </is>
      </c>
      <c r="F32" s="81" t="inlineStr">
        <is>
          <t>FACTOR MULTIPLICADOR</t>
        </is>
      </c>
      <c r="G32" s="81" t="inlineStr">
        <is>
          <t>FACTOR MULTIPLICADOR - EN %</t>
        </is>
      </c>
      <c r="H32" s="81" t="inlineStr">
        <is>
          <t>Recurso</t>
        </is>
      </c>
    </row>
    <row r="33">
      <c r="A33" s="82" t="inlineStr">
        <is>
          <t>A</t>
        </is>
      </c>
      <c r="B33" s="82" t="inlineStr">
        <is>
          <t>B</t>
        </is>
      </c>
      <c r="C33" s="82" t="inlineStr">
        <is>
          <t>C</t>
        </is>
      </c>
      <c r="D33" s="82" t="inlineStr">
        <is>
          <t>D</t>
        </is>
      </c>
      <c r="E33" s="82" t="inlineStr">
        <is>
          <t>F</t>
        </is>
      </c>
      <c r="F33" s="82" t="inlineStr">
        <is>
          <t>F/D</t>
        </is>
      </c>
      <c r="G33" s="82" t="inlineStr">
        <is>
          <t>(F/D)*100</t>
        </is>
      </c>
    </row>
    <row r="34">
      <c r="A34" s="70">
        <f>+E13</f>
        <v/>
      </c>
      <c r="B34" s="69" t="n">
        <v>8</v>
      </c>
      <c r="C34" s="69" t="n">
        <v>8</v>
      </c>
      <c r="D34" s="70">
        <f>A34*B34*C34</f>
        <v/>
      </c>
      <c r="E34" s="70">
        <f>+G28</f>
        <v/>
      </c>
      <c r="F34" s="86">
        <f>+E34/D34</f>
        <v/>
      </c>
      <c r="G34" s="86">
        <f>+F34*100</f>
        <v/>
      </c>
      <c r="H34" s="68">
        <f>+A13</f>
        <v/>
      </c>
    </row>
  </sheetData>
  <mergeCells count="1">
    <mergeCell ref="B2:F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33"/>
  <sheetViews>
    <sheetView workbookViewId="0">
      <selection activeCell="G21" sqref="G21"/>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Pañete en interiores primer piso, e= 0.02 m, 1:3</t>
        </is>
      </c>
      <c r="C2" s="63" t="n"/>
      <c r="D2" s="63" t="n"/>
      <c r="E2" s="63" t="n"/>
      <c r="F2" s="64" t="n"/>
    </row>
    <row r="3" ht="28.8" customHeight="1">
      <c r="A3" s="20" t="inlineStr">
        <is>
          <t>Cantidad definida en el presupuesto (CP)</t>
        </is>
      </c>
      <c r="B3" s="2" t="n">
        <v>195.49</v>
      </c>
      <c r="C3" s="2" t="inlineStr">
        <is>
          <t>m2</t>
        </is>
      </c>
    </row>
    <row r="4">
      <c r="A4" s="20" t="inlineStr">
        <is>
          <t>Valor del item en el presupuesto</t>
        </is>
      </c>
      <c r="B4" s="77" t="n">
        <v>3600415.57</v>
      </c>
      <c r="C4" s="2"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22" t="inlineStr">
        <is>
          <t>Mortero de pega 1:4</t>
        </is>
      </c>
      <c r="B7" s="22" t="inlineStr">
        <is>
          <t>m3</t>
        </is>
      </c>
      <c r="C7" s="22" t="n">
        <v>0.03</v>
      </c>
      <c r="D7" s="33" t="n">
        <v>0.05</v>
      </c>
      <c r="E7" s="22" t="n">
        <v>312000</v>
      </c>
      <c r="F7" s="66">
        <f>+C7*E7*1.05</f>
        <v/>
      </c>
      <c r="G7" s="89" t="n"/>
    </row>
    <row r="8">
      <c r="A8" s="22" t="inlineStr">
        <is>
          <t xml:space="preserve">mano de obra cuadrilla aa 6 </t>
        </is>
      </c>
      <c r="B8" s="22" t="inlineStr">
        <is>
          <t>Hc</t>
        </is>
      </c>
      <c r="C8" s="22" t="n">
        <v>0.45</v>
      </c>
      <c r="D8" s="22" t="n">
        <v>0</v>
      </c>
      <c r="E8" s="22" t="n">
        <v>15527.06</v>
      </c>
      <c r="F8" s="66">
        <f>+C8*E8</f>
        <v/>
      </c>
      <c r="G8" s="89" t="n"/>
    </row>
    <row r="9">
      <c r="A9" s="22" t="inlineStr">
        <is>
          <t>Herramienta menor 13</t>
        </is>
      </c>
      <c r="B9" s="22" t="inlineStr">
        <is>
          <t>%mo</t>
        </is>
      </c>
      <c r="C9" s="22" t="n">
        <v>0.05</v>
      </c>
      <c r="D9" s="22" t="n">
        <v>0</v>
      </c>
      <c r="E9" s="22" t="n">
        <v>6987.18</v>
      </c>
      <c r="F9" s="66">
        <f>+C9*E9</f>
        <v/>
      </c>
      <c r="G9" s="89" t="n"/>
    </row>
    <row r="10">
      <c r="A10" s="22" t="inlineStr">
        <is>
          <t>Andamio</t>
        </is>
      </c>
      <c r="B10" s="22" t="inlineStr">
        <is>
          <t>Und</t>
        </is>
      </c>
      <c r="C10" s="22" t="n">
        <v>0.1</v>
      </c>
      <c r="D10" s="22" t="n">
        <v>0</v>
      </c>
      <c r="E10" s="22" t="n">
        <v>1100</v>
      </c>
      <c r="F10" s="66">
        <f>+C10*E10</f>
        <v/>
      </c>
      <c r="G10" s="89" t="n"/>
    </row>
    <row r="11">
      <c r="A11" s="22" t="inlineStr">
        <is>
          <t>Volqueta transporte materiales petreos</t>
        </is>
      </c>
      <c r="B11" s="22" t="inlineStr">
        <is>
          <t>m3</t>
        </is>
      </c>
      <c r="C11" s="22" t="n">
        <v>0.032</v>
      </c>
      <c r="D11" s="22" t="n">
        <v>0</v>
      </c>
      <c r="E11" s="22" t="n">
        <v>35714.29</v>
      </c>
      <c r="F11" s="66">
        <f>+C11*E11</f>
        <v/>
      </c>
      <c r="G11" s="89" t="n"/>
    </row>
    <row r="12">
      <c r="E12" s="5" t="inlineStr">
        <is>
          <t>V. Total</t>
        </is>
      </c>
      <c r="F12" s="67">
        <f>SUM(F7:F11)</f>
        <v/>
      </c>
      <c r="G12" s="89" t="n"/>
    </row>
    <row r="13">
      <c r="G13" s="89" t="n"/>
    </row>
    <row r="14">
      <c r="G14" s="89" t="n"/>
    </row>
    <row r="15">
      <c r="G15" s="89" t="n"/>
    </row>
    <row r="17">
      <c r="A17" s="39" t="n"/>
      <c r="B17" s="39" t="n"/>
    </row>
    <row r="20">
      <c r="A20" s="79" t="inlineStr">
        <is>
          <t>TABLA PROJECT</t>
        </is>
      </c>
      <c r="B20" s="80" t="inlineStr">
        <is>
          <t>(Duración = 6 días  |  CP = $B$3)</t>
        </is>
      </c>
    </row>
    <row r="21">
      <c r="A21" s="81" t="inlineStr">
        <is>
          <t>RECURSOS</t>
        </is>
      </c>
      <c r="B21" s="81" t="inlineStr">
        <is>
          <t>Un</t>
        </is>
      </c>
      <c r="C21" s="81" t="inlineStr">
        <is>
          <t>Cantidad</t>
        </is>
      </c>
      <c r="D21" s="81" t="inlineStr">
        <is>
          <t>V. Unitario</t>
        </is>
      </c>
      <c r="E21" s="81" t="inlineStr">
        <is>
          <t>Cantidad presupuesto</t>
        </is>
      </c>
      <c r="F21" s="81" t="inlineStr">
        <is>
          <t>Cant. Total</t>
        </is>
      </c>
      <c r="G21" s="81" t="inlineStr">
        <is>
          <t>Valor total</t>
        </is>
      </c>
    </row>
    <row r="22">
      <c r="A22" s="82" t="inlineStr">
        <is>
          <t>APU</t>
        </is>
      </c>
      <c r="B22" s="82" t="inlineStr">
        <is>
          <t>APU</t>
        </is>
      </c>
      <c r="C22" s="82" t="inlineStr">
        <is>
          <t>APU</t>
        </is>
      </c>
      <c r="D22" s="82" t="inlineStr">
        <is>
          <t>APU</t>
        </is>
      </c>
      <c r="E22" s="82" t="inlineStr">
        <is>
          <t>Presupuesto</t>
        </is>
      </c>
      <c r="F22" s="82" t="inlineStr">
        <is>
          <t>Cantidad × (1+Desp) × Cant. presup.</t>
        </is>
      </c>
      <c r="G22" s="82" t="inlineStr">
        <is>
          <t>Cant. Total × V. Unitario</t>
        </is>
      </c>
    </row>
    <row r="23">
      <c r="A23" s="68">
        <f>+A7</f>
        <v/>
      </c>
      <c r="B23" s="69">
        <f>+B7</f>
        <v/>
      </c>
      <c r="C23" s="68">
        <f>+C7</f>
        <v/>
      </c>
      <c r="D23" s="70">
        <f>+E7</f>
        <v/>
      </c>
      <c r="E23" s="68">
        <f>+$B$3</f>
        <v/>
      </c>
      <c r="F23" s="68">
        <f>C23*(1+D7)*E23</f>
        <v/>
      </c>
      <c r="G23" s="70">
        <f>F23*D23</f>
        <v/>
      </c>
    </row>
    <row r="24">
      <c r="A24" s="68">
        <f>+A8</f>
        <v/>
      </c>
      <c r="B24" s="69">
        <f>+B8</f>
        <v/>
      </c>
      <c r="C24" s="68">
        <f>+C8</f>
        <v/>
      </c>
      <c r="D24" s="70">
        <f>+E8</f>
        <v/>
      </c>
      <c r="E24" s="68">
        <f>+$B$3</f>
        <v/>
      </c>
      <c r="F24" s="68">
        <f>C24*(1+D8)*E24</f>
        <v/>
      </c>
      <c r="G24" s="70">
        <f>F24*D24</f>
        <v/>
      </c>
    </row>
    <row r="25">
      <c r="A25" s="68">
        <f>+A9</f>
        <v/>
      </c>
      <c r="B25" s="69">
        <f>+B9</f>
        <v/>
      </c>
      <c r="C25" s="68">
        <f>+C9</f>
        <v/>
      </c>
      <c r="D25" s="70">
        <f>+E9</f>
        <v/>
      </c>
      <c r="E25" s="68">
        <f>+$B$3</f>
        <v/>
      </c>
      <c r="F25" s="68">
        <f>C25*(1+D9)*E25</f>
        <v/>
      </c>
      <c r="G25" s="70">
        <f>F25*D25</f>
        <v/>
      </c>
    </row>
    <row r="26">
      <c r="A26" s="68">
        <f>+A10</f>
        <v/>
      </c>
      <c r="B26" s="69">
        <f>+B10</f>
        <v/>
      </c>
      <c r="C26" s="68">
        <f>+C10</f>
        <v/>
      </c>
      <c r="D26" s="70">
        <f>+E10</f>
        <v/>
      </c>
      <c r="E26" s="68">
        <f>+$B$3</f>
        <v/>
      </c>
      <c r="F26" s="68">
        <f>C26*(1+D10)*E26</f>
        <v/>
      </c>
      <c r="G26" s="70">
        <f>F26*D26</f>
        <v/>
      </c>
    </row>
    <row r="27">
      <c r="A27" s="68">
        <f>+A11</f>
        <v/>
      </c>
      <c r="B27" s="69">
        <f>+B11</f>
        <v/>
      </c>
      <c r="C27" s="68">
        <f>+C11</f>
        <v/>
      </c>
      <c r="D27" s="70">
        <f>+E11</f>
        <v/>
      </c>
      <c r="E27" s="68">
        <f>+$B$3</f>
        <v/>
      </c>
      <c r="F27" s="68">
        <f>C27*(1+D11)*E27</f>
        <v/>
      </c>
      <c r="G27" s="70">
        <f>F27*D27</f>
        <v/>
      </c>
    </row>
    <row r="28">
      <c r="E28" s="83" t="inlineStr">
        <is>
          <t>V. TOTAL</t>
        </is>
      </c>
      <c r="F28" s="84" t="inlineStr"/>
      <c r="G28" s="85">
        <f>SUM(G23:G27)</f>
        <v/>
      </c>
    </row>
    <row r="30">
      <c r="A30" s="79" t="inlineStr">
        <is>
          <t>FACTOR MULTIPLICADOR — MANO DE OBRA</t>
        </is>
      </c>
    </row>
    <row r="31">
      <c r="A31" s="81" t="inlineStr">
        <is>
          <t>V. Unitario mano de obra "TABLA APU"</t>
        </is>
      </c>
      <c r="B31" s="81" t="inlineStr">
        <is>
          <t>Horas trabajadas diarias</t>
        </is>
      </c>
      <c r="C31" s="81" t="inlineStr">
        <is>
          <t>Dias trabajados para cada tarea o actividad</t>
        </is>
      </c>
      <c r="D31" s="81" t="inlineStr">
        <is>
          <t>Producto (A X B X C)</t>
        </is>
      </c>
      <c r="E31" s="81" t="inlineStr">
        <is>
          <t>Valor Total mano de obra "TABLA PROJECT"</t>
        </is>
      </c>
      <c r="F31" s="81" t="inlineStr">
        <is>
          <t>FACTOR MULTIPLICADOR</t>
        </is>
      </c>
      <c r="G31" s="81" t="inlineStr">
        <is>
          <t>FACTOR MULTIPLICADOR - EN %</t>
        </is>
      </c>
      <c r="H31" s="81" t="inlineStr">
        <is>
          <t>Recurso</t>
        </is>
      </c>
    </row>
    <row r="32">
      <c r="A32" s="82" t="inlineStr">
        <is>
          <t>A</t>
        </is>
      </c>
      <c r="B32" s="82" t="inlineStr">
        <is>
          <t>B</t>
        </is>
      </c>
      <c r="C32" s="82" t="inlineStr">
        <is>
          <t>C</t>
        </is>
      </c>
      <c r="D32" s="82" t="inlineStr">
        <is>
          <t>D</t>
        </is>
      </c>
      <c r="E32" s="82" t="inlineStr">
        <is>
          <t>F</t>
        </is>
      </c>
      <c r="F32" s="82" t="inlineStr">
        <is>
          <t>F/D</t>
        </is>
      </c>
      <c r="G32" s="82" t="inlineStr">
        <is>
          <t>(F/D)*100</t>
        </is>
      </c>
    </row>
    <row r="33">
      <c r="A33" s="70">
        <f>+E8</f>
        <v/>
      </c>
      <c r="B33" s="69" t="n">
        <v>8</v>
      </c>
      <c r="C33" s="69" t="n">
        <v>6</v>
      </c>
      <c r="D33" s="70">
        <f>A33*B33*C33</f>
        <v/>
      </c>
      <c r="E33" s="70">
        <f>+G24</f>
        <v/>
      </c>
      <c r="F33" s="86">
        <f>+E33/D33</f>
        <v/>
      </c>
      <c r="G33" s="86">
        <f>+F33*100</f>
        <v/>
      </c>
      <c r="H33" s="68">
        <f>+A8</f>
        <v/>
      </c>
    </row>
  </sheetData>
  <mergeCells count="1">
    <mergeCell ref="B2:F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44"/>
  <sheetViews>
    <sheetView workbookViewId="0">
      <selection activeCell="F24" sqref="F24"/>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Suministro e instalación perfil cajón hr 120x60mm</t>
        </is>
      </c>
      <c r="C2" s="63" t="n"/>
      <c r="D2" s="63" t="n"/>
      <c r="E2" s="63" t="n"/>
      <c r="F2" s="64" t="n"/>
    </row>
    <row r="3" ht="28.8" customHeight="1">
      <c r="A3" s="20" t="inlineStr">
        <is>
          <t>Cantidad definida en el presupuesto (CP)</t>
        </is>
      </c>
      <c r="B3" s="8" t="n">
        <v>105.6</v>
      </c>
      <c r="C3" s="8" t="inlineStr">
        <is>
          <t>m</t>
        </is>
      </c>
    </row>
    <row r="4">
      <c r="A4" s="20" t="inlineStr">
        <is>
          <t>Valor del item en el presupuesto</t>
        </is>
      </c>
      <c r="B4" s="67" t="n">
        <v>4727247.36</v>
      </c>
      <c r="C4" s="8"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43" t="inlineStr">
        <is>
          <t>Thinner</t>
        </is>
      </c>
      <c r="B7" s="47" t="inlineStr">
        <is>
          <t>Gls</t>
        </is>
      </c>
      <c r="C7" s="47" t="n">
        <v>0.05</v>
      </c>
      <c r="D7" s="22" t="n">
        <v>0</v>
      </c>
      <c r="E7" s="47" t="n">
        <v>15500</v>
      </c>
      <c r="F7" s="66">
        <f>+C7*E7</f>
        <v/>
      </c>
      <c r="G7" s="89" t="n"/>
    </row>
    <row r="8">
      <c r="A8" s="43" t="inlineStr">
        <is>
          <t>Anticorrosivo rojo</t>
        </is>
      </c>
      <c r="B8" s="47" t="inlineStr">
        <is>
          <t>Gls</t>
        </is>
      </c>
      <c r="C8" s="47" t="n">
        <v>0.08</v>
      </c>
      <c r="D8" s="22" t="n">
        <v>0</v>
      </c>
      <c r="E8" s="47" t="n">
        <v>24000</v>
      </c>
      <c r="F8" s="66">
        <f>+C8*E8</f>
        <v/>
      </c>
      <c r="G8" s="89" t="n"/>
    </row>
    <row r="9">
      <c r="A9" s="43" t="inlineStr">
        <is>
          <t>Soldadura 6011 x 1/8”</t>
        </is>
      </c>
      <c r="B9" s="47" t="inlineStr">
        <is>
          <t>Kg</t>
        </is>
      </c>
      <c r="C9" t="n">
        <v>0.166</v>
      </c>
      <c r="D9" s="22" t="n">
        <v>0</v>
      </c>
      <c r="E9" s="47" t="n">
        <v>8100</v>
      </c>
      <c r="F9" s="66">
        <f>+C9*E9</f>
        <v/>
      </c>
      <c r="G9" s="89" t="n"/>
    </row>
    <row r="10">
      <c r="A10" s="43" t="inlineStr">
        <is>
          <t>Perfil hr c120mmx60mm‑1.5</t>
        </is>
      </c>
      <c r="B10" s="47" t="inlineStr">
        <is>
          <t>Und</t>
        </is>
      </c>
      <c r="C10" s="47" t="n">
        <v>0.34</v>
      </c>
      <c r="D10" s="22" t="n">
        <v>0</v>
      </c>
      <c r="E10" s="47" t="n">
        <v>56900</v>
      </c>
      <c r="F10" s="66">
        <f>+C10*E10</f>
        <v/>
      </c>
    </row>
    <row r="11">
      <c r="A11" s="43" t="inlineStr">
        <is>
          <t>Mano obra albañilería 2 ayudante</t>
        </is>
      </c>
      <c r="B11" s="47" t="inlineStr">
        <is>
          <t>Und</t>
        </is>
      </c>
      <c r="C11" s="47" t="n">
        <v>0.05</v>
      </c>
      <c r="D11" s="22" t="n">
        <v>0</v>
      </c>
      <c r="E11" s="47" t="n">
        <v>10624.8</v>
      </c>
      <c r="F11" s="66">
        <f>+C11*E11</f>
        <v/>
      </c>
    </row>
    <row r="12">
      <c r="A12" s="43" t="inlineStr">
        <is>
          <t>Mano obra carp.taller ayudante‑1 ofi</t>
        </is>
      </c>
      <c r="B12" s="47" t="inlineStr">
        <is>
          <t>Hc</t>
        </is>
      </c>
      <c r="C12" s="47" t="n">
        <v>0.5</v>
      </c>
      <c r="D12" s="22" t="n">
        <v>0</v>
      </c>
      <c r="E12" s="47" t="n">
        <v>23369.89</v>
      </c>
      <c r="F12" s="66">
        <f>+C12*E12</f>
        <v/>
      </c>
    </row>
    <row r="13">
      <c r="A13" s="43" t="inlineStr">
        <is>
          <t>Mano obra pintura 1 ayudante‑1 ofi</t>
        </is>
      </c>
      <c r="B13" s="47" t="inlineStr">
        <is>
          <t>Hc</t>
        </is>
      </c>
      <c r="C13" s="47" t="n">
        <v>0.1</v>
      </c>
      <c r="D13" s="22" t="n">
        <v>0</v>
      </c>
      <c r="E13" s="47" t="n">
        <v>17323.9</v>
      </c>
      <c r="F13" s="66">
        <f>+C13*E13</f>
        <v/>
      </c>
    </row>
    <row r="14">
      <c r="A14" s="43" t="inlineStr">
        <is>
          <t>Pulidora con piedra o disco</t>
        </is>
      </c>
      <c r="B14" s="47" t="inlineStr">
        <is>
          <t>Día</t>
        </is>
      </c>
      <c r="C14" s="47" t="n">
        <v>0.08</v>
      </c>
      <c r="D14" s="22" t="n">
        <v>0</v>
      </c>
      <c r="E14" s="47" t="n">
        <v>26000</v>
      </c>
      <c r="F14" s="66">
        <f>+C14*E14</f>
        <v/>
      </c>
    </row>
    <row r="15">
      <c r="A15" s="43" t="inlineStr">
        <is>
          <t>Soldador eléctrico</t>
        </is>
      </c>
      <c r="B15" s="47" t="inlineStr">
        <is>
          <t>Día</t>
        </is>
      </c>
      <c r="C15" s="47" t="n">
        <v>0.12</v>
      </c>
      <c r="D15" s="22" t="n">
        <v>0</v>
      </c>
      <c r="E15" s="47" t="n">
        <v>28700</v>
      </c>
      <c r="F15" s="66">
        <f>+C15*E15</f>
        <v/>
      </c>
    </row>
    <row r="16">
      <c r="A16" s="43" t="inlineStr">
        <is>
          <t>Oxicorte (oxígeno‑acetileno)</t>
        </is>
      </c>
      <c r="B16" s="47" t="inlineStr">
        <is>
          <t>Día</t>
        </is>
      </c>
      <c r="C16" s="47" t="n">
        <v>0.04</v>
      </c>
      <c r="D16" s="22" t="n">
        <v>0</v>
      </c>
      <c r="E16" s="47" t="n">
        <v>27500</v>
      </c>
      <c r="F16" s="66">
        <f>+C16*E16</f>
        <v/>
      </c>
    </row>
    <row r="17">
      <c r="A17" s="43" t="inlineStr">
        <is>
          <t>Andamio metálico tubular</t>
        </is>
      </c>
      <c r="B17" s="47" t="inlineStr">
        <is>
          <t>Und/d</t>
        </is>
      </c>
      <c r="C17" s="47" t="n">
        <v>0.1</v>
      </c>
      <c r="D17" s="22" t="n">
        <v>0</v>
      </c>
      <c r="E17" s="47" t="n">
        <v>1100</v>
      </c>
      <c r="F17" s="66">
        <f>+C17*E17</f>
        <v/>
      </c>
    </row>
    <row r="18">
      <c r="A18" s="43" t="inlineStr">
        <is>
          <t>Herramienta menor 14</t>
        </is>
      </c>
      <c r="B18" s="47" t="inlineStr">
        <is>
          <t>%mo</t>
        </is>
      </c>
      <c r="C18" s="47" t="n">
        <v>0.05</v>
      </c>
      <c r="D18" s="22" t="n">
        <v>0</v>
      </c>
      <c r="E18" s="47" t="n">
        <v>13948.58</v>
      </c>
      <c r="F18" s="66">
        <f>+C18*E18</f>
        <v/>
      </c>
    </row>
    <row r="19">
      <c r="E19" s="5" t="inlineStr">
        <is>
          <t>V. Total</t>
        </is>
      </c>
      <c r="F19" s="67">
        <f>SUM(F7:F18)</f>
        <v/>
      </c>
    </row>
    <row r="22">
      <c r="A22" s="79" t="inlineStr">
        <is>
          <t>TABLA PROJECT</t>
        </is>
      </c>
      <c r="B22" s="80" t="inlineStr">
        <is>
          <t>(Duración = 3 días  |  CP = $B$3)</t>
        </is>
      </c>
    </row>
    <row r="23">
      <c r="A23" s="81" t="inlineStr">
        <is>
          <t>RECURSOS</t>
        </is>
      </c>
      <c r="B23" s="81" t="inlineStr">
        <is>
          <t>Un</t>
        </is>
      </c>
      <c r="C23" s="81" t="inlineStr">
        <is>
          <t>Cantidad</t>
        </is>
      </c>
      <c r="D23" s="81" t="inlineStr">
        <is>
          <t>V. Unitario</t>
        </is>
      </c>
      <c r="E23" s="81" t="inlineStr">
        <is>
          <t>Cantidad presupuesto</t>
        </is>
      </c>
      <c r="F23" s="81" t="inlineStr">
        <is>
          <t>Cant. Total</t>
        </is>
      </c>
      <c r="G23" s="81" t="inlineStr">
        <is>
          <t>Valor total</t>
        </is>
      </c>
    </row>
    <row r="24">
      <c r="A24" s="82" t="inlineStr">
        <is>
          <t>APU</t>
        </is>
      </c>
      <c r="B24" s="82" t="inlineStr">
        <is>
          <t>APU</t>
        </is>
      </c>
      <c r="C24" s="82" t="inlineStr">
        <is>
          <t>APU</t>
        </is>
      </c>
      <c r="D24" s="82" t="inlineStr">
        <is>
          <t>APU</t>
        </is>
      </c>
      <c r="E24" s="82" t="inlineStr">
        <is>
          <t>Presupuesto</t>
        </is>
      </c>
      <c r="F24" s="82" t="inlineStr">
        <is>
          <t>Cantidad × (1+Desp) × Cant. presup.</t>
        </is>
      </c>
      <c r="G24" s="82" t="inlineStr">
        <is>
          <t>Cant. Total × V. Unitario</t>
        </is>
      </c>
    </row>
    <row r="25">
      <c r="A25" s="68">
        <f>+A7</f>
        <v/>
      </c>
      <c r="B25" s="69">
        <f>+B7</f>
        <v/>
      </c>
      <c r="C25" s="68">
        <f>+C7</f>
        <v/>
      </c>
      <c r="D25" s="70">
        <f>+E7</f>
        <v/>
      </c>
      <c r="E25" s="68">
        <f>+$B$3</f>
        <v/>
      </c>
      <c r="F25" s="68">
        <f>C25*(1+D7)*E25</f>
        <v/>
      </c>
      <c r="G25" s="70">
        <f>F25*D25</f>
        <v/>
      </c>
    </row>
    <row r="26">
      <c r="A26" s="68">
        <f>+A8</f>
        <v/>
      </c>
      <c r="B26" s="69">
        <f>+B8</f>
        <v/>
      </c>
      <c r="C26" s="68">
        <f>+C8</f>
        <v/>
      </c>
      <c r="D26" s="70">
        <f>+E8</f>
        <v/>
      </c>
      <c r="E26" s="68">
        <f>+$B$3</f>
        <v/>
      </c>
      <c r="F26" s="68">
        <f>C26*(1+D8)*E26</f>
        <v/>
      </c>
      <c r="G26" s="70">
        <f>F26*D26</f>
        <v/>
      </c>
    </row>
    <row r="27">
      <c r="A27" s="68">
        <f>+A9</f>
        <v/>
      </c>
      <c r="B27" s="69">
        <f>+B9</f>
        <v/>
      </c>
      <c r="C27" s="68">
        <f>+C9</f>
        <v/>
      </c>
      <c r="D27" s="70">
        <f>+E9</f>
        <v/>
      </c>
      <c r="E27" s="68">
        <f>+$B$3</f>
        <v/>
      </c>
      <c r="F27" s="68">
        <f>C27*(1+D9)*E27</f>
        <v/>
      </c>
      <c r="G27" s="70">
        <f>F27*D27</f>
        <v/>
      </c>
    </row>
    <row r="28">
      <c r="A28" s="68">
        <f>+A10</f>
        <v/>
      </c>
      <c r="B28" s="69">
        <f>+B10</f>
        <v/>
      </c>
      <c r="C28" s="68">
        <f>+C10</f>
        <v/>
      </c>
      <c r="D28" s="70">
        <f>+E10</f>
        <v/>
      </c>
      <c r="E28" s="68">
        <f>+$B$3</f>
        <v/>
      </c>
      <c r="F28" s="68">
        <f>C28*(1+D10)*E28</f>
        <v/>
      </c>
      <c r="G28" s="70">
        <f>F28*D28</f>
        <v/>
      </c>
    </row>
    <row r="29">
      <c r="A29" s="68">
        <f>+A11</f>
        <v/>
      </c>
      <c r="B29" s="69">
        <f>+B11</f>
        <v/>
      </c>
      <c r="C29" s="68">
        <f>+C11</f>
        <v/>
      </c>
      <c r="D29" s="70">
        <f>+E11</f>
        <v/>
      </c>
      <c r="E29" s="68">
        <f>+$B$3</f>
        <v/>
      </c>
      <c r="F29" s="68">
        <f>C29*(1+D11)*E29</f>
        <v/>
      </c>
      <c r="G29" s="70">
        <f>F29*D29</f>
        <v/>
      </c>
    </row>
    <row r="30">
      <c r="A30" s="68">
        <f>+A12</f>
        <v/>
      </c>
      <c r="B30" s="69">
        <f>+B12</f>
        <v/>
      </c>
      <c r="C30" s="68">
        <f>+C12</f>
        <v/>
      </c>
      <c r="D30" s="70">
        <f>+E12</f>
        <v/>
      </c>
      <c r="E30" s="68">
        <f>+$B$3</f>
        <v/>
      </c>
      <c r="F30" s="68">
        <f>C30*(1+D12)*E30</f>
        <v/>
      </c>
      <c r="G30" s="70">
        <f>F30*D30</f>
        <v/>
      </c>
    </row>
    <row r="31">
      <c r="A31" s="68">
        <f>+A13</f>
        <v/>
      </c>
      <c r="B31" s="69">
        <f>+B13</f>
        <v/>
      </c>
      <c r="C31" s="68">
        <f>+C13</f>
        <v/>
      </c>
      <c r="D31" s="70">
        <f>+E13</f>
        <v/>
      </c>
      <c r="E31" s="68">
        <f>+$B$3</f>
        <v/>
      </c>
      <c r="F31" s="68">
        <f>C31*(1+D13)*E31</f>
        <v/>
      </c>
      <c r="G31" s="70">
        <f>F31*D31</f>
        <v/>
      </c>
    </row>
    <row r="32">
      <c r="A32" s="68">
        <f>+A14</f>
        <v/>
      </c>
      <c r="B32" s="69">
        <f>+B14</f>
        <v/>
      </c>
      <c r="C32" s="68">
        <f>+C14</f>
        <v/>
      </c>
      <c r="D32" s="70">
        <f>+E14</f>
        <v/>
      </c>
      <c r="E32" s="68">
        <f>+$B$3</f>
        <v/>
      </c>
      <c r="F32" s="68">
        <f>C32*(1+D14)*E32</f>
        <v/>
      </c>
      <c r="G32" s="70">
        <f>F32*D32</f>
        <v/>
      </c>
    </row>
    <row r="33">
      <c r="A33" s="68">
        <f>+A15</f>
        <v/>
      </c>
      <c r="B33" s="69">
        <f>+B15</f>
        <v/>
      </c>
      <c r="C33" s="68">
        <f>+C15</f>
        <v/>
      </c>
      <c r="D33" s="70">
        <f>+E15</f>
        <v/>
      </c>
      <c r="E33" s="68">
        <f>+$B$3</f>
        <v/>
      </c>
      <c r="F33" s="68">
        <f>C33*(1+D15)*E33</f>
        <v/>
      </c>
      <c r="G33" s="70">
        <f>F33*D33</f>
        <v/>
      </c>
    </row>
    <row r="34">
      <c r="A34" s="68">
        <f>+A16</f>
        <v/>
      </c>
      <c r="B34" s="69">
        <f>+B16</f>
        <v/>
      </c>
      <c r="C34" s="68">
        <f>+C16</f>
        <v/>
      </c>
      <c r="D34" s="70">
        <f>+E16</f>
        <v/>
      </c>
      <c r="E34" s="68">
        <f>+$B$3</f>
        <v/>
      </c>
      <c r="F34" s="68">
        <f>C34*(1+D16)*E34</f>
        <v/>
      </c>
      <c r="G34" s="70">
        <f>F34*D34</f>
        <v/>
      </c>
    </row>
    <row r="35">
      <c r="A35" s="68">
        <f>+A17</f>
        <v/>
      </c>
      <c r="B35" s="69">
        <f>+B17</f>
        <v/>
      </c>
      <c r="C35" s="68">
        <f>+C17</f>
        <v/>
      </c>
      <c r="D35" s="70">
        <f>+E17</f>
        <v/>
      </c>
      <c r="E35" s="68">
        <f>+$B$3</f>
        <v/>
      </c>
      <c r="F35" s="68">
        <f>C35*(1+D17)*E35</f>
        <v/>
      </c>
      <c r="G35" s="70">
        <f>F35*D35</f>
        <v/>
      </c>
    </row>
    <row r="36">
      <c r="A36" s="68">
        <f>+A18</f>
        <v/>
      </c>
      <c r="B36" s="69">
        <f>+B18</f>
        <v/>
      </c>
      <c r="C36" s="68">
        <f>+C18</f>
        <v/>
      </c>
      <c r="D36" s="70">
        <f>+E18</f>
        <v/>
      </c>
      <c r="E36" s="68">
        <f>+$B$3</f>
        <v/>
      </c>
      <c r="F36" s="68">
        <f>C36*(1+D18)*E36</f>
        <v/>
      </c>
      <c r="G36" s="70">
        <f>F36*D36</f>
        <v/>
      </c>
    </row>
    <row r="37">
      <c r="E37" s="83" t="inlineStr">
        <is>
          <t>V. TOTAL</t>
        </is>
      </c>
      <c r="F37" s="84" t="inlineStr"/>
      <c r="G37" s="85">
        <f>SUM(G25:G36)</f>
        <v/>
      </c>
    </row>
    <row r="39">
      <c r="A39" s="79" t="inlineStr">
        <is>
          <t>FACTOR MULTIPLICADOR — MANO DE OBRA</t>
        </is>
      </c>
    </row>
    <row r="40">
      <c r="A40" s="81" t="inlineStr">
        <is>
          <t>V. Unitario mano de obra "TABLA APU"</t>
        </is>
      </c>
      <c r="B40" s="81" t="inlineStr">
        <is>
          <t>Horas trabajadas diarias</t>
        </is>
      </c>
      <c r="C40" s="81" t="inlineStr">
        <is>
          <t>Dias trabajados para cada tarea o actividad</t>
        </is>
      </c>
      <c r="D40" s="81" t="inlineStr">
        <is>
          <t>Producto (A X B X C)</t>
        </is>
      </c>
      <c r="E40" s="81" t="inlineStr">
        <is>
          <t>Valor Total mano de obra "TABLA PROJECT"</t>
        </is>
      </c>
      <c r="F40" s="81" t="inlineStr">
        <is>
          <t>FACTOR MULTIPLICADOR</t>
        </is>
      </c>
      <c r="G40" s="81" t="inlineStr">
        <is>
          <t>FACTOR MULTIPLICADOR - EN %</t>
        </is>
      </c>
      <c r="H40" s="81" t="inlineStr">
        <is>
          <t>Recurso</t>
        </is>
      </c>
    </row>
    <row r="41">
      <c r="A41" s="82" t="inlineStr">
        <is>
          <t>A</t>
        </is>
      </c>
      <c r="B41" s="82" t="inlineStr">
        <is>
          <t>B</t>
        </is>
      </c>
      <c r="C41" s="82" t="inlineStr">
        <is>
          <t>C</t>
        </is>
      </c>
      <c r="D41" s="82" t="inlineStr">
        <is>
          <t>D</t>
        </is>
      </c>
      <c r="E41" s="82" t="inlineStr">
        <is>
          <t>F</t>
        </is>
      </c>
      <c r="F41" s="82" t="inlineStr">
        <is>
          <t>F/D</t>
        </is>
      </c>
      <c r="G41" s="82" t="inlineStr">
        <is>
          <t>(F/D)*100</t>
        </is>
      </c>
    </row>
    <row r="42">
      <c r="A42" s="70">
        <f>+E11</f>
        <v/>
      </c>
      <c r="B42" s="69" t="n">
        <v>8</v>
      </c>
      <c r="C42" s="69" t="n">
        <v>3</v>
      </c>
      <c r="D42" s="70">
        <f>A42*B42*C42</f>
        <v/>
      </c>
      <c r="E42" s="70">
        <f>+G29</f>
        <v/>
      </c>
      <c r="F42" s="86">
        <f>+E42/D42</f>
        <v/>
      </c>
      <c r="G42" s="86">
        <f>+F42*100</f>
        <v/>
      </c>
      <c r="H42" s="68">
        <f>+A11</f>
        <v/>
      </c>
    </row>
    <row r="43">
      <c r="A43" s="70">
        <f>+E12</f>
        <v/>
      </c>
      <c r="B43" s="69" t="n">
        <v>8</v>
      </c>
      <c r="C43" s="69" t="n">
        <v>3</v>
      </c>
      <c r="D43" s="70">
        <f>A43*B43*C43</f>
        <v/>
      </c>
      <c r="E43" s="70">
        <f>+G30</f>
        <v/>
      </c>
      <c r="F43" s="86">
        <f>+E43/D43</f>
        <v/>
      </c>
      <c r="G43" s="86">
        <f>+F43*100</f>
        <v/>
      </c>
      <c r="H43" s="68">
        <f>+A12</f>
        <v/>
      </c>
    </row>
    <row r="44">
      <c r="A44" s="70">
        <f>+E13</f>
        <v/>
      </c>
      <c r="B44" s="69" t="n">
        <v>8</v>
      </c>
      <c r="C44" s="69" t="n">
        <v>3</v>
      </c>
      <c r="D44" s="70">
        <f>A44*B44*C44</f>
        <v/>
      </c>
      <c r="E44" s="70">
        <f>+G31</f>
        <v/>
      </c>
      <c r="F44" s="86">
        <f>+E44/D44</f>
        <v/>
      </c>
      <c r="G44" s="86">
        <f>+F44*100</f>
        <v/>
      </c>
      <c r="H44" s="68">
        <f>+A13</f>
        <v/>
      </c>
    </row>
  </sheetData>
  <mergeCells count="1">
    <mergeCell ref="B2:F2"/>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36"/>
  <sheetViews>
    <sheetView workbookViewId="0">
      <selection activeCell="F15" sqref="F15"/>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Suministro e instalación lámina policarbonato alveolar</t>
        </is>
      </c>
      <c r="C2" s="63" t="n"/>
      <c r="D2" s="63" t="n"/>
      <c r="E2" s="63" t="n"/>
      <c r="F2" s="64" t="n"/>
    </row>
    <row r="3" ht="28.8" customHeight="1">
      <c r="A3" s="20" t="inlineStr">
        <is>
          <t>Cantidad definida en el presupuesto (CP)</t>
        </is>
      </c>
      <c r="B3" s="8" t="n">
        <v>65.2</v>
      </c>
      <c r="C3" s="8" t="inlineStr">
        <is>
          <t>m</t>
        </is>
      </c>
    </row>
    <row r="4">
      <c r="A4" s="20" t="inlineStr">
        <is>
          <t>Valor del item en el presupuesto</t>
        </is>
      </c>
      <c r="B4" s="67" t="n">
        <v>4182004.94</v>
      </c>
      <c r="C4" s="8"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43" t="inlineStr">
        <is>
          <t>Torn autoge. 3/4x‑3/16</t>
        </is>
      </c>
      <c r="B7" s="47" t="inlineStr">
        <is>
          <t>Und</t>
        </is>
      </c>
      <c r="C7" s="47" t="n">
        <v>1</v>
      </c>
      <c r="D7" s="47" t="n">
        <v>0</v>
      </c>
      <c r="E7" s="48" t="n">
        <v>252</v>
      </c>
      <c r="F7" s="91">
        <f>+C7*E7</f>
        <v/>
      </c>
      <c r="G7" s="89" t="n"/>
    </row>
    <row r="8">
      <c r="A8" s="43" t="inlineStr">
        <is>
          <t>Lámina policarbonato 8 mm</t>
        </is>
      </c>
      <c r="B8" s="47" t="inlineStr">
        <is>
          <t>Und</t>
        </is>
      </c>
      <c r="C8" s="47" t="n">
        <v>0.082</v>
      </c>
      <c r="D8" s="49" t="n">
        <v>0.01</v>
      </c>
      <c r="E8" s="48" t="n">
        <v>552900</v>
      </c>
      <c r="F8" s="91">
        <f>+C8*E8*1.01</f>
        <v/>
      </c>
      <c r="G8" s="89" t="n"/>
    </row>
    <row r="9">
      <c r="A9" s="43" t="inlineStr">
        <is>
          <t>Remate u 6x2010 mm policarb</t>
        </is>
      </c>
      <c r="B9" s="47" t="inlineStr">
        <is>
          <t>Und</t>
        </is>
      </c>
      <c r="C9" s="47" t="n">
        <v>0.155</v>
      </c>
      <c r="D9" s="47" t="n">
        <v>0</v>
      </c>
      <c r="E9" s="48" t="n">
        <v>8750</v>
      </c>
      <c r="F9" s="91">
        <f>+C9*E9</f>
        <v/>
      </c>
      <c r="G9" s="89" t="n"/>
    </row>
    <row r="10">
      <c r="A10" s="43" t="inlineStr">
        <is>
          <t>Silicona transparent. 11 oz</t>
        </is>
      </c>
      <c r="B10" s="47" t="inlineStr">
        <is>
          <t>Und</t>
        </is>
      </c>
      <c r="C10" s="47" t="n">
        <v>0.01</v>
      </c>
      <c r="D10" s="47" t="n">
        <v>0</v>
      </c>
      <c r="E10" s="48" t="n">
        <v>8900</v>
      </c>
      <c r="F10" s="91">
        <f>+C10*E10</f>
        <v/>
      </c>
    </row>
    <row r="11">
      <c r="A11" s="43" t="inlineStr">
        <is>
          <t>Cinta aluminio industrial</t>
        </is>
      </c>
      <c r="B11" s="47" t="inlineStr">
        <is>
          <t>Und</t>
        </is>
      </c>
      <c r="C11" s="47" t="n">
        <v>0.03</v>
      </c>
      <c r="D11" s="47" t="n">
        <v>0</v>
      </c>
      <c r="E11" s="48" t="n">
        <v>61000</v>
      </c>
      <c r="F11" s="91">
        <f>+C11*E11</f>
        <v/>
      </c>
    </row>
    <row r="12">
      <c r="A12" s="43" t="inlineStr">
        <is>
          <t>Mano obra albañilería 2 ayudante‑1 ofi</t>
        </is>
      </c>
      <c r="B12" s="47" t="inlineStr">
        <is>
          <t>Hc</t>
        </is>
      </c>
      <c r="C12" s="47" t="n">
        <v>0.65</v>
      </c>
      <c r="D12" s="47" t="n">
        <v>0</v>
      </c>
      <c r="E12" s="48" t="n">
        <v>20839.2</v>
      </c>
      <c r="F12" s="91">
        <f>+C12*E12</f>
        <v/>
      </c>
    </row>
    <row r="13">
      <c r="A13" s="43" t="inlineStr">
        <is>
          <t>Herramienta menor 15</t>
        </is>
      </c>
      <c r="B13" s="47" t="inlineStr">
        <is>
          <t>%mo</t>
        </is>
      </c>
      <c r="C13" s="47" t="n">
        <v>0.05</v>
      </c>
      <c r="D13" s="47" t="n">
        <v>0</v>
      </c>
      <c r="E13" s="48" t="n">
        <v>13545.48</v>
      </c>
      <c r="F13" s="91">
        <f>+C13*E13</f>
        <v/>
      </c>
    </row>
    <row r="14">
      <c r="A14" s="43" t="inlineStr">
        <is>
          <t>Andamio metálico tubular</t>
        </is>
      </c>
      <c r="B14" s="47" t="inlineStr">
        <is>
          <t>Und/d</t>
        </is>
      </c>
      <c r="C14" s="47" t="n">
        <v>0.5</v>
      </c>
      <c r="D14" s="47" t="n">
        <v>0</v>
      </c>
      <c r="E14" s="48" t="n">
        <v>1100</v>
      </c>
      <c r="F14" s="91">
        <f>+C14*E14</f>
        <v/>
      </c>
    </row>
    <row r="15">
      <c r="A15" s="43" t="inlineStr">
        <is>
          <t>Cruceta andamio</t>
        </is>
      </c>
      <c r="B15" s="47" t="inlineStr">
        <is>
          <t>Día</t>
        </is>
      </c>
      <c r="C15" s="47" t="n">
        <v>0.5</v>
      </c>
      <c r="D15" s="47" t="n">
        <v>0</v>
      </c>
      <c r="E15" s="48" t="n">
        <v>100</v>
      </c>
      <c r="F15" s="91">
        <f>+C15*E15</f>
        <v/>
      </c>
    </row>
    <row r="16">
      <c r="E16" s="5" t="inlineStr">
        <is>
          <t>V. Total</t>
        </is>
      </c>
      <c r="F16" s="67">
        <f>SUM(F7:F15)</f>
        <v/>
      </c>
    </row>
    <row r="19">
      <c r="A19" s="79" t="inlineStr">
        <is>
          <t>TABLA PROJECT</t>
        </is>
      </c>
      <c r="B19" s="80" t="inlineStr">
        <is>
          <t>(Duración = 6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+A7</f>
        <v/>
      </c>
      <c r="B22" s="69">
        <f>+B7</f>
        <v/>
      </c>
      <c r="C22" s="68">
        <f>+C7</f>
        <v/>
      </c>
      <c r="D22" s="70">
        <f>+E7</f>
        <v/>
      </c>
      <c r="E22" s="68">
        <f>+$B$3</f>
        <v/>
      </c>
      <c r="F22" s="68">
        <f>C22*(1+D7)*E22</f>
        <v/>
      </c>
      <c r="G22" s="70">
        <f>F22*D22</f>
        <v/>
      </c>
    </row>
    <row r="23">
      <c r="A23" s="68">
        <f>+A8</f>
        <v/>
      </c>
      <c r="B23" s="69">
        <f>+B8</f>
        <v/>
      </c>
      <c r="C23" s="68">
        <f>+C8</f>
        <v/>
      </c>
      <c r="D23" s="70">
        <f>+E8</f>
        <v/>
      </c>
      <c r="E23" s="68">
        <f>+$B$3</f>
        <v/>
      </c>
      <c r="F23" s="68">
        <f>C23*(1+D8)*E23</f>
        <v/>
      </c>
      <c r="G23" s="70">
        <f>F23*D23</f>
        <v/>
      </c>
    </row>
    <row r="24">
      <c r="A24" s="68">
        <f>+A9</f>
        <v/>
      </c>
      <c r="B24" s="69">
        <f>+B9</f>
        <v/>
      </c>
      <c r="C24" s="68">
        <f>+C9</f>
        <v/>
      </c>
      <c r="D24" s="70">
        <f>+E9</f>
        <v/>
      </c>
      <c r="E24" s="68">
        <f>+$B$3</f>
        <v/>
      </c>
      <c r="F24" s="68">
        <f>C24*(1+D9)*E24</f>
        <v/>
      </c>
      <c r="G24" s="70">
        <f>F24*D24</f>
        <v/>
      </c>
    </row>
    <row r="25">
      <c r="A25" s="68">
        <f>+A10</f>
        <v/>
      </c>
      <c r="B25" s="69">
        <f>+B10</f>
        <v/>
      </c>
      <c r="C25" s="68">
        <f>+C10</f>
        <v/>
      </c>
      <c r="D25" s="70">
        <f>+E10</f>
        <v/>
      </c>
      <c r="E25" s="68">
        <f>+$B$3</f>
        <v/>
      </c>
      <c r="F25" s="68">
        <f>C25*(1+D10)*E25</f>
        <v/>
      </c>
      <c r="G25" s="70">
        <f>F25*D25</f>
        <v/>
      </c>
    </row>
    <row r="26">
      <c r="A26" s="68">
        <f>+A11</f>
        <v/>
      </c>
      <c r="B26" s="69">
        <f>+B11</f>
        <v/>
      </c>
      <c r="C26" s="68">
        <f>+C11</f>
        <v/>
      </c>
      <c r="D26" s="70">
        <f>+E11</f>
        <v/>
      </c>
      <c r="E26" s="68">
        <f>+$B$3</f>
        <v/>
      </c>
      <c r="F26" s="68">
        <f>C26*(1+D11)*E26</f>
        <v/>
      </c>
      <c r="G26" s="70">
        <f>F26*D26</f>
        <v/>
      </c>
    </row>
    <row r="27">
      <c r="A27" s="68">
        <f>+A12</f>
        <v/>
      </c>
      <c r="B27" s="69">
        <f>+B12</f>
        <v/>
      </c>
      <c r="C27" s="68">
        <f>+C12</f>
        <v/>
      </c>
      <c r="D27" s="70">
        <f>+E12</f>
        <v/>
      </c>
      <c r="E27" s="68">
        <f>+$B$3</f>
        <v/>
      </c>
      <c r="F27" s="68">
        <f>C27*(1+D12)*E27</f>
        <v/>
      </c>
      <c r="G27" s="70">
        <f>F27*D27</f>
        <v/>
      </c>
    </row>
    <row r="28">
      <c r="A28" s="68">
        <f>+A13</f>
        <v/>
      </c>
      <c r="B28" s="69">
        <f>+B13</f>
        <v/>
      </c>
      <c r="C28" s="68">
        <f>+C13</f>
        <v/>
      </c>
      <c r="D28" s="70">
        <f>+E13</f>
        <v/>
      </c>
      <c r="E28" s="68">
        <f>+$B$3</f>
        <v/>
      </c>
      <c r="F28" s="68">
        <f>C28*(1+D13)*E28</f>
        <v/>
      </c>
      <c r="G28" s="70">
        <f>F28*D28</f>
        <v/>
      </c>
    </row>
    <row r="29">
      <c r="A29" s="68">
        <f>+A14</f>
        <v/>
      </c>
      <c r="B29" s="69">
        <f>+B14</f>
        <v/>
      </c>
      <c r="C29" s="68">
        <f>+C14</f>
        <v/>
      </c>
      <c r="D29" s="70">
        <f>+E14</f>
        <v/>
      </c>
      <c r="E29" s="68">
        <f>+$B$3</f>
        <v/>
      </c>
      <c r="F29" s="68">
        <f>C29*(1+D14)*E29</f>
        <v/>
      </c>
      <c r="G29" s="70">
        <f>F29*D29</f>
        <v/>
      </c>
    </row>
    <row r="30">
      <c r="A30" s="68">
        <f>+A15</f>
        <v/>
      </c>
      <c r="B30" s="69">
        <f>+B15</f>
        <v/>
      </c>
      <c r="C30" s="68">
        <f>+C15</f>
        <v/>
      </c>
      <c r="D30" s="70">
        <f>+E15</f>
        <v/>
      </c>
      <c r="E30" s="68">
        <f>+$B$3</f>
        <v/>
      </c>
      <c r="F30" s="68">
        <f>C30*(1+D15)*E30</f>
        <v/>
      </c>
      <c r="G30" s="70">
        <f>F30*D30</f>
        <v/>
      </c>
    </row>
    <row r="31">
      <c r="E31" s="83" t="inlineStr">
        <is>
          <t>V. TOTAL</t>
        </is>
      </c>
      <c r="F31" s="84" t="inlineStr"/>
      <c r="G31" s="85">
        <f>SUM(G22:G30)</f>
        <v/>
      </c>
    </row>
    <row r="33">
      <c r="A33" s="79" t="inlineStr">
        <is>
          <t>FACTOR MULTIPLICADOR — MANO DE OBRA</t>
        </is>
      </c>
    </row>
    <row r="34">
      <c r="A34" s="81" t="inlineStr">
        <is>
          <t>V. Unitario mano de obra "TABLA APU"</t>
        </is>
      </c>
      <c r="B34" s="81" t="inlineStr">
        <is>
          <t>Horas trabajadas diarias</t>
        </is>
      </c>
      <c r="C34" s="81" t="inlineStr">
        <is>
          <t>Dias trabajados para cada tarea o actividad</t>
        </is>
      </c>
      <c r="D34" s="81" t="inlineStr">
        <is>
          <t>Producto (A X B X C)</t>
        </is>
      </c>
      <c r="E34" s="81" t="inlineStr">
        <is>
          <t>Valor Total mano de obra "TABLA PROJECT"</t>
        </is>
      </c>
      <c r="F34" s="81" t="inlineStr">
        <is>
          <t>FACTOR MULTIPLICADOR</t>
        </is>
      </c>
      <c r="G34" s="81" t="inlineStr">
        <is>
          <t>FACTOR MULTIPLICADOR - EN %</t>
        </is>
      </c>
      <c r="H34" s="81" t="inlineStr">
        <is>
          <t>Recurso</t>
        </is>
      </c>
    </row>
    <row r="35">
      <c r="A35" s="82" t="inlineStr">
        <is>
          <t>A</t>
        </is>
      </c>
      <c r="B35" s="82" t="inlineStr">
        <is>
          <t>B</t>
        </is>
      </c>
      <c r="C35" s="82" t="inlineStr">
        <is>
          <t>C</t>
        </is>
      </c>
      <c r="D35" s="82" t="inlineStr">
        <is>
          <t>D</t>
        </is>
      </c>
      <c r="E35" s="82" t="inlineStr">
        <is>
          <t>F</t>
        </is>
      </c>
      <c r="F35" s="82" t="inlineStr">
        <is>
          <t>F/D</t>
        </is>
      </c>
      <c r="G35" s="82" t="inlineStr">
        <is>
          <t>(F/D)*100</t>
        </is>
      </c>
    </row>
    <row r="36">
      <c r="A36" s="70">
        <f>+E12</f>
        <v/>
      </c>
      <c r="B36" s="69" t="n">
        <v>8</v>
      </c>
      <c r="C36" s="69" t="n">
        <v>6</v>
      </c>
      <c r="D36" s="70">
        <f>A36*B36*C36</f>
        <v/>
      </c>
      <c r="E36" s="70">
        <f>+G27</f>
        <v/>
      </c>
      <c r="F36" s="86">
        <f>+E36/D36</f>
        <v/>
      </c>
      <c r="G36" s="86">
        <f>+F36*100</f>
        <v/>
      </c>
      <c r="H36" s="68">
        <f>+A12</f>
        <v/>
      </c>
    </row>
  </sheetData>
  <mergeCells count="1">
    <mergeCell ref="B2:F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32"/>
  <sheetViews>
    <sheetView workbookViewId="0">
      <selection activeCell="A12" sqref="A12"/>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Suministro e instalación de canaletas</t>
        </is>
      </c>
      <c r="C2" s="63" t="n"/>
      <c r="D2" s="63" t="n"/>
      <c r="E2" s="63" t="n"/>
      <c r="F2" s="64" t="n"/>
    </row>
    <row r="3" ht="28.8" customHeight="1">
      <c r="A3" s="20" t="inlineStr">
        <is>
          <t>Cantidad definida en el presupuesto (CP)</t>
        </is>
      </c>
      <c r="B3" s="8" t="n">
        <v>12</v>
      </c>
      <c r="C3" s="8" t="inlineStr">
        <is>
          <t>m</t>
        </is>
      </c>
    </row>
    <row r="4">
      <c r="A4" s="20" t="inlineStr">
        <is>
          <t>Valor del item en el presupuesto</t>
        </is>
      </c>
      <c r="B4" s="67" t="n">
        <v>969880.8</v>
      </c>
      <c r="C4" s="8"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50" t="inlineStr">
        <is>
          <t>Igas gris (sellante) 5 kg</t>
        </is>
      </c>
      <c r="B7" s="47" t="inlineStr">
        <is>
          <t>Kg</t>
        </is>
      </c>
      <c r="C7" s="47" t="n">
        <v>0.12</v>
      </c>
      <c r="D7" s="47" t="n">
        <v>0</v>
      </c>
      <c r="E7" s="47" t="n">
        <v>13100</v>
      </c>
      <c r="F7" s="91">
        <f>+C7*E7</f>
        <v/>
      </c>
      <c r="G7" s="89" t="n"/>
    </row>
    <row r="8">
      <c r="A8" s="50" t="inlineStr">
        <is>
          <t>Canaleta 43 de 4.00</t>
        </is>
      </c>
      <c r="B8" s="47" t="inlineStr">
        <is>
          <t>Und</t>
        </is>
      </c>
      <c r="C8" s="47" t="n">
        <v>0.6</v>
      </c>
      <c r="D8" s="47" t="n">
        <v>0</v>
      </c>
      <c r="E8" s="47" t="n">
        <v>115810</v>
      </c>
      <c r="F8" s="91">
        <f>+C8*E8</f>
        <v/>
      </c>
      <c r="G8" s="89" t="n"/>
    </row>
    <row r="9">
      <c r="A9" s="50" t="inlineStr">
        <is>
          <t>Torn met. Canaleta 43</t>
        </is>
      </c>
      <c r="B9" s="47" t="inlineStr">
        <is>
          <t>Und</t>
        </is>
      </c>
      <c r="C9" s="47" t="n">
        <v>0.6</v>
      </c>
      <c r="D9" s="47" t="n">
        <v>0</v>
      </c>
      <c r="E9" s="47" t="n">
        <v>2600</v>
      </c>
      <c r="F9" s="91">
        <f>+C9*E9</f>
        <v/>
      </c>
      <c r="G9" s="89" t="n"/>
    </row>
    <row r="10" ht="28.8" customHeight="1">
      <c r="A10" s="50" t="inlineStr">
        <is>
          <t>Mano obra albañilería 3 ayudante‑1 oficina</t>
        </is>
      </c>
      <c r="B10" s="47" t="inlineStr">
        <is>
          <t>Hc</t>
        </is>
      </c>
      <c r="C10" s="47" t="n">
        <v>0.2</v>
      </c>
      <c r="D10" s="47" t="n">
        <v>0</v>
      </c>
      <c r="E10" s="47" t="n">
        <v>26151.34</v>
      </c>
      <c r="F10" s="91">
        <f>+C10*E10</f>
        <v/>
      </c>
    </row>
    <row r="11">
      <c r="A11" s="50" t="inlineStr">
        <is>
          <t>Herramienta menor 16</t>
        </is>
      </c>
      <c r="B11" s="47" t="inlineStr">
        <is>
          <t>%</t>
        </is>
      </c>
      <c r="C11" s="47" t="n">
        <v>0.5</v>
      </c>
      <c r="D11" s="47" t="n">
        <v>0</v>
      </c>
      <c r="E11" s="47" t="n">
        <v>5230.27</v>
      </c>
      <c r="F11" s="91">
        <f>+C11*E11</f>
        <v/>
      </c>
    </row>
    <row r="12">
      <c r="A12" s="50" t="inlineStr">
        <is>
          <t>Andamio metálico tubular</t>
        </is>
      </c>
      <c r="B12" s="47" t="inlineStr">
        <is>
          <t>Día</t>
        </is>
      </c>
      <c r="C12" s="47" t="n">
        <v>0.3</v>
      </c>
      <c r="D12" s="47" t="n">
        <v>0</v>
      </c>
      <c r="E12" s="47" t="n">
        <v>1100</v>
      </c>
      <c r="F12" s="91">
        <f>+C12*E12</f>
        <v/>
      </c>
    </row>
    <row r="13">
      <c r="A13" s="50" t="inlineStr">
        <is>
          <t>Cruceta andamio</t>
        </is>
      </c>
      <c r="B13" s="47" t="inlineStr">
        <is>
          <t>Día</t>
        </is>
      </c>
      <c r="C13" s="47" t="n">
        <v>0.3</v>
      </c>
      <c r="D13" s="47" t="n">
        <v>0</v>
      </c>
      <c r="E13" s="47" t="n">
        <v>100</v>
      </c>
      <c r="F13" s="91">
        <f>+C13*E13</f>
        <v/>
      </c>
    </row>
    <row r="14">
      <c r="E14" s="5" t="inlineStr">
        <is>
          <t>V. Total</t>
        </is>
      </c>
      <c r="F14" s="67">
        <f>SUM(F7:F13)</f>
        <v/>
      </c>
    </row>
    <row r="17">
      <c r="A17" s="79" t="inlineStr">
        <is>
          <t>TABLA PROJECT</t>
        </is>
      </c>
      <c r="B17" s="80" t="inlineStr">
        <is>
          <t>(Duración = 1 días  |  CP = $B$3)</t>
        </is>
      </c>
    </row>
    <row r="18">
      <c r="A18" s="81" t="inlineStr">
        <is>
          <t>RECURSOS</t>
        </is>
      </c>
      <c r="B18" s="81" t="inlineStr">
        <is>
          <t>Un</t>
        </is>
      </c>
      <c r="C18" s="81" t="inlineStr">
        <is>
          <t>Cantidad</t>
        </is>
      </c>
      <c r="D18" s="81" t="inlineStr">
        <is>
          <t>V. Unitario</t>
        </is>
      </c>
      <c r="E18" s="81" t="inlineStr">
        <is>
          <t>Cantidad presupuesto</t>
        </is>
      </c>
      <c r="F18" s="81" t="inlineStr">
        <is>
          <t>Cant. Total</t>
        </is>
      </c>
      <c r="G18" s="81" t="inlineStr">
        <is>
          <t>Valor total</t>
        </is>
      </c>
    </row>
    <row r="19">
      <c r="A19" s="82" t="inlineStr">
        <is>
          <t>APU</t>
        </is>
      </c>
      <c r="B19" s="82" t="inlineStr">
        <is>
          <t>APU</t>
        </is>
      </c>
      <c r="C19" s="82" t="inlineStr">
        <is>
          <t>APU</t>
        </is>
      </c>
      <c r="D19" s="82" t="inlineStr">
        <is>
          <t>APU</t>
        </is>
      </c>
      <c r="E19" s="82" t="inlineStr">
        <is>
          <t>Presupuesto</t>
        </is>
      </c>
      <c r="F19" s="82" t="inlineStr">
        <is>
          <t>Cantidad × (1+Desp) × Cant. presup.</t>
        </is>
      </c>
      <c r="G19" s="82" t="inlineStr">
        <is>
          <t>Cant. Total × V. Unitario</t>
        </is>
      </c>
    </row>
    <row r="20">
      <c r="A20" s="68">
        <f>+A7</f>
        <v/>
      </c>
      <c r="B20" s="69">
        <f>+B7</f>
        <v/>
      </c>
      <c r="C20" s="68">
        <f>+C7</f>
        <v/>
      </c>
      <c r="D20" s="70">
        <f>+E7</f>
        <v/>
      </c>
      <c r="E20" s="68">
        <f>+$B$3</f>
        <v/>
      </c>
      <c r="F20" s="68">
        <f>C20*(1+D7)*E20</f>
        <v/>
      </c>
      <c r="G20" s="70">
        <f>F20*D20</f>
        <v/>
      </c>
    </row>
    <row r="21">
      <c r="A21" s="68">
        <f>+A8</f>
        <v/>
      </c>
      <c r="B21" s="69">
        <f>+B8</f>
        <v/>
      </c>
      <c r="C21" s="68">
        <f>+C8</f>
        <v/>
      </c>
      <c r="D21" s="70">
        <f>+E8</f>
        <v/>
      </c>
      <c r="E21" s="68">
        <f>+$B$3</f>
        <v/>
      </c>
      <c r="F21" s="68">
        <f>C21*(1+D8)*E21</f>
        <v/>
      </c>
      <c r="G21" s="70">
        <f>F21*D21</f>
        <v/>
      </c>
    </row>
    <row r="22">
      <c r="A22" s="68">
        <f>+A9</f>
        <v/>
      </c>
      <c r="B22" s="69">
        <f>+B9</f>
        <v/>
      </c>
      <c r="C22" s="68">
        <f>+C9</f>
        <v/>
      </c>
      <c r="D22" s="70">
        <f>+E9</f>
        <v/>
      </c>
      <c r="E22" s="68">
        <f>+$B$3</f>
        <v/>
      </c>
      <c r="F22" s="68">
        <f>C22*(1+D9)*E22</f>
        <v/>
      </c>
      <c r="G22" s="70">
        <f>F22*D22</f>
        <v/>
      </c>
    </row>
    <row r="23">
      <c r="A23" s="68">
        <f>+A10</f>
        <v/>
      </c>
      <c r="B23" s="69">
        <f>+B10</f>
        <v/>
      </c>
      <c r="C23" s="68">
        <f>+C10</f>
        <v/>
      </c>
      <c r="D23" s="70">
        <f>+E10</f>
        <v/>
      </c>
      <c r="E23" s="68">
        <f>+$B$3</f>
        <v/>
      </c>
      <c r="F23" s="68">
        <f>C23*(1+D10)*E23</f>
        <v/>
      </c>
      <c r="G23" s="70">
        <f>F23*D23</f>
        <v/>
      </c>
    </row>
    <row r="24">
      <c r="A24" s="68">
        <f>+A11</f>
        <v/>
      </c>
      <c r="B24" s="69">
        <f>+B11</f>
        <v/>
      </c>
      <c r="C24" s="68">
        <f>+C11</f>
        <v/>
      </c>
      <c r="D24" s="70">
        <f>+E11</f>
        <v/>
      </c>
      <c r="E24" s="68">
        <f>+$B$3</f>
        <v/>
      </c>
      <c r="F24" s="68">
        <f>C24*(1+D11)*E24</f>
        <v/>
      </c>
      <c r="G24" s="70">
        <f>F24*D24</f>
        <v/>
      </c>
    </row>
    <row r="25">
      <c r="A25" s="68">
        <f>+A12</f>
        <v/>
      </c>
      <c r="B25" s="69">
        <f>+B12</f>
        <v/>
      </c>
      <c r="C25" s="68">
        <f>+C12</f>
        <v/>
      </c>
      <c r="D25" s="70">
        <f>+E12</f>
        <v/>
      </c>
      <c r="E25" s="68">
        <f>+$B$3</f>
        <v/>
      </c>
      <c r="F25" s="68">
        <f>C25*(1+D12)*E25</f>
        <v/>
      </c>
      <c r="G25" s="70">
        <f>F25*D25</f>
        <v/>
      </c>
    </row>
    <row r="26">
      <c r="A26" s="68">
        <f>+A13</f>
        <v/>
      </c>
      <c r="B26" s="69">
        <f>+B13</f>
        <v/>
      </c>
      <c r="C26" s="68">
        <f>+C13</f>
        <v/>
      </c>
      <c r="D26" s="70">
        <f>+E13</f>
        <v/>
      </c>
      <c r="E26" s="68">
        <f>+$B$3</f>
        <v/>
      </c>
      <c r="F26" s="68">
        <f>C26*(1+D13)*E26</f>
        <v/>
      </c>
      <c r="G26" s="70">
        <f>F26*D26</f>
        <v/>
      </c>
    </row>
    <row r="27">
      <c r="E27" s="83" t="inlineStr">
        <is>
          <t>V. TOTAL</t>
        </is>
      </c>
      <c r="F27" s="84" t="inlineStr"/>
      <c r="G27" s="85">
        <f>SUM(G20:G26)</f>
        <v/>
      </c>
    </row>
    <row r="29">
      <c r="A29" s="79" t="inlineStr">
        <is>
          <t>FACTOR MULTIPLICADOR — MANO DE OBRA</t>
        </is>
      </c>
    </row>
    <row r="30">
      <c r="A30" s="81" t="inlineStr">
        <is>
          <t>V. Unitario mano de obra "TABLA APU"</t>
        </is>
      </c>
      <c r="B30" s="81" t="inlineStr">
        <is>
          <t>Horas trabajadas diarias</t>
        </is>
      </c>
      <c r="C30" s="81" t="inlineStr">
        <is>
          <t>Dias trabajados para cada tarea o actividad</t>
        </is>
      </c>
      <c r="D30" s="81" t="inlineStr">
        <is>
          <t>Producto (A X B X C)</t>
        </is>
      </c>
      <c r="E30" s="81" t="inlineStr">
        <is>
          <t>Valor Total mano de obra "TABLA PROJECT"</t>
        </is>
      </c>
      <c r="F30" s="81" t="inlineStr">
        <is>
          <t>FACTOR MULTIPLICADOR</t>
        </is>
      </c>
      <c r="G30" s="81" t="inlineStr">
        <is>
          <t>FACTOR MULTIPLICADOR - EN %</t>
        </is>
      </c>
      <c r="H30" s="81" t="inlineStr">
        <is>
          <t>Recurso</t>
        </is>
      </c>
    </row>
    <row r="31">
      <c r="A31" s="82" t="inlineStr">
        <is>
          <t>A</t>
        </is>
      </c>
      <c r="B31" s="82" t="inlineStr">
        <is>
          <t>B</t>
        </is>
      </c>
      <c r="C31" s="82" t="inlineStr">
        <is>
          <t>C</t>
        </is>
      </c>
      <c r="D31" s="82" t="inlineStr">
        <is>
          <t>D</t>
        </is>
      </c>
      <c r="E31" s="82" t="inlineStr">
        <is>
          <t>F</t>
        </is>
      </c>
      <c r="F31" s="82" t="inlineStr">
        <is>
          <t>F/D</t>
        </is>
      </c>
      <c r="G31" s="82" t="inlineStr">
        <is>
          <t>(F/D)*100</t>
        </is>
      </c>
    </row>
    <row r="32">
      <c r="A32" s="70">
        <f>+E10</f>
        <v/>
      </c>
      <c r="B32" s="69" t="n">
        <v>8</v>
      </c>
      <c r="C32" s="69" t="n">
        <v>1</v>
      </c>
      <c r="D32" s="70">
        <f>A32*B32*C32</f>
        <v/>
      </c>
      <c r="E32" s="70">
        <f>+G23</f>
        <v/>
      </c>
      <c r="F32" s="86">
        <f>+E32/D32</f>
        <v/>
      </c>
      <c r="G32" s="86">
        <f>+F32*100</f>
        <v/>
      </c>
      <c r="H32" s="68">
        <f>+A10</f>
        <v/>
      </c>
    </row>
  </sheetData>
  <mergeCells count="1">
    <mergeCell ref="B2:F2"/>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6"/>
  <sheetViews>
    <sheetView workbookViewId="0">
      <selection activeCell="C20" sqref="C20"/>
    </sheetView>
  </sheetViews>
  <sheetFormatPr baseColWidth="10" defaultRowHeight="14.4"/>
  <cols>
    <col width="34" customWidth="1" min="1" max="1"/>
    <col width="14" customWidth="1" min="2" max="2"/>
    <col width="16" customWidth="1" min="3" max="3"/>
    <col width="16" bestFit="1" customWidth="1" min="4" max="4"/>
    <col width="18" customWidth="1" min="5" max="5"/>
    <col width="20" customWidth="1" min="6" max="6"/>
    <col width="16" customWidth="1" min="7" max="7"/>
    <col width="30" customWidth="1" min="8" max="8"/>
    <col width="1.88671875" bestFit="1" customWidth="1" min="10" max="10"/>
    <col width="8.88671875" bestFit="1" customWidth="1" min="11" max="11"/>
  </cols>
  <sheetData>
    <row r="1"/>
    <row r="2">
      <c r="A2" s="2" t="inlineStr">
        <is>
          <t>APU</t>
        </is>
      </c>
      <c r="B2" s="58" t="inlineStr">
        <is>
          <t>Bajante aguas lluvias</t>
        </is>
      </c>
      <c r="C2" s="63" t="n"/>
      <c r="D2" s="63" t="n"/>
      <c r="E2" s="63" t="n"/>
      <c r="F2" s="64" t="n"/>
    </row>
    <row r="3" ht="28.8" customHeight="1">
      <c r="A3" s="20" t="inlineStr">
        <is>
          <t>Cantidad definida en el presupuesto (CP)</t>
        </is>
      </c>
      <c r="B3" s="8" t="n">
        <v>16.2</v>
      </c>
      <c r="C3" s="8" t="inlineStr">
        <is>
          <t>m</t>
        </is>
      </c>
    </row>
    <row r="4">
      <c r="A4" s="20" t="inlineStr">
        <is>
          <t>Valor del item en el presupuesto</t>
        </is>
      </c>
      <c r="B4" s="67" t="n">
        <v>511812.92</v>
      </c>
      <c r="C4" s="8" t="n"/>
    </row>
    <row r="5">
      <c r="E5" s="14" t="n"/>
    </row>
    <row r="6">
      <c r="A6" s="41" t="inlineStr">
        <is>
          <t>Descripción</t>
        </is>
      </c>
      <c r="B6" s="2" t="inlineStr">
        <is>
          <t>Un</t>
        </is>
      </c>
      <c r="C6" s="3" t="inlineStr">
        <is>
          <t>Cantidad</t>
        </is>
      </c>
      <c r="D6" s="2" t="inlineStr">
        <is>
          <t>Desperdicio</t>
        </is>
      </c>
      <c r="E6" s="2" t="inlineStr">
        <is>
          <t>V. Unitario</t>
        </is>
      </c>
      <c r="F6" s="2" t="inlineStr">
        <is>
          <t>V. Parcial</t>
        </is>
      </c>
    </row>
    <row r="7">
      <c r="A7" s="43" t="inlineStr">
        <is>
          <t>Bajante pvc cuadrado</t>
        </is>
      </c>
      <c r="B7" s="43" t="inlineStr">
        <is>
          <t>Und</t>
        </is>
      </c>
      <c r="C7" s="47" t="n">
        <v>0.333</v>
      </c>
      <c r="D7" s="47" t="n">
        <v>0</v>
      </c>
      <c r="E7" s="45" t="n">
        <v>63896</v>
      </c>
      <c r="F7" s="91">
        <f>+C7*E7</f>
        <v/>
      </c>
      <c r="G7" s="89" t="n"/>
    </row>
    <row r="8">
      <c r="A8" s="43" t="inlineStr">
        <is>
          <t>Bajante pvc soporte</t>
        </is>
      </c>
      <c r="B8" s="43" t="inlineStr">
        <is>
          <t>Und</t>
        </is>
      </c>
      <c r="C8" s="47" t="n">
        <v>1.5</v>
      </c>
      <c r="D8" s="47" t="n">
        <v>0</v>
      </c>
      <c r="E8" s="45" t="n">
        <v>2700</v>
      </c>
      <c r="F8" s="91">
        <f>+C8*E8</f>
        <v/>
      </c>
      <c r="G8" s="89" t="n"/>
    </row>
    <row r="9">
      <c r="A9" s="43" t="inlineStr">
        <is>
          <t>Soldadura pvc 1/4 gls</t>
        </is>
      </c>
      <c r="B9" s="43" t="inlineStr">
        <is>
          <t>Und</t>
        </is>
      </c>
      <c r="C9" s="47" t="n">
        <v>0.01</v>
      </c>
      <c r="D9" s="47" t="n">
        <v>0</v>
      </c>
      <c r="E9" s="45" t="n">
        <v>78400</v>
      </c>
      <c r="F9" s="91">
        <f>+C9*E9</f>
        <v/>
      </c>
      <c r="G9" s="89" t="n"/>
    </row>
    <row r="10">
      <c r="A10" s="43" t="inlineStr">
        <is>
          <t>Torn p/mad 1 x 6</t>
        </is>
      </c>
      <c r="B10" s="43" t="inlineStr">
        <is>
          <t>Und</t>
        </is>
      </c>
      <c r="C10" s="47" t="n">
        <v>3</v>
      </c>
      <c r="D10" s="47" t="n">
        <v>0</v>
      </c>
      <c r="E10" s="45" t="n">
        <v>29</v>
      </c>
      <c r="F10" s="91">
        <f>+C10*E10</f>
        <v/>
      </c>
    </row>
    <row r="11">
      <c r="A11" s="43" t="inlineStr">
        <is>
          <t>Limpiador pvc 760‑g 1/4 gl</t>
        </is>
      </c>
      <c r="B11" s="43" t="inlineStr">
        <is>
          <t>Und</t>
        </is>
      </c>
      <c r="C11" s="47" t="n">
        <v>0.01</v>
      </c>
      <c r="D11" s="47" t="n">
        <v>0</v>
      </c>
      <c r="E11" s="45" t="n">
        <v>38400</v>
      </c>
      <c r="F11" s="91">
        <f>+C11*E11</f>
        <v/>
      </c>
    </row>
    <row r="12">
      <c r="A12" s="43" t="inlineStr">
        <is>
          <t>Mano obra albañilería 1 ayudante‑1 ofi</t>
        </is>
      </c>
      <c r="B12" s="43" t="inlineStr">
        <is>
          <t>Hc</t>
        </is>
      </c>
      <c r="C12" s="47" t="n">
        <v>0.3</v>
      </c>
      <c r="D12" s="47" t="n">
        <v>0</v>
      </c>
      <c r="E12" s="45" t="n">
        <v>15527.06</v>
      </c>
      <c r="F12" s="91">
        <f>+C12*E12</f>
        <v/>
      </c>
    </row>
    <row r="13">
      <c r="A13" s="43" t="inlineStr">
        <is>
          <t>Herramienta menor 17</t>
        </is>
      </c>
      <c r="B13" s="43" t="inlineStr">
        <is>
          <t>%</t>
        </is>
      </c>
      <c r="C13" s="47" t="n">
        <v>0.05</v>
      </c>
      <c r="D13" s="47" t="n">
        <v>0</v>
      </c>
      <c r="E13" s="45" t="n">
        <v>4658.12</v>
      </c>
      <c r="F13" s="91">
        <f>+C13*E13</f>
        <v/>
      </c>
    </row>
    <row r="14">
      <c r="A14" s="43" t="inlineStr">
        <is>
          <t>Andamio metálico tubular</t>
        </is>
      </c>
      <c r="B14" s="43" t="inlineStr">
        <is>
          <t>Día</t>
        </is>
      </c>
      <c r="C14" s="47" t="n">
        <v>0.1</v>
      </c>
      <c r="D14" s="47" t="n">
        <v>0</v>
      </c>
      <c r="E14" s="45" t="n">
        <v>1100</v>
      </c>
      <c r="F14" s="91">
        <f>+C14*E14</f>
        <v/>
      </c>
    </row>
    <row r="15">
      <c r="A15" s="43" t="inlineStr">
        <is>
          <t>Cruceta andamio</t>
        </is>
      </c>
      <c r="B15" s="43" t="inlineStr">
        <is>
          <t>Día</t>
        </is>
      </c>
      <c r="C15" s="47" t="n">
        <v>0.1</v>
      </c>
      <c r="D15" s="47" t="n">
        <v>0</v>
      </c>
      <c r="E15" s="45" t="n">
        <v>100</v>
      </c>
      <c r="F15" s="91">
        <f>+C15*E15</f>
        <v/>
      </c>
    </row>
    <row r="16">
      <c r="E16" s="5" t="inlineStr">
        <is>
          <t>V. Total</t>
        </is>
      </c>
      <c r="F16" s="67">
        <f>SUM(F7:F15)</f>
        <v/>
      </c>
    </row>
    <row r="19">
      <c r="A19" s="79" t="inlineStr">
        <is>
          <t>TABLA PROJECT</t>
        </is>
      </c>
      <c r="B19" s="80" t="inlineStr">
        <is>
          <t>(Duración = 1 días  |  CP = $B$3)</t>
        </is>
      </c>
    </row>
    <row r="20">
      <c r="A20" s="81" t="inlineStr">
        <is>
          <t>RECURSOS</t>
        </is>
      </c>
      <c r="B20" s="81" t="inlineStr">
        <is>
          <t>Un</t>
        </is>
      </c>
      <c r="C20" s="81" t="inlineStr">
        <is>
          <t>Cantidad</t>
        </is>
      </c>
      <c r="D20" s="81" t="inlineStr">
        <is>
          <t>V. Unitario</t>
        </is>
      </c>
      <c r="E20" s="81" t="inlineStr">
        <is>
          <t>Cantidad presupuesto</t>
        </is>
      </c>
      <c r="F20" s="81" t="inlineStr">
        <is>
          <t>Cant. Total</t>
        </is>
      </c>
      <c r="G20" s="81" t="inlineStr">
        <is>
          <t>Valor total</t>
        </is>
      </c>
    </row>
    <row r="21">
      <c r="A21" s="82" t="inlineStr">
        <is>
          <t>APU</t>
        </is>
      </c>
      <c r="B21" s="82" t="inlineStr">
        <is>
          <t>APU</t>
        </is>
      </c>
      <c r="C21" s="82" t="inlineStr">
        <is>
          <t>APU</t>
        </is>
      </c>
      <c r="D21" s="82" t="inlineStr">
        <is>
          <t>APU</t>
        </is>
      </c>
      <c r="E21" s="82" t="inlineStr">
        <is>
          <t>Presupuesto</t>
        </is>
      </c>
      <c r="F21" s="82" t="inlineStr">
        <is>
          <t>Cantidad × (1+Desp) × Cant. presup.</t>
        </is>
      </c>
      <c r="G21" s="82" t="inlineStr">
        <is>
          <t>Cant. Total × V. Unitario</t>
        </is>
      </c>
    </row>
    <row r="22">
      <c r="A22" s="68">
        <f>+A7</f>
        <v/>
      </c>
      <c r="B22" s="69">
        <f>+B7</f>
        <v/>
      </c>
      <c r="C22" s="68">
        <f>+C7</f>
        <v/>
      </c>
      <c r="D22" s="70">
        <f>+E7</f>
        <v/>
      </c>
      <c r="E22" s="68">
        <f>+$B$3</f>
        <v/>
      </c>
      <c r="F22" s="68">
        <f>C22*(1+D7)*E22</f>
        <v/>
      </c>
      <c r="G22" s="70">
        <f>F22*D22</f>
        <v/>
      </c>
    </row>
    <row r="23">
      <c r="A23" s="68">
        <f>+A8</f>
        <v/>
      </c>
      <c r="B23" s="69">
        <f>+B8</f>
        <v/>
      </c>
      <c r="C23" s="68">
        <f>+C8</f>
        <v/>
      </c>
      <c r="D23" s="70">
        <f>+E8</f>
        <v/>
      </c>
      <c r="E23" s="68">
        <f>+$B$3</f>
        <v/>
      </c>
      <c r="F23" s="68">
        <f>C23*(1+D8)*E23</f>
        <v/>
      </c>
      <c r="G23" s="70">
        <f>F23*D23</f>
        <v/>
      </c>
    </row>
    <row r="24">
      <c r="A24" s="68">
        <f>+A9</f>
        <v/>
      </c>
      <c r="B24" s="69">
        <f>+B9</f>
        <v/>
      </c>
      <c r="C24" s="68">
        <f>+C9</f>
        <v/>
      </c>
      <c r="D24" s="70">
        <f>+E9</f>
        <v/>
      </c>
      <c r="E24" s="68">
        <f>+$B$3</f>
        <v/>
      </c>
      <c r="F24" s="68">
        <f>C24*(1+D9)*E24</f>
        <v/>
      </c>
      <c r="G24" s="70">
        <f>F24*D24</f>
        <v/>
      </c>
    </row>
    <row r="25">
      <c r="A25" s="68">
        <f>+A10</f>
        <v/>
      </c>
      <c r="B25" s="69">
        <f>+B10</f>
        <v/>
      </c>
      <c r="C25" s="68">
        <f>+C10</f>
        <v/>
      </c>
      <c r="D25" s="70">
        <f>+E10</f>
        <v/>
      </c>
      <c r="E25" s="68">
        <f>+$B$3</f>
        <v/>
      </c>
      <c r="F25" s="68">
        <f>C25*(1+D10)*E25</f>
        <v/>
      </c>
      <c r="G25" s="70">
        <f>F25*D25</f>
        <v/>
      </c>
    </row>
    <row r="26">
      <c r="A26" s="68">
        <f>+A11</f>
        <v/>
      </c>
      <c r="B26" s="69">
        <f>+B11</f>
        <v/>
      </c>
      <c r="C26" s="68">
        <f>+C11</f>
        <v/>
      </c>
      <c r="D26" s="70">
        <f>+E11</f>
        <v/>
      </c>
      <c r="E26" s="68">
        <f>+$B$3</f>
        <v/>
      </c>
      <c r="F26" s="68">
        <f>C26*(1+D11)*E26</f>
        <v/>
      </c>
      <c r="G26" s="70">
        <f>F26*D26</f>
        <v/>
      </c>
    </row>
    <row r="27">
      <c r="A27" s="68">
        <f>+A12</f>
        <v/>
      </c>
      <c r="B27" s="69">
        <f>+B12</f>
        <v/>
      </c>
      <c r="C27" s="68">
        <f>+C12</f>
        <v/>
      </c>
      <c r="D27" s="70">
        <f>+E12</f>
        <v/>
      </c>
      <c r="E27" s="68">
        <f>+$B$3</f>
        <v/>
      </c>
      <c r="F27" s="68">
        <f>C27*(1+D12)*E27</f>
        <v/>
      </c>
      <c r="G27" s="70">
        <f>F27*D27</f>
        <v/>
      </c>
    </row>
    <row r="28">
      <c r="A28" s="68">
        <f>+A13</f>
        <v/>
      </c>
      <c r="B28" s="69">
        <f>+B13</f>
        <v/>
      </c>
      <c r="C28" s="68">
        <f>+C13</f>
        <v/>
      </c>
      <c r="D28" s="70">
        <f>+E13</f>
        <v/>
      </c>
      <c r="E28" s="68">
        <f>+$B$3</f>
        <v/>
      </c>
      <c r="F28" s="68">
        <f>C28*(1+D13)*E28</f>
        <v/>
      </c>
      <c r="G28" s="70">
        <f>F28*D28</f>
        <v/>
      </c>
    </row>
    <row r="29">
      <c r="A29" s="68">
        <f>+A14</f>
        <v/>
      </c>
      <c r="B29" s="69">
        <f>+B14</f>
        <v/>
      </c>
      <c r="C29" s="68">
        <f>+C14</f>
        <v/>
      </c>
      <c r="D29" s="70">
        <f>+E14</f>
        <v/>
      </c>
      <c r="E29" s="68">
        <f>+$B$3</f>
        <v/>
      </c>
      <c r="F29" s="68">
        <f>C29*(1+D14)*E29</f>
        <v/>
      </c>
      <c r="G29" s="70">
        <f>F29*D29</f>
        <v/>
      </c>
    </row>
    <row r="30">
      <c r="A30" s="68">
        <f>+A15</f>
        <v/>
      </c>
      <c r="B30" s="69">
        <f>+B15</f>
        <v/>
      </c>
      <c r="C30" s="68">
        <f>+C15</f>
        <v/>
      </c>
      <c r="D30" s="70">
        <f>+E15</f>
        <v/>
      </c>
      <c r="E30" s="68">
        <f>+$B$3</f>
        <v/>
      </c>
      <c r="F30" s="68">
        <f>C30*(1+D15)*E30</f>
        <v/>
      </c>
      <c r="G30" s="70">
        <f>F30*D30</f>
        <v/>
      </c>
    </row>
    <row r="31">
      <c r="E31" s="83" t="inlineStr">
        <is>
          <t>V. TOTAL</t>
        </is>
      </c>
      <c r="F31" s="84" t="inlineStr"/>
      <c r="G31" s="85">
        <f>SUM(G22:G30)</f>
        <v/>
      </c>
    </row>
    <row r="33">
      <c r="A33" s="79" t="inlineStr">
        <is>
          <t>FACTOR MULTIPLICADOR — MANO DE OBRA</t>
        </is>
      </c>
    </row>
    <row r="34">
      <c r="A34" s="81" t="inlineStr">
        <is>
          <t>V. Unitario mano de obra "TABLA APU"</t>
        </is>
      </c>
      <c r="B34" s="81" t="inlineStr">
        <is>
          <t>Horas trabajadas diarias</t>
        </is>
      </c>
      <c r="C34" s="81" t="inlineStr">
        <is>
          <t>Dias trabajados para cada tarea o actividad</t>
        </is>
      </c>
      <c r="D34" s="81" t="inlineStr">
        <is>
          <t>Producto (A X B X C)</t>
        </is>
      </c>
      <c r="E34" s="81" t="inlineStr">
        <is>
          <t>Valor Total mano de obra "TABLA PROJECT"</t>
        </is>
      </c>
      <c r="F34" s="81" t="inlineStr">
        <is>
          <t>FACTOR MULTIPLICADOR</t>
        </is>
      </c>
      <c r="G34" s="81" t="inlineStr">
        <is>
          <t>FACTOR MULTIPLICADOR - EN %</t>
        </is>
      </c>
      <c r="H34" s="81" t="inlineStr">
        <is>
          <t>Recurso</t>
        </is>
      </c>
    </row>
    <row r="35">
      <c r="A35" s="82" t="inlineStr">
        <is>
          <t>A</t>
        </is>
      </c>
      <c r="B35" s="82" t="inlineStr">
        <is>
          <t>B</t>
        </is>
      </c>
      <c r="C35" s="82" t="inlineStr">
        <is>
          <t>C</t>
        </is>
      </c>
      <c r="D35" s="82" t="inlineStr">
        <is>
          <t>D</t>
        </is>
      </c>
      <c r="E35" s="82" t="inlineStr">
        <is>
          <t>F</t>
        </is>
      </c>
      <c r="F35" s="82" t="inlineStr">
        <is>
          <t>F/D</t>
        </is>
      </c>
      <c r="G35" s="82" t="inlineStr">
        <is>
          <t>(F/D)*100</t>
        </is>
      </c>
    </row>
    <row r="36">
      <c r="A36" s="70">
        <f>+E12</f>
        <v/>
      </c>
      <c r="B36" s="69" t="n">
        <v>8</v>
      </c>
      <c r="C36" s="69" t="n">
        <v>1</v>
      </c>
      <c r="D36" s="70">
        <f>A36*B36*C36</f>
        <v/>
      </c>
      <c r="E36" s="70">
        <f>+G27</f>
        <v/>
      </c>
      <c r="F36" s="86">
        <f>+E36/D36</f>
        <v/>
      </c>
      <c r="G36" s="86">
        <f>+F36*100</f>
        <v/>
      </c>
      <c r="H36" s="68">
        <f>+A12</f>
        <v/>
      </c>
    </row>
  </sheetData>
  <mergeCells count="1">
    <mergeCell ref="B2:F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giovanni</dc:creator>
  <dcterms:created xsi:type="dcterms:W3CDTF">2025-11-09T13:46:44Z</dcterms:created>
  <dcterms:modified xsi:type="dcterms:W3CDTF">2026-07-11T02:26:35Z</dcterms:modified>
  <cp:lastModifiedBy>giovanni</cp:lastModifiedBy>
</cp:coreProperties>
</file>