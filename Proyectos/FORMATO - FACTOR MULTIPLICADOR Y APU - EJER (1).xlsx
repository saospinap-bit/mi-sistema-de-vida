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i\Desktop\CLASE PROJECT 2026 II\CLASE 2 PROJECT FC\"/>
    </mc:Choice>
  </mc:AlternateContent>
  <xr:revisionPtr revIDLastSave="0" documentId="13_ncr:1_{23CD308C-C2FE-44F7-81A8-B2AF59D842E3}" xr6:coauthVersionLast="47" xr6:coauthVersionMax="47" xr10:uidLastSave="{00000000-0000-0000-0000-000000000000}"/>
  <bookViews>
    <workbookView xWindow="-108" yWindow="-108" windowWidth="23256" windowHeight="12576" tabRatio="662" xr2:uid="{1C027306-EA91-4B35-83A6-8A41F38DD09A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7" r:id="rId15"/>
    <sheet name="Hoja16" sheetId="18" r:id="rId16"/>
    <sheet name="Hoja17" sheetId="19" r:id="rId17"/>
    <sheet name="Hoja18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8" l="1"/>
  <c r="F8" i="1"/>
  <c r="F9" i="1"/>
  <c r="F10" i="1"/>
  <c r="F11" i="1"/>
  <c r="F12" i="1"/>
  <c r="F14" i="13" l="1"/>
  <c r="F10" i="13"/>
  <c r="F8" i="19"/>
  <c r="F9" i="19"/>
  <c r="F10" i="19"/>
  <c r="F11" i="19"/>
  <c r="F12" i="19"/>
  <c r="F13" i="19"/>
  <c r="F7" i="19"/>
  <c r="F14" i="19" s="1"/>
  <c r="F8" i="18"/>
  <c r="F15" i="18"/>
  <c r="F14" i="18"/>
  <c r="F13" i="18"/>
  <c r="F12" i="18"/>
  <c r="F11" i="18"/>
  <c r="F10" i="18"/>
  <c r="F9" i="18"/>
  <c r="F7" i="18"/>
  <c r="F8" i="17"/>
  <c r="F9" i="17"/>
  <c r="F10" i="17"/>
  <c r="F11" i="17"/>
  <c r="F12" i="17"/>
  <c r="F13" i="17"/>
  <c r="F14" i="17"/>
  <c r="F15" i="17"/>
  <c r="F16" i="17"/>
  <c r="F17" i="17"/>
  <c r="F18" i="17"/>
  <c r="F7" i="17"/>
  <c r="F8" i="16"/>
  <c r="F9" i="16"/>
  <c r="F10" i="16"/>
  <c r="F11" i="16"/>
  <c r="F12" i="16"/>
  <c r="F13" i="16"/>
  <c r="F14" i="16"/>
  <c r="F15" i="16"/>
  <c r="F7" i="16"/>
  <c r="F16" i="16" l="1"/>
  <c r="F16" i="18"/>
  <c r="F19" i="17"/>
  <c r="F11" i="14"/>
  <c r="F10" i="14"/>
  <c r="F9" i="14"/>
  <c r="F8" i="14"/>
  <c r="F7" i="14"/>
  <c r="F12" i="14" s="1"/>
  <c r="F13" i="13"/>
  <c r="F12" i="13"/>
  <c r="F11" i="13"/>
  <c r="F9" i="13"/>
  <c r="F8" i="13"/>
  <c r="F7" i="13"/>
  <c r="F13" i="12"/>
  <c r="F12" i="12"/>
  <c r="F11" i="12"/>
  <c r="F10" i="12"/>
  <c r="F9" i="12"/>
  <c r="F8" i="12"/>
  <c r="F7" i="12"/>
  <c r="F11" i="11"/>
  <c r="F10" i="11"/>
  <c r="F9" i="11"/>
  <c r="F8" i="11"/>
  <c r="F12" i="11" s="1"/>
  <c r="F7" i="11"/>
  <c r="F12" i="10"/>
  <c r="F11" i="10"/>
  <c r="F10" i="10"/>
  <c r="F9" i="10"/>
  <c r="F8" i="10"/>
  <c r="F7" i="10"/>
  <c r="F13" i="10" s="1"/>
  <c r="F11" i="9"/>
  <c r="F10" i="9"/>
  <c r="F9" i="9"/>
  <c r="F8" i="9"/>
  <c r="F7" i="9"/>
  <c r="F13" i="8"/>
  <c r="F12" i="8"/>
  <c r="F11" i="8"/>
  <c r="F10" i="8"/>
  <c r="F8" i="8"/>
  <c r="F7" i="8"/>
  <c r="F14" i="12" l="1"/>
  <c r="F12" i="9"/>
  <c r="F14" i="8"/>
  <c r="F14" i="7" l="1"/>
  <c r="F13" i="7"/>
  <c r="F12" i="7"/>
  <c r="F11" i="7"/>
  <c r="F10" i="7"/>
  <c r="F9" i="7"/>
  <c r="F8" i="7"/>
  <c r="F12" i="6"/>
  <c r="F11" i="6"/>
  <c r="F10" i="6"/>
  <c r="F9" i="6"/>
  <c r="F8" i="6"/>
  <c r="F13" i="6" s="1"/>
  <c r="F11" i="5"/>
  <c r="F10" i="5"/>
  <c r="F9" i="5"/>
  <c r="F8" i="5"/>
  <c r="F10" i="4"/>
  <c r="F9" i="4"/>
  <c r="F8" i="4"/>
  <c r="F11" i="4" s="1"/>
  <c r="A29" i="1"/>
  <c r="F9" i="3"/>
  <c r="F8" i="3"/>
  <c r="F7" i="3"/>
  <c r="F6" i="3"/>
  <c r="F10" i="3" l="1"/>
  <c r="F15" i="7"/>
  <c r="F12" i="5"/>
  <c r="F7" i="2" l="1"/>
  <c r="F6" i="2"/>
  <c r="F8" i="2" s="1"/>
  <c r="D29" i="1"/>
  <c r="E29" i="1"/>
  <c r="F29" i="1" l="1"/>
  <c r="G29" i="1" s="1"/>
  <c r="G24" i="1"/>
  <c r="F13" i="1"/>
</calcChain>
</file>

<file path=xl/sharedStrings.xml><?xml version="1.0" encoding="utf-8"?>
<sst xmlns="http://schemas.openxmlformats.org/spreadsheetml/2006/main" count="471" uniqueCount="169">
  <si>
    <t>Un</t>
  </si>
  <si>
    <t>Cantidad</t>
  </si>
  <si>
    <t>Desperdicio</t>
  </si>
  <si>
    <t>V. Unitario</t>
  </si>
  <si>
    <t>V. Parcial</t>
  </si>
  <si>
    <t>Puntilla 2" 1/2 a 3" 1/2</t>
  </si>
  <si>
    <t>lb</t>
  </si>
  <si>
    <t>Madera medio cerco</t>
  </si>
  <si>
    <t>ml</t>
  </si>
  <si>
    <t>Herramienta menor</t>
  </si>
  <si>
    <t>%Mo</t>
  </si>
  <si>
    <t>Equipo topografico precision</t>
  </si>
  <si>
    <t>Dia</t>
  </si>
  <si>
    <t>Mano de obra cuadrilla topografica</t>
  </si>
  <si>
    <t>hc</t>
  </si>
  <si>
    <t>V. Total</t>
  </si>
  <si>
    <t xml:space="preserve">  localización y replanteo</t>
  </si>
  <si>
    <t>m2</t>
  </si>
  <si>
    <t>APU</t>
  </si>
  <si>
    <t>Cantidad definida en el presupuesto (CP)</t>
  </si>
  <si>
    <t>Valor del item en el presupuesto</t>
  </si>
  <si>
    <t>Cant. Total</t>
  </si>
  <si>
    <t>Valor total</t>
  </si>
  <si>
    <t>Cantidad presupuesto</t>
  </si>
  <si>
    <t>Horas trabajadas diarias</t>
  </si>
  <si>
    <t>Dias trabajados para cada tarea o actividad</t>
  </si>
  <si>
    <t>Producto (A X B X C)</t>
  </si>
  <si>
    <t>FACTOR MULTIPLICADOR</t>
  </si>
  <si>
    <t>Excavacion</t>
  </si>
  <si>
    <t>m3</t>
  </si>
  <si>
    <t>%mo</t>
  </si>
  <si>
    <t>Mano de obra cuadrilla aa</t>
  </si>
  <si>
    <t>Hc</t>
  </si>
  <si>
    <t>Retiro material sobrante</t>
  </si>
  <si>
    <t>Escombrera</t>
  </si>
  <si>
    <t>mano de obra cuadrilla aa</t>
  </si>
  <si>
    <t>volqueta</t>
  </si>
  <si>
    <t>m3/km</t>
  </si>
  <si>
    <t>FACTOR MULTIPLICADOR -EN PORCENTAJE</t>
  </si>
  <si>
    <t>Herramienta menor 3</t>
  </si>
  <si>
    <t>SOLADO e=0.05m</t>
  </si>
  <si>
    <t>Mezcla de concreto pobre de 3000psi</t>
  </si>
  <si>
    <t>RELLENO Y COMPACTACION MATERIAL IMPORTADO</t>
  </si>
  <si>
    <t>Material de rio sucio-tierra</t>
  </si>
  <si>
    <t>Mano de obra albeñeleria 1A</t>
  </si>
  <si>
    <t>Pison</t>
  </si>
  <si>
    <t>Hrs</t>
  </si>
  <si>
    <t>Volqueta transporte petreos 1-10 km</t>
  </si>
  <si>
    <t>Figurado y armada acero 60000 psi vaciado zapatas en concreto de 3000 psi</t>
  </si>
  <si>
    <t>kg</t>
  </si>
  <si>
    <t>Acero de 420 Mpa</t>
  </si>
  <si>
    <t>Alambre negro</t>
  </si>
  <si>
    <t>Segueta sin marco</t>
  </si>
  <si>
    <t>glb</t>
  </si>
  <si>
    <t>VIGA DE CIMENTACION DE 3000 PSI (0.25 X 0.25) (m3)</t>
  </si>
  <si>
    <t>lbs</t>
  </si>
  <si>
    <t>Tabla 1x 10 x 300 otobo</t>
  </si>
  <si>
    <t>und</t>
  </si>
  <si>
    <t>Vareta 2" x 2" x 3m otobo</t>
  </si>
  <si>
    <t xml:space="preserve">Mezcla concreto 3000 psi </t>
  </si>
  <si>
    <t>Mano de obra cuadrilla aa 2+1</t>
  </si>
  <si>
    <t>vibrador electrico</t>
  </si>
  <si>
    <t>RECURSOS</t>
  </si>
  <si>
    <t>NOTA/ TENGA EN CUENTA EL DESPERDICIO DEL CONCRETO</t>
  </si>
  <si>
    <t>Herramienta menor 4</t>
  </si>
  <si>
    <t>TABLA PROJECT</t>
  </si>
  <si>
    <t>V. Unitario mano de obra "TABLA APU"</t>
  </si>
  <si>
    <t>Valor Total mano de obra "TABLA PROJECT"</t>
  </si>
  <si>
    <t>Herramienta menor 5</t>
  </si>
  <si>
    <t>IMPORTANTE DEJE LA DURACIÓN FIJA</t>
  </si>
  <si>
    <t>Herramienta menor 6</t>
  </si>
  <si>
    <t>LOSA DE CONTRAPISO</t>
  </si>
  <si>
    <t>Puntilla 2"</t>
  </si>
  <si>
    <t>Tabla 1 x 10 x 300</t>
  </si>
  <si>
    <t>U</t>
  </si>
  <si>
    <t>Mezcla de concreto 1:2:3 21 Mpa</t>
  </si>
  <si>
    <t>Mano de obra albañeleria 3a 1o</t>
  </si>
  <si>
    <t>Vibrador electrico</t>
  </si>
  <si>
    <t>Gl</t>
  </si>
  <si>
    <t>Figurado y armada acero de Columnas primer piso</t>
  </si>
  <si>
    <t>Kg</t>
  </si>
  <si>
    <t>Mano de Obra cuadrilla aa</t>
  </si>
  <si>
    <t>Herramienta menor 7</t>
  </si>
  <si>
    <t>Encofrado y vaciado columnar primer piso</t>
  </si>
  <si>
    <t>Mezcla concreto de 3000 psi</t>
  </si>
  <si>
    <t>formaleta</t>
  </si>
  <si>
    <t>andamios</t>
  </si>
  <si>
    <t>Dd</t>
  </si>
  <si>
    <t>Herramienta menor 8</t>
  </si>
  <si>
    <t>mano de obra cuadrilla aa 2+1</t>
  </si>
  <si>
    <t>Figurado y armado acero losa de contrapiso</t>
  </si>
  <si>
    <t xml:space="preserve">mano de obra cuadrilla aa </t>
  </si>
  <si>
    <t>Glb</t>
  </si>
  <si>
    <t>Losa de entrepiso concreto de 3000 psi e=0.05m incluye encofrado</t>
  </si>
  <si>
    <t>Caseton de guadua</t>
  </si>
  <si>
    <t>Formaleta</t>
  </si>
  <si>
    <t>Andamio</t>
  </si>
  <si>
    <t>Herramienta menor 9</t>
  </si>
  <si>
    <t>mano de obra cuadrilla aa 3+1</t>
  </si>
  <si>
    <t>Muro en bloque ceramico</t>
  </si>
  <si>
    <t>Impermeable sika imprimante</t>
  </si>
  <si>
    <t>Bloque ceramico</t>
  </si>
  <si>
    <t>Mortero de pega 1:4</t>
  </si>
  <si>
    <t>Herramienta menor 10</t>
  </si>
  <si>
    <t>Mezcla grouting 3000psi</t>
  </si>
  <si>
    <t>mano de obra cuadrilla aa 5</t>
  </si>
  <si>
    <t>Pañete en interiores primer piso, e= 0.02 m, 1:3</t>
  </si>
  <si>
    <t xml:space="preserve">mano de obra cuadrilla aa 6 </t>
  </si>
  <si>
    <t>Und</t>
  </si>
  <si>
    <t>Volqueta transporte materiales petreos</t>
  </si>
  <si>
    <t>Herramienta menor 2</t>
  </si>
  <si>
    <t>Herramienta menor 11</t>
  </si>
  <si>
    <t>Herramienta menor 12</t>
  </si>
  <si>
    <t>Herramienta menor 13</t>
  </si>
  <si>
    <t>Cruceta andamio</t>
  </si>
  <si>
    <t>Descripción</t>
  </si>
  <si>
    <t>Bajante pvc cuadrado</t>
  </si>
  <si>
    <t>Bajante pvc soporte</t>
  </si>
  <si>
    <t>Soldadura pvc 1/4 gls</t>
  </si>
  <si>
    <t>Torn p/mad 1 x 6</t>
  </si>
  <si>
    <t>Limpiador pvc 760‑g 1/4 gl</t>
  </si>
  <si>
    <t>Mano obra albañilería 1 ayudante‑1 ofi</t>
  </si>
  <si>
    <t>%</t>
  </si>
  <si>
    <t>Andamio metálico tubular</t>
  </si>
  <si>
    <t>Día</t>
  </si>
  <si>
    <t>Bajante aguas lluvias</t>
  </si>
  <si>
    <t>m</t>
  </si>
  <si>
    <t>Thinner</t>
  </si>
  <si>
    <t>Gls</t>
  </si>
  <si>
    <t>Anticorrosivo rojo</t>
  </si>
  <si>
    <t>Soldadura 6011 x 1/8”</t>
  </si>
  <si>
    <t>Perfil hr c120mmx60mm‑1.5</t>
  </si>
  <si>
    <t>Mano obra albañilería 2 ayudante</t>
  </si>
  <si>
    <t>Mano obra carp.taller ayudante‑1 ofi</t>
  </si>
  <si>
    <t>Mano obra pintura 1 ayudante‑1 ofi</t>
  </si>
  <si>
    <t>Pulidora con piedra o disco</t>
  </si>
  <si>
    <t>Soldador eléctrico</t>
  </si>
  <si>
    <t>Oxicorte (oxígeno‑acetileno)</t>
  </si>
  <si>
    <t>Und/d</t>
  </si>
  <si>
    <t>Suministro e instalación perfil cajón hr 120x60mm</t>
  </si>
  <si>
    <t>Torn autoge. 3/4x‑3/16</t>
  </si>
  <si>
    <t>Lámina policarbonato 8 mm</t>
  </si>
  <si>
    <t>Remate u 6x2010 mm policarb</t>
  </si>
  <si>
    <t>Silicona transparent. 11 oz</t>
  </si>
  <si>
    <t>Cinta aluminio industrial</t>
  </si>
  <si>
    <t>Mano obra albañilería 2 ayudante‑1 ofi</t>
  </si>
  <si>
    <t>Suministro e instalación lámina policarbonato alveolar</t>
  </si>
  <si>
    <t>Igas gris (sellante) 5 kg</t>
  </si>
  <si>
    <t>Canaleta 43 de 4.00</t>
  </si>
  <si>
    <t>Torn met. Canaleta 43</t>
  </si>
  <si>
    <t>Mano obra albañilería 3 ayudante‑1 oficina</t>
  </si>
  <si>
    <r>
      <rPr>
        <b/>
        <sz val="11"/>
        <rFont val="Calibri"/>
        <family val="2"/>
        <scheme val="minor"/>
      </rPr>
      <t xml:space="preserve">Esta columna es la que se inserta en la ventana del project - "INFORMACIÓN DE LA TAREA" - </t>
    </r>
    <r>
      <rPr>
        <b/>
        <sz val="11"/>
        <color rgb="FFFF0000"/>
        <rFont val="Calibri"/>
        <family val="2"/>
        <scheme val="minor"/>
      </rPr>
      <t>MENOS LA MANO DE OBRA PORQUE QUE ACA SE TIENE EN CUENTA EL FACTOR MULTIPLICADOR</t>
    </r>
  </si>
  <si>
    <r>
      <t xml:space="preserve">Esta columna es la que se inserta en la </t>
    </r>
    <r>
      <rPr>
        <b/>
        <sz val="11"/>
        <rFont val="Calibri"/>
        <family val="2"/>
        <scheme val="minor"/>
      </rPr>
      <t>"HOJA DE RECURSOS" del Project</t>
    </r>
  </si>
  <si>
    <r>
      <t xml:space="preserve">Tenga en cuenta que cuando se selecciona en la </t>
    </r>
    <r>
      <rPr>
        <b/>
        <sz val="11"/>
        <color theme="1"/>
        <rFont val="Calibri"/>
        <family val="2"/>
        <scheme val="minor"/>
      </rPr>
      <t>"HOJA DE RECURSOS"</t>
    </r>
    <r>
      <rPr>
        <sz val="11"/>
        <color theme="1"/>
        <rFont val="Calibri"/>
        <family val="2"/>
        <scheme val="minor"/>
      </rPr>
      <t xml:space="preserve"> el recurso </t>
    </r>
    <r>
      <rPr>
        <b/>
        <sz val="11"/>
        <color theme="1"/>
        <rFont val="Calibri"/>
        <family val="2"/>
        <scheme val="minor"/>
      </rPr>
      <t xml:space="preserve">"COSTOS" </t>
    </r>
    <r>
      <rPr>
        <sz val="11"/>
        <color theme="1"/>
        <rFont val="Calibri"/>
        <family val="2"/>
        <scheme val="minor"/>
      </rPr>
      <t>se coloca directamente el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"valor total"</t>
    </r>
    <r>
      <rPr>
        <sz val="11"/>
        <color theme="1"/>
        <rFont val="Calibri"/>
        <family val="2"/>
        <scheme val="minor"/>
      </rPr>
      <t xml:space="preserve"> de esta tabla en la columna COSTO de la ventana de Project </t>
    </r>
    <r>
      <rPr>
        <b/>
        <sz val="11"/>
        <color theme="1"/>
        <rFont val="Calibri"/>
        <family val="2"/>
        <scheme val="minor"/>
      </rPr>
      <t>"INFORMACIÓN DE LA TAREA"</t>
    </r>
  </si>
  <si>
    <t>Suministro e instalación de canaletas</t>
  </si>
  <si>
    <t>Herramienta menor 14</t>
  </si>
  <si>
    <t>Herramienta menor 15</t>
  </si>
  <si>
    <t>Herramienta menor 16</t>
  </si>
  <si>
    <t>Herramienta menor 17</t>
  </si>
  <si>
    <t>Presupuesto</t>
  </si>
  <si>
    <t>(Cantidad x Cantidad presupuesto)</t>
  </si>
  <si>
    <t>Cant. Total x V. Unitario</t>
  </si>
  <si>
    <t>A</t>
  </si>
  <si>
    <t>B</t>
  </si>
  <si>
    <t>C</t>
  </si>
  <si>
    <t>D</t>
  </si>
  <si>
    <t>F</t>
  </si>
  <si>
    <t>F/D</t>
  </si>
  <si>
    <t>(F/D)*100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</si>
</sst>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0_ ;\-0.00\ "/>
    <numFmt numFmtId="166" formatCode="_-* #,##0.000_-;\-* #,##0.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44" fontId="0" fillId="0" borderId="1" xfId="2" applyFont="1" applyBorder="1"/>
    <xf numFmtId="0" fontId="3" fillId="0" borderId="0" xfId="0" applyFont="1" applyAlignment="1">
      <alignment horizontal="center"/>
    </xf>
    <xf numFmtId="44" fontId="3" fillId="0" borderId="0" xfId="2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/>
    <xf numFmtId="164" fontId="2" fillId="0" borderId="0" xfId="2" applyNumberFormat="1" applyFont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0" fillId="3" borderId="1" xfId="0" applyFill="1" applyBorder="1"/>
    <xf numFmtId="166" fontId="0" fillId="0" borderId="1" xfId="1" applyNumberFormat="1" applyFont="1" applyBorder="1"/>
    <xf numFmtId="0" fontId="4" fillId="0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164" fontId="3" fillId="0" borderId="1" xfId="2" applyNumberFormat="1" applyFont="1" applyBorder="1"/>
    <xf numFmtId="0" fontId="0" fillId="0" borderId="1" xfId="0" applyFill="1" applyBorder="1"/>
    <xf numFmtId="0" fontId="0" fillId="4" borderId="1" xfId="0" applyFill="1" applyBorder="1"/>
    <xf numFmtId="43" fontId="0" fillId="0" borderId="0" xfId="0" applyNumberFormat="1" applyFill="1"/>
    <xf numFmtId="0" fontId="0" fillId="6" borderId="1" xfId="0" applyFill="1" applyBorder="1"/>
    <xf numFmtId="0" fontId="3" fillId="0" borderId="1" xfId="0" applyFont="1" applyBorder="1" applyAlignment="1">
      <alignment horizontal="center"/>
    </xf>
    <xf numFmtId="44" fontId="0" fillId="0" borderId="1" xfId="2" applyFont="1" applyFill="1" applyBorder="1"/>
    <xf numFmtId="44" fontId="0" fillId="0" borderId="1" xfId="0" applyNumberFormat="1" applyBorder="1"/>
    <xf numFmtId="4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0" fillId="0" borderId="0" xfId="2" applyFont="1"/>
    <xf numFmtId="0" fontId="4" fillId="0" borderId="0" xfId="0" applyFont="1"/>
    <xf numFmtId="0" fontId="0" fillId="7" borderId="1" xfId="0" applyFill="1" applyBorder="1"/>
    <xf numFmtId="0" fontId="0" fillId="8" borderId="0" xfId="0" applyFill="1" applyAlignment="1">
      <alignment wrapText="1"/>
    </xf>
    <xf numFmtId="165" fontId="0" fillId="5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2" applyFont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2" applyNumberFormat="1" applyFont="1" applyBorder="1" applyAlignment="1">
      <alignment vertical="center" wrapText="1"/>
    </xf>
    <xf numFmtId="44" fontId="0" fillId="0" borderId="1" xfId="2" applyFon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7" fillId="7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4" fontId="3" fillId="0" borderId="1" xfId="2" applyNumberFormat="1" applyFont="1" applyBorder="1"/>
    <xf numFmtId="44" fontId="3" fillId="0" borderId="1" xfId="0" applyNumberFormat="1" applyFont="1" applyBorder="1"/>
    <xf numFmtId="44" fontId="3" fillId="0" borderId="1" xfId="2" applyNumberFormat="1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44" fontId="0" fillId="5" borderId="1" xfId="2" applyFont="1" applyFill="1" applyBorder="1"/>
    <xf numFmtId="0" fontId="3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1104900</xdr:colOff>
      <xdr:row>7</xdr:row>
      <xdr:rowOff>138172</xdr:rowOff>
    </xdr:from>
    <xdr:to>
      <xdr:col>11</xdr:col>
      <xdr:colOff>672272</xdr:colOff>
      <xdr:row>15</xdr:row>
      <xdr:rowOff>229687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C1C2E1-30C6-42BC-8BD8-A62C18BB2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5480" y="1601212"/>
          <a:ext cx="4177472" cy="2651835"/>
        </a:xfrm>
        <a:prstGeom prst="rect">
          <a:avLst/>
        </a:prstGeom>
      </xdr:spPr>
    </xdr:pic>
    <xdr:clientData/>
  </xdr:twoCellAnchor>
  <xdr:twoCellAnchor>
    <xdr:from>
      <xdr:col>6</xdr:col>
      <xdr:colOff>1127760</xdr:colOff>
      <xdr:row>14</xdr:row>
      <xdr:rowOff>91440</xdr:rowOff>
    </xdr:from>
    <xdr:to>
      <xdr:col>9</xdr:col>
      <xdr:colOff>586740</xdr:colOff>
      <xdr:row>14</xdr:row>
      <xdr:rowOff>403860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C007D2D-742A-4CBD-9D4B-9D5250891BF9}"/>
            </a:ext>
          </a:extLst>
        </xdr:cNvPr>
        <xdr:cNvSpPr/>
      </xdr:nvSpPr>
      <xdr:spPr>
        <a:xfrm>
          <a:off x="9578340" y="2834640"/>
          <a:ext cx="2202180" cy="31242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1FAF-9784-4CB1-9B54-949E2B024614}">
  <dimension ref="A1:L29"/>
  <sheetViews>
    <sheetView tabSelected="1" topLeftCell="A4" workbookViewId="0">
      <selection activeCell="D15" sqref="D15"/>
    </sheetView>
  </sheetViews>
  <sheetFormatPr baseColWidth="10" defaultRowHeight="14.4" x14ac:dyDescent="0.3"/>
  <cols>
    <col min="1" max="1" width="33.88671875" customWidth="1"/>
    <col min="2" max="2" width="13.88671875" bestFit="1" customWidth="1"/>
    <col min="4" max="4" width="20.33203125" customWidth="1"/>
    <col min="5" max="5" width="19.5546875" bestFit="1" customWidth="1"/>
    <col min="6" max="6" width="28.6640625" customWidth="1"/>
    <col min="7" max="7" width="21" bestFit="1" customWidth="1"/>
  </cols>
  <sheetData>
    <row r="1" spans="1:12" x14ac:dyDescent="0.3">
      <c r="A1" s="2" t="s">
        <v>18</v>
      </c>
      <c r="B1" s="58" t="s">
        <v>16</v>
      </c>
      <c r="C1" s="58"/>
      <c r="D1" s="58"/>
      <c r="E1" s="58"/>
      <c r="F1" s="58"/>
    </row>
    <row r="2" spans="1:12" ht="28.8" x14ac:dyDescent="0.3">
      <c r="A2" s="20" t="s">
        <v>19</v>
      </c>
      <c r="B2" s="2">
        <v>72</v>
      </c>
      <c r="C2" s="8" t="s">
        <v>17</v>
      </c>
    </row>
    <row r="3" spans="1:12" x14ac:dyDescent="0.3">
      <c r="A3" s="20" t="s">
        <v>20</v>
      </c>
      <c r="B3" s="21">
        <v>127655.58</v>
      </c>
      <c r="C3" s="8"/>
    </row>
    <row r="4" spans="1:12" x14ac:dyDescent="0.3">
      <c r="H4" s="59" t="s">
        <v>69</v>
      </c>
      <c r="I4" s="59"/>
      <c r="J4" s="59"/>
      <c r="K4" s="59"/>
      <c r="L4" s="59"/>
    </row>
    <row r="5" spans="1:12" x14ac:dyDescent="0.3">
      <c r="A5" s="8" t="s">
        <v>18</v>
      </c>
      <c r="C5" s="9"/>
      <c r="D5" s="9"/>
      <c r="E5" s="9"/>
      <c r="H5" s="59"/>
      <c r="I5" s="59"/>
      <c r="J5" s="59"/>
      <c r="K5" s="59"/>
      <c r="L5" s="59"/>
    </row>
    <row r="6" spans="1:12" x14ac:dyDescent="0.3">
      <c r="A6" s="58" t="s">
        <v>16</v>
      </c>
      <c r="B6" s="58"/>
      <c r="C6" s="58"/>
      <c r="D6" s="58"/>
      <c r="E6" s="58"/>
      <c r="F6" s="2" t="s">
        <v>17</v>
      </c>
      <c r="H6" s="59"/>
      <c r="I6" s="59"/>
      <c r="J6" s="59"/>
      <c r="K6" s="59"/>
      <c r="L6" s="59"/>
    </row>
    <row r="7" spans="1:12" x14ac:dyDescent="0.3">
      <c r="A7" s="2" t="s">
        <v>62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  <c r="H7" s="59"/>
      <c r="I7" s="59"/>
      <c r="J7" s="59"/>
      <c r="K7" s="59"/>
      <c r="L7" s="59"/>
    </row>
    <row r="8" spans="1:12" x14ac:dyDescent="0.3">
      <c r="A8" s="1" t="s">
        <v>5</v>
      </c>
      <c r="B8" s="1" t="s">
        <v>6</v>
      </c>
      <c r="C8" s="1">
        <v>0.01</v>
      </c>
      <c r="D8" s="1">
        <v>0</v>
      </c>
      <c r="E8" s="1">
        <v>2100</v>
      </c>
      <c r="F8" s="4">
        <f>+C8*E8</f>
        <v>21</v>
      </c>
      <c r="H8" s="59"/>
      <c r="I8" s="59"/>
      <c r="J8" s="59"/>
      <c r="K8" s="59"/>
      <c r="L8" s="59"/>
    </row>
    <row r="9" spans="1:12" x14ac:dyDescent="0.3">
      <c r="A9" s="1" t="s">
        <v>7</v>
      </c>
      <c r="B9" s="1" t="s">
        <v>8</v>
      </c>
      <c r="C9" s="1">
        <v>0.2</v>
      </c>
      <c r="D9" s="1">
        <v>0</v>
      </c>
      <c r="E9" s="1">
        <v>3900</v>
      </c>
      <c r="F9" s="4">
        <f>+C9*E9</f>
        <v>780</v>
      </c>
    </row>
    <row r="10" spans="1:12" x14ac:dyDescent="0.3">
      <c r="A10" s="1" t="s">
        <v>9</v>
      </c>
      <c r="B10" s="1" t="s">
        <v>10</v>
      </c>
      <c r="C10" s="1">
        <v>0.05</v>
      </c>
      <c r="D10" s="1">
        <v>0</v>
      </c>
      <c r="E10" s="1">
        <v>259.04000000000002</v>
      </c>
      <c r="F10" s="4">
        <f>+C10*E10</f>
        <v>12.952000000000002</v>
      </c>
    </row>
    <row r="11" spans="1:12" x14ac:dyDescent="0.3">
      <c r="A11" s="1" t="s">
        <v>11</v>
      </c>
      <c r="B11" s="1" t="s">
        <v>12</v>
      </c>
      <c r="C11" s="1">
        <v>0.02</v>
      </c>
      <c r="D11" s="1">
        <v>0</v>
      </c>
      <c r="E11" s="1">
        <v>35000</v>
      </c>
      <c r="F11" s="4">
        <f>+C11*E11</f>
        <v>700</v>
      </c>
    </row>
    <row r="12" spans="1:12" x14ac:dyDescent="0.3">
      <c r="A12" s="1" t="s">
        <v>13</v>
      </c>
      <c r="B12" s="1" t="s">
        <v>14</v>
      </c>
      <c r="C12" s="1">
        <v>0.01</v>
      </c>
      <c r="D12" s="1">
        <v>0</v>
      </c>
      <c r="E12" s="23">
        <v>25904.41</v>
      </c>
      <c r="F12" s="4">
        <f>+C12*E12</f>
        <v>259.04410000000001</v>
      </c>
    </row>
    <row r="13" spans="1:12" x14ac:dyDescent="0.3">
      <c r="E13" s="5" t="s">
        <v>15</v>
      </c>
      <c r="F13" s="6">
        <f>SUM(F8:F12)</f>
        <v>1772.9961000000001</v>
      </c>
    </row>
    <row r="15" spans="1:12" ht="100.8" x14ac:dyDescent="0.3">
      <c r="B15" s="14"/>
      <c r="F15" s="13" t="s">
        <v>151</v>
      </c>
    </row>
    <row r="16" spans="1:12" ht="115.2" x14ac:dyDescent="0.3">
      <c r="A16" s="32" t="s">
        <v>65</v>
      </c>
      <c r="C16" s="9"/>
      <c r="D16" s="12" t="s">
        <v>152</v>
      </c>
      <c r="F16" s="34" t="s">
        <v>153</v>
      </c>
    </row>
    <row r="17" spans="1:7" x14ac:dyDescent="0.3">
      <c r="A17" s="2" t="s">
        <v>62</v>
      </c>
      <c r="B17" s="2" t="s">
        <v>0</v>
      </c>
      <c r="C17" s="3" t="s">
        <v>1</v>
      </c>
      <c r="D17" s="2" t="s">
        <v>3</v>
      </c>
      <c r="E17" s="10" t="s">
        <v>23</v>
      </c>
      <c r="F17" s="10" t="s">
        <v>21</v>
      </c>
      <c r="G17" s="10" t="s">
        <v>22</v>
      </c>
    </row>
    <row r="18" spans="1:7" x14ac:dyDescent="0.3">
      <c r="A18" s="54" t="s">
        <v>18</v>
      </c>
      <c r="B18" s="54" t="s">
        <v>18</v>
      </c>
      <c r="C18" s="55" t="s">
        <v>18</v>
      </c>
      <c r="D18" s="54" t="s">
        <v>18</v>
      </c>
      <c r="E18" s="54" t="s">
        <v>159</v>
      </c>
      <c r="F18" s="54" t="s">
        <v>160</v>
      </c>
      <c r="G18" s="54" t="s">
        <v>161</v>
      </c>
    </row>
    <row r="19" spans="1:7" x14ac:dyDescent="0.3">
      <c r="A19" s="1"/>
      <c r="B19" s="1"/>
      <c r="C19" s="1"/>
      <c r="D19" s="1"/>
      <c r="E19" s="1"/>
      <c r="F19" s="1"/>
      <c r="G19" s="4"/>
    </row>
    <row r="20" spans="1:7" x14ac:dyDescent="0.3">
      <c r="A20" s="1"/>
      <c r="B20" s="1"/>
      <c r="C20" s="1"/>
      <c r="D20" s="1"/>
      <c r="E20" s="1"/>
      <c r="F20" s="1"/>
      <c r="G20" s="4"/>
    </row>
    <row r="21" spans="1:7" x14ac:dyDescent="0.3">
      <c r="A21" s="1"/>
      <c r="B21" s="1"/>
      <c r="C21" s="1"/>
      <c r="D21" s="1"/>
      <c r="E21" s="1"/>
      <c r="F21" s="1"/>
      <c r="G21" s="4"/>
    </row>
    <row r="22" spans="1:7" x14ac:dyDescent="0.3">
      <c r="A22" s="1"/>
      <c r="B22" s="1"/>
      <c r="C22" s="1"/>
      <c r="D22" s="1"/>
      <c r="E22" s="1"/>
      <c r="F22" s="1"/>
      <c r="G22" s="4"/>
    </row>
    <row r="23" spans="1:7" x14ac:dyDescent="0.3">
      <c r="A23" s="1"/>
      <c r="B23" s="1"/>
      <c r="C23" s="1"/>
      <c r="D23" s="23"/>
      <c r="E23" s="1"/>
      <c r="F23" s="1"/>
      <c r="G23" s="57"/>
    </row>
    <row r="24" spans="1:7" x14ac:dyDescent="0.3">
      <c r="D24" s="24"/>
      <c r="G24" s="11">
        <f>SUM(G19:G23)</f>
        <v>0</v>
      </c>
    </row>
    <row r="27" spans="1:7" ht="72" x14ac:dyDescent="0.3">
      <c r="A27" s="15" t="s">
        <v>66</v>
      </c>
      <c r="B27" s="15" t="s">
        <v>24</v>
      </c>
      <c r="C27" s="15" t="s">
        <v>25</v>
      </c>
      <c r="D27" s="15" t="s">
        <v>26</v>
      </c>
      <c r="E27" s="16" t="s">
        <v>67</v>
      </c>
      <c r="F27" s="16" t="s">
        <v>27</v>
      </c>
      <c r="G27" s="19" t="s">
        <v>38</v>
      </c>
    </row>
    <row r="28" spans="1:7" x14ac:dyDescent="0.3">
      <c r="A28" s="56" t="s">
        <v>162</v>
      </c>
      <c r="B28" s="56" t="s">
        <v>163</v>
      </c>
      <c r="C28" s="56" t="s">
        <v>164</v>
      </c>
      <c r="D28" s="56" t="s">
        <v>165</v>
      </c>
      <c r="E28" s="56" t="s">
        <v>166</v>
      </c>
      <c r="F28" s="56" t="s">
        <v>167</v>
      </c>
      <c r="G28" s="56" t="s">
        <v>168</v>
      </c>
    </row>
    <row r="29" spans="1:7" x14ac:dyDescent="0.3">
      <c r="A29" s="23">
        <f>+E12</f>
        <v>25904.41</v>
      </c>
      <c r="B29" s="1">
        <v>8</v>
      </c>
      <c r="C29" s="17">
        <v>2</v>
      </c>
      <c r="D29" s="1">
        <f>A29*B29*C29</f>
        <v>414470.56</v>
      </c>
      <c r="E29" s="35">
        <f>+G23</f>
        <v>0</v>
      </c>
      <c r="F29" s="18">
        <f>+E29/D29</f>
        <v>0</v>
      </c>
      <c r="G29" s="1">
        <f>+F29*100</f>
        <v>0</v>
      </c>
    </row>
  </sheetData>
  <mergeCells count="3">
    <mergeCell ref="A6:E6"/>
    <mergeCell ref="B1:F1"/>
    <mergeCell ref="H4:L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F2EF-C353-4E74-B6E8-0245F607C3E9}">
  <dimension ref="A1:F8"/>
  <sheetViews>
    <sheetView workbookViewId="0">
      <selection activeCell="B4" sqref="B4"/>
    </sheetView>
  </sheetViews>
  <sheetFormatPr baseColWidth="10" defaultRowHeight="14.4" x14ac:dyDescent="0.3"/>
  <cols>
    <col min="1" max="1" width="26.5546875" customWidth="1"/>
    <col min="2" max="2" width="12.88671875" bestFit="1" customWidth="1"/>
    <col min="4" max="4" width="30.6640625" customWidth="1"/>
    <col min="5" max="5" width="19.77734375" customWidth="1"/>
    <col min="6" max="6" width="32" customWidth="1"/>
    <col min="7" max="7" width="15.5546875" customWidth="1"/>
  </cols>
  <sheetData>
    <row r="1" spans="1:6" x14ac:dyDescent="0.3">
      <c r="A1" s="2" t="s">
        <v>18</v>
      </c>
      <c r="B1" s="58" t="s">
        <v>28</v>
      </c>
      <c r="C1" s="58"/>
      <c r="D1" s="58"/>
      <c r="E1" s="58"/>
      <c r="F1" s="58"/>
    </row>
    <row r="2" spans="1:6" ht="28.8" x14ac:dyDescent="0.3">
      <c r="A2" s="20" t="s">
        <v>19</v>
      </c>
      <c r="B2" s="2">
        <v>7.12</v>
      </c>
      <c r="C2" s="8" t="s">
        <v>29</v>
      </c>
    </row>
    <row r="3" spans="1:6" ht="28.8" x14ac:dyDescent="0.3">
      <c r="A3" s="20" t="s">
        <v>20</v>
      </c>
      <c r="B3" s="51">
        <v>208943.52</v>
      </c>
      <c r="C3" s="8"/>
    </row>
    <row r="4" spans="1:6" x14ac:dyDescent="0.3">
      <c r="A4" s="7"/>
      <c r="B4" s="6"/>
      <c r="C4" s="8"/>
    </row>
    <row r="5" spans="1:6" x14ac:dyDescent="0.3">
      <c r="A5" s="41" t="s">
        <v>115</v>
      </c>
      <c r="B5" s="2" t="s">
        <v>0</v>
      </c>
      <c r="C5" s="3" t="s">
        <v>1</v>
      </c>
      <c r="D5" s="2" t="s">
        <v>2</v>
      </c>
      <c r="E5" s="2" t="s">
        <v>3</v>
      </c>
      <c r="F5" s="2" t="s">
        <v>4</v>
      </c>
    </row>
    <row r="6" spans="1:6" x14ac:dyDescent="0.3">
      <c r="A6" s="1" t="s">
        <v>110</v>
      </c>
      <c r="B6" s="1" t="s">
        <v>30</v>
      </c>
      <c r="C6" s="1">
        <v>0.05</v>
      </c>
      <c r="D6" s="1">
        <v>0</v>
      </c>
      <c r="E6" s="1">
        <v>27948.71</v>
      </c>
      <c r="F6" s="4">
        <f>+C6*E6</f>
        <v>1397.4355</v>
      </c>
    </row>
    <row r="7" spans="1:6" x14ac:dyDescent="0.3">
      <c r="A7" s="1" t="s">
        <v>31</v>
      </c>
      <c r="B7" s="1" t="s">
        <v>32</v>
      </c>
      <c r="C7" s="1">
        <v>1.8</v>
      </c>
      <c r="D7" s="1">
        <v>0</v>
      </c>
      <c r="E7" s="25">
        <v>15527.06</v>
      </c>
      <c r="F7" s="27">
        <f>+C7*E7</f>
        <v>27948.707999999999</v>
      </c>
    </row>
    <row r="8" spans="1:6" x14ac:dyDescent="0.3">
      <c r="E8" s="5" t="s">
        <v>15</v>
      </c>
      <c r="F8" s="29">
        <f>SUM(F6:F7)</f>
        <v>29346.143499999998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40D5-7CF2-45F4-95BA-079E70336D65}">
  <dimension ref="A1:F10"/>
  <sheetViews>
    <sheetView workbookViewId="0">
      <selection activeCell="E14" sqref="E14"/>
    </sheetView>
  </sheetViews>
  <sheetFormatPr baseColWidth="10" defaultRowHeight="14.4" x14ac:dyDescent="0.3"/>
  <cols>
    <col min="1" max="1" width="39.109375" customWidth="1"/>
    <col min="2" max="2" width="17.109375" customWidth="1"/>
    <col min="3" max="3" width="12" customWidth="1"/>
    <col min="4" max="4" width="26.109375" customWidth="1"/>
    <col min="5" max="5" width="19.5546875" bestFit="1" customWidth="1"/>
    <col min="6" max="6" width="31.44140625" customWidth="1"/>
    <col min="7" max="7" width="16.77734375" customWidth="1"/>
  </cols>
  <sheetData>
    <row r="1" spans="1:6" x14ac:dyDescent="0.3">
      <c r="A1" s="2" t="s">
        <v>18</v>
      </c>
      <c r="B1" s="60" t="s">
        <v>33</v>
      </c>
      <c r="C1" s="61"/>
      <c r="D1" s="61"/>
      <c r="E1" s="61"/>
      <c r="F1" s="62"/>
    </row>
    <row r="2" spans="1:6" ht="28.8" x14ac:dyDescent="0.3">
      <c r="A2" s="20" t="s">
        <v>19</v>
      </c>
      <c r="B2" s="40">
        <v>5.53</v>
      </c>
      <c r="C2" s="2" t="s">
        <v>29</v>
      </c>
    </row>
    <row r="3" spans="1:6" x14ac:dyDescent="0.3">
      <c r="A3" s="20" t="s">
        <v>20</v>
      </c>
      <c r="B3" s="53">
        <v>92367.590000000011</v>
      </c>
      <c r="C3" s="2"/>
    </row>
    <row r="5" spans="1:6" x14ac:dyDescent="0.3">
      <c r="A5" s="41" t="s">
        <v>115</v>
      </c>
      <c r="B5" s="2" t="s">
        <v>0</v>
      </c>
      <c r="C5" s="3" t="s">
        <v>1</v>
      </c>
      <c r="D5" s="2" t="s">
        <v>2</v>
      </c>
      <c r="E5" s="2" t="s">
        <v>3</v>
      </c>
      <c r="F5" s="2" t="s">
        <v>4</v>
      </c>
    </row>
    <row r="6" spans="1:6" x14ac:dyDescent="0.3">
      <c r="A6" s="1" t="s">
        <v>34</v>
      </c>
      <c r="B6" s="1" t="s">
        <v>29</v>
      </c>
      <c r="C6" s="1">
        <v>1</v>
      </c>
      <c r="D6" s="1">
        <v>0</v>
      </c>
      <c r="E6" s="1">
        <v>4166</v>
      </c>
      <c r="F6" s="4">
        <f>+C6*E6</f>
        <v>4166</v>
      </c>
    </row>
    <row r="7" spans="1:6" x14ac:dyDescent="0.3">
      <c r="A7" s="22" t="s">
        <v>35</v>
      </c>
      <c r="B7" s="22" t="s">
        <v>32</v>
      </c>
      <c r="C7" s="22">
        <v>0.4</v>
      </c>
      <c r="D7" s="22">
        <v>0</v>
      </c>
      <c r="E7" s="23">
        <v>15527.06</v>
      </c>
      <c r="F7" s="27">
        <f>+C7*E7</f>
        <v>6210.8240000000005</v>
      </c>
    </row>
    <row r="8" spans="1:6" x14ac:dyDescent="0.3">
      <c r="A8" s="1" t="s">
        <v>36</v>
      </c>
      <c r="B8" s="1" t="s">
        <v>37</v>
      </c>
      <c r="C8" s="1">
        <v>8</v>
      </c>
      <c r="D8" s="1">
        <v>0</v>
      </c>
      <c r="E8" s="1">
        <v>752</v>
      </c>
      <c r="F8" s="4">
        <f>+C8*E8</f>
        <v>6016</v>
      </c>
    </row>
    <row r="9" spans="1:6" x14ac:dyDescent="0.3">
      <c r="A9" s="1" t="s">
        <v>39</v>
      </c>
      <c r="B9" s="1" t="s">
        <v>30</v>
      </c>
      <c r="C9" s="1">
        <v>0.05</v>
      </c>
      <c r="D9" s="1">
        <v>0</v>
      </c>
      <c r="E9" s="1">
        <v>6210.83</v>
      </c>
      <c r="F9" s="4">
        <f>+C9*E9</f>
        <v>310.54150000000004</v>
      </c>
    </row>
    <row r="10" spans="1:6" x14ac:dyDescent="0.3">
      <c r="E10" s="26" t="s">
        <v>15</v>
      </c>
      <c r="F10" s="52">
        <f>SUM(F6:F9)</f>
        <v>16703.3655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A2EF-E033-4024-A001-A9753D55BB43}">
  <dimension ref="A1:F11"/>
  <sheetViews>
    <sheetView workbookViewId="0">
      <selection activeCell="C16" sqref="C16"/>
    </sheetView>
  </sheetViews>
  <sheetFormatPr baseColWidth="10" defaultRowHeight="14.4" x14ac:dyDescent="0.3"/>
  <cols>
    <col min="1" max="1" width="31.77734375" bestFit="1" customWidth="1"/>
    <col min="2" max="2" width="12.88671875" bestFit="1" customWidth="1"/>
    <col min="4" max="4" width="29" customWidth="1"/>
    <col min="5" max="5" width="19.5546875" bestFit="1" customWidth="1"/>
    <col min="6" max="6" width="37.109375" customWidth="1"/>
    <col min="7" max="7" width="13.77734375" bestFit="1" customWidth="1"/>
  </cols>
  <sheetData>
    <row r="1" spans="1:6" x14ac:dyDescent="0.3">
      <c r="A1" s="2" t="s">
        <v>18</v>
      </c>
      <c r="B1" s="58" t="s">
        <v>40</v>
      </c>
      <c r="C1" s="58"/>
      <c r="D1" s="58"/>
      <c r="E1" s="58"/>
      <c r="F1" s="58"/>
    </row>
    <row r="2" spans="1:6" ht="28.8" x14ac:dyDescent="0.3">
      <c r="A2" s="20" t="s">
        <v>19</v>
      </c>
      <c r="B2" s="40">
        <v>26.87</v>
      </c>
      <c r="C2" s="2" t="s">
        <v>17</v>
      </c>
    </row>
    <row r="3" spans="1:6" x14ac:dyDescent="0.3">
      <c r="A3" s="20" t="s">
        <v>20</v>
      </c>
      <c r="B3" s="53">
        <v>522456.79</v>
      </c>
      <c r="C3" s="2"/>
    </row>
    <row r="5" spans="1:6" x14ac:dyDescent="0.3">
      <c r="A5" s="32" t="s">
        <v>63</v>
      </c>
    </row>
    <row r="6" spans="1:6" x14ac:dyDescent="0.3">
      <c r="A6" s="8"/>
    </row>
    <row r="7" spans="1:6" x14ac:dyDescent="0.3">
      <c r="A7" s="41" t="s">
        <v>115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</row>
    <row r="8" spans="1:6" x14ac:dyDescent="0.3">
      <c r="A8" s="22" t="s">
        <v>41</v>
      </c>
      <c r="B8" s="22" t="s">
        <v>29</v>
      </c>
      <c r="C8" s="22">
        <v>0.05</v>
      </c>
      <c r="D8" s="33">
        <v>0.05</v>
      </c>
      <c r="E8" s="22">
        <v>277197.13</v>
      </c>
      <c r="F8" s="27">
        <f>+C8*E8*1.05</f>
        <v>14552.849325000003</v>
      </c>
    </row>
    <row r="9" spans="1:6" x14ac:dyDescent="0.3">
      <c r="A9" s="22" t="s">
        <v>35</v>
      </c>
      <c r="B9" s="22" t="s">
        <v>32</v>
      </c>
      <c r="C9" s="22">
        <v>0.3</v>
      </c>
      <c r="D9" s="22">
        <v>0</v>
      </c>
      <c r="E9" s="22">
        <v>15527.06</v>
      </c>
      <c r="F9" s="27">
        <f>+C9*E9</f>
        <v>4658.1179999999995</v>
      </c>
    </row>
    <row r="10" spans="1:6" x14ac:dyDescent="0.3">
      <c r="A10" s="22" t="s">
        <v>64</v>
      </c>
      <c r="B10" s="22" t="s">
        <v>30</v>
      </c>
      <c r="C10" s="22">
        <v>0.05</v>
      </c>
      <c r="D10" s="22">
        <v>0</v>
      </c>
      <c r="E10" s="22">
        <v>4658.12</v>
      </c>
      <c r="F10" s="27">
        <f>+C10*E10</f>
        <v>232.90600000000001</v>
      </c>
    </row>
    <row r="11" spans="1:6" x14ac:dyDescent="0.3">
      <c r="E11" s="5" t="s">
        <v>15</v>
      </c>
      <c r="F11" s="6">
        <f>SUM(F8:F10)</f>
        <v>19443.873325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844-F603-4171-95F7-17292DE40BA8}">
  <dimension ref="A2:G13"/>
  <sheetViews>
    <sheetView workbookViewId="0">
      <selection activeCell="C13" sqref="C13"/>
    </sheetView>
  </sheetViews>
  <sheetFormatPr baseColWidth="10" defaultRowHeight="14.4" x14ac:dyDescent="0.3"/>
  <cols>
    <col min="1" max="1" width="31.33203125" customWidth="1"/>
    <col min="2" max="2" width="12.88671875" bestFit="1" customWidth="1"/>
    <col min="3" max="3" width="18.77734375" customWidth="1"/>
    <col min="4" max="4" width="21.33203125" customWidth="1"/>
    <col min="5" max="5" width="19.5546875" bestFit="1" customWidth="1"/>
    <col min="6" max="6" width="34.664062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42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8.1999999999999993</v>
      </c>
      <c r="C3" s="2" t="s">
        <v>17</v>
      </c>
    </row>
    <row r="4" spans="1:7" x14ac:dyDescent="0.3">
      <c r="A4" s="20" t="s">
        <v>20</v>
      </c>
      <c r="B4" s="38">
        <v>262236</v>
      </c>
      <c r="C4" s="2"/>
    </row>
    <row r="5" spans="1:7" x14ac:dyDescent="0.3">
      <c r="A5" s="7"/>
      <c r="B5" s="6"/>
      <c r="C5" s="8"/>
    </row>
    <row r="6" spans="1:7" x14ac:dyDescent="0.3">
      <c r="A6" s="8"/>
      <c r="E6" s="14"/>
    </row>
    <row r="7" spans="1:7" x14ac:dyDescent="0.3">
      <c r="A7" s="41" t="s">
        <v>115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</row>
    <row r="8" spans="1:7" x14ac:dyDescent="0.3">
      <c r="A8" s="1" t="s">
        <v>43</v>
      </c>
      <c r="B8" s="1" t="s">
        <v>29</v>
      </c>
      <c r="C8" s="1">
        <v>1.2</v>
      </c>
      <c r="D8" s="1">
        <v>0</v>
      </c>
      <c r="E8" s="1">
        <v>8000</v>
      </c>
      <c r="F8" s="4">
        <f>+C8*E8</f>
        <v>9600</v>
      </c>
      <c r="G8" s="31"/>
    </row>
    <row r="9" spans="1:7" x14ac:dyDescent="0.3">
      <c r="A9" s="1" t="s">
        <v>44</v>
      </c>
      <c r="B9" s="1" t="s">
        <v>32</v>
      </c>
      <c r="C9" s="1">
        <v>2</v>
      </c>
      <c r="D9" s="1">
        <v>0</v>
      </c>
      <c r="E9" s="1">
        <v>6500</v>
      </c>
      <c r="F9" s="27">
        <f>+C9*E9</f>
        <v>13000</v>
      </c>
      <c r="G9" s="31"/>
    </row>
    <row r="10" spans="1:7" x14ac:dyDescent="0.3">
      <c r="A10" s="1" t="s">
        <v>45</v>
      </c>
      <c r="B10" s="1" t="s">
        <v>46</v>
      </c>
      <c r="C10" s="1">
        <v>7.0000000000000007E-2</v>
      </c>
      <c r="D10" s="1">
        <v>0</v>
      </c>
      <c r="E10" s="1">
        <v>4000</v>
      </c>
      <c r="F10" s="27">
        <f>+C10*E10</f>
        <v>280</v>
      </c>
      <c r="G10" s="31"/>
    </row>
    <row r="11" spans="1:7" x14ac:dyDescent="0.3">
      <c r="A11" s="1" t="s">
        <v>47</v>
      </c>
      <c r="B11" s="1" t="s">
        <v>29</v>
      </c>
      <c r="C11" s="1">
        <v>1.3</v>
      </c>
      <c r="D11" s="1">
        <v>0</v>
      </c>
      <c r="E11" s="1">
        <v>7000</v>
      </c>
      <c r="F11" s="4">
        <f>+C11*E11</f>
        <v>9100</v>
      </c>
      <c r="G11" s="31"/>
    </row>
    <row r="12" spans="1:7" x14ac:dyDescent="0.3">
      <c r="E12" s="5" t="s">
        <v>15</v>
      </c>
      <c r="F12" s="6">
        <f>SUM(F8:F11)</f>
        <v>31980</v>
      </c>
      <c r="G12" s="31"/>
    </row>
    <row r="13" spans="1:7" x14ac:dyDescent="0.3">
      <c r="G13" s="31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2C6A-ACF4-432D-BFB0-5AE26FF1771C}">
  <dimension ref="A2:G13"/>
  <sheetViews>
    <sheetView workbookViewId="0">
      <selection activeCell="D20" sqref="D20"/>
    </sheetView>
  </sheetViews>
  <sheetFormatPr baseColWidth="10" defaultRowHeight="14.4" x14ac:dyDescent="0.3"/>
  <cols>
    <col min="1" max="1" width="31.33203125" customWidth="1"/>
    <col min="2" max="2" width="19.77734375" customWidth="1"/>
    <col min="3" max="3" width="18.77734375" customWidth="1"/>
    <col min="4" max="4" width="20.21875" customWidth="1"/>
    <col min="5" max="5" width="19.5546875" bestFit="1" customWidth="1"/>
    <col min="6" max="6" width="35.21875" customWidth="1"/>
    <col min="7" max="7" width="15.21875" bestFit="1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48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823.45</v>
      </c>
      <c r="C3" s="8" t="s">
        <v>49</v>
      </c>
    </row>
    <row r="4" spans="1:7" x14ac:dyDescent="0.3">
      <c r="A4" s="20" t="s">
        <v>20</v>
      </c>
      <c r="B4" s="51">
        <v>2919056.14</v>
      </c>
      <c r="C4" s="8"/>
    </row>
    <row r="5" spans="1:7" x14ac:dyDescent="0.3">
      <c r="A5" s="7"/>
      <c r="B5" s="6"/>
      <c r="C5" s="8"/>
    </row>
    <row r="6" spans="1:7" x14ac:dyDescent="0.3">
      <c r="A6" s="8"/>
      <c r="E6" s="14"/>
    </row>
    <row r="7" spans="1:7" x14ac:dyDescent="0.3">
      <c r="A7" s="41" t="s">
        <v>115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</row>
    <row r="8" spans="1:7" x14ac:dyDescent="0.3">
      <c r="A8" s="1" t="s">
        <v>50</v>
      </c>
      <c r="B8" s="1" t="s">
        <v>49</v>
      </c>
      <c r="C8" s="1">
        <v>1</v>
      </c>
      <c r="D8" s="33">
        <v>0.03</v>
      </c>
      <c r="E8" s="1">
        <v>2083.33</v>
      </c>
      <c r="F8" s="4">
        <f>+C8*E8*1.03</f>
        <v>2145.8299000000002</v>
      </c>
      <c r="G8" s="31"/>
    </row>
    <row r="9" spans="1:7" x14ac:dyDescent="0.3">
      <c r="A9" s="1" t="s">
        <v>51</v>
      </c>
      <c r="B9" s="1" t="s">
        <v>49</v>
      </c>
      <c r="C9" s="1">
        <v>0.08</v>
      </c>
      <c r="D9" s="1">
        <v>0</v>
      </c>
      <c r="E9" s="1">
        <v>3500</v>
      </c>
      <c r="F9" s="4">
        <f t="shared" ref="F9:F12" si="0">+C9*E9</f>
        <v>280</v>
      </c>
      <c r="G9" s="31"/>
    </row>
    <row r="10" spans="1:7" x14ac:dyDescent="0.3">
      <c r="A10" s="1" t="s">
        <v>31</v>
      </c>
      <c r="B10" s="1" t="s">
        <v>14</v>
      </c>
      <c r="C10" s="1">
        <v>0.06</v>
      </c>
      <c r="D10" s="1">
        <v>0</v>
      </c>
      <c r="E10" s="1">
        <v>15527.06</v>
      </c>
      <c r="F10" s="4">
        <f t="shared" si="0"/>
        <v>931.6235999999999</v>
      </c>
      <c r="G10" s="31"/>
    </row>
    <row r="11" spans="1:7" x14ac:dyDescent="0.3">
      <c r="A11" s="1" t="s">
        <v>52</v>
      </c>
      <c r="B11" s="1" t="s">
        <v>53</v>
      </c>
      <c r="C11" s="1">
        <v>0.04</v>
      </c>
      <c r="D11" s="1">
        <v>0</v>
      </c>
      <c r="E11" s="1">
        <v>3522</v>
      </c>
      <c r="F11" s="4">
        <f t="shared" si="0"/>
        <v>140.88</v>
      </c>
      <c r="G11" s="31"/>
    </row>
    <row r="12" spans="1:7" x14ac:dyDescent="0.3">
      <c r="A12" s="1" t="s">
        <v>68</v>
      </c>
      <c r="B12" s="1" t="s">
        <v>30</v>
      </c>
      <c r="C12" s="1">
        <v>0.05</v>
      </c>
      <c r="D12" s="1">
        <v>0</v>
      </c>
      <c r="E12" s="1">
        <v>931.62</v>
      </c>
      <c r="F12" s="4">
        <f t="shared" si="0"/>
        <v>46.581000000000003</v>
      </c>
      <c r="G12" s="31"/>
    </row>
    <row r="13" spans="1:7" x14ac:dyDescent="0.3">
      <c r="E13" s="30" t="s">
        <v>15</v>
      </c>
      <c r="F13" s="28">
        <f>SUM(F8:F12)</f>
        <v>3544.9145000000003</v>
      </c>
    </row>
  </sheetData>
  <mergeCells count="1">
    <mergeCell ref="B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63C4-84CB-4BDD-98C9-0A0D25984BF2}">
  <dimension ref="A2:G16"/>
  <sheetViews>
    <sheetView workbookViewId="0">
      <selection activeCell="F11" sqref="F11"/>
    </sheetView>
  </sheetViews>
  <sheetFormatPr baseColWidth="10" defaultRowHeight="14.4" x14ac:dyDescent="0.3"/>
  <cols>
    <col min="1" max="1" width="31.33203125" customWidth="1"/>
    <col min="2" max="2" width="19.77734375" customWidth="1"/>
    <col min="3" max="3" width="18.77734375" customWidth="1"/>
    <col min="4" max="4" width="20.77734375" customWidth="1"/>
    <col min="5" max="5" width="19.5546875" bestFit="1" customWidth="1"/>
    <col min="6" max="6" width="27.109375" customWidth="1"/>
    <col min="7" max="7" width="15.21875" bestFit="1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54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3.38</v>
      </c>
      <c r="C3" s="2" t="s">
        <v>17</v>
      </c>
    </row>
    <row r="4" spans="1:7" x14ac:dyDescent="0.3">
      <c r="A4" s="20" t="s">
        <v>20</v>
      </c>
      <c r="B4" s="38">
        <v>1871279</v>
      </c>
      <c r="C4" s="2"/>
    </row>
    <row r="5" spans="1:7" x14ac:dyDescent="0.3">
      <c r="A5" s="7"/>
      <c r="B5" s="6"/>
      <c r="C5" s="8"/>
    </row>
    <row r="6" spans="1:7" x14ac:dyDescent="0.3">
      <c r="A6" s="8"/>
      <c r="E6" s="14"/>
    </row>
    <row r="7" spans="1:7" x14ac:dyDescent="0.3">
      <c r="A7" s="41" t="s">
        <v>115</v>
      </c>
      <c r="B7" s="2" t="s">
        <v>0</v>
      </c>
      <c r="C7" s="3" t="s">
        <v>1</v>
      </c>
      <c r="D7" s="2" t="s">
        <v>2</v>
      </c>
      <c r="E7" s="2" t="s">
        <v>3</v>
      </c>
      <c r="F7" s="2" t="s">
        <v>4</v>
      </c>
    </row>
    <row r="8" spans="1:7" x14ac:dyDescent="0.3">
      <c r="A8" s="1" t="s">
        <v>5</v>
      </c>
      <c r="B8" s="1" t="s">
        <v>55</v>
      </c>
      <c r="C8" s="1">
        <v>1</v>
      </c>
      <c r="D8" s="1">
        <v>0</v>
      </c>
      <c r="E8" s="1">
        <v>2100</v>
      </c>
      <c r="F8" s="4">
        <f>+C8*E8</f>
        <v>2100</v>
      </c>
      <c r="G8" s="31"/>
    </row>
    <row r="9" spans="1:7" x14ac:dyDescent="0.3">
      <c r="A9" s="1" t="s">
        <v>56</v>
      </c>
      <c r="B9" s="1" t="s">
        <v>57</v>
      </c>
      <c r="C9" s="1">
        <v>5.5</v>
      </c>
      <c r="D9" s="1">
        <v>0</v>
      </c>
      <c r="E9" s="1">
        <v>10600</v>
      </c>
      <c r="F9" s="27">
        <f t="shared" ref="F9:F14" si="0">+C9*E9</f>
        <v>58300</v>
      </c>
      <c r="G9" s="31"/>
    </row>
    <row r="10" spans="1:7" x14ac:dyDescent="0.3">
      <c r="A10" s="1" t="s">
        <v>58</v>
      </c>
      <c r="B10" s="1" t="s">
        <v>46</v>
      </c>
      <c r="C10" s="1">
        <v>2.67</v>
      </c>
      <c r="D10" s="1">
        <v>0</v>
      </c>
      <c r="E10" s="1">
        <v>3200</v>
      </c>
      <c r="F10" s="27">
        <f t="shared" si="0"/>
        <v>8544</v>
      </c>
      <c r="G10" s="31"/>
    </row>
    <row r="11" spans="1:7" x14ac:dyDescent="0.3">
      <c r="A11" s="1" t="s">
        <v>59</v>
      </c>
      <c r="B11" s="1" t="s">
        <v>29</v>
      </c>
      <c r="C11" s="1">
        <v>1</v>
      </c>
      <c r="D11" s="33">
        <v>0.05</v>
      </c>
      <c r="E11" s="1">
        <v>337000</v>
      </c>
      <c r="F11" s="4">
        <f>+C11*E11*1.05</f>
        <v>353850</v>
      </c>
      <c r="G11" s="31"/>
    </row>
    <row r="12" spans="1:7" x14ac:dyDescent="0.3">
      <c r="A12" s="1" t="s">
        <v>60</v>
      </c>
      <c r="B12" s="1" t="s">
        <v>32</v>
      </c>
      <c r="C12" s="1">
        <v>5.9</v>
      </c>
      <c r="D12" s="1">
        <v>0</v>
      </c>
      <c r="E12" s="1">
        <v>20839.2</v>
      </c>
      <c r="F12" s="4">
        <f t="shared" si="0"/>
        <v>122951.28000000001</v>
      </c>
      <c r="G12" s="31"/>
    </row>
    <row r="13" spans="1:7" x14ac:dyDescent="0.3">
      <c r="A13" s="1" t="s">
        <v>61</v>
      </c>
      <c r="B13" s="1" t="s">
        <v>12</v>
      </c>
      <c r="C13" s="1">
        <v>0.05</v>
      </c>
      <c r="D13" s="1">
        <v>0</v>
      </c>
      <c r="E13" s="1">
        <v>34800</v>
      </c>
      <c r="F13" s="4">
        <f t="shared" si="0"/>
        <v>1740</v>
      </c>
      <c r="G13" s="31"/>
    </row>
    <row r="14" spans="1:7" x14ac:dyDescent="0.3">
      <c r="A14" s="1" t="s">
        <v>70</v>
      </c>
      <c r="B14" s="1" t="s">
        <v>30</v>
      </c>
      <c r="C14" s="1">
        <v>0.05</v>
      </c>
      <c r="D14" s="1">
        <v>0</v>
      </c>
      <c r="E14" s="1">
        <v>122951.28</v>
      </c>
      <c r="F14" s="4">
        <f t="shared" si="0"/>
        <v>6147.5640000000003</v>
      </c>
      <c r="G14" s="31"/>
    </row>
    <row r="15" spans="1:7" x14ac:dyDescent="0.3">
      <c r="E15" s="5" t="s">
        <v>15</v>
      </c>
      <c r="F15" s="6">
        <f>SUM(F8:F14)</f>
        <v>553632.84400000004</v>
      </c>
      <c r="G15" s="31"/>
    </row>
    <row r="16" spans="1:7" x14ac:dyDescent="0.3">
      <c r="G16" s="31"/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703B-C659-434A-B09A-4109CC6D78C3}">
  <dimension ref="A2:G14"/>
  <sheetViews>
    <sheetView workbookViewId="0">
      <selection activeCell="G14" sqref="G14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71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72</v>
      </c>
      <c r="C3" s="2" t="s">
        <v>17</v>
      </c>
    </row>
    <row r="4" spans="1:7" x14ac:dyDescent="0.3">
      <c r="A4" s="20" t="s">
        <v>20</v>
      </c>
      <c r="B4" s="38">
        <v>4143024</v>
      </c>
      <c r="C4" s="8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72</v>
      </c>
      <c r="B7" s="1" t="s">
        <v>6</v>
      </c>
      <c r="C7" s="1">
        <v>0.2</v>
      </c>
      <c r="D7" s="1">
        <v>0</v>
      </c>
      <c r="E7" s="1">
        <v>2000</v>
      </c>
      <c r="F7" s="4">
        <f>+C7*E7</f>
        <v>400</v>
      </c>
      <c r="G7" s="31"/>
    </row>
    <row r="8" spans="1:7" x14ac:dyDescent="0.3">
      <c r="A8" s="1" t="s">
        <v>73</v>
      </c>
      <c r="B8" s="1" t="s">
        <v>74</v>
      </c>
      <c r="C8" s="1">
        <v>1</v>
      </c>
      <c r="D8" s="1">
        <v>0</v>
      </c>
      <c r="E8" s="1">
        <v>8500</v>
      </c>
      <c r="F8" s="4">
        <f t="shared" ref="F8:F13" si="0">+C8*E8</f>
        <v>8500</v>
      </c>
      <c r="G8" s="31"/>
    </row>
    <row r="9" spans="1:7" x14ac:dyDescent="0.3">
      <c r="A9" s="1" t="s">
        <v>75</v>
      </c>
      <c r="B9" s="1" t="s">
        <v>29</v>
      </c>
      <c r="C9" s="1">
        <v>0.1</v>
      </c>
      <c r="D9" s="33">
        <v>0.15</v>
      </c>
      <c r="E9" s="1">
        <v>337000</v>
      </c>
      <c r="F9" s="4">
        <f>+C9*E9*1.15</f>
        <v>38755</v>
      </c>
      <c r="G9" s="31"/>
    </row>
    <row r="10" spans="1:7" x14ac:dyDescent="0.3">
      <c r="A10" s="1" t="s">
        <v>76</v>
      </c>
      <c r="B10" s="1" t="s">
        <v>32</v>
      </c>
      <c r="C10" s="1">
        <v>0.25</v>
      </c>
      <c r="D10" s="1">
        <v>0</v>
      </c>
      <c r="E10" s="1">
        <v>28600</v>
      </c>
      <c r="F10" s="4">
        <f t="shared" si="0"/>
        <v>7150</v>
      </c>
      <c r="G10" s="31"/>
    </row>
    <row r="11" spans="1:7" x14ac:dyDescent="0.3">
      <c r="A11" s="1" t="s">
        <v>77</v>
      </c>
      <c r="B11" s="1" t="s">
        <v>12</v>
      </c>
      <c r="C11" s="1">
        <v>0.02</v>
      </c>
      <c r="D11" s="1">
        <v>0</v>
      </c>
      <c r="E11" s="1">
        <v>35000</v>
      </c>
      <c r="F11" s="4">
        <f t="shared" si="0"/>
        <v>700</v>
      </c>
      <c r="G11" s="31"/>
    </row>
    <row r="12" spans="1:7" x14ac:dyDescent="0.3">
      <c r="A12" s="1" t="s">
        <v>47</v>
      </c>
      <c r="B12" s="1" t="s">
        <v>29</v>
      </c>
      <c r="C12" s="1">
        <v>0.22500000000000001</v>
      </c>
      <c r="D12" s="1">
        <v>0</v>
      </c>
      <c r="E12" s="1">
        <v>7000</v>
      </c>
      <c r="F12" s="4">
        <f t="shared" si="0"/>
        <v>1575</v>
      </c>
      <c r="G12" s="31"/>
    </row>
    <row r="13" spans="1:7" x14ac:dyDescent="0.3">
      <c r="A13" s="1" t="s">
        <v>82</v>
      </c>
      <c r="B13" s="1" t="s">
        <v>30</v>
      </c>
      <c r="C13" s="1">
        <v>0.33</v>
      </c>
      <c r="D13" s="1">
        <v>0</v>
      </c>
      <c r="E13" s="1">
        <v>1400</v>
      </c>
      <c r="F13" s="4">
        <f t="shared" si="0"/>
        <v>462</v>
      </c>
      <c r="G13" s="31"/>
    </row>
    <row r="14" spans="1:7" x14ac:dyDescent="0.3">
      <c r="E14" s="36" t="s">
        <v>15</v>
      </c>
      <c r="F14" s="38">
        <f>SUM(F7:F13)</f>
        <v>57542</v>
      </c>
      <c r="G14" s="31"/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982A-5D39-4728-996F-452834F4E5D1}">
  <dimension ref="A2:G15"/>
  <sheetViews>
    <sheetView workbookViewId="0">
      <selection activeCell="C19" sqref="C19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79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449.6</v>
      </c>
      <c r="C3" s="2" t="s">
        <v>49</v>
      </c>
    </row>
    <row r="4" spans="1:7" x14ac:dyDescent="0.3">
      <c r="A4" s="20" t="s">
        <v>20</v>
      </c>
      <c r="B4" s="38">
        <v>1593791.5360000001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50</v>
      </c>
      <c r="B7" s="1" t="s">
        <v>80</v>
      </c>
      <c r="C7" s="1">
        <v>1</v>
      </c>
      <c r="D7" s="33">
        <v>0.03</v>
      </c>
      <c r="E7" s="1">
        <v>2083.33</v>
      </c>
      <c r="F7" s="4">
        <f>+C7*E7*1.03</f>
        <v>2145.8299000000002</v>
      </c>
      <c r="G7" s="31"/>
    </row>
    <row r="8" spans="1:7" x14ac:dyDescent="0.3">
      <c r="A8" s="1" t="s">
        <v>51</v>
      </c>
      <c r="B8" s="1" t="s">
        <v>80</v>
      </c>
      <c r="C8" s="1">
        <v>0.08</v>
      </c>
      <c r="D8" s="1">
        <v>0</v>
      </c>
      <c r="E8" s="1">
        <v>3500</v>
      </c>
      <c r="F8" s="4">
        <f t="shared" ref="F8:F11" si="0">+C8*E8</f>
        <v>280</v>
      </c>
      <c r="G8" s="31"/>
    </row>
    <row r="9" spans="1:7" x14ac:dyDescent="0.3">
      <c r="A9" s="1" t="s">
        <v>81</v>
      </c>
      <c r="B9" s="1" t="s">
        <v>32</v>
      </c>
      <c r="C9" s="1">
        <v>0.06</v>
      </c>
      <c r="D9" s="1">
        <v>0</v>
      </c>
      <c r="E9" s="1">
        <v>15527.06</v>
      </c>
      <c r="F9" s="4">
        <f t="shared" si="0"/>
        <v>931.6235999999999</v>
      </c>
      <c r="G9" s="31"/>
    </row>
    <row r="10" spans="1:7" x14ac:dyDescent="0.3">
      <c r="A10" s="1" t="s">
        <v>52</v>
      </c>
      <c r="B10" s="1" t="s">
        <v>53</v>
      </c>
      <c r="C10" s="1">
        <v>0.04</v>
      </c>
      <c r="D10" s="1">
        <v>0</v>
      </c>
      <c r="E10" s="1">
        <v>3522</v>
      </c>
      <c r="F10" s="4">
        <f t="shared" si="0"/>
        <v>140.88</v>
      </c>
      <c r="G10" s="31"/>
    </row>
    <row r="11" spans="1:7" x14ac:dyDescent="0.3">
      <c r="A11" s="1" t="s">
        <v>88</v>
      </c>
      <c r="B11" s="1" t="s">
        <v>30</v>
      </c>
      <c r="C11" s="1">
        <v>0.05</v>
      </c>
      <c r="D11" s="1">
        <v>0</v>
      </c>
      <c r="E11" s="1">
        <v>931.62</v>
      </c>
      <c r="F11" s="4">
        <f t="shared" si="0"/>
        <v>46.581000000000003</v>
      </c>
      <c r="G11" s="31"/>
    </row>
    <row r="12" spans="1:7" x14ac:dyDescent="0.3">
      <c r="E12" s="37" t="s">
        <v>15</v>
      </c>
      <c r="F12" s="38">
        <f>SUM(F7:F11)</f>
        <v>3544.9145000000003</v>
      </c>
      <c r="G12" s="31"/>
    </row>
    <row r="13" spans="1:7" x14ac:dyDescent="0.3">
      <c r="G13" s="31"/>
    </row>
    <row r="14" spans="1:7" x14ac:dyDescent="0.3">
      <c r="G14" s="31"/>
    </row>
    <row r="15" spans="1:7" x14ac:dyDescent="0.3">
      <c r="G15" s="31"/>
    </row>
  </sheetData>
  <mergeCells count="1"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8D86-8F08-434F-A670-E0F23E6BBB30}">
  <dimension ref="A2:G16"/>
  <sheetViews>
    <sheetView workbookViewId="0">
      <selection activeCell="B19" sqref="B19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83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2.5299999999999998</v>
      </c>
      <c r="C3" s="2" t="s">
        <v>17</v>
      </c>
    </row>
    <row r="4" spans="1:7" x14ac:dyDescent="0.3">
      <c r="A4" s="20" t="s">
        <v>20</v>
      </c>
      <c r="B4" s="38">
        <v>1408541.8522999999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84</v>
      </c>
      <c r="B7" s="1" t="s">
        <v>29</v>
      </c>
      <c r="C7" s="1">
        <v>1</v>
      </c>
      <c r="D7" s="33">
        <v>0.03</v>
      </c>
      <c r="E7" s="1">
        <v>337000</v>
      </c>
      <c r="F7" s="4">
        <f>+C7*E7*1.03</f>
        <v>347110</v>
      </c>
      <c r="G7" s="31"/>
    </row>
    <row r="8" spans="1:7" x14ac:dyDescent="0.3">
      <c r="A8" s="1" t="s">
        <v>85</v>
      </c>
      <c r="B8" s="1" t="s">
        <v>29</v>
      </c>
      <c r="C8" s="1">
        <v>1</v>
      </c>
      <c r="D8" s="1">
        <v>0</v>
      </c>
      <c r="E8" s="1">
        <v>42833.33</v>
      </c>
      <c r="F8" s="4">
        <f t="shared" ref="F8:F12" si="0">+C8*E8</f>
        <v>42833.33</v>
      </c>
      <c r="G8" s="31"/>
    </row>
    <row r="9" spans="1:7" x14ac:dyDescent="0.3">
      <c r="A9" s="1" t="s">
        <v>86</v>
      </c>
      <c r="B9" s="1" t="s">
        <v>87</v>
      </c>
      <c r="C9" s="1">
        <v>2</v>
      </c>
      <c r="D9" s="1">
        <v>0</v>
      </c>
      <c r="E9" s="1">
        <v>1740</v>
      </c>
      <c r="F9" s="4">
        <f t="shared" si="0"/>
        <v>3480</v>
      </c>
      <c r="G9" s="31"/>
    </row>
    <row r="10" spans="1:7" x14ac:dyDescent="0.3">
      <c r="A10" s="1" t="s">
        <v>97</v>
      </c>
      <c r="B10" s="1" t="s">
        <v>30</v>
      </c>
      <c r="C10" s="1">
        <v>0.05</v>
      </c>
      <c r="D10" s="1">
        <v>0</v>
      </c>
      <c r="E10" s="1">
        <v>154210.07999999999</v>
      </c>
      <c r="F10" s="4">
        <f t="shared" si="0"/>
        <v>7710.5039999999999</v>
      </c>
      <c r="G10" s="31"/>
    </row>
    <row r="11" spans="1:7" x14ac:dyDescent="0.3">
      <c r="A11" s="1" t="s">
        <v>61</v>
      </c>
      <c r="B11" s="1" t="s">
        <v>12</v>
      </c>
      <c r="C11" s="1">
        <v>0.04</v>
      </c>
      <c r="D11" s="1">
        <v>0</v>
      </c>
      <c r="E11" s="1">
        <v>34800</v>
      </c>
      <c r="F11" s="4">
        <f t="shared" si="0"/>
        <v>1392</v>
      </c>
      <c r="G11" s="31"/>
    </row>
    <row r="12" spans="1:7" x14ac:dyDescent="0.3">
      <c r="A12" s="1" t="s">
        <v>89</v>
      </c>
      <c r="B12" s="1" t="s">
        <v>32</v>
      </c>
      <c r="C12" s="1">
        <v>7.4</v>
      </c>
      <c r="D12" s="1">
        <v>0</v>
      </c>
      <c r="E12" s="1">
        <v>20839.2</v>
      </c>
      <c r="F12" s="4">
        <f t="shared" si="0"/>
        <v>154210.08000000002</v>
      </c>
      <c r="G12" s="31"/>
    </row>
    <row r="13" spans="1:7" x14ac:dyDescent="0.3">
      <c r="E13" s="37" t="s">
        <v>15</v>
      </c>
      <c r="F13" s="38">
        <f>SUM(F7:F12)</f>
        <v>556735.91400000011</v>
      </c>
      <c r="G13" s="31"/>
    </row>
    <row r="14" spans="1:7" x14ac:dyDescent="0.3">
      <c r="G14" s="31"/>
    </row>
    <row r="15" spans="1:7" x14ac:dyDescent="0.3">
      <c r="G15" s="31"/>
    </row>
    <row r="16" spans="1:7" x14ac:dyDescent="0.3">
      <c r="G16" s="31"/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F54F-D562-4B87-AB75-58270F71744C}">
  <dimension ref="A2:G16"/>
  <sheetViews>
    <sheetView workbookViewId="0">
      <selection activeCell="C18" sqref="C18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90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252.72</v>
      </c>
      <c r="C3" s="2" t="s">
        <v>49</v>
      </c>
    </row>
    <row r="4" spans="1:7" x14ac:dyDescent="0.3">
      <c r="A4" s="20" t="s">
        <v>20</v>
      </c>
      <c r="B4" s="38">
        <v>895869.65519999992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50</v>
      </c>
      <c r="B7" s="1" t="s">
        <v>80</v>
      </c>
      <c r="C7" s="1">
        <v>1</v>
      </c>
      <c r="D7" s="33">
        <v>0.03</v>
      </c>
      <c r="E7" s="1">
        <v>2083.33</v>
      </c>
      <c r="F7" s="4">
        <f>+C7*E7*1.03</f>
        <v>2145.8299000000002</v>
      </c>
      <c r="G7" s="31"/>
    </row>
    <row r="8" spans="1:7" x14ac:dyDescent="0.3">
      <c r="A8" s="1" t="s">
        <v>51</v>
      </c>
      <c r="B8" s="1" t="s">
        <v>80</v>
      </c>
      <c r="C8" s="1">
        <v>0.08</v>
      </c>
      <c r="D8" s="1">
        <v>0</v>
      </c>
      <c r="E8" s="1">
        <v>3500</v>
      </c>
      <c r="F8" s="4">
        <f t="shared" ref="F8:F11" si="0">+C8*E8</f>
        <v>280</v>
      </c>
      <c r="G8" s="31"/>
    </row>
    <row r="9" spans="1:7" x14ac:dyDescent="0.3">
      <c r="A9" s="1" t="s">
        <v>91</v>
      </c>
      <c r="B9" s="1" t="s">
        <v>32</v>
      </c>
      <c r="C9" s="1">
        <v>0.06</v>
      </c>
      <c r="D9" s="1">
        <v>0</v>
      </c>
      <c r="E9" s="1">
        <v>15527.06</v>
      </c>
      <c r="F9" s="4">
        <f t="shared" si="0"/>
        <v>931.6235999999999</v>
      </c>
      <c r="G9" s="31"/>
    </row>
    <row r="10" spans="1:7" x14ac:dyDescent="0.3">
      <c r="A10" s="1" t="s">
        <v>52</v>
      </c>
      <c r="B10" s="1" t="s">
        <v>92</v>
      </c>
      <c r="C10" s="1">
        <v>0.04</v>
      </c>
      <c r="D10" s="1">
        <v>0</v>
      </c>
      <c r="E10" s="1">
        <v>3522</v>
      </c>
      <c r="F10" s="4">
        <f t="shared" si="0"/>
        <v>140.88</v>
      </c>
      <c r="G10" s="31"/>
    </row>
    <row r="11" spans="1:7" x14ac:dyDescent="0.3">
      <c r="A11" s="1" t="s">
        <v>103</v>
      </c>
      <c r="B11" s="1" t="s">
        <v>30</v>
      </c>
      <c r="C11" s="1">
        <v>0.05</v>
      </c>
      <c r="D11" s="1">
        <v>0</v>
      </c>
      <c r="E11" s="1">
        <v>931.62</v>
      </c>
      <c r="F11" s="4">
        <f t="shared" si="0"/>
        <v>46.581000000000003</v>
      </c>
      <c r="G11" s="31"/>
    </row>
    <row r="12" spans="1:7" x14ac:dyDescent="0.3">
      <c r="E12" s="37" t="s">
        <v>15</v>
      </c>
      <c r="F12" s="38">
        <f>SUM(F7:F11)</f>
        <v>3544.9145000000003</v>
      </c>
      <c r="G12" s="31"/>
    </row>
    <row r="13" spans="1:7" x14ac:dyDescent="0.3">
      <c r="G13" s="31"/>
    </row>
    <row r="14" spans="1:7" x14ac:dyDescent="0.3">
      <c r="G14" s="31"/>
    </row>
    <row r="15" spans="1:7" x14ac:dyDescent="0.3">
      <c r="G15" s="31"/>
    </row>
    <row r="16" spans="1:7" x14ac:dyDescent="0.3">
      <c r="G16" s="31"/>
    </row>
  </sheetData>
  <mergeCells count="1">
    <mergeCell ref="B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851B-755D-48C6-96E6-D5219CC7F2CA}">
  <dimension ref="A2:G17"/>
  <sheetViews>
    <sheetView workbookViewId="0">
      <selection activeCell="B4" sqref="B4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93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62.1</v>
      </c>
      <c r="C3" s="2" t="s">
        <v>17</v>
      </c>
    </row>
    <row r="4" spans="1:7" x14ac:dyDescent="0.3">
      <c r="A4" s="20" t="s">
        <v>20</v>
      </c>
      <c r="B4" s="38">
        <v>4943735.67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84</v>
      </c>
      <c r="B7" s="1" t="s">
        <v>29</v>
      </c>
      <c r="C7" s="1">
        <v>9.8000000000000004E-2</v>
      </c>
      <c r="D7" s="33">
        <v>0.05</v>
      </c>
      <c r="E7" s="1">
        <v>337000</v>
      </c>
      <c r="F7" s="4">
        <f>+C7*E7*1.05</f>
        <v>34677.300000000003</v>
      </c>
      <c r="G7" s="31"/>
    </row>
    <row r="8" spans="1:7" x14ac:dyDescent="0.3">
      <c r="A8" s="1" t="s">
        <v>94</v>
      </c>
      <c r="B8" s="1" t="s">
        <v>0</v>
      </c>
      <c r="C8" s="1">
        <v>0.7</v>
      </c>
      <c r="D8" s="1">
        <v>0</v>
      </c>
      <c r="E8" s="1">
        <v>9726.49</v>
      </c>
      <c r="F8" s="4">
        <f t="shared" ref="F8:F13" si="0">+C8*E8</f>
        <v>6808.5429999999997</v>
      </c>
      <c r="G8" s="31"/>
    </row>
    <row r="9" spans="1:7" x14ac:dyDescent="0.3">
      <c r="A9" s="1" t="s">
        <v>95</v>
      </c>
      <c r="B9" s="1" t="s">
        <v>0</v>
      </c>
      <c r="C9" s="1">
        <v>1</v>
      </c>
      <c r="D9" s="1">
        <v>0</v>
      </c>
      <c r="E9" s="1">
        <v>3057.56</v>
      </c>
      <c r="F9" s="4">
        <f t="shared" si="0"/>
        <v>3057.56</v>
      </c>
      <c r="G9" s="31"/>
    </row>
    <row r="10" spans="1:7" x14ac:dyDescent="0.3">
      <c r="A10" s="1" t="s">
        <v>96</v>
      </c>
      <c r="B10" s="1" t="s">
        <v>78</v>
      </c>
      <c r="C10" s="1">
        <v>0.1</v>
      </c>
      <c r="D10" s="1">
        <v>0</v>
      </c>
      <c r="E10" s="1">
        <v>1740</v>
      </c>
      <c r="F10" s="4">
        <f t="shared" si="0"/>
        <v>174</v>
      </c>
      <c r="G10" s="31"/>
    </row>
    <row r="11" spans="1:7" x14ac:dyDescent="0.3">
      <c r="A11" s="1" t="s">
        <v>111</v>
      </c>
      <c r="B11" s="1" t="s">
        <v>30</v>
      </c>
      <c r="C11" s="1">
        <v>0.05</v>
      </c>
      <c r="D11" s="1">
        <v>0</v>
      </c>
      <c r="E11" s="1">
        <v>31904.63</v>
      </c>
      <c r="F11" s="4">
        <f t="shared" si="0"/>
        <v>1595.2315000000001</v>
      </c>
      <c r="G11" s="31"/>
    </row>
    <row r="12" spans="1:7" x14ac:dyDescent="0.3">
      <c r="A12" s="1" t="s">
        <v>77</v>
      </c>
      <c r="B12" s="1" t="s">
        <v>12</v>
      </c>
      <c r="C12" s="1">
        <v>0.04</v>
      </c>
      <c r="D12" s="1">
        <v>0</v>
      </c>
      <c r="E12" s="1">
        <v>34800</v>
      </c>
      <c r="F12" s="4">
        <f t="shared" si="0"/>
        <v>1392</v>
      </c>
      <c r="G12" s="31"/>
    </row>
    <row r="13" spans="1:7" x14ac:dyDescent="0.3">
      <c r="A13" s="1" t="s">
        <v>98</v>
      </c>
      <c r="B13" s="1" t="s">
        <v>32</v>
      </c>
      <c r="C13" s="1">
        <v>1.22</v>
      </c>
      <c r="D13" s="1">
        <v>0</v>
      </c>
      <c r="E13" s="1">
        <v>26151.34</v>
      </c>
      <c r="F13" s="4">
        <f t="shared" si="0"/>
        <v>31904.6348</v>
      </c>
      <c r="G13" s="31"/>
    </row>
    <row r="14" spans="1:7" x14ac:dyDescent="0.3">
      <c r="E14" s="37" t="s">
        <v>15</v>
      </c>
      <c r="F14" s="38">
        <f>SUM(F7:F13)</f>
        <v>79609.2693</v>
      </c>
      <c r="G14" s="31"/>
    </row>
    <row r="15" spans="1:7" x14ac:dyDescent="0.3">
      <c r="G15" s="31"/>
    </row>
    <row r="16" spans="1:7" x14ac:dyDescent="0.3">
      <c r="G16" s="31"/>
    </row>
    <row r="17" spans="7:7" x14ac:dyDescent="0.3">
      <c r="G17" s="31"/>
    </row>
  </sheetData>
  <mergeCells count="1">
    <mergeCell ref="B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CF4-A0E2-49A5-AFC6-D7F1CC836609}">
  <dimension ref="A2:G16"/>
  <sheetViews>
    <sheetView workbookViewId="0">
      <selection activeCell="F8" sqref="F8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99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140.28</v>
      </c>
      <c r="C3" s="2" t="s">
        <v>29</v>
      </c>
    </row>
    <row r="4" spans="1:7" x14ac:dyDescent="0.3">
      <c r="A4" s="20" t="s">
        <v>20</v>
      </c>
      <c r="B4" s="38">
        <v>6099771.2521199994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100</v>
      </c>
      <c r="B7" s="1" t="s">
        <v>80</v>
      </c>
      <c r="C7" s="1">
        <v>0.3</v>
      </c>
      <c r="D7" s="1">
        <v>0</v>
      </c>
      <c r="E7" s="1">
        <v>6200</v>
      </c>
      <c r="F7" s="4">
        <f>+C7*E7</f>
        <v>1860</v>
      </c>
      <c r="G7" s="31"/>
    </row>
    <row r="8" spans="1:7" x14ac:dyDescent="0.3">
      <c r="A8" s="1" t="s">
        <v>101</v>
      </c>
      <c r="B8" s="1" t="s">
        <v>0</v>
      </c>
      <c r="C8" s="1">
        <v>30</v>
      </c>
      <c r="D8" s="33">
        <v>0.03</v>
      </c>
      <c r="E8" s="1">
        <v>680</v>
      </c>
      <c r="F8" s="4">
        <f>+C8*E8*1.03</f>
        <v>21012</v>
      </c>
      <c r="G8" s="31"/>
    </row>
    <row r="9" spans="1:7" x14ac:dyDescent="0.3">
      <c r="A9" s="1" t="s">
        <v>102</v>
      </c>
      <c r="B9" s="1" t="s">
        <v>29</v>
      </c>
      <c r="C9" s="1">
        <v>0.02</v>
      </c>
      <c r="D9" s="1">
        <v>0</v>
      </c>
      <c r="E9" s="1">
        <v>312000</v>
      </c>
      <c r="F9" s="4">
        <f t="shared" ref="F9:F13" si="0">+C9*E9</f>
        <v>6240</v>
      </c>
      <c r="G9" s="31"/>
    </row>
    <row r="10" spans="1:7" x14ac:dyDescent="0.3">
      <c r="A10" s="1" t="s">
        <v>112</v>
      </c>
      <c r="B10" s="1" t="s">
        <v>30</v>
      </c>
      <c r="C10" s="1">
        <v>0.05</v>
      </c>
      <c r="D10" s="1">
        <v>0</v>
      </c>
      <c r="E10" s="1">
        <v>11584.38</v>
      </c>
      <c r="F10" s="4">
        <f t="shared" si="0"/>
        <v>579.21899999999994</v>
      </c>
      <c r="G10" s="31"/>
    </row>
    <row r="11" spans="1:7" x14ac:dyDescent="0.3">
      <c r="A11" s="1" t="s">
        <v>104</v>
      </c>
      <c r="B11" s="1" t="s">
        <v>29</v>
      </c>
      <c r="C11" s="1">
        <v>6.0000000000000001E-3</v>
      </c>
      <c r="D11" s="33">
        <v>0.03</v>
      </c>
      <c r="E11" s="1">
        <v>337000</v>
      </c>
      <c r="F11" s="4">
        <f>+C11*E11*1.03</f>
        <v>2082.66</v>
      </c>
      <c r="G11" s="31"/>
    </row>
    <row r="12" spans="1:7" x14ac:dyDescent="0.3">
      <c r="A12" s="1" t="s">
        <v>96</v>
      </c>
      <c r="B12" s="1" t="s">
        <v>92</v>
      </c>
      <c r="C12" s="1">
        <v>7.0000000000000007E-2</v>
      </c>
      <c r="D12" s="1">
        <v>0</v>
      </c>
      <c r="E12" s="1">
        <v>1740</v>
      </c>
      <c r="F12" s="4">
        <f t="shared" si="0"/>
        <v>121.80000000000001</v>
      </c>
      <c r="G12" s="31"/>
    </row>
    <row r="13" spans="1:7" x14ac:dyDescent="0.3">
      <c r="A13" s="1" t="s">
        <v>105</v>
      </c>
      <c r="B13" s="1" t="s">
        <v>32</v>
      </c>
      <c r="C13" s="1">
        <v>1</v>
      </c>
      <c r="D13" s="1">
        <v>0</v>
      </c>
      <c r="E13" s="1">
        <v>11587.15</v>
      </c>
      <c r="F13" s="4">
        <f t="shared" si="0"/>
        <v>11587.15</v>
      </c>
      <c r="G13" s="31"/>
    </row>
    <row r="14" spans="1:7" x14ac:dyDescent="0.3">
      <c r="E14" s="37" t="s">
        <v>15</v>
      </c>
      <c r="F14" s="38">
        <f>SUM(F7:F13)</f>
        <v>43482.828999999998</v>
      </c>
      <c r="G14" s="31"/>
    </row>
    <row r="15" spans="1:7" x14ac:dyDescent="0.3">
      <c r="G15" s="31"/>
    </row>
    <row r="16" spans="1:7" x14ac:dyDescent="0.3">
      <c r="G16" s="31"/>
    </row>
  </sheetData>
  <mergeCells count="1">
    <mergeCell ref="B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B42C-E42D-4445-B50B-15B7463B73E2}">
  <dimension ref="A2:G17"/>
  <sheetViews>
    <sheetView workbookViewId="0">
      <selection activeCell="G21" sqref="G21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106</v>
      </c>
      <c r="C2" s="58"/>
      <c r="D2" s="58"/>
      <c r="E2" s="58"/>
      <c r="F2" s="58"/>
    </row>
    <row r="3" spans="1:7" ht="28.8" x14ac:dyDescent="0.3">
      <c r="A3" s="20" t="s">
        <v>19</v>
      </c>
      <c r="B3" s="2">
        <v>195.49</v>
      </c>
      <c r="C3" s="2" t="s">
        <v>17</v>
      </c>
    </row>
    <row r="4" spans="1:7" x14ac:dyDescent="0.3">
      <c r="A4" s="20" t="s">
        <v>20</v>
      </c>
      <c r="B4" s="38">
        <v>3600415.57</v>
      </c>
      <c r="C4" s="2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1" t="s">
        <v>102</v>
      </c>
      <c r="B7" s="1" t="s">
        <v>29</v>
      </c>
      <c r="C7" s="1">
        <v>0.03</v>
      </c>
      <c r="D7" s="33">
        <v>0.05</v>
      </c>
      <c r="E7" s="1">
        <v>312000</v>
      </c>
      <c r="F7" s="4">
        <f>+C7*E7*1.05</f>
        <v>9828</v>
      </c>
      <c r="G7" s="31"/>
    </row>
    <row r="8" spans="1:7" x14ac:dyDescent="0.3">
      <c r="A8" s="1" t="s">
        <v>107</v>
      </c>
      <c r="B8" s="1" t="s">
        <v>32</v>
      </c>
      <c r="C8" s="1">
        <v>0.45</v>
      </c>
      <c r="D8" s="1">
        <v>0</v>
      </c>
      <c r="E8" s="1">
        <v>15527.06</v>
      </c>
      <c r="F8" s="4">
        <f t="shared" ref="F8:F11" si="0">+C8*E8</f>
        <v>6987.1769999999997</v>
      </c>
      <c r="G8" s="31"/>
    </row>
    <row r="9" spans="1:7" x14ac:dyDescent="0.3">
      <c r="A9" s="1" t="s">
        <v>113</v>
      </c>
      <c r="B9" s="1" t="s">
        <v>30</v>
      </c>
      <c r="C9" s="1">
        <v>0.05</v>
      </c>
      <c r="D9" s="1">
        <v>0</v>
      </c>
      <c r="E9" s="1">
        <v>6987.18</v>
      </c>
      <c r="F9" s="4">
        <f t="shared" si="0"/>
        <v>349.35900000000004</v>
      </c>
      <c r="G9" s="31"/>
    </row>
    <row r="10" spans="1:7" x14ac:dyDescent="0.3">
      <c r="A10" s="1" t="s">
        <v>96</v>
      </c>
      <c r="B10" s="1" t="s">
        <v>108</v>
      </c>
      <c r="C10" s="1">
        <v>0.1</v>
      </c>
      <c r="D10" s="1">
        <v>0</v>
      </c>
      <c r="E10" s="1">
        <v>1100</v>
      </c>
      <c r="F10" s="4">
        <f t="shared" si="0"/>
        <v>110</v>
      </c>
      <c r="G10" s="31"/>
    </row>
    <row r="11" spans="1:7" x14ac:dyDescent="0.3">
      <c r="A11" s="1" t="s">
        <v>109</v>
      </c>
      <c r="B11" s="1" t="s">
        <v>29</v>
      </c>
      <c r="C11" s="1">
        <v>3.2000000000000001E-2</v>
      </c>
      <c r="D11" s="1">
        <v>0</v>
      </c>
      <c r="E11" s="1">
        <v>35714.29</v>
      </c>
      <c r="F11" s="4">
        <f t="shared" si="0"/>
        <v>1142.8572799999999</v>
      </c>
      <c r="G11" s="31"/>
    </row>
    <row r="12" spans="1:7" x14ac:dyDescent="0.3">
      <c r="E12" s="5" t="s">
        <v>15</v>
      </c>
      <c r="F12" s="6">
        <f>SUM(F7:F11)</f>
        <v>18417.39328</v>
      </c>
      <c r="G12" s="31"/>
    </row>
    <row r="13" spans="1:7" x14ac:dyDescent="0.3">
      <c r="G13" s="31"/>
    </row>
    <row r="14" spans="1:7" x14ac:dyDescent="0.3">
      <c r="G14" s="31"/>
    </row>
    <row r="15" spans="1:7" x14ac:dyDescent="0.3">
      <c r="G15" s="31"/>
    </row>
    <row r="17" spans="1:2" x14ac:dyDescent="0.3">
      <c r="A17" s="39"/>
      <c r="B17" s="39"/>
    </row>
  </sheetData>
  <mergeCells count="1">
    <mergeCell ref="B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2602-F75B-4977-A0D4-D27EF601F891}">
  <dimension ref="A2:G19"/>
  <sheetViews>
    <sheetView workbookViewId="0">
      <selection activeCell="F24" sqref="F24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139</v>
      </c>
      <c r="C2" s="58"/>
      <c r="D2" s="58"/>
      <c r="E2" s="58"/>
      <c r="F2" s="58"/>
    </row>
    <row r="3" spans="1:7" ht="28.8" x14ac:dyDescent="0.3">
      <c r="A3" s="20" t="s">
        <v>19</v>
      </c>
      <c r="B3" s="8">
        <v>105.6</v>
      </c>
      <c r="C3" s="8" t="s">
        <v>126</v>
      </c>
    </row>
    <row r="4" spans="1:7" x14ac:dyDescent="0.3">
      <c r="A4" s="20" t="s">
        <v>20</v>
      </c>
      <c r="B4" s="6">
        <v>4727247.3600000003</v>
      </c>
      <c r="C4" s="8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42" t="s">
        <v>127</v>
      </c>
      <c r="B7" s="44" t="s">
        <v>128</v>
      </c>
      <c r="C7" s="44">
        <v>0.05</v>
      </c>
      <c r="D7" s="1">
        <v>0</v>
      </c>
      <c r="E7" s="44">
        <v>15500</v>
      </c>
      <c r="F7" s="4">
        <f>+C7*E7</f>
        <v>775</v>
      </c>
      <c r="G7" s="31"/>
    </row>
    <row r="8" spans="1:7" x14ac:dyDescent="0.3">
      <c r="A8" s="42" t="s">
        <v>129</v>
      </c>
      <c r="B8" s="44" t="s">
        <v>128</v>
      </c>
      <c r="C8" s="44">
        <v>0.08</v>
      </c>
      <c r="D8" s="1">
        <v>0</v>
      </c>
      <c r="E8" s="44">
        <v>24000</v>
      </c>
      <c r="F8" s="4">
        <f t="shared" ref="F8:F18" si="0">+C8*E8</f>
        <v>1920</v>
      </c>
      <c r="G8" s="31"/>
    </row>
    <row r="9" spans="1:7" x14ac:dyDescent="0.3">
      <c r="A9" s="42" t="s">
        <v>130</v>
      </c>
      <c r="B9" s="44" t="s">
        <v>80</v>
      </c>
      <c r="C9">
        <v>0.16600000000000001</v>
      </c>
      <c r="D9" s="1">
        <v>0</v>
      </c>
      <c r="E9" s="44">
        <v>8100</v>
      </c>
      <c r="F9" s="4">
        <f t="shared" si="0"/>
        <v>1344.6000000000001</v>
      </c>
      <c r="G9" s="31"/>
    </row>
    <row r="10" spans="1:7" x14ac:dyDescent="0.3">
      <c r="A10" s="42" t="s">
        <v>131</v>
      </c>
      <c r="B10" s="44" t="s">
        <v>108</v>
      </c>
      <c r="C10" s="44">
        <v>0.34</v>
      </c>
      <c r="D10" s="1">
        <v>0</v>
      </c>
      <c r="E10" s="44">
        <v>56900</v>
      </c>
      <c r="F10" s="4">
        <f t="shared" si="0"/>
        <v>19346</v>
      </c>
    </row>
    <row r="11" spans="1:7" x14ac:dyDescent="0.3">
      <c r="A11" s="42" t="s">
        <v>132</v>
      </c>
      <c r="B11" s="44" t="s">
        <v>108</v>
      </c>
      <c r="C11" s="44">
        <v>0.05</v>
      </c>
      <c r="D11" s="1">
        <v>0</v>
      </c>
      <c r="E11" s="44">
        <v>10624.8</v>
      </c>
      <c r="F11" s="4">
        <f t="shared" si="0"/>
        <v>531.24</v>
      </c>
    </row>
    <row r="12" spans="1:7" x14ac:dyDescent="0.3">
      <c r="A12" s="42" t="s">
        <v>133</v>
      </c>
      <c r="B12" s="44" t="s">
        <v>32</v>
      </c>
      <c r="C12" s="44">
        <v>0.5</v>
      </c>
      <c r="D12" s="1">
        <v>0</v>
      </c>
      <c r="E12" s="44">
        <v>23369.89</v>
      </c>
      <c r="F12" s="4">
        <f t="shared" si="0"/>
        <v>11684.945</v>
      </c>
    </row>
    <row r="13" spans="1:7" x14ac:dyDescent="0.3">
      <c r="A13" s="42" t="s">
        <v>134</v>
      </c>
      <c r="B13" s="44" t="s">
        <v>32</v>
      </c>
      <c r="C13" s="44">
        <v>0.1</v>
      </c>
      <c r="D13" s="1">
        <v>0</v>
      </c>
      <c r="E13" s="44">
        <v>17323.900000000001</v>
      </c>
      <c r="F13" s="4">
        <f t="shared" si="0"/>
        <v>1732.3900000000003</v>
      </c>
    </row>
    <row r="14" spans="1:7" x14ac:dyDescent="0.3">
      <c r="A14" s="42" t="s">
        <v>135</v>
      </c>
      <c r="B14" s="44" t="s">
        <v>124</v>
      </c>
      <c r="C14" s="44">
        <v>0.08</v>
      </c>
      <c r="D14" s="1">
        <v>0</v>
      </c>
      <c r="E14" s="44">
        <v>26000</v>
      </c>
      <c r="F14" s="4">
        <f t="shared" si="0"/>
        <v>2080</v>
      </c>
    </row>
    <row r="15" spans="1:7" x14ac:dyDescent="0.3">
      <c r="A15" s="42" t="s">
        <v>136</v>
      </c>
      <c r="B15" s="44" t="s">
        <v>124</v>
      </c>
      <c r="C15" s="44">
        <v>0.12</v>
      </c>
      <c r="D15" s="1">
        <v>0</v>
      </c>
      <c r="E15" s="44">
        <v>28700</v>
      </c>
      <c r="F15" s="4">
        <f t="shared" si="0"/>
        <v>3444</v>
      </c>
    </row>
    <row r="16" spans="1:7" x14ac:dyDescent="0.3">
      <c r="A16" s="42" t="s">
        <v>137</v>
      </c>
      <c r="B16" s="44" t="s">
        <v>124</v>
      </c>
      <c r="C16" s="44">
        <v>0.04</v>
      </c>
      <c r="D16" s="1">
        <v>0</v>
      </c>
      <c r="E16" s="44">
        <v>27500</v>
      </c>
      <c r="F16" s="4">
        <f t="shared" si="0"/>
        <v>1100</v>
      </c>
    </row>
    <row r="17" spans="1:6" x14ac:dyDescent="0.3">
      <c r="A17" s="42" t="s">
        <v>123</v>
      </c>
      <c r="B17" s="44" t="s">
        <v>138</v>
      </c>
      <c r="C17" s="44">
        <v>0.1</v>
      </c>
      <c r="D17" s="1">
        <v>0</v>
      </c>
      <c r="E17" s="44">
        <v>1100</v>
      </c>
      <c r="F17" s="4">
        <f t="shared" si="0"/>
        <v>110</v>
      </c>
    </row>
    <row r="18" spans="1:6" x14ac:dyDescent="0.3">
      <c r="A18" s="42" t="s">
        <v>155</v>
      </c>
      <c r="B18" s="44" t="s">
        <v>30</v>
      </c>
      <c r="C18" s="44">
        <v>0.05</v>
      </c>
      <c r="D18" s="1">
        <v>0</v>
      </c>
      <c r="E18" s="44">
        <v>13948.58</v>
      </c>
      <c r="F18" s="4">
        <f t="shared" si="0"/>
        <v>697.42900000000009</v>
      </c>
    </row>
    <row r="19" spans="1:6" x14ac:dyDescent="0.3">
      <c r="E19" s="5" t="s">
        <v>15</v>
      </c>
      <c r="F19" s="6">
        <f>SUM(F7:F18)</f>
        <v>44765.604000000007</v>
      </c>
    </row>
  </sheetData>
  <mergeCells count="1">
    <mergeCell ref="B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23C0-BB0D-4326-B48D-1A8B326DB6AE}">
  <dimension ref="A2:G16"/>
  <sheetViews>
    <sheetView workbookViewId="0">
      <selection activeCell="F15" sqref="F15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146</v>
      </c>
      <c r="C2" s="58"/>
      <c r="D2" s="58"/>
      <c r="E2" s="58"/>
      <c r="F2" s="58"/>
    </row>
    <row r="3" spans="1:7" ht="28.8" x14ac:dyDescent="0.3">
      <c r="A3" s="20" t="s">
        <v>19</v>
      </c>
      <c r="B3" s="8">
        <v>65.2</v>
      </c>
      <c r="C3" s="8" t="s">
        <v>126</v>
      </c>
    </row>
    <row r="4" spans="1:7" x14ac:dyDescent="0.3">
      <c r="A4" s="20" t="s">
        <v>20</v>
      </c>
      <c r="B4" s="6">
        <v>4182004.94</v>
      </c>
      <c r="C4" s="8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42" t="s">
        <v>140</v>
      </c>
      <c r="B7" s="44" t="s">
        <v>108</v>
      </c>
      <c r="C7" s="44">
        <v>1</v>
      </c>
      <c r="D7" s="47">
        <v>0</v>
      </c>
      <c r="E7" s="48">
        <v>252</v>
      </c>
      <c r="F7" s="46">
        <f>+C7*E7</f>
        <v>252</v>
      </c>
      <c r="G7" s="31"/>
    </row>
    <row r="8" spans="1:7" x14ac:dyDescent="0.3">
      <c r="A8" s="42" t="s">
        <v>141</v>
      </c>
      <c r="B8" s="44" t="s">
        <v>108</v>
      </c>
      <c r="C8" s="44">
        <v>8.2000000000000003E-2</v>
      </c>
      <c r="D8" s="49">
        <v>0.01</v>
      </c>
      <c r="E8" s="48">
        <v>552900</v>
      </c>
      <c r="F8" s="46">
        <f>+C8*E8*1.01</f>
        <v>45791.178</v>
      </c>
      <c r="G8" s="31"/>
    </row>
    <row r="9" spans="1:7" x14ac:dyDescent="0.3">
      <c r="A9" s="42" t="s">
        <v>142</v>
      </c>
      <c r="B9" s="44" t="s">
        <v>108</v>
      </c>
      <c r="C9" s="44">
        <v>0.155</v>
      </c>
      <c r="D9" s="47">
        <v>0</v>
      </c>
      <c r="E9" s="48">
        <v>8750</v>
      </c>
      <c r="F9" s="46">
        <f t="shared" ref="F9:F15" si="0">+C9*E9</f>
        <v>1356.25</v>
      </c>
      <c r="G9" s="31"/>
    </row>
    <row r="10" spans="1:7" x14ac:dyDescent="0.3">
      <c r="A10" s="42" t="s">
        <v>143</v>
      </c>
      <c r="B10" s="44" t="s">
        <v>108</v>
      </c>
      <c r="C10" s="44">
        <v>0.01</v>
      </c>
      <c r="D10" s="47">
        <v>0</v>
      </c>
      <c r="E10" s="48">
        <v>8900</v>
      </c>
      <c r="F10" s="46">
        <f t="shared" si="0"/>
        <v>89</v>
      </c>
    </row>
    <row r="11" spans="1:7" x14ac:dyDescent="0.3">
      <c r="A11" s="42" t="s">
        <v>144</v>
      </c>
      <c r="B11" s="44" t="s">
        <v>108</v>
      </c>
      <c r="C11" s="44">
        <v>0.03</v>
      </c>
      <c r="D11" s="47">
        <v>0</v>
      </c>
      <c r="E11" s="48">
        <v>61000</v>
      </c>
      <c r="F11" s="46">
        <f t="shared" si="0"/>
        <v>1830</v>
      </c>
    </row>
    <row r="12" spans="1:7" x14ac:dyDescent="0.3">
      <c r="A12" s="42" t="s">
        <v>145</v>
      </c>
      <c r="B12" s="44" t="s">
        <v>32</v>
      </c>
      <c r="C12" s="44">
        <v>0.65</v>
      </c>
      <c r="D12" s="47">
        <v>0</v>
      </c>
      <c r="E12" s="48">
        <v>20839.2</v>
      </c>
      <c r="F12" s="46">
        <f t="shared" si="0"/>
        <v>13545.480000000001</v>
      </c>
    </row>
    <row r="13" spans="1:7" x14ac:dyDescent="0.3">
      <c r="A13" s="42" t="s">
        <v>156</v>
      </c>
      <c r="B13" s="44" t="s">
        <v>30</v>
      </c>
      <c r="C13" s="44">
        <v>0.05</v>
      </c>
      <c r="D13" s="47">
        <v>0</v>
      </c>
      <c r="E13" s="48">
        <v>13545.48</v>
      </c>
      <c r="F13" s="46">
        <f t="shared" si="0"/>
        <v>677.274</v>
      </c>
    </row>
    <row r="14" spans="1:7" x14ac:dyDescent="0.3">
      <c r="A14" s="42" t="s">
        <v>123</v>
      </c>
      <c r="B14" s="44" t="s">
        <v>138</v>
      </c>
      <c r="C14" s="44">
        <v>0.5</v>
      </c>
      <c r="D14" s="47">
        <v>0</v>
      </c>
      <c r="E14" s="48">
        <v>1100</v>
      </c>
      <c r="F14" s="46">
        <f t="shared" si="0"/>
        <v>550</v>
      </c>
    </row>
    <row r="15" spans="1:7" x14ac:dyDescent="0.3">
      <c r="A15" s="42" t="s">
        <v>114</v>
      </c>
      <c r="B15" s="44" t="s">
        <v>124</v>
      </c>
      <c r="C15" s="44">
        <v>0.5</v>
      </c>
      <c r="D15" s="47">
        <v>0</v>
      </c>
      <c r="E15" s="48">
        <v>100</v>
      </c>
      <c r="F15" s="46">
        <f t="shared" si="0"/>
        <v>50</v>
      </c>
    </row>
    <row r="16" spans="1:7" x14ac:dyDescent="0.3">
      <c r="E16" s="5" t="s">
        <v>15</v>
      </c>
      <c r="F16" s="6">
        <f>SUM(F7:F15)</f>
        <v>64141.182000000001</v>
      </c>
    </row>
  </sheetData>
  <mergeCells count="1">
    <mergeCell ref="B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0085-4AAE-4F9F-9347-D874F1908EF3}">
  <dimension ref="A2:G14"/>
  <sheetViews>
    <sheetView workbookViewId="0">
      <selection activeCell="A12" sqref="A12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154</v>
      </c>
      <c r="C2" s="58"/>
      <c r="D2" s="58"/>
      <c r="E2" s="58"/>
      <c r="F2" s="58"/>
    </row>
    <row r="3" spans="1:7" ht="28.8" x14ac:dyDescent="0.3">
      <c r="A3" s="20" t="s">
        <v>19</v>
      </c>
      <c r="B3" s="8">
        <v>12</v>
      </c>
      <c r="C3" s="8" t="s">
        <v>126</v>
      </c>
    </row>
    <row r="4" spans="1:7" x14ac:dyDescent="0.3">
      <c r="A4" s="20" t="s">
        <v>20</v>
      </c>
      <c r="B4" s="6">
        <v>969880.8</v>
      </c>
      <c r="C4" s="8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50" t="s">
        <v>147</v>
      </c>
      <c r="B7" s="44" t="s">
        <v>80</v>
      </c>
      <c r="C7" s="44">
        <v>0.12</v>
      </c>
      <c r="D7" s="44">
        <v>0</v>
      </c>
      <c r="E7" s="44">
        <v>13100</v>
      </c>
      <c r="F7" s="46">
        <f>+C7*E7</f>
        <v>1572</v>
      </c>
      <c r="G7" s="31"/>
    </row>
    <row r="8" spans="1:7" x14ac:dyDescent="0.3">
      <c r="A8" s="50" t="s">
        <v>148</v>
      </c>
      <c r="B8" s="44" t="s">
        <v>108</v>
      </c>
      <c r="C8" s="44">
        <v>0.6</v>
      </c>
      <c r="D8" s="44">
        <v>0</v>
      </c>
      <c r="E8" s="44">
        <v>115810</v>
      </c>
      <c r="F8" s="46">
        <f t="shared" ref="F8:F13" si="0">+C8*E8</f>
        <v>69486</v>
      </c>
      <c r="G8" s="31"/>
    </row>
    <row r="9" spans="1:7" x14ac:dyDescent="0.3">
      <c r="A9" s="50" t="s">
        <v>149</v>
      </c>
      <c r="B9" s="44" t="s">
        <v>108</v>
      </c>
      <c r="C9" s="44">
        <v>0.6</v>
      </c>
      <c r="D9" s="44">
        <v>0</v>
      </c>
      <c r="E9" s="44">
        <v>2600</v>
      </c>
      <c r="F9" s="46">
        <f t="shared" si="0"/>
        <v>1560</v>
      </c>
      <c r="G9" s="31"/>
    </row>
    <row r="10" spans="1:7" ht="28.8" x14ac:dyDescent="0.3">
      <c r="A10" s="50" t="s">
        <v>150</v>
      </c>
      <c r="B10" s="44" t="s">
        <v>32</v>
      </c>
      <c r="C10" s="44">
        <v>0.2</v>
      </c>
      <c r="D10" s="44">
        <v>0</v>
      </c>
      <c r="E10" s="44">
        <v>26151.34</v>
      </c>
      <c r="F10" s="46">
        <f t="shared" si="0"/>
        <v>5230.268</v>
      </c>
    </row>
    <row r="11" spans="1:7" x14ac:dyDescent="0.3">
      <c r="A11" s="50" t="s">
        <v>157</v>
      </c>
      <c r="B11" s="44" t="s">
        <v>122</v>
      </c>
      <c r="C11" s="44">
        <v>0.5</v>
      </c>
      <c r="D11" s="44">
        <v>0</v>
      </c>
      <c r="E11" s="44">
        <v>5230.2700000000004</v>
      </c>
      <c r="F11" s="46">
        <f t="shared" si="0"/>
        <v>2615.1350000000002</v>
      </c>
    </row>
    <row r="12" spans="1:7" x14ac:dyDescent="0.3">
      <c r="A12" s="50" t="s">
        <v>123</v>
      </c>
      <c r="B12" s="44" t="s">
        <v>124</v>
      </c>
      <c r="C12" s="44">
        <v>0.3</v>
      </c>
      <c r="D12" s="44">
        <v>0</v>
      </c>
      <c r="E12" s="44">
        <v>1100</v>
      </c>
      <c r="F12" s="46">
        <f t="shared" si="0"/>
        <v>330</v>
      </c>
    </row>
    <row r="13" spans="1:7" x14ac:dyDescent="0.3">
      <c r="A13" s="50" t="s">
        <v>114</v>
      </c>
      <c r="B13" s="44" t="s">
        <v>124</v>
      </c>
      <c r="C13" s="44">
        <v>0.3</v>
      </c>
      <c r="D13" s="44">
        <v>0</v>
      </c>
      <c r="E13" s="44">
        <v>100</v>
      </c>
      <c r="F13" s="46">
        <f t="shared" si="0"/>
        <v>30</v>
      </c>
    </row>
    <row r="14" spans="1:7" x14ac:dyDescent="0.3">
      <c r="E14" s="5" t="s">
        <v>15</v>
      </c>
      <c r="F14" s="6">
        <f>SUM(F7:F13)</f>
        <v>80823.402999999991</v>
      </c>
    </row>
  </sheetData>
  <mergeCells count="1">
    <mergeCell ref="B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3F21-8356-4211-AC2E-E435AC9E1F84}">
  <dimension ref="A2:G16"/>
  <sheetViews>
    <sheetView workbookViewId="0">
      <selection activeCell="C20" sqref="C20"/>
    </sheetView>
  </sheetViews>
  <sheetFormatPr baseColWidth="10" defaultRowHeight="14.4" x14ac:dyDescent="0.3"/>
  <cols>
    <col min="1" max="1" width="33.33203125" customWidth="1"/>
    <col min="2" max="2" width="19.77734375" customWidth="1"/>
    <col min="3" max="3" width="18.77734375" customWidth="1"/>
    <col min="4" max="4" width="11.77734375" bestFit="1" customWidth="1"/>
    <col min="5" max="5" width="15.6640625" customWidth="1"/>
    <col min="6" max="6" width="18.21875" customWidth="1"/>
    <col min="7" max="7" width="14.21875" customWidth="1"/>
    <col min="8" max="8" width="29.109375" customWidth="1"/>
    <col min="10" max="10" width="1.88671875" bestFit="1" customWidth="1"/>
    <col min="11" max="11" width="8.88671875" bestFit="1" customWidth="1"/>
  </cols>
  <sheetData>
    <row r="2" spans="1:7" x14ac:dyDescent="0.3">
      <c r="A2" s="2" t="s">
        <v>18</v>
      </c>
      <c r="B2" s="58" t="s">
        <v>125</v>
      </c>
      <c r="C2" s="58"/>
      <c r="D2" s="58"/>
      <c r="E2" s="58"/>
      <c r="F2" s="58"/>
    </row>
    <row r="3" spans="1:7" ht="28.8" x14ac:dyDescent="0.3">
      <c r="A3" s="20" t="s">
        <v>19</v>
      </c>
      <c r="B3" s="8">
        <v>16.2</v>
      </c>
      <c r="C3" s="8" t="s">
        <v>126</v>
      </c>
    </row>
    <row r="4" spans="1:7" x14ac:dyDescent="0.3">
      <c r="A4" s="20" t="s">
        <v>20</v>
      </c>
      <c r="B4" s="6">
        <v>511812.92</v>
      </c>
      <c r="C4" s="8"/>
    </row>
    <row r="5" spans="1:7" x14ac:dyDescent="0.3">
      <c r="E5" s="14"/>
    </row>
    <row r="6" spans="1:7" x14ac:dyDescent="0.3">
      <c r="A6" s="41" t="s">
        <v>115</v>
      </c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</row>
    <row r="7" spans="1:7" x14ac:dyDescent="0.3">
      <c r="A7" s="42" t="s">
        <v>116</v>
      </c>
      <c r="B7" s="43" t="s">
        <v>108</v>
      </c>
      <c r="C7" s="44">
        <v>0.33300000000000002</v>
      </c>
      <c r="D7" s="44">
        <v>0</v>
      </c>
      <c r="E7" s="45">
        <v>63896</v>
      </c>
      <c r="F7" s="46">
        <f>+C7*E7</f>
        <v>21277.368000000002</v>
      </c>
      <c r="G7" s="31"/>
    </row>
    <row r="8" spans="1:7" x14ac:dyDescent="0.3">
      <c r="A8" s="42" t="s">
        <v>117</v>
      </c>
      <c r="B8" s="43" t="s">
        <v>108</v>
      </c>
      <c r="C8" s="44">
        <v>1.5</v>
      </c>
      <c r="D8" s="44">
        <v>0</v>
      </c>
      <c r="E8" s="45">
        <v>2700</v>
      </c>
      <c r="F8" s="46">
        <f t="shared" ref="F8:F15" si="0">+C8*E8</f>
        <v>4050</v>
      </c>
      <c r="G8" s="31"/>
    </row>
    <row r="9" spans="1:7" x14ac:dyDescent="0.3">
      <c r="A9" s="42" t="s">
        <v>118</v>
      </c>
      <c r="B9" s="43" t="s">
        <v>108</v>
      </c>
      <c r="C9" s="44">
        <v>0.01</v>
      </c>
      <c r="D9" s="44">
        <v>0</v>
      </c>
      <c r="E9" s="45">
        <v>78400</v>
      </c>
      <c r="F9" s="46">
        <f t="shared" si="0"/>
        <v>784</v>
      </c>
      <c r="G9" s="31"/>
    </row>
    <row r="10" spans="1:7" x14ac:dyDescent="0.3">
      <c r="A10" s="42" t="s">
        <v>119</v>
      </c>
      <c r="B10" s="43" t="s">
        <v>108</v>
      </c>
      <c r="C10" s="44">
        <v>3</v>
      </c>
      <c r="D10" s="44">
        <v>0</v>
      </c>
      <c r="E10" s="45">
        <v>29</v>
      </c>
      <c r="F10" s="46">
        <f t="shared" si="0"/>
        <v>87</v>
      </c>
    </row>
    <row r="11" spans="1:7" x14ac:dyDescent="0.3">
      <c r="A11" s="42" t="s">
        <v>120</v>
      </c>
      <c r="B11" s="43" t="s">
        <v>108</v>
      </c>
      <c r="C11" s="44">
        <v>0.01</v>
      </c>
      <c r="D11" s="44">
        <v>0</v>
      </c>
      <c r="E11" s="45">
        <v>38400</v>
      </c>
      <c r="F11" s="46">
        <f t="shared" si="0"/>
        <v>384</v>
      </c>
    </row>
    <row r="12" spans="1:7" x14ac:dyDescent="0.3">
      <c r="A12" s="42" t="s">
        <v>121</v>
      </c>
      <c r="B12" s="43" t="s">
        <v>32</v>
      </c>
      <c r="C12" s="44">
        <v>0.3</v>
      </c>
      <c r="D12" s="44">
        <v>0</v>
      </c>
      <c r="E12" s="45">
        <v>15527.06</v>
      </c>
      <c r="F12" s="46">
        <f t="shared" si="0"/>
        <v>4658.1179999999995</v>
      </c>
    </row>
    <row r="13" spans="1:7" x14ac:dyDescent="0.3">
      <c r="A13" s="42" t="s">
        <v>158</v>
      </c>
      <c r="B13" s="43" t="s">
        <v>122</v>
      </c>
      <c r="C13" s="44">
        <v>0.05</v>
      </c>
      <c r="D13" s="44">
        <v>0</v>
      </c>
      <c r="E13" s="45">
        <v>4658.12</v>
      </c>
      <c r="F13" s="46">
        <f t="shared" si="0"/>
        <v>232.90600000000001</v>
      </c>
    </row>
    <row r="14" spans="1:7" x14ac:dyDescent="0.3">
      <c r="A14" s="42" t="s">
        <v>123</v>
      </c>
      <c r="B14" s="43" t="s">
        <v>124</v>
      </c>
      <c r="C14" s="44">
        <v>0.1</v>
      </c>
      <c r="D14" s="44">
        <v>0</v>
      </c>
      <c r="E14" s="45">
        <v>1100</v>
      </c>
      <c r="F14" s="46">
        <f t="shared" si="0"/>
        <v>110</v>
      </c>
    </row>
    <row r="15" spans="1:7" x14ac:dyDescent="0.3">
      <c r="A15" s="42" t="s">
        <v>114</v>
      </c>
      <c r="B15" s="43" t="s">
        <v>124</v>
      </c>
      <c r="C15" s="44">
        <v>0.1</v>
      </c>
      <c r="D15" s="44">
        <v>0</v>
      </c>
      <c r="E15" s="45">
        <v>100</v>
      </c>
      <c r="F15" s="46">
        <f t="shared" si="0"/>
        <v>10</v>
      </c>
    </row>
    <row r="16" spans="1:7" x14ac:dyDescent="0.3">
      <c r="E16" s="5" t="s">
        <v>15</v>
      </c>
      <c r="F16" s="6">
        <f>SUM(F7:F15)</f>
        <v>31593.392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2025-11-09T13:46:44Z</dcterms:created>
  <dcterms:modified xsi:type="dcterms:W3CDTF">2026-07-07T16:50:42Z</dcterms:modified>
</cp:coreProperties>
</file>