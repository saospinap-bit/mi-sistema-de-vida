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nni\Desktop\CLASE PROJECT 2026 II\CLASE 2 PROJECT FC\"/>
    </mc:Choice>
  </mc:AlternateContent>
  <xr:revisionPtr revIDLastSave="0" documentId="13_ncr:1_{8CA7CF22-47FB-4226-923E-73961411FA94}" xr6:coauthVersionLast="47" xr6:coauthVersionMax="47" xr10:uidLastSave="{00000000-0000-0000-0000-000000000000}"/>
  <bookViews>
    <workbookView xWindow="-108" yWindow="-108" windowWidth="23256" windowHeight="12576" xr2:uid="{058A0BA8-CFA4-40EA-B3A2-CB38997B311A}"/>
  </bookViews>
  <sheets>
    <sheet name="PRESUPUESTO" sheetId="4" r:id="rId1"/>
    <sheet name="RECURSOS" sheetId="5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26" i="4" l="1"/>
  <c r="F25" i="4"/>
  <c r="F24" i="4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4" i="4"/>
</calcChain>
</file>

<file path=xl/sharedStrings.xml><?xml version="1.0" encoding="utf-8"?>
<sst xmlns="http://schemas.openxmlformats.org/spreadsheetml/2006/main" count="148" uniqueCount="89">
  <si>
    <t>Proyecto casa primer piso</t>
  </si>
  <si>
    <t>Inicio del proyecto</t>
  </si>
  <si>
    <t>Preliminares</t>
  </si>
  <si>
    <t>localización y replanteo</t>
  </si>
  <si>
    <t>Cimentación</t>
  </si>
  <si>
    <t>Excavación en tierra a mano, no incluye retiro</t>
  </si>
  <si>
    <t>Retiro material sobrante</t>
  </si>
  <si>
    <t>Relleno y compactación cimientos material importado solado e=0.05 m</t>
  </si>
  <si>
    <t>Figurado y armada acero 60000 psi vaciado zapatas en concreto de 3000 psi</t>
  </si>
  <si>
    <t>Solado e=0.05m</t>
  </si>
  <si>
    <t>viga de cimentación de 3000 psi (0.25x0.25)</t>
  </si>
  <si>
    <t>m2</t>
  </si>
  <si>
    <t>m3</t>
  </si>
  <si>
    <t>Vlor unitario</t>
  </si>
  <si>
    <t>Vlor total</t>
  </si>
  <si>
    <t>kg</t>
  </si>
  <si>
    <t>Nombre del recurso</t>
  </si>
  <si>
    <t>Tipo</t>
  </si>
  <si>
    <t>Puntilla 2" 1/2 a 3" 1/2</t>
  </si>
  <si>
    <t>Material</t>
  </si>
  <si>
    <t>Madera medio cerco</t>
  </si>
  <si>
    <t>Herramienta menor</t>
  </si>
  <si>
    <t>Costo</t>
  </si>
  <si>
    <t>Equipo topografico precision</t>
  </si>
  <si>
    <t>Mano de obra cuadrilla topografica</t>
  </si>
  <si>
    <t>Trabajo</t>
  </si>
  <si>
    <t>Herramienta menor 2</t>
  </si>
  <si>
    <t>Mano de obra cuadrilla aa</t>
  </si>
  <si>
    <t>Escombrera</t>
  </si>
  <si>
    <t>volqueta</t>
  </si>
  <si>
    <t>Herramienta menor 3</t>
  </si>
  <si>
    <t>Mezcla de concreto pobre de 3000psi</t>
  </si>
  <si>
    <t>Herramienta menor 4</t>
  </si>
  <si>
    <t>Material de rio sucio-tierra</t>
  </si>
  <si>
    <t>Mano de obra albañileria 1A</t>
  </si>
  <si>
    <t>Pison</t>
  </si>
  <si>
    <t>Volqueta transporte petreos 1-10 km</t>
  </si>
  <si>
    <t>Acero de 420 Mpa</t>
  </si>
  <si>
    <t>Alambre negro</t>
  </si>
  <si>
    <t>Segueta sin marco</t>
  </si>
  <si>
    <t>Herramienta menor 5</t>
  </si>
  <si>
    <t>Tabla 1x 10 x 300 otobo</t>
  </si>
  <si>
    <t>Vareta 2" x 2" x 3m otobo</t>
  </si>
  <si>
    <t>Mezcla concreto 3000 psi</t>
  </si>
  <si>
    <t>Mano de obra cuadrilla aa 2+1</t>
  </si>
  <si>
    <t>vibrador electrico</t>
  </si>
  <si>
    <t>Herramienta menor 6</t>
  </si>
  <si>
    <t>Estructura primer piso</t>
  </si>
  <si>
    <t>Cubierta metálica con teja en Policarbonato</t>
  </si>
  <si>
    <t>losa de contrapiso en concreto 3000 psi, e=0.1m</t>
  </si>
  <si>
    <t>Figurado y armada acero de Columnas primer piso</t>
  </si>
  <si>
    <t>Encofrado y vaciado columnar primer piso</t>
  </si>
  <si>
    <t>Figurado y armada acero losa entrepiso</t>
  </si>
  <si>
    <t>Losa de entrepiso concreto de 3000 psi e=0.05m incluye encofrado</t>
  </si>
  <si>
    <t>Muro en bloque cerámico (0.15x0.13x0.24)</t>
  </si>
  <si>
    <t>Pañete en interiores primer piso, e= 0.02 m, 1:3</t>
  </si>
  <si>
    <t>Suministro e instalación Perfil cajón HR C 120X60 mm - 1.5 mm C.16</t>
  </si>
  <si>
    <t>Suministro e instalación de lámina Policarbonato Alveolar 8mm</t>
  </si>
  <si>
    <t>Suministro e instalación de canaletas</t>
  </si>
  <si>
    <t>Bajante aguas lluvias</t>
  </si>
  <si>
    <t>Para el capitulo "Cubierta metálica con teja en Policarbonato" coloque los recursos según su criterio para cada actividad</t>
  </si>
  <si>
    <t>Puntilla 2"</t>
  </si>
  <si>
    <t>Tabla 1 x 10 x 300</t>
  </si>
  <si>
    <t>Mano de obra albañeleria 3a 1o</t>
  </si>
  <si>
    <t>Mezcla de concreto 1:2:3 21 Mpa</t>
  </si>
  <si>
    <t>Herramienta menor 7</t>
  </si>
  <si>
    <t>Herramienta menor 8</t>
  </si>
  <si>
    <t>formaleta</t>
  </si>
  <si>
    <t>andamios</t>
  </si>
  <si>
    <t>Herramienta menor 9</t>
  </si>
  <si>
    <t>Herramienta menor 10</t>
  </si>
  <si>
    <t>Caseton de guadua</t>
  </si>
  <si>
    <t>Herramienta menor 11</t>
  </si>
  <si>
    <t>mano de obra cuadrilla aa 3+1</t>
  </si>
  <si>
    <t>Impermeable sika imprimante</t>
  </si>
  <si>
    <t>Bloque ceramico</t>
  </si>
  <si>
    <t>Mortero de pega 1:4</t>
  </si>
  <si>
    <t>Herramienta menor 12</t>
  </si>
  <si>
    <t>Mezcla grouting 3000psi</t>
  </si>
  <si>
    <t>mano de obra cuadrilla aa 5</t>
  </si>
  <si>
    <t>mano de obra cuadrilla aa 6</t>
  </si>
  <si>
    <t>Herramienta menor 13</t>
  </si>
  <si>
    <t>Volqueta transporte materiales petreos</t>
  </si>
  <si>
    <t>Duración</t>
  </si>
  <si>
    <t>Unidad</t>
  </si>
  <si>
    <t>Cantidad</t>
  </si>
  <si>
    <t>Muros primer piso</t>
  </si>
  <si>
    <t>m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</si>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</sst>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$&quot;\ * #,##0.00_-;\-&quot;$&quot;\ * #,##0.00_-;_-&quot;$&quot;\ * &quot;-&quot;??_-;_-@_-"/>
  </numFmts>
  <fonts count="8" x14ac:knownFonts="1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9"/>
      <color rgb="FFFF0000"/>
      <name val="Segoe UI"/>
      <family val="2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DFE3E8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B1BBCC"/>
      </left>
      <right style="thin">
        <color rgb="FFB1BBCC"/>
      </right>
      <top style="thin">
        <color rgb="FFB1BBCC"/>
      </top>
      <bottom style="thin">
        <color rgb="FFB1BBCC"/>
      </bottom>
      <diagonal/>
    </border>
  </borders>
  <cellStyleXfs count="2">
    <xf numFmtId="0" fontId="0" fillId="0" borderId="0"/>
    <xf numFmtId="44" fontId="3" fillId="0" borderId="0" applyFont="0" applyFill="0" applyBorder="0" applyAlignment="0" applyProtection="0"/>
  </cellStyleXfs>
  <cellXfs count="25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0" fillId="0" borderId="1" xfId="0" applyBorder="1"/>
    <xf numFmtId="0" fontId="2" fillId="2" borderId="2" xfId="0" applyFont="1" applyFill="1" applyBorder="1" applyAlignment="1">
      <alignment vertical="center" wrapText="1"/>
    </xf>
    <xf numFmtId="0" fontId="1" fillId="3" borderId="1" xfId="0" applyFont="1" applyFill="1" applyBorder="1" applyAlignment="1">
      <alignment vertical="center" wrapText="1"/>
    </xf>
    <xf numFmtId="0" fontId="2" fillId="4" borderId="1" xfId="0" applyFont="1" applyFill="1" applyBorder="1" applyAlignment="1">
      <alignment vertical="center" wrapText="1"/>
    </xf>
    <xf numFmtId="0" fontId="1" fillId="5" borderId="1" xfId="0" applyFont="1" applyFill="1" applyBorder="1" applyAlignment="1">
      <alignment vertical="center" wrapText="1"/>
    </xf>
    <xf numFmtId="0" fontId="0" fillId="0" borderId="1" xfId="0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2" fillId="2" borderId="3" xfId="0" applyFont="1" applyFill="1" applyBorder="1" applyAlignment="1">
      <alignment vertical="center" wrapText="1"/>
    </xf>
    <xf numFmtId="0" fontId="5" fillId="6" borderId="3" xfId="0" applyFont="1" applyFill="1" applyBorder="1" applyAlignment="1">
      <alignment vertical="center" wrapText="1"/>
    </xf>
    <xf numFmtId="0" fontId="2" fillId="7" borderId="1" xfId="0" applyFont="1" applyFill="1" applyBorder="1" applyAlignment="1">
      <alignment vertical="center" wrapText="1"/>
    </xf>
    <xf numFmtId="0" fontId="0" fillId="7" borderId="1" xfId="0" applyFill="1" applyBorder="1" applyAlignment="1">
      <alignment horizontal="center"/>
    </xf>
    <xf numFmtId="0" fontId="0" fillId="7" borderId="1" xfId="0" applyFill="1" applyBorder="1"/>
    <xf numFmtId="44" fontId="3" fillId="7" borderId="1" xfId="1" applyFont="1" applyFill="1" applyBorder="1"/>
    <xf numFmtId="44" fontId="0" fillId="7" borderId="1" xfId="0" applyNumberFormat="1" applyFill="1" applyBorder="1"/>
    <xf numFmtId="44" fontId="0" fillId="0" borderId="1" xfId="0" applyNumberFormat="1" applyBorder="1"/>
    <xf numFmtId="44" fontId="0" fillId="0" borderId="1" xfId="1" applyFont="1" applyBorder="1"/>
    <xf numFmtId="0" fontId="0" fillId="0" borderId="2" xfId="0" applyBorder="1" applyAlignment="1">
      <alignment horizontal="center"/>
    </xf>
    <xf numFmtId="0" fontId="2" fillId="2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vertical="center"/>
    </xf>
    <xf numFmtId="0" fontId="7" fillId="0" borderId="0" xfId="0" applyFont="1" applyAlignment="1">
      <alignment horizontal="center"/>
    </xf>
    <xf numFmtId="44" fontId="7" fillId="0" borderId="0" xfId="0" applyNumberFormat="1" applyFont="1"/>
    <xf numFmtId="0" fontId="6" fillId="7" borderId="0" xfId="0" applyFont="1" applyFill="1"/>
    <xf numFmtId="0" fontId="0" fillId="7" borderId="0" xfId="0" applyFill="1"/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E016C8-D195-4E2B-A31B-D6E3E6EB5964}">
  <dimension ref="A1:F26"/>
  <sheetViews>
    <sheetView tabSelected="1" topLeftCell="A4" workbookViewId="0">
      <selection activeCell="B4" sqref="B4"/>
    </sheetView>
  </sheetViews>
  <sheetFormatPr baseColWidth="10" defaultRowHeight="14.4" x14ac:dyDescent="0.3"/>
  <cols>
    <col min="1" max="1" width="62.44140625" customWidth="1"/>
    <col min="5" max="5" width="12.88671875" bestFit="1" customWidth="1"/>
    <col min="6" max="6" width="15.21875" bestFit="1" customWidth="1"/>
  </cols>
  <sheetData>
    <row r="1" spans="1:6" x14ac:dyDescent="0.3">
      <c r="A1" s="6" t="s">
        <v>0</v>
      </c>
      <c r="B1" s="8" t="s">
        <v>83</v>
      </c>
      <c r="C1" s="8" t="s">
        <v>84</v>
      </c>
      <c r="D1" s="8" t="s">
        <v>85</v>
      </c>
      <c r="E1" s="8" t="s">
        <v>13</v>
      </c>
      <c r="F1" s="8" t="s">
        <v>14</v>
      </c>
    </row>
    <row r="2" spans="1:6" x14ac:dyDescent="0.3">
      <c r="A2" s="5" t="s">
        <v>1</v>
      </c>
      <c r="B2" s="2"/>
      <c r="C2" s="2"/>
      <c r="D2" s="2"/>
      <c r="E2" s="2"/>
      <c r="F2" s="2"/>
    </row>
    <row r="3" spans="1:6" x14ac:dyDescent="0.3">
      <c r="A3" s="4" t="s">
        <v>2</v>
      </c>
      <c r="B3" s="2"/>
      <c r="C3" s="2"/>
      <c r="D3" s="2"/>
      <c r="E3" s="2"/>
      <c r="F3" s="2"/>
    </row>
    <row r="4" spans="1:6" x14ac:dyDescent="0.3">
      <c r="A4" s="11" t="s">
        <v>3</v>
      </c>
      <c r="B4" s="12">
        <v>2</v>
      </c>
      <c r="C4" s="12" t="s">
        <v>11</v>
      </c>
      <c r="D4" s="13">
        <v>72</v>
      </c>
      <c r="E4" s="14">
        <v>1773</v>
      </c>
      <c r="F4" s="15">
        <f>+D4*E4</f>
        <v>127656</v>
      </c>
    </row>
    <row r="5" spans="1:6" x14ac:dyDescent="0.3">
      <c r="A5" s="4" t="s">
        <v>4</v>
      </c>
      <c r="B5" s="7"/>
      <c r="C5" s="7"/>
      <c r="D5" s="2"/>
      <c r="E5" s="16"/>
      <c r="F5" s="16"/>
    </row>
    <row r="6" spans="1:6" x14ac:dyDescent="0.3">
      <c r="A6" s="1" t="s">
        <v>5</v>
      </c>
      <c r="B6" s="7">
        <v>2</v>
      </c>
      <c r="C6" s="7" t="s">
        <v>12</v>
      </c>
      <c r="D6" s="2">
        <v>7.12</v>
      </c>
      <c r="E6" s="17">
        <v>29346</v>
      </c>
      <c r="F6" s="17">
        <f t="shared" ref="F6:F25" si="0">+D6*E6</f>
        <v>208943.52</v>
      </c>
    </row>
    <row r="7" spans="1:6" x14ac:dyDescent="0.3">
      <c r="A7" s="1" t="s">
        <v>6</v>
      </c>
      <c r="B7" s="7">
        <v>1</v>
      </c>
      <c r="C7" s="7" t="s">
        <v>12</v>
      </c>
      <c r="D7" s="2">
        <v>5.53</v>
      </c>
      <c r="E7" s="17">
        <v>16703</v>
      </c>
      <c r="F7" s="16">
        <f t="shared" si="0"/>
        <v>92367.590000000011</v>
      </c>
    </row>
    <row r="8" spans="1:6" x14ac:dyDescent="0.3">
      <c r="A8" s="1" t="s">
        <v>9</v>
      </c>
      <c r="B8" s="7">
        <v>4</v>
      </c>
      <c r="C8" s="7" t="s">
        <v>11</v>
      </c>
      <c r="D8" s="2">
        <v>26.87</v>
      </c>
      <c r="E8" s="17">
        <v>19443.87</v>
      </c>
      <c r="F8" s="16">
        <f t="shared" si="0"/>
        <v>522456.78690000001</v>
      </c>
    </row>
    <row r="9" spans="1:6" x14ac:dyDescent="0.3">
      <c r="A9" s="1" t="s">
        <v>7</v>
      </c>
      <c r="B9" s="7">
        <v>3</v>
      </c>
      <c r="C9" s="7" t="s">
        <v>11</v>
      </c>
      <c r="D9" s="2">
        <v>8.1999999999999993</v>
      </c>
      <c r="E9" s="17">
        <v>31980</v>
      </c>
      <c r="F9" s="16">
        <f t="shared" si="0"/>
        <v>262236</v>
      </c>
    </row>
    <row r="10" spans="1:6" ht="28.8" x14ac:dyDescent="0.3">
      <c r="A10" s="3" t="s">
        <v>8</v>
      </c>
      <c r="B10" s="7">
        <v>6</v>
      </c>
      <c r="C10" s="7" t="s">
        <v>15</v>
      </c>
      <c r="D10" s="2">
        <v>823.45</v>
      </c>
      <c r="E10" s="17">
        <v>3544.91</v>
      </c>
      <c r="F10" s="16">
        <f t="shared" si="0"/>
        <v>2919056.1395</v>
      </c>
    </row>
    <row r="11" spans="1:6" x14ac:dyDescent="0.3">
      <c r="A11" s="1" t="s">
        <v>10</v>
      </c>
      <c r="B11" s="7">
        <v>1</v>
      </c>
      <c r="C11" s="7" t="s">
        <v>11</v>
      </c>
      <c r="D11" s="2">
        <v>3.38</v>
      </c>
      <c r="E11" s="17">
        <v>553632.84</v>
      </c>
      <c r="F11" s="16">
        <f t="shared" si="0"/>
        <v>1871278.9991999997</v>
      </c>
    </row>
    <row r="12" spans="1:6" x14ac:dyDescent="0.3">
      <c r="A12" s="1" t="s">
        <v>49</v>
      </c>
      <c r="B12" s="7">
        <v>1</v>
      </c>
      <c r="C12" s="7" t="s">
        <v>11</v>
      </c>
      <c r="D12" s="2">
        <v>72</v>
      </c>
      <c r="E12" s="17">
        <v>57542</v>
      </c>
      <c r="F12" s="16">
        <f t="shared" si="0"/>
        <v>4143024</v>
      </c>
    </row>
    <row r="13" spans="1:6" x14ac:dyDescent="0.3">
      <c r="A13" s="4" t="s">
        <v>47</v>
      </c>
      <c r="B13" s="18"/>
      <c r="C13" s="7"/>
      <c r="D13" s="2"/>
      <c r="E13" s="17"/>
      <c r="F13" s="16">
        <f t="shared" si="0"/>
        <v>0</v>
      </c>
    </row>
    <row r="14" spans="1:6" x14ac:dyDescent="0.3">
      <c r="A14" s="19" t="s">
        <v>50</v>
      </c>
      <c r="B14" s="7">
        <v>4</v>
      </c>
      <c r="C14" s="7" t="s">
        <v>15</v>
      </c>
      <c r="D14" s="2">
        <v>449.6</v>
      </c>
      <c r="E14" s="17">
        <v>3544.91</v>
      </c>
      <c r="F14" s="16">
        <f t="shared" si="0"/>
        <v>1593791.5360000001</v>
      </c>
    </row>
    <row r="15" spans="1:6" x14ac:dyDescent="0.3">
      <c r="A15" s="19" t="s">
        <v>51</v>
      </c>
      <c r="B15" s="7">
        <v>4</v>
      </c>
      <c r="C15" s="7" t="s">
        <v>11</v>
      </c>
      <c r="D15" s="2">
        <v>2.5299999999999998</v>
      </c>
      <c r="E15" s="17">
        <v>556735.91</v>
      </c>
      <c r="F15" s="16">
        <f t="shared" si="0"/>
        <v>1408541.8522999999</v>
      </c>
    </row>
    <row r="16" spans="1:6" x14ac:dyDescent="0.3">
      <c r="A16" s="19" t="s">
        <v>52</v>
      </c>
      <c r="B16" s="7">
        <v>2</v>
      </c>
      <c r="C16" s="7" t="s">
        <v>15</v>
      </c>
      <c r="D16" s="2">
        <v>252.72</v>
      </c>
      <c r="E16" s="17">
        <v>3544.91</v>
      </c>
      <c r="F16" s="16">
        <f t="shared" si="0"/>
        <v>895869.65519999992</v>
      </c>
    </row>
    <row r="17" spans="1:6" x14ac:dyDescent="0.3">
      <c r="A17" s="19" t="s">
        <v>53</v>
      </c>
      <c r="B17" s="7">
        <v>10</v>
      </c>
      <c r="C17" s="7" t="s">
        <v>11</v>
      </c>
      <c r="D17" s="2">
        <v>62.1</v>
      </c>
      <c r="E17" s="17">
        <v>79609.27</v>
      </c>
      <c r="F17" s="16">
        <f t="shared" si="0"/>
        <v>4943735.6670000004</v>
      </c>
    </row>
    <row r="18" spans="1:6" x14ac:dyDescent="0.3">
      <c r="A18" s="4" t="s">
        <v>86</v>
      </c>
      <c r="B18" s="7"/>
      <c r="C18" s="7"/>
      <c r="D18" s="2"/>
      <c r="E18" s="17"/>
      <c r="F18" s="16">
        <f t="shared" si="0"/>
        <v>0</v>
      </c>
    </row>
    <row r="19" spans="1:6" x14ac:dyDescent="0.3">
      <c r="A19" s="1" t="s">
        <v>54</v>
      </c>
      <c r="B19" s="7">
        <v>8</v>
      </c>
      <c r="C19" s="7" t="s">
        <v>11</v>
      </c>
      <c r="D19" s="2">
        <v>140.28</v>
      </c>
      <c r="E19" s="17">
        <v>43482.828999999998</v>
      </c>
      <c r="F19" s="16">
        <f t="shared" si="0"/>
        <v>6099771.2521199994</v>
      </c>
    </row>
    <row r="20" spans="1:6" x14ac:dyDescent="0.3">
      <c r="A20" s="1" t="s">
        <v>55</v>
      </c>
      <c r="B20" s="7">
        <v>6</v>
      </c>
      <c r="C20" s="7" t="s">
        <v>11</v>
      </c>
      <c r="D20" s="2">
        <v>195.49</v>
      </c>
      <c r="E20" s="17">
        <v>18417.39</v>
      </c>
      <c r="F20" s="16">
        <f t="shared" si="0"/>
        <v>3600415.5710999998</v>
      </c>
    </row>
    <row r="21" spans="1:6" x14ac:dyDescent="0.3">
      <c r="A21" s="4" t="s">
        <v>48</v>
      </c>
      <c r="B21" s="2"/>
      <c r="C21" s="7"/>
      <c r="D21" s="2"/>
      <c r="E21" s="17"/>
      <c r="F21" s="16">
        <f t="shared" si="0"/>
        <v>0</v>
      </c>
    </row>
    <row r="22" spans="1:6" x14ac:dyDescent="0.3">
      <c r="A22" s="20" t="s">
        <v>56</v>
      </c>
      <c r="B22" s="7">
        <v>3</v>
      </c>
      <c r="C22" s="7" t="s">
        <v>87</v>
      </c>
      <c r="D22" s="2">
        <v>105.6</v>
      </c>
      <c r="E22" s="17">
        <v>44765.599999999999</v>
      </c>
      <c r="F22" s="16">
        <f t="shared" si="0"/>
        <v>4727247.3599999994</v>
      </c>
    </row>
    <row r="23" spans="1:6" x14ac:dyDescent="0.3">
      <c r="A23" s="20" t="s">
        <v>57</v>
      </c>
      <c r="B23" s="7">
        <v>6</v>
      </c>
      <c r="C23" s="7" t="s">
        <v>87</v>
      </c>
      <c r="D23" s="2">
        <v>65.2</v>
      </c>
      <c r="E23" s="17">
        <v>64141.18</v>
      </c>
      <c r="F23" s="16">
        <f t="shared" si="0"/>
        <v>4182004.9360000002</v>
      </c>
    </row>
    <row r="24" spans="1:6" x14ac:dyDescent="0.3">
      <c r="A24" s="20" t="s">
        <v>58</v>
      </c>
      <c r="B24" s="7">
        <v>1</v>
      </c>
      <c r="C24" s="7" t="s">
        <v>87</v>
      </c>
      <c r="D24" s="2">
        <v>12</v>
      </c>
      <c r="E24" s="17">
        <v>80823.399999999994</v>
      </c>
      <c r="F24" s="16">
        <f t="shared" si="0"/>
        <v>969880.79999999993</v>
      </c>
    </row>
    <row r="25" spans="1:6" x14ac:dyDescent="0.3">
      <c r="A25" s="20" t="s">
        <v>59</v>
      </c>
      <c r="B25" s="7">
        <v>1</v>
      </c>
      <c r="C25" s="7" t="s">
        <v>87</v>
      </c>
      <c r="D25" s="2">
        <v>16.2</v>
      </c>
      <c r="E25" s="17">
        <v>31593.39</v>
      </c>
      <c r="F25" s="16">
        <f t="shared" si="0"/>
        <v>511812.91799999995</v>
      </c>
    </row>
    <row r="26" spans="1:6" x14ac:dyDescent="0.3">
      <c r="E26" s="21" t="s">
        <v>88</v>
      </c>
      <c r="F26" s="22">
        <f>SUM(F6:F25)</f>
        <v>38952434.583319992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C08BE9-D49F-4ADC-97C5-03D0D6025C32}">
  <dimension ref="A1:H50"/>
  <sheetViews>
    <sheetView workbookViewId="0">
      <selection activeCell="B7" sqref="B7"/>
    </sheetView>
  </sheetViews>
  <sheetFormatPr baseColWidth="10" defaultRowHeight="14.4" x14ac:dyDescent="0.3"/>
  <cols>
    <col min="1" max="1" width="18.88671875" customWidth="1"/>
    <col min="2" max="2" width="16.21875" customWidth="1"/>
  </cols>
  <sheetData>
    <row r="1" spans="1:8" x14ac:dyDescent="0.3">
      <c r="A1" s="23" t="s">
        <v>60</v>
      </c>
      <c r="B1" s="24"/>
      <c r="C1" s="24"/>
      <c r="D1" s="24"/>
      <c r="E1" s="24"/>
      <c r="F1" s="24"/>
      <c r="G1" s="24"/>
      <c r="H1" s="24"/>
    </row>
    <row r="2" spans="1:8" x14ac:dyDescent="0.3">
      <c r="A2" s="10" t="s">
        <v>16</v>
      </c>
      <c r="B2" s="10" t="s">
        <v>17</v>
      </c>
    </row>
    <row r="3" spans="1:8" ht="28.8" x14ac:dyDescent="0.3">
      <c r="A3" s="9" t="s">
        <v>18</v>
      </c>
      <c r="B3" s="9" t="s">
        <v>19</v>
      </c>
    </row>
    <row r="4" spans="1:8" x14ac:dyDescent="0.3">
      <c r="A4" s="9" t="s">
        <v>20</v>
      </c>
      <c r="B4" s="9" t="s">
        <v>19</v>
      </c>
    </row>
    <row r="5" spans="1:8" x14ac:dyDescent="0.3">
      <c r="A5" s="9" t="s">
        <v>21</v>
      </c>
      <c r="B5" s="9" t="s">
        <v>22</v>
      </c>
    </row>
    <row r="6" spans="1:8" ht="28.8" x14ac:dyDescent="0.3">
      <c r="A6" s="9" t="s">
        <v>23</v>
      </c>
      <c r="B6" s="9" t="s">
        <v>22</v>
      </c>
    </row>
    <row r="7" spans="1:8" ht="28.8" x14ac:dyDescent="0.3">
      <c r="A7" s="9" t="s">
        <v>24</v>
      </c>
      <c r="B7" s="9" t="s">
        <v>25</v>
      </c>
    </row>
    <row r="8" spans="1:8" x14ac:dyDescent="0.3">
      <c r="A8" s="9" t="s">
        <v>26</v>
      </c>
      <c r="B8" s="9" t="s">
        <v>22</v>
      </c>
    </row>
    <row r="9" spans="1:8" ht="28.8" x14ac:dyDescent="0.3">
      <c r="A9" s="9" t="s">
        <v>27</v>
      </c>
      <c r="B9" s="9" t="s">
        <v>25</v>
      </c>
    </row>
    <row r="10" spans="1:8" x14ac:dyDescent="0.3">
      <c r="A10" s="9" t="s">
        <v>28</v>
      </c>
      <c r="B10" s="9" t="s">
        <v>22</v>
      </c>
    </row>
    <row r="11" spans="1:8" x14ac:dyDescent="0.3">
      <c r="A11" s="9" t="s">
        <v>29</v>
      </c>
      <c r="B11" s="9" t="s">
        <v>22</v>
      </c>
    </row>
    <row r="12" spans="1:8" x14ac:dyDescent="0.3">
      <c r="A12" s="9" t="s">
        <v>30</v>
      </c>
      <c r="B12" s="9" t="s">
        <v>22</v>
      </c>
    </row>
    <row r="13" spans="1:8" ht="28.8" x14ac:dyDescent="0.3">
      <c r="A13" s="9" t="s">
        <v>31</v>
      </c>
      <c r="B13" s="9" t="s">
        <v>19</v>
      </c>
    </row>
    <row r="14" spans="1:8" x14ac:dyDescent="0.3">
      <c r="A14" s="9" t="s">
        <v>32</v>
      </c>
      <c r="B14" s="9" t="s">
        <v>22</v>
      </c>
    </row>
    <row r="15" spans="1:8" ht="28.8" x14ac:dyDescent="0.3">
      <c r="A15" s="9" t="s">
        <v>33</v>
      </c>
      <c r="B15" s="9" t="s">
        <v>19</v>
      </c>
    </row>
    <row r="16" spans="1:8" ht="28.8" x14ac:dyDescent="0.3">
      <c r="A16" s="9" t="s">
        <v>34</v>
      </c>
      <c r="B16" s="9" t="s">
        <v>25</v>
      </c>
    </row>
    <row r="17" spans="1:2" x14ac:dyDescent="0.3">
      <c r="A17" s="9" t="s">
        <v>35</v>
      </c>
      <c r="B17" s="9" t="s">
        <v>22</v>
      </c>
    </row>
    <row r="18" spans="1:2" ht="28.8" x14ac:dyDescent="0.3">
      <c r="A18" s="9" t="s">
        <v>36</v>
      </c>
      <c r="B18" s="9" t="s">
        <v>22</v>
      </c>
    </row>
    <row r="19" spans="1:2" x14ac:dyDescent="0.3">
      <c r="A19" s="9" t="s">
        <v>37</v>
      </c>
      <c r="B19" s="9" t="s">
        <v>19</v>
      </c>
    </row>
    <row r="20" spans="1:2" x14ac:dyDescent="0.3">
      <c r="A20" s="9" t="s">
        <v>38</v>
      </c>
      <c r="B20" s="9" t="s">
        <v>19</v>
      </c>
    </row>
    <row r="21" spans="1:2" x14ac:dyDescent="0.3">
      <c r="A21" s="9" t="s">
        <v>39</v>
      </c>
      <c r="B21" s="9" t="s">
        <v>19</v>
      </c>
    </row>
    <row r="22" spans="1:2" x14ac:dyDescent="0.3">
      <c r="A22" s="9" t="s">
        <v>40</v>
      </c>
      <c r="B22" s="9" t="s">
        <v>22</v>
      </c>
    </row>
    <row r="23" spans="1:2" ht="28.8" x14ac:dyDescent="0.3">
      <c r="A23" s="9" t="s">
        <v>41</v>
      </c>
      <c r="B23" s="9" t="s">
        <v>19</v>
      </c>
    </row>
    <row r="24" spans="1:2" ht="28.8" x14ac:dyDescent="0.3">
      <c r="A24" s="9" t="s">
        <v>42</v>
      </c>
      <c r="B24" s="9" t="s">
        <v>19</v>
      </c>
    </row>
    <row r="25" spans="1:2" ht="28.8" x14ac:dyDescent="0.3">
      <c r="A25" s="9" t="s">
        <v>43</v>
      </c>
      <c r="B25" s="9" t="s">
        <v>19</v>
      </c>
    </row>
    <row r="26" spans="1:2" ht="28.8" x14ac:dyDescent="0.3">
      <c r="A26" s="9" t="s">
        <v>44</v>
      </c>
      <c r="B26" s="9" t="s">
        <v>25</v>
      </c>
    </row>
    <row r="27" spans="1:2" x14ac:dyDescent="0.3">
      <c r="A27" s="9" t="s">
        <v>45</v>
      </c>
      <c r="B27" s="9" t="s">
        <v>22</v>
      </c>
    </row>
    <row r="28" spans="1:2" x14ac:dyDescent="0.3">
      <c r="A28" s="9" t="s">
        <v>46</v>
      </c>
      <c r="B28" s="9" t="s">
        <v>22</v>
      </c>
    </row>
    <row r="29" spans="1:2" x14ac:dyDescent="0.3">
      <c r="A29" s="9" t="s">
        <v>61</v>
      </c>
      <c r="B29" s="9" t="s">
        <v>19</v>
      </c>
    </row>
    <row r="30" spans="1:2" x14ac:dyDescent="0.3">
      <c r="A30" s="9" t="s">
        <v>62</v>
      </c>
      <c r="B30" s="9" t="s">
        <v>19</v>
      </c>
    </row>
    <row r="31" spans="1:2" ht="28.8" x14ac:dyDescent="0.3">
      <c r="A31" s="9" t="s">
        <v>63</v>
      </c>
      <c r="B31" s="9" t="s">
        <v>25</v>
      </c>
    </row>
    <row r="32" spans="1:2" ht="28.8" x14ac:dyDescent="0.3">
      <c r="A32" s="9" t="s">
        <v>64</v>
      </c>
      <c r="B32" s="9" t="s">
        <v>19</v>
      </c>
    </row>
    <row r="33" spans="1:2" x14ac:dyDescent="0.3">
      <c r="A33" s="9" t="s">
        <v>65</v>
      </c>
      <c r="B33" s="9" t="s">
        <v>22</v>
      </c>
    </row>
    <row r="34" spans="1:2" x14ac:dyDescent="0.3">
      <c r="A34" s="9" t="s">
        <v>66</v>
      </c>
      <c r="B34" s="9" t="s">
        <v>22</v>
      </c>
    </row>
    <row r="35" spans="1:2" x14ac:dyDescent="0.3">
      <c r="A35" s="9" t="s">
        <v>67</v>
      </c>
      <c r="B35" s="9" t="s">
        <v>22</v>
      </c>
    </row>
    <row r="36" spans="1:2" x14ac:dyDescent="0.3">
      <c r="A36" s="9" t="s">
        <v>68</v>
      </c>
      <c r="B36" s="9" t="s">
        <v>22</v>
      </c>
    </row>
    <row r="37" spans="1:2" x14ac:dyDescent="0.3">
      <c r="A37" s="9" t="s">
        <v>69</v>
      </c>
      <c r="B37" s="9" t="s">
        <v>22</v>
      </c>
    </row>
    <row r="38" spans="1:2" ht="28.8" x14ac:dyDescent="0.3">
      <c r="A38" s="9" t="s">
        <v>70</v>
      </c>
      <c r="B38" s="9" t="s">
        <v>22</v>
      </c>
    </row>
    <row r="39" spans="1:2" x14ac:dyDescent="0.3">
      <c r="A39" s="9" t="s">
        <v>71</v>
      </c>
      <c r="B39" s="9" t="s">
        <v>19</v>
      </c>
    </row>
    <row r="40" spans="1:2" ht="28.8" x14ac:dyDescent="0.3">
      <c r="A40" s="9" t="s">
        <v>72</v>
      </c>
      <c r="B40" s="9" t="s">
        <v>22</v>
      </c>
    </row>
    <row r="41" spans="1:2" ht="28.8" x14ac:dyDescent="0.3">
      <c r="A41" s="9" t="s">
        <v>73</v>
      </c>
      <c r="B41" s="9" t="s">
        <v>25</v>
      </c>
    </row>
    <row r="42" spans="1:2" ht="28.8" x14ac:dyDescent="0.3">
      <c r="A42" s="9" t="s">
        <v>74</v>
      </c>
      <c r="B42" s="9" t="s">
        <v>19</v>
      </c>
    </row>
    <row r="43" spans="1:2" x14ac:dyDescent="0.3">
      <c r="A43" s="9" t="s">
        <v>75</v>
      </c>
      <c r="B43" s="9" t="s">
        <v>19</v>
      </c>
    </row>
    <row r="44" spans="1:2" x14ac:dyDescent="0.3">
      <c r="A44" s="9" t="s">
        <v>76</v>
      </c>
      <c r="B44" s="9" t="s">
        <v>19</v>
      </c>
    </row>
    <row r="45" spans="1:2" ht="28.8" x14ac:dyDescent="0.3">
      <c r="A45" s="9" t="s">
        <v>77</v>
      </c>
      <c r="B45" s="9" t="s">
        <v>22</v>
      </c>
    </row>
    <row r="46" spans="1:2" ht="28.8" x14ac:dyDescent="0.3">
      <c r="A46" s="9" t="s">
        <v>78</v>
      </c>
      <c r="B46" s="9" t="s">
        <v>19</v>
      </c>
    </row>
    <row r="47" spans="1:2" ht="28.8" x14ac:dyDescent="0.3">
      <c r="A47" s="9" t="s">
        <v>79</v>
      </c>
      <c r="B47" s="9" t="s">
        <v>25</v>
      </c>
    </row>
    <row r="48" spans="1:2" ht="28.8" x14ac:dyDescent="0.3">
      <c r="A48" s="9" t="s">
        <v>80</v>
      </c>
      <c r="B48" s="9" t="s">
        <v>25</v>
      </c>
    </row>
    <row r="49" spans="1:2" ht="28.8" x14ac:dyDescent="0.3">
      <c r="A49" s="9" t="s">
        <v>81</v>
      </c>
      <c r="B49" s="9" t="s">
        <v>22</v>
      </c>
    </row>
    <row r="50" spans="1:2" ht="28.8" x14ac:dyDescent="0.3">
      <c r="A50" s="9" t="s">
        <v>82</v>
      </c>
      <c r="B50" s="9" t="s">
        <v>22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PRESUPUESTO</vt:lpstr>
      <vt:lpstr>RECURSOS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giovanni</dc:creator>
  <cp:lastModifiedBy>giovanni</cp:lastModifiedBy>
  <dcterms:created xsi:type="dcterms:W3CDTF">2025-11-02T18:53:07Z</dcterms:created>
  <dcterms:modified xsi:type="dcterms:W3CDTF">2026-07-07T16:50:52Z</dcterms:modified>
</cp:coreProperties>
</file>