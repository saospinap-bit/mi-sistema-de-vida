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4.3.1 Placa-Contrapiso" sheetId="1" state="visible" r:id="rId1"/>
    <sheet name="4.3.3 PLACA CUBIERTA" sheetId="2" state="visible" r:id="rId2"/>
    <sheet name="8.1 PISOS ACABADOS" sheetId="3" state="visible" r:id="rId3"/>
    <sheet name="2.1.1" sheetId="4" state="visible" r:id="rId4"/>
    <sheet name="2.1.2" sheetId="5" state="visible" r:id="rId5"/>
    <sheet name="2.1.3" sheetId="6" state="visible" r:id="rId6"/>
    <sheet name="2.1.4" sheetId="7" state="visible" r:id="rId7"/>
    <sheet name="2.1.6" sheetId="8" state="visible" r:id="rId8"/>
    <sheet name="2.2.1" sheetId="9" state="visible" r:id="rId9"/>
    <sheet name="2.2.2" sheetId="10" state="visible" r:id="rId10"/>
    <sheet name="4.1.1" sheetId="11" state="visible" r:id="rId11"/>
    <sheet name="4.2.1" sheetId="12" state="visible" r:id="rId12"/>
    <sheet name="5.1.1" sheetId="13" state="visible" r:id="rId13"/>
    <sheet name="5.1.2" sheetId="14" state="visible" r:id="rId14"/>
    <sheet name="5.1.4" sheetId="15" state="visible" r:id="rId15"/>
    <sheet name="2.3.1" sheetId="16" state="visible" r:id="rId16"/>
    <sheet name="4.7.1" sheetId="17" state="visible" r:id="rId17"/>
    <sheet name="4.8.1" sheetId="18" state="visible" r:id="rId18"/>
    <sheet name="5.2.1" sheetId="19" state="visible" r:id="rId19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b val="1"/>
      <color theme="1"/>
      <sz val="16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5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6" fillId="3" borderId="0" applyAlignment="1" pivotButton="0" quotePrefix="0" xfId="1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3" borderId="0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0" fillId="0" borderId="13" pivotButton="0" quotePrefix="0" xfId="0"/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tc={8CE0F3AD-3DD1-4B2F-8585-7940D415E403}</author>
  </authors>
  <commentList>
    <comment ref="O18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reduce el espesor de la loza de 0.08; 0.4-0.08=0.32
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E8" sqref="E8:O10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4</v>
      </c>
      <c r="D13" s="38" t="inlineStr">
        <is>
          <t>ESTRUCTURAS EN CONCRETO Y METALICAS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n">
        <v>4</v>
      </c>
      <c r="K13" s="38" t="inlineStr">
        <is>
          <t>Placa de concretocontrapiso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Placa de concreto contrapiso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>
        <f>N17*O17*P17*Q17</f>
        <v>21.620749999999997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21.620749999999997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37" workbookViewId="0">
      <selection activeCell="B51" sqref="B51:D53"/>
    </sheetView>
  </sheetViews>
  <sheetFormatPr baseColWidth="10" defaultColWidth="8.8984375" defaultRowHeight="13.8"/>
  <cols>
    <col width="9.09765625" customWidth="1" min="1" max="1"/>
    <col width="11" customWidth="1" min="2" max="2"/>
    <col width="10.296875" customWidth="1" min="11" max="11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4</v>
      </c>
      <c r="D13" s="38" t="inlineStr">
        <is>
          <t>ESTRUCTURAS EN CONCRETO Y METALICAS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4.3.3.1</t>
        </is>
      </c>
      <c r="K13" s="38" t="inlineStr">
        <is>
          <t xml:space="preserve">Placas de Cubierta en Concreto 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Placa de cubierta</t>
        </is>
      </c>
      <c r="L17" s="42" t="n"/>
      <c r="M17" s="43" t="n"/>
      <c r="N17" s="39" t="n">
        <v>7.3</v>
      </c>
      <c r="O17" s="39" t="n">
        <v>0.08</v>
      </c>
      <c r="P17" s="39">
        <f>5.55+6.1+(6.87)</f>
        <v>18.52</v>
      </c>
      <c r="Q17" s="39" t="n">
        <v>1</v>
      </c>
      <c r="R17" s="39">
        <f>N17*O17*P17*Q17</f>
        <v>10.815679999999999</v>
      </c>
      <c r="S17" s="9" t="n"/>
    </row>
    <row r="18" ht="15.6" customHeight="1">
      <c r="A18" s="8" t="n"/>
      <c r="B18" s="44" t="n"/>
      <c r="J18" s="45" t="n"/>
      <c r="K18" s="38" t="inlineStr">
        <is>
          <t>Vigueta</t>
        </is>
      </c>
      <c r="L18" s="42" t="n"/>
      <c r="M18" s="43" t="n"/>
      <c r="N18" s="39" t="n">
        <v>0.2</v>
      </c>
      <c r="O18" s="39" t="n">
        <v>0.32</v>
      </c>
      <c r="P18" s="39">
        <f>5.55+6.1+(6.87)</f>
        <v>18.52</v>
      </c>
      <c r="Q18" s="39" t="n">
        <v>6</v>
      </c>
      <c r="R18" s="39">
        <f>N18*O18*P18*Q18</f>
        <v>7.11168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17.92736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B51" s="32" t="n"/>
      <c r="C51" s="40" t="n"/>
      <c r="D51" s="40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B52" s="21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B53" s="37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F55" sqref="F55"/>
    </sheetView>
  </sheetViews>
  <sheetFormatPr baseColWidth="10" defaultRowHeight="13.8"/>
  <cols>
    <col width="14.3984375" customWidth="1" min="14" max="14"/>
    <col width="9.09765625" bestFit="1" customWidth="1" min="15" max="15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NOV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8.1</v>
      </c>
      <c r="D13" s="38" t="inlineStr">
        <is>
          <t>PISOS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8,1,1</t>
        </is>
      </c>
      <c r="K13" s="38" t="inlineStr">
        <is>
          <t>ADOQUIN EN CONCRETO 0.20*0.10*0.06 M SUMINISTRO E INSTALACION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Area (m2)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Area 1</t>
        </is>
      </c>
      <c r="L17" s="42" t="n"/>
      <c r="M17" s="43" t="n"/>
      <c r="N17" s="39" t="n">
        <v>18.62</v>
      </c>
      <c r="O17" s="39" t="n"/>
      <c r="P17" s="39" t="n"/>
      <c r="Q17" s="39" t="n">
        <v>1</v>
      </c>
      <c r="R17" s="39">
        <f>+N17*Q17</f>
        <v>18.62</v>
      </c>
      <c r="S17" s="9" t="n"/>
    </row>
    <row r="18" ht="15.6" customHeight="1">
      <c r="A18" s="8" t="n"/>
      <c r="B18" s="44" t="n"/>
      <c r="J18" s="45" t="n"/>
      <c r="K18" s="38" t="inlineStr">
        <is>
          <t>Area 2</t>
        </is>
      </c>
      <c r="L18" s="42" t="n"/>
      <c r="M18" s="43" t="n"/>
      <c r="N18" s="39" t="n">
        <v>17.49</v>
      </c>
      <c r="O18" s="39" t="n"/>
      <c r="P18" s="39" t="n"/>
      <c r="Q18" s="39" t="n">
        <v>1</v>
      </c>
      <c r="R18" s="39">
        <f>+N18*Q18</f>
        <v>17.49</v>
      </c>
      <c r="S18" s="9" t="n"/>
    </row>
    <row r="19" ht="15.6" customHeight="1">
      <c r="A19" s="8" t="n"/>
      <c r="B19" s="44" t="n"/>
      <c r="J19" s="45" t="n"/>
      <c r="K19" s="38" t="inlineStr">
        <is>
          <t>Area 3</t>
        </is>
      </c>
      <c r="L19" s="42" t="n"/>
      <c r="M19" s="43" t="n"/>
      <c r="N19" s="39" t="n">
        <v>22.25</v>
      </c>
      <c r="O19" s="39" t="n"/>
      <c r="P19" s="39" t="n"/>
      <c r="Q19" s="39" t="n">
        <v>1</v>
      </c>
      <c r="R19" s="39">
        <f>+N19*Q19</f>
        <v>22.25</v>
      </c>
      <c r="S19" s="9" t="n"/>
    </row>
    <row r="20" ht="15.6" customHeight="1">
      <c r="A20" s="8" t="n"/>
      <c r="B20" s="44" t="n"/>
      <c r="J20" s="45" t="n"/>
      <c r="K20" s="38" t="inlineStr">
        <is>
          <t>Area 4</t>
        </is>
      </c>
      <c r="L20" s="42" t="n"/>
      <c r="M20" s="43" t="n"/>
      <c r="N20" s="39" t="n">
        <v>7.76</v>
      </c>
      <c r="O20" s="39" t="n"/>
      <c r="P20" s="39" t="n"/>
      <c r="Q20" s="39" t="n">
        <v>1</v>
      </c>
      <c r="R20" s="39">
        <f>+N20*Q20</f>
        <v>7.76</v>
      </c>
      <c r="S20" s="9" t="n"/>
    </row>
    <row r="21" ht="15.6" customHeight="1">
      <c r="A21" s="8" t="n"/>
      <c r="B21" s="44" t="n"/>
      <c r="J21" s="45" t="n"/>
      <c r="K21" s="38" t="inlineStr">
        <is>
          <t>Area 5</t>
        </is>
      </c>
      <c r="L21" s="42" t="n"/>
      <c r="M21" s="43" t="n"/>
      <c r="N21" s="39" t="n">
        <v>14.6</v>
      </c>
      <c r="O21" s="39" t="n"/>
      <c r="P21" s="39" t="n"/>
      <c r="Q21" s="39" t="n">
        <v>1</v>
      </c>
      <c r="R21" s="39">
        <f>+N21*Q21</f>
        <v>14.6</v>
      </c>
      <c r="S21" s="9" t="n"/>
    </row>
    <row r="22" ht="15.6" customHeight="1">
      <c r="A22" s="8" t="n"/>
      <c r="B22" s="44" t="n"/>
      <c r="J22" s="45" t="n"/>
      <c r="K22" s="38" t="inlineStr">
        <is>
          <t>Area 6</t>
        </is>
      </c>
      <c r="L22" s="42" t="n"/>
      <c r="M22" s="43" t="n"/>
      <c r="N22" s="39" t="n">
        <v>15</v>
      </c>
      <c r="O22" s="39" t="n"/>
      <c r="P22" s="39" t="n"/>
      <c r="Q22" s="39" t="n">
        <v>1</v>
      </c>
      <c r="R22" s="39">
        <f>+N22*Q22</f>
        <v>15.0</v>
      </c>
      <c r="S22" s="9" t="n"/>
    </row>
    <row r="23" ht="15.6" customHeight="1">
      <c r="A23" s="8" t="n"/>
      <c r="B23" s="44" t="n"/>
      <c r="J23" s="45" t="n"/>
      <c r="K23" s="38" t="inlineStr">
        <is>
          <t>Area 7</t>
        </is>
      </c>
      <c r="L23" s="42" t="n"/>
      <c r="M23" s="43" t="n"/>
      <c r="N23" s="39" t="n">
        <v>1.91</v>
      </c>
      <c r="O23" s="39" t="n"/>
      <c r="P23" s="39" t="n"/>
      <c r="Q23" s="39" t="n">
        <v>1</v>
      </c>
      <c r="R23" s="39">
        <f>+N23*Q23</f>
        <v>1.91</v>
      </c>
      <c r="S23" s="9" t="n"/>
    </row>
    <row r="24" ht="15.6" customHeight="1">
      <c r="A24" s="8" t="n"/>
      <c r="B24" s="44" t="n"/>
      <c r="J24" s="45" t="n"/>
      <c r="K24" s="38" t="inlineStr">
        <is>
          <t>Area 8</t>
        </is>
      </c>
      <c r="L24" s="42" t="n"/>
      <c r="M24" s="43" t="n"/>
      <c r="N24" s="39" t="n">
        <v>1.91</v>
      </c>
      <c r="O24" s="39" t="n"/>
      <c r="P24" s="39" t="n"/>
      <c r="Q24" s="39" t="n">
        <v>1</v>
      </c>
      <c r="R24" s="39">
        <f>+N24*Q24</f>
        <v>1.91</v>
      </c>
      <c r="S24" s="9" t="n"/>
    </row>
    <row r="25" ht="15.6" customHeight="1">
      <c r="A25" s="8" t="n"/>
      <c r="B25" s="44" t="n"/>
      <c r="J25" s="45" t="n"/>
      <c r="K25" s="38" t="inlineStr">
        <is>
          <t>Area 9</t>
        </is>
      </c>
      <c r="L25" s="42" t="n"/>
      <c r="M25" s="43" t="n"/>
      <c r="N25" s="39" t="n">
        <v>15.76</v>
      </c>
      <c r="O25" s="39" t="n"/>
      <c r="P25" s="39" t="n"/>
      <c r="Q25" s="39" t="n">
        <v>1</v>
      </c>
      <c r="R25" s="39">
        <f>+N25*Q25</f>
        <v>15.76</v>
      </c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115.30000000000001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B51" s="32" t="n"/>
      <c r="C51" s="40" t="n"/>
      <c r="D51" s="40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B52" s="21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B53" s="37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2.1.1</t>
        </is>
      </c>
      <c r="K13" s="38" t="inlineStr">
        <is>
          <t>Excavacion a maquina conglomerado 0-2m (incl. retiro)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Excavacion masiva plataforma</t>
        </is>
      </c>
      <c r="L17" s="42" t="n"/>
      <c r="M17" s="43" t="n"/>
      <c r="N17" s="39" t="n">
        <v>9.85</v>
      </c>
      <c r="O17" s="39" t="n">
        <v>0.55</v>
      </c>
      <c r="P17" s="39" t="n">
        <v>21.95</v>
      </c>
      <c r="Q17" s="39" t="n">
        <v>1</v>
      </c>
      <c r="R17" s="39">
        <f>N17*O17*P17*Q17</f>
        <v>118.914125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118.914125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2.1.2</t>
        </is>
      </c>
      <c r="K13" s="38" t="inlineStr">
        <is>
          <t>Relleno granular subbase B-400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Capa subbase bajo placa e=0.15</t>
        </is>
      </c>
      <c r="L17" s="42" t="n"/>
      <c r="M17" s="43" t="n"/>
      <c r="N17" s="39" t="n">
        <v>9.85</v>
      </c>
      <c r="O17" s="39" t="n">
        <v>0.15</v>
      </c>
      <c r="P17" s="39" t="n">
        <v>21.95</v>
      </c>
      <c r="Q17" s="39" t="n">
        <v>1</v>
      </c>
      <c r="R17" s="39">
        <f>N17*O17*P17*Q17</f>
        <v>32.431124999999994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32.431124999999994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2.1.3</t>
        </is>
      </c>
      <c r="K13" s="38" t="inlineStr">
        <is>
          <t>Excavacion manual material comun 0-2m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Zanjas vigas long. A,B</t>
        </is>
      </c>
      <c r="L17" s="42" t="n"/>
      <c r="M17" s="43" t="n"/>
      <c r="N17" s="39" t="n">
        <v>0.4</v>
      </c>
      <c r="O17" s="39" t="n">
        <v>0.4</v>
      </c>
      <c r="P17" s="39" t="n">
        <v>19.8</v>
      </c>
      <c r="Q17" s="39" t="n">
        <v>2</v>
      </c>
      <c r="R17" s="39">
        <f>N17*O17*P17*Q17</f>
        <v>6.336000000000001</v>
      </c>
      <c r="S17" s="9" t="n"/>
    </row>
    <row r="18" ht="15.6" customHeight="1">
      <c r="A18" s="8" t="n"/>
      <c r="B18" s="44" t="n"/>
      <c r="J18" s="45" t="n"/>
      <c r="K18" s="38" t="inlineStr">
        <is>
          <t>Zanjas vigas transv. (luz libre)</t>
        </is>
      </c>
      <c r="L18" s="42" t="n"/>
      <c r="M18" s="43" t="n"/>
      <c r="N18" s="39" t="n">
        <v>0.4</v>
      </c>
      <c r="O18" s="39" t="n">
        <v>0.4</v>
      </c>
      <c r="P18" s="39" t="n">
        <v>7.3</v>
      </c>
      <c r="Q18" s="39" t="n">
        <v>5</v>
      </c>
      <c r="R18" s="39">
        <f>N18*O18*P18*Q18</f>
        <v>5.840000000000001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12.176000000000002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2.1.4</t>
        </is>
      </c>
      <c r="K13" s="38" t="inlineStr">
        <is>
          <t>Relleno material comun (recebo)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Relleno nivelacion bajo placa e=0.20</t>
        </is>
      </c>
      <c r="L17" s="42" t="n"/>
      <c r="M17" s="43" t="n"/>
      <c r="N17" s="39" t="n">
        <v>9.85</v>
      </c>
      <c r="O17" s="39" t="n">
        <v>0.2</v>
      </c>
      <c r="P17" s="39" t="n">
        <v>21.95</v>
      </c>
      <c r="Q17" s="39" t="n">
        <v>1</v>
      </c>
      <c r="R17" s="39">
        <f>N17*O17*P17*Q17</f>
        <v>43.241499999999995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43.241499999999995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2.1.6</t>
        </is>
      </c>
      <c r="K13" s="38" t="inlineStr">
        <is>
          <t>Geotextil NT 1600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Geotextil bajo placa</t>
        </is>
      </c>
      <c r="L17" s="42" t="n"/>
      <c r="M17" s="43" t="n"/>
      <c r="N17" s="39" t="n">
        <v>9.85</v>
      </c>
      <c r="O17" s="39" t="n">
        <v>1</v>
      </c>
      <c r="P17" s="39" t="n">
        <v>21.95</v>
      </c>
      <c r="Q17" s="39" t="n">
        <v>1</v>
      </c>
      <c r="R17" s="39">
        <f>N17*O17*P17*Q17</f>
        <v>216.20749999999998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216.20749999999998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2.2.1</t>
        </is>
      </c>
      <c r="K13" s="38" t="inlineStr">
        <is>
          <t>Vigas de cimentacion concreto 3000psi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Vigas long. VC-A,VC-B (40x45)</t>
        </is>
      </c>
      <c r="L17" s="42" t="n"/>
      <c r="M17" s="43" t="n"/>
      <c r="N17" s="39" t="n">
        <v>0.4</v>
      </c>
      <c r="O17" s="39" t="n">
        <v>0.45</v>
      </c>
      <c r="P17" s="39" t="n">
        <v>19.8</v>
      </c>
      <c r="Q17" s="39" t="n">
        <v>2</v>
      </c>
      <c r="R17" s="39">
        <f>N17*O17*P17*Q17</f>
        <v>7.128000000000001</v>
      </c>
      <c r="S17" s="9" t="n"/>
    </row>
    <row r="18" ht="15.6" customHeight="1">
      <c r="A18" s="8" t="n"/>
      <c r="B18" s="44" t="n"/>
      <c r="J18" s="45" t="n"/>
      <c r="K18" s="38" t="inlineStr">
        <is>
          <t>Vigas transv. VC-1..4 (luz libre)</t>
        </is>
      </c>
      <c r="L18" s="42" t="n"/>
      <c r="M18" s="43" t="n"/>
      <c r="N18" s="39" t="n">
        <v>0.4</v>
      </c>
      <c r="O18" s="39" t="n">
        <v>0.45</v>
      </c>
      <c r="P18" s="39" t="n">
        <v>7.3</v>
      </c>
      <c r="Q18" s="39" t="n">
        <v>5</v>
      </c>
      <c r="R18" s="39">
        <f>N18*O18*P18*Q18</f>
        <v>6.57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13.698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2.2.2</t>
        </is>
      </c>
      <c r="K13" s="38" t="inlineStr">
        <is>
          <t>Concreto 1500psi solado e=0.05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Solado bajo vigas long.</t>
        </is>
      </c>
      <c r="L17" s="42" t="n"/>
      <c r="M17" s="43" t="n"/>
      <c r="N17" s="39" t="n">
        <v>0.5</v>
      </c>
      <c r="O17" s="39" t="n">
        <v>1</v>
      </c>
      <c r="P17" s="39" t="n">
        <v>19.8</v>
      </c>
      <c r="Q17" s="39" t="n">
        <v>2</v>
      </c>
      <c r="R17" s="39">
        <f>N17*O17*P17*Q17</f>
        <v>19.8</v>
      </c>
      <c r="S17" s="9" t="n"/>
    </row>
    <row r="18" ht="15.6" customHeight="1">
      <c r="A18" s="8" t="n"/>
      <c r="B18" s="44" t="n"/>
      <c r="J18" s="45" t="n"/>
      <c r="K18" s="38" t="inlineStr">
        <is>
          <t>Solado bajo vigas transv.</t>
        </is>
      </c>
      <c r="L18" s="42" t="n"/>
      <c r="M18" s="43" t="n"/>
      <c r="N18" s="39" t="n">
        <v>0.5</v>
      </c>
      <c r="O18" s="39" t="n">
        <v>1</v>
      </c>
      <c r="P18" s="39" t="n">
        <v>7.3</v>
      </c>
      <c r="Q18" s="39" t="n">
        <v>5</v>
      </c>
      <c r="R18" s="39">
        <f>N18*O18*P18*Q18</f>
        <v>18.25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38.05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ESTRUCTURA EN CONCRETO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4.1.1</t>
        </is>
      </c>
      <c r="K13" s="38" t="inlineStr">
        <is>
          <t>Columnas concreto 3000psi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Columnas 0.40x0.40 h=4.90 (10 und)</t>
        </is>
      </c>
      <c r="L17" s="42" t="n"/>
      <c r="M17" s="43" t="n"/>
      <c r="N17" s="39" t="n">
        <v>0.4</v>
      </c>
      <c r="O17" s="39" t="n">
        <v>0.4</v>
      </c>
      <c r="P17" s="39" t="n">
        <v>4.9</v>
      </c>
      <c r="Q17" s="39" t="n">
        <v>10</v>
      </c>
      <c r="R17" s="39">
        <f>N17*O17*P17*Q17</f>
        <v>7.8400000000000025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7.8400000000000025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ESTRUCTURA EN CONCRETO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4.2.1</t>
        </is>
      </c>
      <c r="K13" s="38" t="inlineStr">
        <is>
          <t>Concreto 3000psi viga cubierta/cinta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Vigas long. (40x50)</t>
        </is>
      </c>
      <c r="L17" s="42" t="n"/>
      <c r="M17" s="43" t="n"/>
      <c r="N17" s="39" t="n">
        <v>0.4</v>
      </c>
      <c r="O17" s="39" t="n">
        <v>0.5</v>
      </c>
      <c r="P17" s="39" t="n">
        <v>19.8</v>
      </c>
      <c r="Q17" s="39" t="n">
        <v>2</v>
      </c>
      <c r="R17" s="39">
        <f>N17*O17*P17*Q17</f>
        <v>7.920000000000001</v>
      </c>
      <c r="S17" s="9" t="n"/>
    </row>
    <row r="18" ht="15.6" customHeight="1">
      <c r="A18" s="8" t="n"/>
      <c r="B18" s="44" t="n"/>
      <c r="J18" s="45" t="n"/>
      <c r="K18" s="38" t="inlineStr">
        <is>
          <t>Vigas transv. (luz libre)</t>
        </is>
      </c>
      <c r="L18" s="42" t="n"/>
      <c r="M18" s="43" t="n"/>
      <c r="N18" s="39" t="n">
        <v>0.4</v>
      </c>
      <c r="O18" s="39" t="n">
        <v>0.5</v>
      </c>
      <c r="P18" s="39" t="n">
        <v>7.3</v>
      </c>
      <c r="Q18" s="39" t="n">
        <v>5</v>
      </c>
      <c r="R18" s="39">
        <f>N18*O18*P18*Q18</f>
        <v>7.3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15.22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5.1.1</t>
        </is>
      </c>
      <c r="K13" s="38" t="inlineStr">
        <is>
          <t>Muros bloque hueco No.4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Area bruta muros (L=173.60 x H=2.90)</t>
        </is>
      </c>
      <c r="L17" s="42" t="n"/>
      <c r="M17" s="43" t="n"/>
      <c r="N17" s="39" t="n">
        <v>173.6</v>
      </c>
      <c r="O17" s="39" t="n">
        <v>1</v>
      </c>
      <c r="P17" s="39" t="n">
        <v>2.9</v>
      </c>
      <c r="Q17" s="39" t="n">
        <v>1</v>
      </c>
      <c r="R17" s="39">
        <f>N17*O17*P17*Q17</f>
        <v>503.43999999999994</v>
      </c>
      <c r="S17" s="9" t="n"/>
    </row>
    <row r="18" ht="15.6" customHeight="1">
      <c r="A18" s="8" t="n"/>
      <c r="B18" s="44" t="n"/>
      <c r="J18" s="45" t="n"/>
      <c r="K18" s="38" t="inlineStr">
        <is>
          <t>Descuento vanos 20%</t>
        </is>
      </c>
      <c r="L18" s="42" t="n"/>
      <c r="M18" s="43" t="n"/>
      <c r="N18" s="39" t="n">
        <v>173.6</v>
      </c>
      <c r="O18" s="39" t="n">
        <v>1</v>
      </c>
      <c r="P18" s="39" t="n">
        <v>2.9</v>
      </c>
      <c r="Q18" s="39" t="n">
        <v>-0.2</v>
      </c>
      <c r="R18" s="39">
        <f>N18*O18*P18*Q18</f>
        <v>-100.68799999999999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402.75199999999995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5.1.2</t>
        </is>
      </c>
      <c r="K13" s="38" t="inlineStr">
        <is>
          <t>Columneta de confinamiento No.5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ML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Columnetas c/3m (58 und x H=2.90)</t>
        </is>
      </c>
      <c r="L17" s="42" t="n"/>
      <c r="M17" s="43" t="n"/>
      <c r="N17" s="39" t="n">
        <v>1</v>
      </c>
      <c r="O17" s="39" t="n">
        <v>1</v>
      </c>
      <c r="P17" s="39" t="n">
        <v>2.9</v>
      </c>
      <c r="Q17" s="39" t="n">
        <v>58</v>
      </c>
      <c r="R17" s="39">
        <f>N17*O17*P17*Q17</f>
        <v>168.2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168.2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5.1.4</t>
        </is>
      </c>
      <c r="K13" s="38" t="inlineStr">
        <is>
          <t>Panete liso impermeabilizado 1:4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Panete 65% del area de muro</t>
        </is>
      </c>
      <c r="L17" s="42" t="n"/>
      <c r="M17" s="43" t="n"/>
      <c r="N17" s="39" t="n">
        <v>402.75</v>
      </c>
      <c r="O17" s="39" t="n">
        <v>1</v>
      </c>
      <c r="P17" s="39" t="n">
        <v>0.65</v>
      </c>
      <c r="Q17" s="39" t="n">
        <v>1</v>
      </c>
      <c r="R17" s="39">
        <f>N17*O17*P17*Q17</f>
        <v>261.7875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261.7875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2.3.1</t>
        </is>
      </c>
      <c r="K13" s="38" t="inlineStr">
        <is>
          <t>Acero figurado vigas de cimentacion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3#6+3#5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864.6</v>
      </c>
      <c r="S17" s="9" t="n"/>
    </row>
    <row r="18" ht="15.6" customHeight="1">
      <c r="A18" s="8" t="n"/>
      <c r="B18" s="44" t="n"/>
      <c r="J18" s="45" t="n"/>
      <c r="K18" s="38" t="inlineStr">
        <is>
          <t>Estribos #3 c/0.20 (kg)</t>
        </is>
      </c>
      <c r="L18" s="42" t="n"/>
      <c r="M18" s="43" t="n"/>
      <c r="N18" s="39" t="n"/>
      <c r="O18" s="39" t="n"/>
      <c r="P18" s="39" t="n"/>
      <c r="Q18" s="39" t="n"/>
      <c r="R18" s="39" t="n">
        <v>319.6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1184.2</v>
      </c>
      <c r="S19" s="9" t="n"/>
    </row>
    <row r="20" ht="15.6" customHeight="1">
      <c r="A20" s="8" t="n"/>
      <c r="B20" s="44" t="n"/>
      <c r="J20" s="45" t="n"/>
      <c r="K20" s="38" t="inlineStr">
        <is>
          <t>Con 10% desperd/traslapo (kg)</t>
        </is>
      </c>
      <c r="L20" s="42" t="n"/>
      <c r="M20" s="43" t="n"/>
      <c r="N20" s="39" t="n"/>
      <c r="O20" s="39" t="n"/>
      <c r="P20" s="39" t="n"/>
      <c r="Q20" s="39" t="n"/>
      <c r="R20" s="39" t="n">
        <v>1302.6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1302.6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4.7.1</t>
        </is>
      </c>
      <c r="K13" s="38" t="inlineStr">
        <is>
          <t>Acero figurado columnas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10col x (2#6+2#7) L=5.95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628</v>
      </c>
      <c r="S17" s="9" t="n"/>
    </row>
    <row r="18" ht="15.6" customHeight="1">
      <c r="A18" s="8" t="n"/>
      <c r="B18" s="44" t="n"/>
      <c r="J18" s="45" t="n"/>
      <c r="K18" s="38" t="inlineStr">
        <is>
          <t>Estribos #2 c/0.20 (kg)</t>
        </is>
      </c>
      <c r="L18" s="42" t="n"/>
      <c r="M18" s="43" t="n"/>
      <c r="N18" s="39" t="n"/>
      <c r="O18" s="39" t="n"/>
      <c r="P18" s="39" t="n"/>
      <c r="Q18" s="39" t="n"/>
      <c r="R18" s="39" t="n">
        <v>91.90000000000001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719.8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791.8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791.8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4.8.1</t>
        </is>
      </c>
      <c r="K13" s="38" t="inlineStr">
        <is>
          <t>Acero figurado vigas de cubierta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2#6+2#7+2#6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1143.3</v>
      </c>
      <c r="S17" s="9" t="n"/>
    </row>
    <row r="18" ht="15.6" customHeight="1">
      <c r="A18" s="8" t="n"/>
      <c r="B18" s="44" t="n"/>
      <c r="J18" s="45" t="n"/>
      <c r="K18" s="38" t="inlineStr">
        <is>
          <t>Estribos #3 c/0.15 (kg)</t>
        </is>
      </c>
      <c r="L18" s="42" t="n"/>
      <c r="M18" s="43" t="n"/>
      <c r="N18" s="39" t="n"/>
      <c r="O18" s="39" t="n"/>
      <c r="P18" s="39" t="n"/>
      <c r="Q18" s="39" t="n"/>
      <c r="R18" s="39" t="n">
        <v>454.6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1597.9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1757.7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1757.7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5.2.1</t>
        </is>
      </c>
      <c r="K13" s="38" t="inlineStr">
        <is>
          <t>Acero mamposteria confinada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4#3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376.8</v>
      </c>
      <c r="S17" s="9" t="n"/>
    </row>
    <row r="18" ht="15.6" customHeight="1">
      <c r="A18" s="8" t="n"/>
      <c r="B18" s="44" t="n"/>
      <c r="J18" s="45" t="n"/>
      <c r="K18" s="38" t="inlineStr">
        <is>
          <t>Estribos #2 c/0.20 (kg)</t>
        </is>
      </c>
      <c r="L18" s="42" t="n"/>
      <c r="M18" s="43" t="n"/>
      <c r="N18" s="39" t="n"/>
      <c r="O18" s="39" t="n"/>
      <c r="P18" s="39" t="n"/>
      <c r="Q18" s="39" t="n"/>
      <c r="R18" s="39" t="n">
        <v>105.1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481.9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530.1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530.1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Felipe  Sánchez Cortés</dc:creator>
  <dcterms:created xsi:type="dcterms:W3CDTF">2025-10-01T01:21:45Z</dcterms:created>
  <dcterms:modified xsi:type="dcterms:W3CDTF">2026-06-24T14:48:48Z</dcterms:modified>
  <cp:lastModifiedBy>giovanni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0x010100C520D7DB58D1DD4A9D98E00F2F38DC39</vt:lpwstr>
  </property>
</Properties>
</file>