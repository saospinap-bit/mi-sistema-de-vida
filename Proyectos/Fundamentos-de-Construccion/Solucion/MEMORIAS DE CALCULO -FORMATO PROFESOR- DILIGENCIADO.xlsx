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4.3.1 Placa-Contrapiso" sheetId="1" state="visible" r:id="rId1"/>
    <sheet name="4.3.3 PLACA CUBIERTA" sheetId="2" state="visible" r:id="rId2"/>
    <sheet name="8.1 PISOS ACABADOS" sheetId="3" state="visible" r:id="rId3"/>
    <sheet name="2.1.1" sheetId="4" state="visible" r:id="rId4"/>
    <sheet name="2.1.2" sheetId="5" state="visible" r:id="rId5"/>
    <sheet name="2.1.3" sheetId="6" state="visible" r:id="rId6"/>
    <sheet name="2.1.4" sheetId="7" state="visible" r:id="rId7"/>
    <sheet name="2.1.6" sheetId="8" state="visible" r:id="rId8"/>
    <sheet name="2.2.1" sheetId="9" state="visible" r:id="rId9"/>
    <sheet name="2.2.2" sheetId="10" state="visible" r:id="rId10"/>
    <sheet name="4.1.1" sheetId="11" state="visible" r:id="rId11"/>
    <sheet name="4.2.1" sheetId="12" state="visible" r:id="rId12"/>
    <sheet name="5.1.1" sheetId="13" state="visible" r:id="rId13"/>
    <sheet name="5.1.2" sheetId="14" state="visible" r:id="rId14"/>
    <sheet name="5.1.4" sheetId="15" state="visible" r:id="rId15"/>
    <sheet name="2.3.1" sheetId="16" state="visible" r:id="rId16"/>
    <sheet name="4.7.1" sheetId="17" state="visible" r:id="rId17"/>
    <sheet name="4.8.1" sheetId="18" state="visible" r:id="rId18"/>
    <sheet name="5.2.1" sheetId="19" state="visible" r:id="rId1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Tenorite"/>
      <color theme="1"/>
      <sz val="12"/>
    </font>
    <font>
      <name val="Tenorite"/>
      <b val="1"/>
      <color theme="1"/>
      <sz val="12"/>
    </font>
    <font>
      <name val="Tenorite"/>
      <b val="1"/>
      <color theme="1"/>
      <sz val="16"/>
    </font>
    <font>
      <name val="Tenorite"/>
      <color theme="1"/>
      <sz val="16"/>
    </font>
    <font>
      <name val="Tenorite"/>
      <b val="1"/>
      <color theme="1"/>
      <sz val="22"/>
    </font>
    <font>
      <name val="Aptos Narrow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3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3" borderId="4" applyAlignment="1" pivotButton="0" quotePrefix="0" xfId="0">
      <alignment horizontal="left" vertical="center"/>
    </xf>
    <xf numFmtId="2" fontId="1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6" fillId="3" borderId="0" applyAlignment="1" pivotButton="0" quotePrefix="0" xfId="1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3" borderId="0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13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tc={8CE0F3AD-3DD1-4B2F-8585-7940D415E403}</author>
  </authors>
  <commentList>
    <comment ref="O18" authorId="0" shapeId="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reduce el espesor de la loza de 0.08; 0.4-0.08=0.32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tabSelected="1" workbookViewId="0">
      <selection activeCell="E8" sqref="E8:O10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n">
        <v>4</v>
      </c>
      <c r="D13" s="38" t="inlineStr">
        <is>
          <t>ESTRUCTURAS EN CONCRETO Y METALICAS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n">
        <v>4</v>
      </c>
      <c r="K13" s="38" t="inlineStr">
        <is>
          <t>Placa de concretocontrapiso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M3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Placa de concreto contrapiso</t>
        </is>
      </c>
      <c r="L17" s="42" t="n"/>
      <c r="M17" s="43" t="n"/>
      <c r="N17" s="39" t="n">
        <v>9.85</v>
      </c>
      <c r="O17" s="39" t="n">
        <v>0.1</v>
      </c>
      <c r="P17" s="39" t="n">
        <v>21.95</v>
      </c>
      <c r="Q17" s="39" t="n">
        <v>1</v>
      </c>
      <c r="R17" s="39">
        <f>N17*O17*P17*Q17</f>
        <v>21.620749999999997</v>
      </c>
      <c r="S17" s="9" t="n"/>
    </row>
    <row r="18" ht="15.6" customHeight="1">
      <c r="A18" s="8" t="n"/>
      <c r="B18" s="44" t="n"/>
      <c r="J18" s="45" t="n"/>
      <c r="K18" s="38" t="n"/>
      <c r="L18" s="42" t="n"/>
      <c r="M18" s="43" t="n"/>
      <c r="N18" s="39" t="n"/>
      <c r="O18" s="39" t="n"/>
      <c r="P18" s="39" t="n"/>
      <c r="Q18" s="39" t="n"/>
      <c r="R18" s="39" t="n"/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21.620749999999997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topLeftCell="A37" workbookViewId="0">
      <selection activeCell="B51" sqref="B51:D53"/>
    </sheetView>
  </sheetViews>
  <sheetFormatPr baseColWidth="10" defaultColWidth="8.8984375" defaultRowHeight="13.8"/>
  <cols>
    <col width="9.09765625" customWidth="1" min="1" max="1"/>
    <col width="11" customWidth="1" min="2" max="2"/>
    <col width="10.296875" customWidth="1" min="11" max="11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n">
        <v>4</v>
      </c>
      <c r="D13" s="38" t="inlineStr">
        <is>
          <t>ESTRUCTURAS EN CONCRETO Y METALICAS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4.3.3.1</t>
        </is>
      </c>
      <c r="K13" s="38" t="inlineStr">
        <is>
          <t xml:space="preserve">Placas de Cubierta en Concreto 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M2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Placa de cubierta</t>
        </is>
      </c>
      <c r="L17" s="42" t="n"/>
      <c r="M17" s="43" t="n"/>
      <c r="N17" s="39" t="n">
        <v>7.3</v>
      </c>
      <c r="O17" s="39" t="n">
        <v>0.08</v>
      </c>
      <c r="P17" s="39">
        <f>5.55+6.1+(6.87)</f>
        <v>18.52</v>
      </c>
      <c r="Q17" s="39" t="n">
        <v>1</v>
      </c>
      <c r="R17" s="39">
        <f>N17*O17*P17*Q17</f>
        <v>10.815679999999999</v>
      </c>
      <c r="S17" s="9" t="n"/>
    </row>
    <row r="18" ht="15.6" customHeight="1">
      <c r="A18" s="8" t="n"/>
      <c r="B18" s="44" t="n"/>
      <c r="J18" s="45" t="n"/>
      <c r="K18" s="38" t="inlineStr">
        <is>
          <t>Vigueta</t>
        </is>
      </c>
      <c r="L18" s="42" t="n"/>
      <c r="M18" s="43" t="n"/>
      <c r="N18" s="39" t="n">
        <v>0.2</v>
      </c>
      <c r="O18" s="39" t="n">
        <v>0.32</v>
      </c>
      <c r="P18" s="39">
        <f>5.55+6.1+(6.87)</f>
        <v>18.52</v>
      </c>
      <c r="Q18" s="39" t="n">
        <v>6</v>
      </c>
      <c r="R18" s="39">
        <f>N18*O18*P18*Q18</f>
        <v>7.11168</v>
      </c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17.92736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B51" s="32" t="n"/>
      <c r="C51" s="40" t="n"/>
      <c r="D51" s="40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B52" s="21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B53" s="37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4">
    <mergeCell ref="B40:R44"/>
    <mergeCell ref="P52:R52"/>
    <mergeCell ref="K32:M32"/>
    <mergeCell ref="D12:M12"/>
    <mergeCell ref="K22:M22"/>
    <mergeCell ref="E3:O7"/>
    <mergeCell ref="I53:K53"/>
    <mergeCell ref="K31:M31"/>
    <mergeCell ref="B53:D53"/>
    <mergeCell ref="R15:R16"/>
    <mergeCell ref="B16:J37"/>
    <mergeCell ref="B12:C12"/>
    <mergeCell ref="K37:Q37"/>
    <mergeCell ref="K15:M16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B51:D51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6:M26"/>
    <mergeCell ref="K21:M21"/>
    <mergeCell ref="B52:D52"/>
    <mergeCell ref="K35:M35"/>
    <mergeCell ref="K20:M20"/>
    <mergeCell ref="K29:M29"/>
    <mergeCell ref="P6:R6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F55" sqref="F55"/>
    </sheetView>
  </sheetViews>
  <sheetFormatPr baseColWidth="10" defaultRowHeight="13.8"/>
  <cols>
    <col width="14.3984375" customWidth="1" min="14" max="14"/>
    <col width="9.09765625" bestFit="1" customWidth="1" min="15" max="15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NOV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n">
        <v>8.1</v>
      </c>
      <c r="D13" s="38" t="inlineStr">
        <is>
          <t>PISOS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8,1,1</t>
        </is>
      </c>
      <c r="K13" s="38" t="inlineStr">
        <is>
          <t>ADOQUIN EN CONCRETO 0.20*0.10*0.06 M SUMINISTRO E INSTALACION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M2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Area (m2)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Area 1</t>
        </is>
      </c>
      <c r="L17" s="42" t="n"/>
      <c r="M17" s="43" t="n"/>
      <c r="N17" s="39" t="n">
        <v>18.62</v>
      </c>
      <c r="O17" s="39" t="n"/>
      <c r="P17" s="39" t="n"/>
      <c r="Q17" s="39" t="n">
        <v>1</v>
      </c>
      <c r="R17" s="39">
        <f>+N17*Q17</f>
        <v>18.62</v>
      </c>
      <c r="S17" s="9" t="n"/>
    </row>
    <row r="18" ht="15.6" customHeight="1">
      <c r="A18" s="8" t="n"/>
      <c r="B18" s="44" t="n"/>
      <c r="J18" s="45" t="n"/>
      <c r="K18" s="38" t="inlineStr">
        <is>
          <t>Area 2</t>
        </is>
      </c>
      <c r="L18" s="42" t="n"/>
      <c r="M18" s="43" t="n"/>
      <c r="N18" s="39" t="n">
        <v>17.49</v>
      </c>
      <c r="O18" s="39" t="n"/>
      <c r="P18" s="39" t="n"/>
      <c r="Q18" s="39" t="n">
        <v>1</v>
      </c>
      <c r="R18" s="39">
        <f>+N18*Q18</f>
        <v>17.49</v>
      </c>
      <c r="S18" s="9" t="n"/>
    </row>
    <row r="19" ht="15.6" customHeight="1">
      <c r="A19" s="8" t="n"/>
      <c r="B19" s="44" t="n"/>
      <c r="J19" s="45" t="n"/>
      <c r="K19" s="38" t="inlineStr">
        <is>
          <t>Area 3</t>
        </is>
      </c>
      <c r="L19" s="42" t="n"/>
      <c r="M19" s="43" t="n"/>
      <c r="N19" s="39" t="n">
        <v>22.25</v>
      </c>
      <c r="O19" s="39" t="n"/>
      <c r="P19" s="39" t="n"/>
      <c r="Q19" s="39" t="n">
        <v>1</v>
      </c>
      <c r="R19" s="39">
        <f>+N19*Q19</f>
        <v>22.25</v>
      </c>
      <c r="S19" s="9" t="n"/>
    </row>
    <row r="20" ht="15.6" customHeight="1">
      <c r="A20" s="8" t="n"/>
      <c r="B20" s="44" t="n"/>
      <c r="J20" s="45" t="n"/>
      <c r="K20" s="38" t="inlineStr">
        <is>
          <t>Area 4</t>
        </is>
      </c>
      <c r="L20" s="42" t="n"/>
      <c r="M20" s="43" t="n"/>
      <c r="N20" s="39" t="n">
        <v>7.76</v>
      </c>
      <c r="O20" s="39" t="n"/>
      <c r="P20" s="39" t="n"/>
      <c r="Q20" s="39" t="n">
        <v>1</v>
      </c>
      <c r="R20" s="39">
        <f>+N20*Q20</f>
        <v>7.76</v>
      </c>
      <c r="S20" s="9" t="n"/>
    </row>
    <row r="21" ht="15.6" customHeight="1">
      <c r="A21" s="8" t="n"/>
      <c r="B21" s="44" t="n"/>
      <c r="J21" s="45" t="n"/>
      <c r="K21" s="38" t="inlineStr">
        <is>
          <t>Area 5</t>
        </is>
      </c>
      <c r="L21" s="42" t="n"/>
      <c r="M21" s="43" t="n"/>
      <c r="N21" s="39" t="n">
        <v>14.6</v>
      </c>
      <c r="O21" s="39" t="n"/>
      <c r="P21" s="39" t="n"/>
      <c r="Q21" s="39" t="n">
        <v>1</v>
      </c>
      <c r="R21" s="39">
        <f>+N21*Q21</f>
        <v>14.6</v>
      </c>
      <c r="S21" s="9" t="n"/>
    </row>
    <row r="22" ht="15.6" customHeight="1">
      <c r="A22" s="8" t="n"/>
      <c r="B22" s="44" t="n"/>
      <c r="J22" s="45" t="n"/>
      <c r="K22" s="38" t="inlineStr">
        <is>
          <t>Area 6</t>
        </is>
      </c>
      <c r="L22" s="42" t="n"/>
      <c r="M22" s="43" t="n"/>
      <c r="N22" s="39" t="n">
        <v>15</v>
      </c>
      <c r="O22" s="39" t="n"/>
      <c r="P22" s="39" t="n"/>
      <c r="Q22" s="39" t="n">
        <v>1</v>
      </c>
      <c r="R22" s="39">
        <f>+N22*Q22</f>
        <v>15.0</v>
      </c>
      <c r="S22" s="9" t="n"/>
    </row>
    <row r="23" ht="15.6" customHeight="1">
      <c r="A23" s="8" t="n"/>
      <c r="B23" s="44" t="n"/>
      <c r="J23" s="45" t="n"/>
      <c r="K23" s="38" t="inlineStr">
        <is>
          <t>Area 7</t>
        </is>
      </c>
      <c r="L23" s="42" t="n"/>
      <c r="M23" s="43" t="n"/>
      <c r="N23" s="39" t="n">
        <v>1.91</v>
      </c>
      <c r="O23" s="39" t="n"/>
      <c r="P23" s="39" t="n"/>
      <c r="Q23" s="39" t="n">
        <v>1</v>
      </c>
      <c r="R23" s="39">
        <f>+N23*Q23</f>
        <v>1.91</v>
      </c>
      <c r="S23" s="9" t="n"/>
    </row>
    <row r="24" ht="15.6" customHeight="1">
      <c r="A24" s="8" t="n"/>
      <c r="B24" s="44" t="n"/>
      <c r="J24" s="45" t="n"/>
      <c r="K24" s="38" t="inlineStr">
        <is>
          <t>Area 8</t>
        </is>
      </c>
      <c r="L24" s="42" t="n"/>
      <c r="M24" s="43" t="n"/>
      <c r="N24" s="39" t="n">
        <v>1.91</v>
      </c>
      <c r="O24" s="39" t="n"/>
      <c r="P24" s="39" t="n"/>
      <c r="Q24" s="39" t="n">
        <v>1</v>
      </c>
      <c r="R24" s="39">
        <f>+N24*Q24</f>
        <v>1.91</v>
      </c>
      <c r="S24" s="9" t="n"/>
    </row>
    <row r="25" ht="15.6" customHeight="1">
      <c r="A25" s="8" t="n"/>
      <c r="B25" s="44" t="n"/>
      <c r="J25" s="45" t="n"/>
      <c r="K25" s="38" t="inlineStr">
        <is>
          <t>Area 9</t>
        </is>
      </c>
      <c r="L25" s="42" t="n"/>
      <c r="M25" s="43" t="n"/>
      <c r="N25" s="39" t="n">
        <v>15.76</v>
      </c>
      <c r="O25" s="39" t="n"/>
      <c r="P25" s="39" t="n"/>
      <c r="Q25" s="39" t="n">
        <v>1</v>
      </c>
      <c r="R25" s="39">
        <f>+N25*Q25</f>
        <v>15.76</v>
      </c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115.30000000000001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B51" s="32" t="n"/>
      <c r="C51" s="40" t="n"/>
      <c r="D51" s="40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B52" s="21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B53" s="37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4">
    <mergeCell ref="B40:R44"/>
    <mergeCell ref="P52:R52"/>
    <mergeCell ref="K32:M32"/>
    <mergeCell ref="D12:M12"/>
    <mergeCell ref="K22:M22"/>
    <mergeCell ref="E3:O7"/>
    <mergeCell ref="I53:K53"/>
    <mergeCell ref="K31:M31"/>
    <mergeCell ref="B53:D53"/>
    <mergeCell ref="R15:R16"/>
    <mergeCell ref="B16:J37"/>
    <mergeCell ref="B12:C12"/>
    <mergeCell ref="K37:Q37"/>
    <mergeCell ref="K15:M16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B51:D51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K24:M24"/>
    <mergeCell ref="P9:Q10"/>
    <mergeCell ref="K36:M36"/>
    <mergeCell ref="K26:M26"/>
    <mergeCell ref="K21:M21"/>
    <mergeCell ref="B52:D52"/>
    <mergeCell ref="K35:M35"/>
    <mergeCell ref="K20:M20"/>
    <mergeCell ref="K29:M29"/>
    <mergeCell ref="P6:R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2</t>
        </is>
      </c>
      <c r="D13" s="38" t="inlineStr">
        <is>
          <t>CIMENTACION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2.1.1</t>
        </is>
      </c>
      <c r="K13" s="38" t="inlineStr">
        <is>
          <t>Excavacion a maquina conglomerado 0-2m (incl. retiro)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M3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Pozos zapatas Z-1 (2.30x2.30) a 1.5m</t>
        </is>
      </c>
      <c r="L17" s="42" t="n"/>
      <c r="M17" s="43" t="n"/>
      <c r="N17" s="39" t="n">
        <v>2.3</v>
      </c>
      <c r="O17" s="39" t="n">
        <v>2.3</v>
      </c>
      <c r="P17" s="39" t="n">
        <v>1.5</v>
      </c>
      <c r="Q17" s="39" t="n">
        <v>4</v>
      </c>
      <c r="R17" s="39">
        <f>N17*O17*P17*Q17</f>
        <v>31.739999999999995</v>
      </c>
      <c r="S17" s="9" t="n"/>
    </row>
    <row r="18" ht="15.6" customHeight="1">
      <c r="A18" s="8" t="n"/>
      <c r="B18" s="44" t="n"/>
      <c r="J18" s="45" t="n"/>
      <c r="K18" s="38" t="inlineStr">
        <is>
          <t>Pozos zapatas Z-2 (2.15x2.15) a 1.5m</t>
        </is>
      </c>
      <c r="L18" s="42" t="n"/>
      <c r="M18" s="43" t="n"/>
      <c r="N18" s="39" t="n">
        <v>2.15</v>
      </c>
      <c r="O18" s="39" t="n">
        <v>2.15</v>
      </c>
      <c r="P18" s="39" t="n">
        <v>1.5</v>
      </c>
      <c r="Q18" s="39" t="n">
        <v>4</v>
      </c>
      <c r="R18" s="39">
        <f>N18*O18*P18*Q18</f>
        <v>27.735</v>
      </c>
      <c r="S18" s="9" t="n"/>
    </row>
    <row r="19" ht="15.6" customHeight="1">
      <c r="A19" s="8" t="n"/>
      <c r="B19" s="44" t="n"/>
      <c r="J19" s="45" t="n"/>
      <c r="K19" s="38" t="inlineStr">
        <is>
          <t>Zanjas de vigas a 1.5m</t>
        </is>
      </c>
      <c r="L19" s="42" t="n"/>
      <c r="M19" s="43" t="n"/>
      <c r="N19" s="39" t="n">
        <v>0.6</v>
      </c>
      <c r="O19" s="39" t="n">
        <v>1.5</v>
      </c>
      <c r="P19" s="39" t="n">
        <v>58.5</v>
      </c>
      <c r="Q19" s="39" t="n">
        <v>1</v>
      </c>
      <c r="R19" s="39">
        <f>N19*O19*P19*Q19</f>
        <v>52.64999999999999</v>
      </c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112.12499999999999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2</t>
        </is>
      </c>
      <c r="D13" s="38" t="inlineStr">
        <is>
          <t>CIMENTACION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2.1.2</t>
        </is>
      </c>
      <c r="K13" s="38" t="inlineStr">
        <is>
          <t>Relleno granular subbase B-400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M3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Colchon granular 0.30 m bajo placa</t>
        </is>
      </c>
      <c r="L17" s="42" t="n"/>
      <c r="M17" s="43" t="n"/>
      <c r="N17" s="39" t="n">
        <v>9.85</v>
      </c>
      <c r="O17" s="39" t="n">
        <v>0.3</v>
      </c>
      <c r="P17" s="39" t="n">
        <v>21.95</v>
      </c>
      <c r="Q17" s="39" t="n">
        <v>1</v>
      </c>
      <c r="R17" s="39">
        <f>N17*O17*P17*Q17</f>
        <v>64.86224999999999</v>
      </c>
      <c r="S17" s="9" t="n"/>
    </row>
    <row r="18" ht="15.6" customHeight="1">
      <c r="A18" s="8" t="n"/>
      <c r="B18" s="44" t="n"/>
      <c r="J18" s="45" t="n"/>
      <c r="K18" s="38" t="n"/>
      <c r="L18" s="42" t="n"/>
      <c r="M18" s="43" t="n"/>
      <c r="N18" s="39" t="n"/>
      <c r="O18" s="39" t="n"/>
      <c r="P18" s="39" t="n"/>
      <c r="Q18" s="39" t="n"/>
      <c r="R18" s="39" t="n"/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64.86224999999999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2</t>
        </is>
      </c>
      <c r="D13" s="38" t="inlineStr">
        <is>
          <t>CIMENTACION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2.1.3</t>
        </is>
      </c>
      <c r="K13" s="38" t="inlineStr">
        <is>
          <t>Excavacion manual material comun 0-2m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M3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Afinado fondo de pozos y zanjas e=0.10</t>
        </is>
      </c>
      <c r="L17" s="42" t="n"/>
      <c r="M17" s="43" t="n"/>
      <c r="N17" s="39" t="n">
        <v>74.75</v>
      </c>
      <c r="O17" s="39" t="n">
        <v>1</v>
      </c>
      <c r="P17" s="39" t="n">
        <v>0.1</v>
      </c>
      <c r="Q17" s="39" t="n">
        <v>1</v>
      </c>
      <c r="R17" s="39">
        <f>N17*O17*P17*Q17</f>
        <v>7.4750000000000005</v>
      </c>
      <c r="S17" s="9" t="n"/>
    </row>
    <row r="18" ht="15.6" customHeight="1">
      <c r="A18" s="8" t="n"/>
      <c r="B18" s="44" t="n"/>
      <c r="J18" s="45" t="n"/>
      <c r="K18" s="38" t="n"/>
      <c r="L18" s="42" t="n"/>
      <c r="M18" s="43" t="n"/>
      <c r="N18" s="39" t="n"/>
      <c r="O18" s="39" t="n"/>
      <c r="P18" s="39" t="n"/>
      <c r="Q18" s="39" t="n"/>
      <c r="R18" s="39" t="n"/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7.4750000000000005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2</t>
        </is>
      </c>
      <c r="D13" s="38" t="inlineStr">
        <is>
          <t>CIMENTACION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2.1.4</t>
        </is>
      </c>
      <c r="K13" s="38" t="inlineStr">
        <is>
          <t>Relleno material comun (recebo)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M3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Relleno nivelacion bajo placa e=0.20</t>
        </is>
      </c>
      <c r="L17" s="42" t="n"/>
      <c r="M17" s="43" t="n"/>
      <c r="N17" s="39" t="n">
        <v>9.85</v>
      </c>
      <c r="O17" s="39" t="n">
        <v>0.2</v>
      </c>
      <c r="P17" s="39" t="n">
        <v>21.95</v>
      </c>
      <c r="Q17" s="39" t="n">
        <v>1</v>
      </c>
      <c r="R17" s="39">
        <f>N17*O17*P17*Q17</f>
        <v>43.241499999999995</v>
      </c>
      <c r="S17" s="9" t="n"/>
    </row>
    <row r="18" ht="15.6" customHeight="1">
      <c r="A18" s="8" t="n"/>
      <c r="B18" s="44" t="n"/>
      <c r="J18" s="45" t="n"/>
      <c r="K18" s="38" t="n"/>
      <c r="L18" s="42" t="n"/>
      <c r="M18" s="43" t="n"/>
      <c r="N18" s="39" t="n"/>
      <c r="O18" s="39" t="n"/>
      <c r="P18" s="39" t="n"/>
      <c r="Q18" s="39" t="n"/>
      <c r="R18" s="39" t="n"/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43.241499999999995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2</t>
        </is>
      </c>
      <c r="D13" s="38" t="inlineStr">
        <is>
          <t>CIMENTACION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2.1.6</t>
        </is>
      </c>
      <c r="K13" s="38" t="inlineStr">
        <is>
          <t>Geotextil NT 1600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M2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Geotextil bajo placa</t>
        </is>
      </c>
      <c r="L17" s="42" t="n"/>
      <c r="M17" s="43" t="n"/>
      <c r="N17" s="39" t="n">
        <v>9.85</v>
      </c>
      <c r="O17" s="39" t="n">
        <v>1</v>
      </c>
      <c r="P17" s="39" t="n">
        <v>21.95</v>
      </c>
      <c r="Q17" s="39" t="n">
        <v>1</v>
      </c>
      <c r="R17" s="39">
        <f>N17*O17*P17*Q17</f>
        <v>216.20749999999998</v>
      </c>
      <c r="S17" s="9" t="n"/>
    </row>
    <row r="18" ht="15.6" customHeight="1">
      <c r="A18" s="8" t="n"/>
      <c r="B18" s="44" t="n"/>
      <c r="J18" s="45" t="n"/>
      <c r="K18" s="38" t="n"/>
      <c r="L18" s="42" t="n"/>
      <c r="M18" s="43" t="n"/>
      <c r="N18" s="39" t="n"/>
      <c r="O18" s="39" t="n"/>
      <c r="P18" s="39" t="n"/>
      <c r="Q18" s="39" t="n"/>
      <c r="R18" s="39" t="n"/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216.20749999999998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2</t>
        </is>
      </c>
      <c r="D13" s="38" t="inlineStr">
        <is>
          <t>CIMENTACION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2.2.1</t>
        </is>
      </c>
      <c r="K13" s="38" t="inlineStr">
        <is>
          <t>Vigas de cimentacion concreto 3000psi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M3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Vigas long. VC-A,VC-B (40x45)</t>
        </is>
      </c>
      <c r="L17" s="42" t="n"/>
      <c r="M17" s="43" t="n"/>
      <c r="N17" s="39" t="n">
        <v>0.4</v>
      </c>
      <c r="O17" s="39" t="n">
        <v>0.45</v>
      </c>
      <c r="P17" s="39" t="n">
        <v>19.8</v>
      </c>
      <c r="Q17" s="39" t="n">
        <v>2</v>
      </c>
      <c r="R17" s="39">
        <f>N17*O17*P17*Q17</f>
        <v>7.128000000000001</v>
      </c>
      <c r="S17" s="9" t="n"/>
    </row>
    <row r="18" ht="15.6" customHeight="1">
      <c r="A18" s="8" t="n"/>
      <c r="B18" s="44" t="n"/>
      <c r="J18" s="45" t="n"/>
      <c r="K18" s="38" t="inlineStr">
        <is>
          <t>Vigas transv. VC-1..4 (luz libre)</t>
        </is>
      </c>
      <c r="L18" s="42" t="n"/>
      <c r="M18" s="43" t="n"/>
      <c r="N18" s="39" t="n">
        <v>0.4</v>
      </c>
      <c r="O18" s="39" t="n">
        <v>0.45</v>
      </c>
      <c r="P18" s="39" t="n">
        <v>7.3</v>
      </c>
      <c r="Q18" s="39" t="n">
        <v>5</v>
      </c>
      <c r="R18" s="39">
        <f>N18*O18*P18*Q18</f>
        <v>6.57</v>
      </c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13.698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2</t>
        </is>
      </c>
      <c r="D13" s="38" t="inlineStr">
        <is>
          <t>CIMENTACION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2.2.2</t>
        </is>
      </c>
      <c r="K13" s="38" t="inlineStr">
        <is>
          <t>Concreto 1500psi solado e=0.05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M2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Solado bajo vigas long.</t>
        </is>
      </c>
      <c r="L17" s="42" t="n"/>
      <c r="M17" s="43" t="n"/>
      <c r="N17" s="39" t="n">
        <v>0.5</v>
      </c>
      <c r="O17" s="39" t="n">
        <v>1</v>
      </c>
      <c r="P17" s="39" t="n">
        <v>19.8</v>
      </c>
      <c r="Q17" s="39" t="n">
        <v>2</v>
      </c>
      <c r="R17" s="39">
        <f>N17*O17*P17*Q17</f>
        <v>19.8</v>
      </c>
      <c r="S17" s="9" t="n"/>
    </row>
    <row r="18" ht="15.6" customHeight="1">
      <c r="A18" s="8" t="n"/>
      <c r="B18" s="44" t="n"/>
      <c r="J18" s="45" t="n"/>
      <c r="K18" s="38" t="inlineStr">
        <is>
          <t>Solado bajo vigas transv.</t>
        </is>
      </c>
      <c r="L18" s="42" t="n"/>
      <c r="M18" s="43" t="n"/>
      <c r="N18" s="39" t="n">
        <v>0.5</v>
      </c>
      <c r="O18" s="39" t="n">
        <v>1</v>
      </c>
      <c r="P18" s="39" t="n">
        <v>7.3</v>
      </c>
      <c r="Q18" s="39" t="n">
        <v>5</v>
      </c>
      <c r="R18" s="39">
        <f>N18*O18*P18*Q18</f>
        <v>18.25</v>
      </c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38.05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4</t>
        </is>
      </c>
      <c r="D13" s="38" t="inlineStr">
        <is>
          <t>ESTRUCTURA EN CONCRETO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4.1.1</t>
        </is>
      </c>
      <c r="K13" s="38" t="inlineStr">
        <is>
          <t>Columnas concreto 3000psi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M3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Columnas 0.50x0.50 h=4.90 (4 und)</t>
        </is>
      </c>
      <c r="L17" s="42" t="n"/>
      <c r="M17" s="43" t="n"/>
      <c r="N17" s="39" t="n">
        <v>0.5</v>
      </c>
      <c r="O17" s="39" t="n">
        <v>0.5</v>
      </c>
      <c r="P17" s="39" t="n">
        <v>4.9</v>
      </c>
      <c r="Q17" s="39" t="n">
        <v>4</v>
      </c>
      <c r="R17" s="39">
        <f>N17*O17*P17*Q17</f>
        <v>4.9</v>
      </c>
      <c r="S17" s="9" t="n"/>
    </row>
    <row r="18" ht="15.6" customHeight="1">
      <c r="A18" s="8" t="n"/>
      <c r="B18" s="44" t="n"/>
      <c r="J18" s="45" t="n"/>
      <c r="K18" s="38" t="inlineStr">
        <is>
          <t>Columnas 0.40x0.40 h=4.90 (4 und)</t>
        </is>
      </c>
      <c r="L18" s="42" t="n"/>
      <c r="M18" s="43" t="n"/>
      <c r="N18" s="39" t="n">
        <v>0.4</v>
      </c>
      <c r="O18" s="39" t="n">
        <v>0.4</v>
      </c>
      <c r="P18" s="39" t="n">
        <v>4.9</v>
      </c>
      <c r="Q18" s="39" t="n">
        <v>4</v>
      </c>
      <c r="R18" s="39">
        <f>N18*O18*P18*Q18</f>
        <v>3.136000000000001</v>
      </c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8.036000000000001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4</t>
        </is>
      </c>
      <c r="D13" s="38" t="inlineStr">
        <is>
          <t>ESTRUCTURA EN CONCRETO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4.2.1</t>
        </is>
      </c>
      <c r="K13" s="38" t="inlineStr">
        <is>
          <t>Concreto 3000psi viga cubierta/cinta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M3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Vigas long. (40x50)</t>
        </is>
      </c>
      <c r="L17" s="42" t="n"/>
      <c r="M17" s="43" t="n"/>
      <c r="N17" s="39" t="n">
        <v>0.4</v>
      </c>
      <c r="O17" s="39" t="n">
        <v>0.5</v>
      </c>
      <c r="P17" s="39" t="n">
        <v>19.8</v>
      </c>
      <c r="Q17" s="39" t="n">
        <v>2</v>
      </c>
      <c r="R17" s="39">
        <f>N17*O17*P17*Q17</f>
        <v>7.920000000000001</v>
      </c>
      <c r="S17" s="9" t="n"/>
    </row>
    <row r="18" ht="15.6" customHeight="1">
      <c r="A18" s="8" t="n"/>
      <c r="B18" s="44" t="n"/>
      <c r="J18" s="45" t="n"/>
      <c r="K18" s="38" t="inlineStr">
        <is>
          <t>Vigas transv. (luz libre)</t>
        </is>
      </c>
      <c r="L18" s="42" t="n"/>
      <c r="M18" s="43" t="n"/>
      <c r="N18" s="39" t="n">
        <v>0.4</v>
      </c>
      <c r="O18" s="39" t="n">
        <v>0.5</v>
      </c>
      <c r="P18" s="39" t="n">
        <v>7.3</v>
      </c>
      <c r="Q18" s="39" t="n">
        <v>5</v>
      </c>
      <c r="R18" s="39">
        <f>N18*O18*P18*Q18</f>
        <v>7.3</v>
      </c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15.22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5</t>
        </is>
      </c>
      <c r="D13" s="38" t="inlineStr">
        <is>
          <t>MAMPOSTERIA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5.1.1</t>
        </is>
      </c>
      <c r="K13" s="38" t="inlineStr">
        <is>
          <t>Muros bloque hueco No.4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M2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Area bruta muros (L=173.60 x H=3.00)</t>
        </is>
      </c>
      <c r="L17" s="42" t="n"/>
      <c r="M17" s="43" t="n"/>
      <c r="N17" s="39" t="n">
        <v>173.6</v>
      </c>
      <c r="O17" s="39" t="n">
        <v>1</v>
      </c>
      <c r="P17" s="39" t="n">
        <v>3</v>
      </c>
      <c r="Q17" s="39" t="n">
        <v>1</v>
      </c>
      <c r="R17" s="39">
        <f>N17*O17*P17*Q17</f>
        <v>520.8</v>
      </c>
      <c r="S17" s="9" t="n"/>
    </row>
    <row r="18" ht="15.6" customHeight="1">
      <c r="A18" s="8" t="n"/>
      <c r="B18" s="44" t="n"/>
      <c r="J18" s="45" t="n"/>
      <c r="K18" s="38" t="inlineStr">
        <is>
          <t>Descuento vanos 20%</t>
        </is>
      </c>
      <c r="L18" s="42" t="n"/>
      <c r="M18" s="43" t="n"/>
      <c r="N18" s="39" t="n">
        <v>173.6</v>
      </c>
      <c r="O18" s="39" t="n">
        <v>1</v>
      </c>
      <c r="P18" s="39" t="n">
        <v>3</v>
      </c>
      <c r="Q18" s="39" t="n">
        <v>-0.2</v>
      </c>
      <c r="R18" s="39">
        <f>N18*O18*P18*Q18</f>
        <v>-104.16</v>
      </c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416.64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5</t>
        </is>
      </c>
      <c r="D13" s="38" t="inlineStr">
        <is>
          <t>MAMPOSTERIA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5.1.2</t>
        </is>
      </c>
      <c r="K13" s="38" t="inlineStr">
        <is>
          <t>Columneta de confinamiento No.5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ML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Columnetas c/1.5m (116 und x H=3.00)</t>
        </is>
      </c>
      <c r="L17" s="42" t="n"/>
      <c r="M17" s="43" t="n"/>
      <c r="N17" s="39" t="n">
        <v>1</v>
      </c>
      <c r="O17" s="39" t="n">
        <v>1</v>
      </c>
      <c r="P17" s="39" t="n">
        <v>3</v>
      </c>
      <c r="Q17" s="39" t="n">
        <v>116</v>
      </c>
      <c r="R17" s="39">
        <f>N17*O17*P17*Q17</f>
        <v>348.0</v>
      </c>
      <c r="S17" s="9" t="n"/>
    </row>
    <row r="18" ht="15.6" customHeight="1">
      <c r="A18" s="8" t="n"/>
      <c r="B18" s="44" t="n"/>
      <c r="J18" s="45" t="n"/>
      <c r="K18" s="38" t="n"/>
      <c r="L18" s="42" t="n"/>
      <c r="M18" s="43" t="n"/>
      <c r="N18" s="39" t="n"/>
      <c r="O18" s="39" t="n"/>
      <c r="P18" s="39" t="n"/>
      <c r="Q18" s="39" t="n"/>
      <c r="R18" s="39" t="n"/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348.0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5</t>
        </is>
      </c>
      <c r="D13" s="38" t="inlineStr">
        <is>
          <t>MAMPOSTERIA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5.1.4</t>
        </is>
      </c>
      <c r="K13" s="38" t="inlineStr">
        <is>
          <t>Panete liso impermeabilizado 1:4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M2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Panete 65% del area de muro</t>
        </is>
      </c>
      <c r="L17" s="42" t="n"/>
      <c r="M17" s="43" t="n"/>
      <c r="N17" s="39" t="n">
        <v>416.64</v>
      </c>
      <c r="O17" s="39" t="n">
        <v>1</v>
      </c>
      <c r="P17" s="39" t="n">
        <v>0.65</v>
      </c>
      <c r="Q17" s="39" t="n">
        <v>1</v>
      </c>
      <c r="R17" s="39">
        <f>N17*O17*P17*Q17</f>
        <v>270.816</v>
      </c>
      <c r="S17" s="9" t="n"/>
    </row>
    <row r="18" ht="15.6" customHeight="1">
      <c r="A18" s="8" t="n"/>
      <c r="B18" s="44" t="n"/>
      <c r="J18" s="45" t="n"/>
      <c r="K18" s="38" t="n"/>
      <c r="L18" s="42" t="n"/>
      <c r="M18" s="43" t="n"/>
      <c r="N18" s="39" t="n"/>
      <c r="O18" s="39" t="n"/>
      <c r="P18" s="39" t="n"/>
      <c r="Q18" s="39" t="n"/>
      <c r="R18" s="39" t="n"/>
      <c r="S18" s="9" t="n"/>
    </row>
    <row r="19" ht="15.6" customHeight="1">
      <c r="A19" s="8" t="n"/>
      <c r="B19" s="44" t="n"/>
      <c r="J19" s="45" t="n"/>
      <c r="K19" s="38" t="n"/>
      <c r="L19" s="42" t="n"/>
      <c r="M19" s="43" t="n"/>
      <c r="N19" s="39" t="n"/>
      <c r="O19" s="39" t="n"/>
      <c r="P19" s="39" t="n"/>
      <c r="Q19" s="39" t="n"/>
      <c r="R19" s="39" t="n"/>
      <c r="S19" s="9" t="n"/>
    </row>
    <row r="20" ht="15.6" customHeight="1">
      <c r="A20" s="8" t="n"/>
      <c r="B20" s="44" t="n"/>
      <c r="J20" s="45" t="n"/>
      <c r="K20" s="38" t="n"/>
      <c r="L20" s="42" t="n"/>
      <c r="M20" s="43" t="n"/>
      <c r="N20" s="39" t="n"/>
      <c r="O20" s="39" t="n"/>
      <c r="P20" s="39" t="n"/>
      <c r="Q20" s="39" t="n"/>
      <c r="R20" s="39" t="n"/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SUM(R17:R36)</f>
        <v>270.816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2</t>
        </is>
      </c>
      <c r="D13" s="38" t="inlineStr">
        <is>
          <t>REFUERZOS / ACERO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2.3.1</t>
        </is>
      </c>
      <c r="K13" s="38" t="inlineStr">
        <is>
          <t>Acero figurado vigas de cimentacion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KG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Long. 3#6+3#5 (kg)</t>
        </is>
      </c>
      <c r="L17" s="42" t="n"/>
      <c r="M17" s="43" t="n"/>
      <c r="N17" s="39" t="n">
        <v>9.85</v>
      </c>
      <c r="O17" s="39" t="n">
        <v>0.1</v>
      </c>
      <c r="P17" s="39" t="n">
        <v>21.95</v>
      </c>
      <c r="Q17" s="39" t="n">
        <v>1</v>
      </c>
      <c r="R17" s="39" t="n">
        <v>864.6</v>
      </c>
      <c r="S17" s="9" t="n"/>
    </row>
    <row r="18" ht="15.6" customHeight="1">
      <c r="A18" s="8" t="n"/>
      <c r="B18" s="44" t="n"/>
      <c r="J18" s="45" t="n"/>
      <c r="K18" s="38" t="inlineStr">
        <is>
          <t>Estribos #3 c/0.20 (kg)</t>
        </is>
      </c>
      <c r="L18" s="42" t="n"/>
      <c r="M18" s="43" t="n"/>
      <c r="N18" s="39" t="n"/>
      <c r="O18" s="39" t="n"/>
      <c r="P18" s="39" t="n"/>
      <c r="Q18" s="39" t="n"/>
      <c r="R18" s="39" t="n">
        <v>319.6</v>
      </c>
      <c r="S18" s="9" t="n"/>
    </row>
    <row r="19" ht="15.6" customHeight="1">
      <c r="A19" s="8" t="n"/>
      <c r="B19" s="44" t="n"/>
      <c r="J19" s="45" t="n"/>
      <c r="K19" s="38" t="inlineStr">
        <is>
          <t>Subtotal (kg)</t>
        </is>
      </c>
      <c r="L19" s="42" t="n"/>
      <c r="M19" s="43" t="n"/>
      <c r="N19" s="39" t="n"/>
      <c r="O19" s="39" t="n"/>
      <c r="P19" s="39" t="n"/>
      <c r="Q19" s="39" t="n"/>
      <c r="R19" s="39" t="n">
        <v>1184.2</v>
      </c>
      <c r="S19" s="9" t="n"/>
    </row>
    <row r="20" ht="15.6" customHeight="1">
      <c r="A20" s="8" t="n"/>
      <c r="B20" s="44" t="n"/>
      <c r="J20" s="45" t="n"/>
      <c r="K20" s="38" t="inlineStr">
        <is>
          <t>Con 10% desperd/traslapo (kg)</t>
        </is>
      </c>
      <c r="L20" s="42" t="n"/>
      <c r="M20" s="43" t="n"/>
      <c r="N20" s="39" t="n"/>
      <c r="O20" s="39" t="n"/>
      <c r="P20" s="39" t="n"/>
      <c r="Q20" s="39" t="n"/>
      <c r="R20" s="39" t="n">
        <v>1302.6</v>
      </c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R20</f>
        <v>1302.6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4</t>
        </is>
      </c>
      <c r="D13" s="38" t="inlineStr">
        <is>
          <t>REFUERZOS / ACERO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4.7.1</t>
        </is>
      </c>
      <c r="K13" s="38" t="inlineStr">
        <is>
          <t>Acero figurado columnas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KG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Long. 8 col x (2#6+2#7) L=5.95 (kg)</t>
        </is>
      </c>
      <c r="L17" s="42" t="n"/>
      <c r="M17" s="43" t="n"/>
      <c r="N17" s="39" t="n">
        <v>9.85</v>
      </c>
      <c r="O17" s="39" t="n">
        <v>0.1</v>
      </c>
      <c r="P17" s="39" t="n">
        <v>21.95</v>
      </c>
      <c r="Q17" s="39" t="n">
        <v>1</v>
      </c>
      <c r="R17" s="39" t="n">
        <v>502.4</v>
      </c>
      <c r="S17" s="9" t="n"/>
    </row>
    <row r="18" ht="15.6" customHeight="1">
      <c r="A18" s="8" t="n"/>
      <c r="B18" s="44" t="n"/>
      <c r="J18" s="45" t="n"/>
      <c r="K18" s="38" t="inlineStr">
        <is>
          <t>Estribos #2 c/0.20 (4 col 0.40 + 4 col 0.50) (kg)</t>
        </is>
      </c>
      <c r="L18" s="42" t="n"/>
      <c r="M18" s="43" t="n"/>
      <c r="N18" s="39" t="n"/>
      <c r="O18" s="39" t="n"/>
      <c r="P18" s="39" t="n"/>
      <c r="Q18" s="39" t="n"/>
      <c r="R18" s="39" t="n">
        <v>83.3</v>
      </c>
      <c r="S18" s="9" t="n"/>
    </row>
    <row r="19" ht="15.6" customHeight="1">
      <c r="A19" s="8" t="n"/>
      <c r="B19" s="44" t="n"/>
      <c r="J19" s="45" t="n"/>
      <c r="K19" s="38" t="inlineStr">
        <is>
          <t>Subtotal (kg)</t>
        </is>
      </c>
      <c r="L19" s="42" t="n"/>
      <c r="M19" s="43" t="n"/>
      <c r="N19" s="39" t="n"/>
      <c r="O19" s="39" t="n"/>
      <c r="P19" s="39" t="n"/>
      <c r="Q19" s="39" t="n"/>
      <c r="R19" s="39" t="n">
        <v>585.7</v>
      </c>
      <c r="S19" s="9" t="n"/>
    </row>
    <row r="20" ht="15.6" customHeight="1">
      <c r="A20" s="8" t="n"/>
      <c r="B20" s="44" t="n"/>
      <c r="J20" s="45" t="n"/>
      <c r="K20" s="38" t="inlineStr">
        <is>
          <t>Con 10% (kg)</t>
        </is>
      </c>
      <c r="L20" s="42" t="n"/>
      <c r="M20" s="43" t="n"/>
      <c r="N20" s="39" t="n"/>
      <c r="O20" s="39" t="n"/>
      <c r="P20" s="39" t="n"/>
      <c r="Q20" s="39" t="n"/>
      <c r="R20" s="39" t="n">
        <v>644.2</v>
      </c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R20</f>
        <v>644.2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4</t>
        </is>
      </c>
      <c r="D13" s="38" t="inlineStr">
        <is>
          <t>REFUERZOS / ACERO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4.8.1</t>
        </is>
      </c>
      <c r="K13" s="38" t="inlineStr">
        <is>
          <t>Acero figurado vigas de cubierta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KG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Long. 2#6+2#7+2#6 (kg)</t>
        </is>
      </c>
      <c r="L17" s="42" t="n"/>
      <c r="M17" s="43" t="n"/>
      <c r="N17" s="39" t="n">
        <v>9.85</v>
      </c>
      <c r="O17" s="39" t="n">
        <v>0.1</v>
      </c>
      <c r="P17" s="39" t="n">
        <v>21.95</v>
      </c>
      <c r="Q17" s="39" t="n">
        <v>1</v>
      </c>
      <c r="R17" s="39" t="n">
        <v>1143.3</v>
      </c>
      <c r="S17" s="9" t="n"/>
    </row>
    <row r="18" ht="15.6" customHeight="1">
      <c r="A18" s="8" t="n"/>
      <c r="B18" s="44" t="n"/>
      <c r="J18" s="45" t="n"/>
      <c r="K18" s="38" t="inlineStr">
        <is>
          <t>Estribos #3 c/0.15 (kg)</t>
        </is>
      </c>
      <c r="L18" s="42" t="n"/>
      <c r="M18" s="43" t="n"/>
      <c r="N18" s="39" t="n"/>
      <c r="O18" s="39" t="n"/>
      <c r="P18" s="39" t="n"/>
      <c r="Q18" s="39" t="n"/>
      <c r="R18" s="39" t="n">
        <v>454.6</v>
      </c>
      <c r="S18" s="9" t="n"/>
    </row>
    <row r="19" ht="15.6" customHeight="1">
      <c r="A19" s="8" t="n"/>
      <c r="B19" s="44" t="n"/>
      <c r="J19" s="45" t="n"/>
      <c r="K19" s="38" t="inlineStr">
        <is>
          <t>Subtotal (kg)</t>
        </is>
      </c>
      <c r="L19" s="42" t="n"/>
      <c r="M19" s="43" t="n"/>
      <c r="N19" s="39" t="n"/>
      <c r="O19" s="39" t="n"/>
      <c r="P19" s="39" t="n"/>
      <c r="Q19" s="39" t="n"/>
      <c r="R19" s="39" t="n">
        <v>1597.9</v>
      </c>
      <c r="S19" s="9" t="n"/>
    </row>
    <row r="20" ht="15.6" customHeight="1">
      <c r="A20" s="8" t="n"/>
      <c r="B20" s="44" t="n"/>
      <c r="J20" s="45" t="n"/>
      <c r="K20" s="38" t="inlineStr">
        <is>
          <t>Con 10% (kg)</t>
        </is>
      </c>
      <c r="L20" s="42" t="n"/>
      <c r="M20" s="43" t="n"/>
      <c r="N20" s="39" t="n"/>
      <c r="O20" s="39" t="n"/>
      <c r="P20" s="39" t="n"/>
      <c r="Q20" s="39" t="n"/>
      <c r="R20" s="39" t="n">
        <v>1757.7</v>
      </c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R20</f>
        <v>1757.7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10" defaultColWidth="8.8984375" defaultRowHeight="13.8"/>
  <cols>
    <col width="11.3984375" customWidth="1" min="13" max="13"/>
    <col width="11.59765625" bestFit="1" customWidth="1" min="14" max="14"/>
    <col width="9.3984375" bestFit="1" customWidth="1" min="15" max="15"/>
    <col width="11.09765625" bestFit="1" customWidth="1" min="16" max="16"/>
  </cols>
  <sheetData>
    <row r="1" ht="15.6" customHeight="1">
      <c r="A1" s="5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7" t="n"/>
    </row>
    <row r="2" ht="15.6" customHeight="1">
      <c r="A2" s="8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9" t="n"/>
    </row>
    <row r="3" ht="15.6" customHeight="1">
      <c r="A3" s="8" t="n"/>
      <c r="B3" s="38" t="n"/>
      <c r="C3" s="40" t="n"/>
      <c r="D3" s="41" t="n"/>
      <c r="E3" s="34" t="inlineStr">
        <is>
          <t>MEMORIA DE CÁLCULO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22" t="inlineStr">
        <is>
          <t>CONTRATO No.</t>
        </is>
      </c>
      <c r="Q3" s="42" t="n"/>
      <c r="R3" s="43" t="n"/>
      <c r="S3" s="9" t="n"/>
    </row>
    <row r="4" ht="15.6" customHeight="1">
      <c r="A4" s="8" t="n"/>
      <c r="B4" s="44" t="n"/>
      <c r="D4" s="45" t="n"/>
      <c r="E4" s="44" t="n"/>
      <c r="O4" s="45" t="n"/>
      <c r="P4" s="35" t="n"/>
      <c r="Q4" s="42" t="n"/>
      <c r="R4" s="43" t="n"/>
      <c r="S4" s="9" t="n"/>
    </row>
    <row r="5" ht="15.6" customHeight="1">
      <c r="A5" s="8" t="n"/>
      <c r="B5" s="44" t="n"/>
      <c r="D5" s="45" t="n"/>
      <c r="E5" s="44" t="n"/>
      <c r="O5" s="45" t="n"/>
      <c r="P5" s="22" t="inlineStr">
        <is>
          <t xml:space="preserve">CORTE No. </t>
        </is>
      </c>
      <c r="Q5" s="42" t="n"/>
      <c r="R5" s="43" t="n"/>
      <c r="S5" s="9" t="n"/>
    </row>
    <row r="6" ht="15.6" customHeight="1">
      <c r="A6" s="8" t="n"/>
      <c r="B6" s="44" t="n"/>
      <c r="D6" s="45" t="n"/>
      <c r="E6" s="44" t="n"/>
      <c r="O6" s="45" t="n"/>
      <c r="P6" s="35" t="n"/>
      <c r="Q6" s="42" t="n"/>
      <c r="R6" s="43" t="n"/>
      <c r="S6" s="9" t="n"/>
    </row>
    <row r="7" ht="15.6" customHeight="1">
      <c r="A7" s="8" t="n"/>
      <c r="B7" s="44" t="n"/>
      <c r="D7" s="45" t="n"/>
      <c r="E7" s="46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 t="n"/>
      <c r="P7" s="22" t="inlineStr">
        <is>
          <t>DD</t>
        </is>
      </c>
      <c r="Q7" s="22" t="inlineStr">
        <is>
          <t>MMM</t>
        </is>
      </c>
      <c r="R7" s="22" t="inlineStr">
        <is>
          <t>AAAA</t>
        </is>
      </c>
      <c r="S7" s="9" t="n"/>
    </row>
    <row r="8" ht="15.6" customHeight="1">
      <c r="A8" s="8" t="n"/>
      <c r="B8" s="44" t="n"/>
      <c r="D8" s="45" t="n"/>
      <c r="E8" s="36" t="inlineStr">
        <is>
          <t>PROYECTO: MÓDULO 1 COLEGIO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 t="n"/>
      <c r="P8" s="38" t="n">
        <v>30</v>
      </c>
      <c r="Q8" s="38" t="inlineStr">
        <is>
          <t>SEP</t>
        </is>
      </c>
      <c r="R8" s="38" t="n">
        <v>2025</v>
      </c>
      <c r="S8" s="9" t="n"/>
    </row>
    <row r="9" ht="15.6" customHeight="1">
      <c r="A9" s="8" t="n"/>
      <c r="B9" s="44" t="n"/>
      <c r="D9" s="45" t="n"/>
      <c r="E9" s="44" t="n"/>
      <c r="O9" s="45" t="n"/>
      <c r="P9" s="22" t="inlineStr">
        <is>
          <t>PÁGINA</t>
        </is>
      </c>
      <c r="Q9" s="41" t="n"/>
      <c r="R9" s="35" t="n">
        <v>1</v>
      </c>
      <c r="S9" s="9" t="n"/>
    </row>
    <row r="10" ht="15.6" customHeight="1">
      <c r="A10" s="8" t="n"/>
      <c r="B10" s="46" t="n"/>
      <c r="C10" s="47" t="n"/>
      <c r="D10" s="48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8" t="n"/>
      <c r="P10" s="46" t="n"/>
      <c r="Q10" s="48" t="n"/>
      <c r="R10" s="35" t="n">
        <v>1</v>
      </c>
      <c r="S10" s="9" t="n"/>
    </row>
    <row r="11" ht="15.6" customHeight="1">
      <c r="A11" s="8" t="n"/>
      <c r="B11" s="21" t="n"/>
      <c r="S11" s="9" t="n"/>
    </row>
    <row r="12" ht="15.6" customHeight="1">
      <c r="A12" s="8" t="n"/>
      <c r="B12" s="22" t="inlineStr">
        <is>
          <t>CONTRATISTA</t>
        </is>
      </c>
      <c r="C12" s="43" t="n"/>
      <c r="D12" s="38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22" t="inlineStr">
        <is>
          <t xml:space="preserve">NIT No. </t>
        </is>
      </c>
      <c r="O12" s="43" t="n"/>
      <c r="P12" s="38" t="n"/>
      <c r="Q12" s="42" t="n"/>
      <c r="R12" s="43" t="n"/>
      <c r="S12" s="9" t="n"/>
    </row>
    <row r="13" ht="15.6" customHeight="1">
      <c r="A13" s="8" t="n"/>
      <c r="B13" s="22" t="inlineStr">
        <is>
          <t>CAPÍTULO</t>
        </is>
      </c>
      <c r="C13" s="38" t="inlineStr">
        <is>
          <t>5</t>
        </is>
      </c>
      <c r="D13" s="38" t="inlineStr">
        <is>
          <t>REFUERZOS / ACERO</t>
        </is>
      </c>
      <c r="E13" s="42" t="n"/>
      <c r="F13" s="42" t="n"/>
      <c r="G13" s="42" t="n"/>
      <c r="H13" s="43" t="n"/>
      <c r="I13" s="22" t="inlineStr">
        <is>
          <t>ITEM</t>
        </is>
      </c>
      <c r="J13" s="38" t="inlineStr">
        <is>
          <t>5.2.1</t>
        </is>
      </c>
      <c r="K13" s="38" t="inlineStr">
        <is>
          <t>Acero mamposteria confinada</t>
        </is>
      </c>
      <c r="L13" s="42" t="n"/>
      <c r="M13" s="42" t="n"/>
      <c r="N13" s="42" t="n"/>
      <c r="O13" s="42" t="n"/>
      <c r="P13" s="43" t="n"/>
      <c r="Q13" s="22" t="inlineStr">
        <is>
          <t>U/MED</t>
        </is>
      </c>
      <c r="R13" s="38" t="inlineStr">
        <is>
          <t>KG</t>
        </is>
      </c>
      <c r="S13" s="9" t="n"/>
    </row>
    <row r="14" ht="15.6" customHeight="1">
      <c r="A14" s="8" t="n"/>
      <c r="B14" s="21" t="n"/>
      <c r="S14" s="9" t="n"/>
    </row>
    <row r="15" ht="15.6" customHeight="1">
      <c r="A15" s="8" t="n"/>
      <c r="B15" s="22" t="inlineStr">
        <is>
          <t>IMAGEN/REFERENCIA</t>
        </is>
      </c>
      <c r="C15" s="42" t="n"/>
      <c r="D15" s="42" t="n"/>
      <c r="E15" s="42" t="n"/>
      <c r="F15" s="42" t="n"/>
      <c r="G15" s="42" t="n"/>
      <c r="H15" s="42" t="n"/>
      <c r="I15" s="42" t="n"/>
      <c r="J15" s="43" t="n"/>
      <c r="K15" s="22" t="inlineStr">
        <is>
          <t>Descripción</t>
        </is>
      </c>
      <c r="L15" s="40" t="n"/>
      <c r="M15" s="41" t="n"/>
      <c r="N15" s="22" t="inlineStr">
        <is>
          <t>Dimensiones</t>
        </is>
      </c>
      <c r="O15" s="42" t="n"/>
      <c r="P15" s="43" t="n"/>
      <c r="Q15" s="22" t="inlineStr">
        <is>
          <t>Cantidad</t>
        </is>
      </c>
      <c r="R15" s="22" t="inlineStr">
        <is>
          <t>TOTAL</t>
        </is>
      </c>
      <c r="S15" s="9" t="n"/>
    </row>
    <row r="16" ht="15.6" customHeight="1">
      <c r="A16" s="8" t="n"/>
      <c r="B16" s="38" t="n"/>
      <c r="C16" s="40" t="n"/>
      <c r="D16" s="40" t="n"/>
      <c r="E16" s="40" t="n"/>
      <c r="F16" s="40" t="n"/>
      <c r="G16" s="40" t="n"/>
      <c r="H16" s="40" t="n"/>
      <c r="I16" s="40" t="n"/>
      <c r="J16" s="41" t="n"/>
      <c r="K16" s="46" t="n"/>
      <c r="L16" s="47" t="n"/>
      <c r="M16" s="48" t="n"/>
      <c r="N16" s="22" t="inlineStr">
        <is>
          <t>Ancho (m)</t>
        </is>
      </c>
      <c r="O16" s="22" t="inlineStr">
        <is>
          <t>Alto (m)</t>
        </is>
      </c>
      <c r="P16" s="22" t="inlineStr">
        <is>
          <t>Largo (m)</t>
        </is>
      </c>
      <c r="Q16" s="49" t="n"/>
      <c r="R16" s="49" t="n"/>
      <c r="S16" s="9" t="n"/>
    </row>
    <row r="17" ht="15.6" customHeight="1">
      <c r="A17" s="8" t="n"/>
      <c r="B17" s="44" t="n"/>
      <c r="J17" s="45" t="n"/>
      <c r="K17" s="38" t="inlineStr">
        <is>
          <t>Long. 2 Ø1/2" (#4) vertical (kg)</t>
        </is>
      </c>
      <c r="L17" s="42" t="n"/>
      <c r="M17" s="43" t="n"/>
      <c r="N17" s="39" t="n">
        <v>9.85</v>
      </c>
      <c r="O17" s="39" t="n">
        <v>0.1</v>
      </c>
      <c r="P17" s="39" t="n">
        <v>21.95</v>
      </c>
      <c r="Q17" s="39" t="n">
        <v>1</v>
      </c>
      <c r="R17" s="39" t="n">
        <v>691.8</v>
      </c>
      <c r="S17" s="9" t="n"/>
    </row>
    <row r="18" ht="15.6" customHeight="1">
      <c r="A18" s="8" t="n"/>
      <c r="B18" s="44" t="n"/>
      <c r="J18" s="45" t="n"/>
      <c r="K18" s="38" t="inlineStr">
        <is>
          <t>Estribos/ganchos #2 (1/4") (kg)</t>
        </is>
      </c>
      <c r="L18" s="42" t="n"/>
      <c r="M18" s="43" t="n"/>
      <c r="N18" s="39" t="n"/>
      <c r="O18" s="39" t="n"/>
      <c r="P18" s="39" t="n"/>
      <c r="Q18" s="39" t="n"/>
      <c r="R18" s="39" t="n">
        <v>278.4</v>
      </c>
      <c r="S18" s="9" t="n"/>
    </row>
    <row r="19" ht="15.6" customHeight="1">
      <c r="A19" s="8" t="n"/>
      <c r="B19" s="44" t="n"/>
      <c r="J19" s="45" t="n"/>
      <c r="K19" s="38" t="inlineStr">
        <is>
          <t>Subtotal (kg)</t>
        </is>
      </c>
      <c r="L19" s="42" t="n"/>
      <c r="M19" s="43" t="n"/>
      <c r="N19" s="39" t="n"/>
      <c r="O19" s="39" t="n"/>
      <c r="P19" s="39" t="n"/>
      <c r="Q19" s="39" t="n"/>
      <c r="R19" s="39" t="n">
        <v>970.2</v>
      </c>
      <c r="S19" s="9" t="n"/>
    </row>
    <row r="20" ht="15.6" customHeight="1">
      <c r="A20" s="8" t="n"/>
      <c r="B20" s="44" t="n"/>
      <c r="J20" s="45" t="n"/>
      <c r="K20" s="38" t="inlineStr">
        <is>
          <t>Con 10% (kg)</t>
        </is>
      </c>
      <c r="L20" s="42" t="n"/>
      <c r="M20" s="43" t="n"/>
      <c r="N20" s="39" t="n"/>
      <c r="O20" s="39" t="n"/>
      <c r="P20" s="39" t="n"/>
      <c r="Q20" s="39" t="n"/>
      <c r="R20" s="39" t="n">
        <v>1067.2</v>
      </c>
      <c r="S20" s="9" t="n"/>
    </row>
    <row r="21" ht="15.6" customHeight="1">
      <c r="A21" s="8" t="n"/>
      <c r="B21" s="44" t="n"/>
      <c r="J21" s="45" t="n"/>
      <c r="K21" s="38" t="n"/>
      <c r="L21" s="42" t="n"/>
      <c r="M21" s="43" t="n"/>
      <c r="N21" s="39" t="n"/>
      <c r="O21" s="39" t="n"/>
      <c r="P21" s="39" t="n"/>
      <c r="Q21" s="39" t="n"/>
      <c r="R21" s="39" t="n"/>
      <c r="S21" s="9" t="n"/>
    </row>
    <row r="22" ht="15.6" customHeight="1">
      <c r="A22" s="8" t="n"/>
      <c r="B22" s="44" t="n"/>
      <c r="J22" s="45" t="n"/>
      <c r="K22" s="38" t="n"/>
      <c r="L22" s="42" t="n"/>
      <c r="M22" s="43" t="n"/>
      <c r="N22" s="39" t="n"/>
      <c r="O22" s="39" t="n"/>
      <c r="P22" s="39" t="n"/>
      <c r="Q22" s="39" t="n"/>
      <c r="R22" s="39" t="n"/>
      <c r="S22" s="9" t="n"/>
    </row>
    <row r="23" ht="15.6" customHeight="1">
      <c r="A23" s="8" t="n"/>
      <c r="B23" s="44" t="n"/>
      <c r="J23" s="45" t="n"/>
      <c r="K23" s="38" t="n"/>
      <c r="L23" s="42" t="n"/>
      <c r="M23" s="43" t="n"/>
      <c r="N23" s="39" t="n"/>
      <c r="O23" s="39" t="n"/>
      <c r="P23" s="39" t="n"/>
      <c r="Q23" s="39" t="n"/>
      <c r="R23" s="39" t="n"/>
      <c r="S23" s="9" t="n"/>
    </row>
    <row r="24" ht="15.6" customHeight="1">
      <c r="A24" s="8" t="n"/>
      <c r="B24" s="44" t="n"/>
      <c r="J24" s="45" t="n"/>
      <c r="K24" s="38" t="n"/>
      <c r="L24" s="42" t="n"/>
      <c r="M24" s="43" t="n"/>
      <c r="N24" s="39" t="n"/>
      <c r="O24" s="39" t="n"/>
      <c r="P24" s="39" t="n"/>
      <c r="Q24" s="39" t="n"/>
      <c r="R24" s="39" t="n"/>
      <c r="S24" s="9" t="n"/>
    </row>
    <row r="25" ht="15.6" customHeight="1">
      <c r="A25" s="8" t="n"/>
      <c r="B25" s="44" t="n"/>
      <c r="J25" s="45" t="n"/>
      <c r="K25" s="38" t="n"/>
      <c r="L25" s="42" t="n"/>
      <c r="M25" s="43" t="n"/>
      <c r="N25" s="39" t="n"/>
      <c r="O25" s="39" t="n"/>
      <c r="P25" s="39" t="n"/>
      <c r="Q25" s="39" t="n"/>
      <c r="R25" s="39" t="n"/>
      <c r="S25" s="9" t="n"/>
    </row>
    <row r="26" ht="15.6" customHeight="1">
      <c r="A26" s="8" t="n"/>
      <c r="B26" s="44" t="n"/>
      <c r="J26" s="45" t="n"/>
      <c r="K26" s="38" t="n"/>
      <c r="L26" s="42" t="n"/>
      <c r="M26" s="43" t="n"/>
      <c r="N26" s="39" t="n"/>
      <c r="O26" s="39" t="n"/>
      <c r="P26" s="39" t="n"/>
      <c r="Q26" s="39" t="n"/>
      <c r="R26" s="39" t="n"/>
      <c r="S26" s="9" t="n"/>
    </row>
    <row r="27" ht="15.6" customHeight="1">
      <c r="A27" s="8" t="n"/>
      <c r="B27" s="44" t="n"/>
      <c r="J27" s="45" t="n"/>
      <c r="K27" s="38" t="n"/>
      <c r="L27" s="42" t="n"/>
      <c r="M27" s="43" t="n"/>
      <c r="N27" s="39" t="n"/>
      <c r="O27" s="39" t="n"/>
      <c r="P27" s="39" t="n"/>
      <c r="Q27" s="39" t="n"/>
      <c r="R27" s="39" t="n"/>
      <c r="S27" s="9" t="n"/>
    </row>
    <row r="28" ht="15.6" customHeight="1">
      <c r="A28" s="8" t="n"/>
      <c r="B28" s="44" t="n"/>
      <c r="J28" s="45" t="n"/>
      <c r="K28" s="38" t="n"/>
      <c r="L28" s="42" t="n"/>
      <c r="M28" s="43" t="n"/>
      <c r="N28" s="39" t="n"/>
      <c r="O28" s="39" t="n"/>
      <c r="P28" s="39" t="n"/>
      <c r="Q28" s="39" t="n"/>
      <c r="R28" s="39" t="n"/>
      <c r="S28" s="9" t="n"/>
    </row>
    <row r="29" ht="15.6" customHeight="1">
      <c r="A29" s="8" t="n"/>
      <c r="B29" s="44" t="n"/>
      <c r="J29" s="45" t="n"/>
      <c r="K29" s="38" t="n"/>
      <c r="L29" s="42" t="n"/>
      <c r="M29" s="43" t="n"/>
      <c r="N29" s="39" t="n"/>
      <c r="O29" s="39" t="n"/>
      <c r="P29" s="39" t="n"/>
      <c r="Q29" s="39" t="n"/>
      <c r="R29" s="39" t="n"/>
      <c r="S29" s="9" t="n"/>
    </row>
    <row r="30" ht="15.6" customHeight="1">
      <c r="A30" s="8" t="n"/>
      <c r="B30" s="44" t="n"/>
      <c r="J30" s="45" t="n"/>
      <c r="K30" s="38" t="n"/>
      <c r="L30" s="42" t="n"/>
      <c r="M30" s="43" t="n"/>
      <c r="N30" s="39" t="n"/>
      <c r="O30" s="39" t="n"/>
      <c r="P30" s="39" t="n"/>
      <c r="Q30" s="39" t="n"/>
      <c r="R30" s="39" t="n"/>
      <c r="S30" s="9" t="n"/>
    </row>
    <row r="31" ht="15.6" customHeight="1">
      <c r="A31" s="8" t="n"/>
      <c r="B31" s="44" t="n"/>
      <c r="J31" s="45" t="n"/>
      <c r="K31" s="38" t="n"/>
      <c r="L31" s="42" t="n"/>
      <c r="M31" s="43" t="n"/>
      <c r="N31" s="39" t="n"/>
      <c r="O31" s="39" t="n"/>
      <c r="P31" s="39" t="n"/>
      <c r="Q31" s="39" t="n"/>
      <c r="R31" s="39" t="n"/>
      <c r="S31" s="9" t="n"/>
    </row>
    <row r="32" ht="15.6" customHeight="1">
      <c r="A32" s="8" t="n"/>
      <c r="B32" s="44" t="n"/>
      <c r="J32" s="45" t="n"/>
      <c r="K32" s="38" t="n"/>
      <c r="L32" s="42" t="n"/>
      <c r="M32" s="43" t="n"/>
      <c r="N32" s="39" t="n"/>
      <c r="O32" s="39" t="n"/>
      <c r="P32" s="39" t="n"/>
      <c r="Q32" s="39" t="n"/>
      <c r="R32" s="39" t="n"/>
      <c r="S32" s="9" t="n"/>
    </row>
    <row r="33" ht="15.6" customHeight="1">
      <c r="A33" s="8" t="n"/>
      <c r="B33" s="44" t="n"/>
      <c r="J33" s="45" t="n"/>
      <c r="K33" s="38" t="n"/>
      <c r="L33" s="42" t="n"/>
      <c r="M33" s="43" t="n"/>
      <c r="N33" s="39" t="n"/>
      <c r="O33" s="39" t="n"/>
      <c r="P33" s="39" t="n"/>
      <c r="Q33" s="39" t="n"/>
      <c r="R33" s="39" t="n"/>
      <c r="S33" s="9" t="n"/>
    </row>
    <row r="34" ht="15.6" customHeight="1">
      <c r="A34" s="8" t="n"/>
      <c r="B34" s="44" t="n"/>
      <c r="J34" s="45" t="n"/>
      <c r="K34" s="38" t="n"/>
      <c r="L34" s="42" t="n"/>
      <c r="M34" s="43" t="n"/>
      <c r="N34" s="39" t="n"/>
      <c r="O34" s="39" t="n"/>
      <c r="P34" s="39" t="n"/>
      <c r="Q34" s="39" t="n"/>
      <c r="R34" s="39" t="n"/>
      <c r="S34" s="9" t="n"/>
    </row>
    <row r="35" ht="15.6" customHeight="1">
      <c r="A35" s="8" t="n"/>
      <c r="B35" s="44" t="n"/>
      <c r="J35" s="45" t="n"/>
      <c r="K35" s="38" t="n"/>
      <c r="L35" s="42" t="n"/>
      <c r="M35" s="43" t="n"/>
      <c r="N35" s="39" t="n"/>
      <c r="O35" s="39" t="n"/>
      <c r="P35" s="39" t="n"/>
      <c r="Q35" s="39" t="n"/>
      <c r="R35" s="39" t="n"/>
      <c r="S35" s="9" t="n"/>
    </row>
    <row r="36" ht="15.6" customHeight="1">
      <c r="A36" s="8" t="n"/>
      <c r="B36" s="44" t="n"/>
      <c r="J36" s="45" t="n"/>
      <c r="K36" s="38" t="n"/>
      <c r="L36" s="42" t="n"/>
      <c r="M36" s="43" t="n"/>
      <c r="N36" s="39" t="n"/>
      <c r="O36" s="39" t="n"/>
      <c r="P36" s="39" t="n"/>
      <c r="Q36" s="39" t="n"/>
      <c r="R36" s="39" t="n"/>
      <c r="S36" s="9" t="n"/>
    </row>
    <row r="37" ht="15.6" customHeight="1">
      <c r="A37" s="8" t="n"/>
      <c r="B37" s="46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22" t="inlineStr">
        <is>
          <t>TOTAL</t>
        </is>
      </c>
      <c r="L37" s="42" t="n"/>
      <c r="M37" s="42" t="n"/>
      <c r="N37" s="42" t="n"/>
      <c r="O37" s="42" t="n"/>
      <c r="P37" s="42" t="n"/>
      <c r="Q37" s="43" t="n"/>
      <c r="R37" s="19">
        <f>R20</f>
        <v>1067.2</v>
      </c>
      <c r="S37" s="9" t="n"/>
    </row>
    <row r="38" ht="15.6" customHeight="1">
      <c r="A38" s="8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9" t="n"/>
    </row>
    <row r="39" ht="15.6" customHeight="1">
      <c r="A39" s="8" t="n"/>
      <c r="B39" s="22" t="inlineStr">
        <is>
          <t>OBSERVACIONES</t>
        </is>
      </c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  <c r="S39" s="9" t="n"/>
    </row>
    <row r="40" ht="15.6" customHeight="1">
      <c r="A40" s="8" t="n"/>
      <c r="B40" s="38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1" t="n"/>
      <c r="S40" s="9" t="n"/>
    </row>
    <row r="41" ht="15.6" customHeight="1">
      <c r="A41" s="8" t="n"/>
      <c r="B41" s="44" t="n"/>
      <c r="R41" s="45" t="n"/>
      <c r="S41" s="9" t="n"/>
    </row>
    <row r="42" ht="15.6" customHeight="1">
      <c r="A42" s="8" t="n"/>
      <c r="B42" s="44" t="n"/>
      <c r="R42" s="45" t="n"/>
      <c r="S42" s="9" t="n"/>
    </row>
    <row r="43" ht="15.6" customHeight="1">
      <c r="A43" s="8" t="n"/>
      <c r="B43" s="44" t="n"/>
      <c r="R43" s="45" t="n"/>
      <c r="S43" s="9" t="n"/>
    </row>
    <row r="44" ht="15.6" customHeight="1">
      <c r="A44" s="8" t="n"/>
      <c r="B44" s="46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8" t="n"/>
      <c r="S44" s="9" t="n"/>
    </row>
    <row r="45" ht="15.6" customHeight="1">
      <c r="A45" s="8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9" t="n"/>
    </row>
    <row r="46" ht="15.6" customHeight="1">
      <c r="A46" s="8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9" t="n"/>
    </row>
    <row r="47" ht="15.6" customHeight="1">
      <c r="A47" s="14" t="n"/>
      <c r="B47" s="15" t="inlineStr">
        <is>
          <t>Elaboró</t>
        </is>
      </c>
      <c r="C47" s="16" t="n"/>
      <c r="D47" s="16" t="n"/>
      <c r="E47" s="16" t="n"/>
      <c r="F47" s="16" t="n"/>
      <c r="G47" s="16" t="n"/>
      <c r="H47" s="16" t="n"/>
      <c r="I47" s="15" t="inlineStr">
        <is>
          <t>Revisó</t>
        </is>
      </c>
      <c r="J47" s="16" t="n"/>
      <c r="K47" s="16" t="n"/>
      <c r="L47" s="16" t="n"/>
      <c r="M47" s="16" t="n"/>
      <c r="N47" s="16" t="n"/>
      <c r="O47" s="16" t="n"/>
      <c r="P47" s="15" t="inlineStr">
        <is>
          <t>Aprobó</t>
        </is>
      </c>
      <c r="Q47" s="16" t="n"/>
      <c r="R47" s="16" t="n"/>
      <c r="S47" s="17" t="n"/>
    </row>
    <row r="48" ht="15.6" customHeight="1">
      <c r="A48" s="8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9" t="n"/>
    </row>
    <row r="49" ht="15.6" customHeight="1">
      <c r="A49" s="8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9" t="n"/>
    </row>
    <row r="50" ht="15.6" customHeight="1">
      <c r="A50" s="8" t="n"/>
      <c r="B50" s="11" t="n"/>
      <c r="C50" s="11" t="n"/>
      <c r="D50" s="11" t="n"/>
      <c r="E50" s="21" t="n"/>
      <c r="F50" s="21" t="n"/>
      <c r="G50" s="21" t="n"/>
      <c r="H50" s="21" t="n"/>
      <c r="I50" s="11" t="n"/>
      <c r="J50" s="11" t="n"/>
      <c r="K50" s="11" t="n"/>
      <c r="L50" s="21" t="n"/>
      <c r="M50" s="21" t="n"/>
      <c r="N50" s="21" t="n"/>
      <c r="O50" s="21" t="n"/>
      <c r="P50" s="11" t="n"/>
      <c r="Q50" s="11" t="n"/>
      <c r="R50" s="11" t="n"/>
      <c r="S50" s="9" t="n"/>
    </row>
    <row r="51" ht="15.6" customHeight="1">
      <c r="A51" s="8" t="n"/>
      <c r="E51" s="21" t="n"/>
      <c r="F51" s="21" t="n"/>
      <c r="G51" s="21" t="n"/>
      <c r="H51" s="21" t="n"/>
      <c r="I51" s="32" t="n"/>
      <c r="J51" s="40" t="n"/>
      <c r="K51" s="40" t="n"/>
      <c r="L51" s="21" t="n"/>
      <c r="M51" s="21" t="n"/>
      <c r="N51" s="21" t="n"/>
      <c r="O51" s="21" t="n"/>
      <c r="P51" s="32" t="n"/>
      <c r="Q51" s="40" t="n"/>
      <c r="R51" s="40" t="n"/>
      <c r="S51" s="9" t="n"/>
    </row>
    <row r="52" ht="15.6" customHeight="1">
      <c r="A52" s="8" t="n"/>
      <c r="E52" s="21" t="n"/>
      <c r="F52" s="21" t="n"/>
      <c r="G52" s="21" t="n"/>
      <c r="H52" s="21" t="n"/>
      <c r="I52" s="21" t="n"/>
      <c r="L52" s="21" t="n"/>
      <c r="M52" s="21" t="n"/>
      <c r="N52" s="21" t="n"/>
      <c r="O52" s="21" t="n"/>
      <c r="P52" s="21" t="n"/>
      <c r="S52" s="9" t="n"/>
    </row>
    <row r="53" ht="15.6" customHeight="1">
      <c r="A53" s="8" t="n"/>
      <c r="E53" s="21" t="n"/>
      <c r="F53" s="21" t="n"/>
      <c r="G53" s="21" t="n"/>
      <c r="H53" s="21" t="n"/>
      <c r="I53" s="37" t="n"/>
      <c r="L53" s="21" t="n"/>
      <c r="M53" s="21" t="n"/>
      <c r="N53" s="21" t="n"/>
      <c r="O53" s="21" t="n"/>
      <c r="P53" s="37" t="n"/>
      <c r="S53" s="9" t="n"/>
    </row>
    <row r="54" ht="15.6" customHeight="1">
      <c r="A54" s="8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9" t="n"/>
    </row>
    <row r="55" ht="15.6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2" t="n"/>
    </row>
  </sheetData>
  <mergeCells count="51">
    <mergeCell ref="B40:R44"/>
    <mergeCell ref="P52:R52"/>
    <mergeCell ref="K32:M32"/>
    <mergeCell ref="D12:M12"/>
    <mergeCell ref="K22:M22"/>
    <mergeCell ref="E3:O7"/>
    <mergeCell ref="K31:M31"/>
    <mergeCell ref="I53:K53"/>
    <mergeCell ref="R15:R16"/>
    <mergeCell ref="B16:J37"/>
    <mergeCell ref="B12:C12"/>
    <mergeCell ref="K15:M16"/>
    <mergeCell ref="K37:Q37"/>
    <mergeCell ref="E8:O10"/>
    <mergeCell ref="N12:O12"/>
    <mergeCell ref="I52:K52"/>
    <mergeCell ref="K27:M27"/>
    <mergeCell ref="B39:R39"/>
    <mergeCell ref="D13:H13"/>
    <mergeCell ref="K23:M23"/>
    <mergeCell ref="P53:R53"/>
    <mergeCell ref="B11:R11"/>
    <mergeCell ref="K17:M17"/>
    <mergeCell ref="P12:R12"/>
    <mergeCell ref="Q15:Q16"/>
    <mergeCell ref="P3:R3"/>
    <mergeCell ref="I51:K51"/>
    <mergeCell ref="B14:R14"/>
    <mergeCell ref="B15:J15"/>
    <mergeCell ref="N15:P15"/>
    <mergeCell ref="K19:M19"/>
    <mergeCell ref="B3:D10"/>
    <mergeCell ref="K28:M28"/>
    <mergeCell ref="P5:R5"/>
    <mergeCell ref="K13:P13"/>
    <mergeCell ref="K18:M18"/>
    <mergeCell ref="K34:M34"/>
    <mergeCell ref="P4:R4"/>
    <mergeCell ref="P51:R51"/>
    <mergeCell ref="K30:M30"/>
    <mergeCell ref="K25:M25"/>
    <mergeCell ref="K33:M33"/>
    <mergeCell ref="P9:Q10"/>
    <mergeCell ref="K24:M24"/>
    <mergeCell ref="K36:M36"/>
    <mergeCell ref="K20:M20"/>
    <mergeCell ref="K21:M21"/>
    <mergeCell ref="K35:M35"/>
    <mergeCell ref="K26:M26"/>
    <mergeCell ref="K29:M29"/>
    <mergeCell ref="P6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Felipe  Sánchez Cortés</dc:creator>
  <dcterms:created xsi:type="dcterms:W3CDTF">2025-10-01T01:21:45Z</dcterms:created>
  <dcterms:modified xsi:type="dcterms:W3CDTF">2026-06-24T16:17:56Z</dcterms:modified>
  <cp:lastModifiedBy>giovanni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0x010100C520D7DB58D1DD4A9D98E00F2F38DC39</vt:lpwstr>
  </property>
</Properties>
</file>