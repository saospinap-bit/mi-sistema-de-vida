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51" firstSheet="0" activeTab="0" autoFilterDateGrouping="1"/>
  </bookViews>
  <sheets>
    <sheet name="PRESUPUESTO TESALIA" sheetId="1" state="visible" r:id="rId1"/>
  </sheets>
  <definedNames>
    <definedName name="_xlnm.Print_Area" localSheetId="0">'PRESUPUESTO TESALIA'!$A$1:$F$80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0.0"/>
    <numFmt numFmtId="166" formatCode="_-$ * #,##0_-;-$ * #,##0_-;_-$ * &quot;-&quot;_-;_-@_-"/>
  </numFmts>
  <fonts count="11">
    <font>
      <name val="Times New Roman"/>
      <charset val="204"/>
      <color rgb="FF000000"/>
      <sz val="10"/>
    </font>
    <font>
      <name val="Arial"/>
      <family val="2"/>
      <b val="1"/>
      <sz val="10"/>
    </font>
    <font>
      <name val="Times New Roman"/>
      <family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Calibri"/>
      <family val="2"/>
      <color theme="1"/>
      <sz val="10"/>
      <scheme val="minor"/>
    </font>
    <font>
      <name val="Times New Roman"/>
      <charset val="204"/>
      <sz val="8"/>
    </font>
  </fonts>
  <fills count="9">
    <fill>
      <patternFill/>
    </fill>
    <fill>
      <patternFill patternType="gray125"/>
    </fill>
    <fill>
      <patternFill patternType="solid">
        <fgColor rgb="FFDAEDF3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/>
    <xf numFmtId="0" fontId="9" fillId="0" borderId="0"/>
    <xf numFmtId="0" fontId="6" fillId="0" borderId="0"/>
  </cellStyleXfs>
  <cellXfs count="42"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center"/>
    </xf>
    <xf numFmtId="164" fontId="3" fillId="5" borderId="1" applyAlignment="1" pivotButton="0" quotePrefix="0" xfId="1">
      <alignment vertical="center"/>
    </xf>
    <xf numFmtId="164" fontId="4" fillId="5" borderId="1" applyAlignment="1" pivotButton="0" quotePrefix="0" xfId="1">
      <alignment vertical="center"/>
    </xf>
    <xf numFmtId="164" fontId="3" fillId="0" borderId="1" applyAlignment="1" pivotButton="0" quotePrefix="0" xfId="1">
      <alignment vertical="center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0" borderId="1" applyAlignment="1" pivotButton="0" quotePrefix="0" xfId="1">
      <alignment vertical="center"/>
    </xf>
    <xf numFmtId="0" fontId="3" fillId="0" borderId="0" applyAlignment="1" pivotButton="0" quotePrefix="0" xfId="0">
      <alignment horizontal="left" vertical="top"/>
    </xf>
    <xf numFmtId="164" fontId="8" fillId="0" borderId="1" applyAlignment="1" pivotButton="0" quotePrefix="0" xfId="1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1">
      <alignment vertical="center"/>
    </xf>
    <xf numFmtId="9" fontId="3" fillId="0" borderId="1" applyAlignment="1" pivotButton="0" quotePrefix="0" xfId="1">
      <alignment horizontal="center" vertical="center"/>
    </xf>
    <xf numFmtId="164" fontId="7" fillId="0" borderId="1" applyAlignment="1" pivotButton="0" quotePrefix="0" xfId="1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164" fontId="3" fillId="0" borderId="0" applyAlignment="1" pivotButton="0" quotePrefix="0" xfId="1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1">
      <alignment vertical="center"/>
    </xf>
    <xf numFmtId="0" fontId="0" fillId="0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1">
      <alignment vertical="center"/>
    </xf>
    <xf numFmtId="166" fontId="3" fillId="7" borderId="1" applyAlignment="1" pivotButton="0" quotePrefix="0" xfId="1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4">
    <cellStyle name="Normal" xfId="0" builtinId="0"/>
    <cellStyle name="Moneda" xfId="1" builtinId="4"/>
    <cellStyle name="Normal 11" xfId="2"/>
    <cellStyle name="Normal 8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tabSelected="1" topLeftCell="A31" zoomScale="95" zoomScaleNormal="95" workbookViewId="0">
      <selection activeCell="A52" sqref="A52:XFD52"/>
    </sheetView>
  </sheetViews>
  <sheetFormatPr baseColWidth="10" defaultColWidth="9.33203125" defaultRowHeight="13.2"/>
  <cols>
    <col width="9.77734375" customWidth="1" style="1" min="1" max="1"/>
    <col width="81" customWidth="1" style="1" min="2" max="2"/>
    <col width="14" customWidth="1" style="1" min="3" max="3"/>
    <col width="19.6640625" customWidth="1" style="1" min="4" max="4"/>
    <col width="20" customWidth="1" style="1" min="5" max="5"/>
    <col width="33.109375" bestFit="1" customWidth="1" style="1" min="6" max="6"/>
    <col width="9.33203125" customWidth="1" style="1" min="7" max="7"/>
    <col width="20.44140625" bestFit="1" customWidth="1" style="1" min="8" max="8"/>
    <col width="9.33203125" customWidth="1" style="1" min="9" max="16384"/>
  </cols>
  <sheetData>
    <row r="1">
      <c r="A1" s="15" t="inlineStr">
        <is>
          <t>ITEM</t>
        </is>
      </c>
      <c r="B1" s="15" t="inlineStr">
        <is>
          <t xml:space="preserve">DESCRIPCION ITEM </t>
        </is>
      </c>
      <c r="C1" s="15" t="inlineStr">
        <is>
          <t>UND</t>
        </is>
      </c>
      <c r="D1" s="15" t="inlineStr">
        <is>
          <t>CANTIDAD</t>
        </is>
      </c>
      <c r="E1" s="15" t="inlineStr">
        <is>
          <t>VALOR UNITARIO</t>
        </is>
      </c>
      <c r="F1" s="15" t="inlineStr">
        <is>
          <t>VALOR TOTAL</t>
        </is>
      </c>
    </row>
    <row r="2">
      <c r="A2" s="32" t="n"/>
      <c r="B2" s="31" t="inlineStr">
        <is>
          <t>MODULO 1</t>
        </is>
      </c>
      <c r="C2" s="17" t="n"/>
      <c r="D2" s="17" t="n"/>
      <c r="E2" s="17" t="n"/>
      <c r="F2" s="17" t="n"/>
    </row>
    <row r="3">
      <c r="A3" s="6" t="n"/>
      <c r="B3" s="6" t="n"/>
      <c r="C3" s="6" t="n"/>
      <c r="D3" s="6" t="n"/>
      <c r="E3" s="16" t="n"/>
      <c r="F3" s="16" t="n"/>
    </row>
    <row r="4">
      <c r="A4" s="18" t="n">
        <v>2</v>
      </c>
      <c r="B4" s="19" t="inlineStr">
        <is>
          <t>CIMENTACIÓN</t>
        </is>
      </c>
      <c r="C4" s="7" t="n"/>
      <c r="D4" s="7" t="n"/>
      <c r="E4" s="7" t="n"/>
      <c r="F4" s="7" t="n"/>
    </row>
    <row r="5">
      <c r="A5" s="24" t="n"/>
      <c r="B5" s="6" t="n"/>
      <c r="C5" s="6" t="n"/>
      <c r="D5" s="6" t="n"/>
      <c r="E5" s="16" t="n"/>
      <c r="F5" s="16" t="n"/>
    </row>
    <row r="6">
      <c r="A6" s="20" t="n">
        <v>2.1</v>
      </c>
      <c r="B6" s="21" t="inlineStr">
        <is>
          <t>EXCAVACIONES. RELLENOS Y REEMPLAZOS</t>
        </is>
      </c>
      <c r="C6" s="22" t="n"/>
      <c r="D6" s="22" t="n"/>
      <c r="E6" s="2" t="n"/>
      <c r="F6" s="3">
        <f>SUM(F7:F11)</f>
        <v>20710590.26</v>
      </c>
    </row>
    <row r="7" ht="26.4" customHeight="1" s="30">
      <c r="A7" s="5" t="inlineStr">
        <is>
          <t>2.1.1</t>
        </is>
      </c>
      <c r="B7" s="23" t="inlineStr">
        <is>
          <t>EXCAVACIÓN A MAQUINA  A CIELO ABIERTO - CONGLOMERADO - 0.0 A 2.0 MT INCLUYE RETIRO DE SOBRANTES Y DISPOSICION FINAL A SITIO AUTORIZADO  HASTA 15 KM</t>
        </is>
      </c>
      <c r="C7" s="5" t="inlineStr">
        <is>
          <t>M3</t>
        </is>
      </c>
      <c r="D7" s="37" t="n">
        <v>112.12</v>
      </c>
      <c r="E7" s="38" t="n">
        <v>57938</v>
      </c>
      <c r="F7" s="8">
        <f>+D7*E7</f>
        <v>6496008.5600000005</v>
      </c>
    </row>
    <row r="8">
      <c r="A8" s="5" t="inlineStr">
        <is>
          <t>2.1.2</t>
        </is>
      </c>
      <c r="B8" s="23" t="inlineStr">
        <is>
          <t>RELLENO COMPACTADO EN MATERIAL GRANULAR DE SUBBASE B= 400</t>
        </is>
      </c>
      <c r="C8" s="5" t="inlineStr">
        <is>
          <t>M3</t>
        </is>
      </c>
      <c r="D8" s="37" t="n">
        <v>64.86</v>
      </c>
      <c r="E8" s="39" t="n">
        <v>129619</v>
      </c>
      <c r="F8" s="8">
        <f>+D8*E8</f>
        <v>8407088.34</v>
      </c>
    </row>
    <row r="9" ht="26.4" customHeight="1" s="30">
      <c r="A9" s="5" t="inlineStr">
        <is>
          <t>2.1.3</t>
        </is>
      </c>
      <c r="B9" s="23" t="inlineStr">
        <is>
          <t>EXCAVACIÓN MANUAL - MATERIAL COMÚN - 0.0 A 2.0 MT  INCLUYE RETIRO DE SOBRANTES  Y DISPOSICION FINAL A SITIO AUTORIZADO HASTA 15 KM</t>
        </is>
      </c>
      <c r="C9" s="5" t="inlineStr">
        <is>
          <t>M3</t>
        </is>
      </c>
      <c r="D9" s="37" t="n">
        <v>7.48</v>
      </c>
      <c r="E9" s="38" t="n">
        <v>74250</v>
      </c>
      <c r="F9" s="8">
        <f>+D9*E9</f>
        <v>555390.0</v>
      </c>
    </row>
    <row r="10" ht="26.4" customHeight="1" s="30">
      <c r="A10" s="5" t="inlineStr">
        <is>
          <t>2.1.4</t>
        </is>
      </c>
      <c r="B10" s="23" t="inlineStr">
        <is>
          <t>RELLENOS COMPACTADOS CON MATERIAL COMÚN DE CANTERA DE PRÉSTAMO RECEBO COMUN</t>
        </is>
      </c>
      <c r="C10" s="5" t="inlineStr">
        <is>
          <t>M3</t>
        </is>
      </c>
      <c r="D10" s="37" t="n">
        <v>43.24</v>
      </c>
      <c r="E10" s="38" t="n">
        <v>92119</v>
      </c>
      <c r="F10" s="8">
        <f>+D10*E10</f>
        <v>3983225.56</v>
      </c>
    </row>
    <row r="11">
      <c r="A11" s="5" t="inlineStr">
        <is>
          <t>2.1.6</t>
        </is>
      </c>
      <c r="B11" s="23" t="inlineStr">
        <is>
          <t>GEOTEXTIL NT 1600 SUMINISTRO E INSTALACION</t>
        </is>
      </c>
      <c r="C11" s="5" t="inlineStr">
        <is>
          <t>M2</t>
        </is>
      </c>
      <c r="D11" s="37" t="n">
        <v>216.2</v>
      </c>
      <c r="E11" s="38" t="n">
        <v>5869</v>
      </c>
      <c r="F11" s="8">
        <f>+D11*E11</f>
        <v>1268877.8</v>
      </c>
    </row>
    <row r="12">
      <c r="A12" s="24" t="n"/>
      <c r="B12" s="6" t="n"/>
      <c r="C12" s="6" t="n"/>
      <c r="D12" s="6" t="n"/>
      <c r="E12" s="16" t="n"/>
      <c r="F12" s="16" t="n"/>
    </row>
    <row r="13">
      <c r="A13" s="20" t="n">
        <v>2.2</v>
      </c>
      <c r="B13" s="21" t="inlineStr">
        <is>
          <t>CONCRETOS DE CIMENTACIÓN</t>
        </is>
      </c>
      <c r="C13" s="22" t="n"/>
      <c r="D13" s="22" t="n"/>
      <c r="E13" s="2" t="n"/>
      <c r="F13" s="3">
        <f>SUM(F14:F15)</f>
        <v>11094907.749999998</v>
      </c>
    </row>
    <row r="14" ht="26.4" customHeight="1" s="30">
      <c r="A14" s="5" t="inlineStr">
        <is>
          <t>2.2.1</t>
        </is>
      </c>
      <c r="B14" s="28" t="inlineStr">
        <is>
          <t>VIGAS DE CIMENTACIÓN CONCRETO DE 3000PSI. (INCLUYE FORMALETA. VIBRADO. CURADO Y DESMOLDEANTE. NO INCLUYE ACERO)</t>
        </is>
      </c>
      <c r="C14" s="5" t="inlineStr">
        <is>
          <t>M3</t>
        </is>
      </c>
      <c r="D14" s="37" t="n">
        <v>13.7</v>
      </c>
      <c r="E14" s="38" t="n">
        <v>737194</v>
      </c>
      <c r="F14" s="8">
        <f>+D14*E14</f>
        <v>10099557.799999999</v>
      </c>
    </row>
    <row r="15">
      <c r="A15" s="5" t="inlineStr">
        <is>
          <t>2.2.2</t>
        </is>
      </c>
      <c r="B15" s="23" t="inlineStr">
        <is>
          <t>CONCRETO 1.500 PSI PARA SOLADOS E=0.05M   SUMINISTRO E INSTALACION</t>
        </is>
      </c>
      <c r="C15" s="5" t="inlineStr">
        <is>
          <t>M2</t>
        </is>
      </c>
      <c r="D15" s="37" t="n">
        <v>38.05</v>
      </c>
      <c r="E15" s="38" t="n">
        <v>26159</v>
      </c>
      <c r="F15" s="8">
        <f>+D15*E15</f>
        <v>995349.95</v>
      </c>
    </row>
    <row r="16">
      <c r="A16" s="24" t="n"/>
      <c r="B16" s="6" t="n"/>
      <c r="C16" s="6" t="n"/>
      <c r="D16" s="6" t="n"/>
      <c r="E16" s="16" t="n"/>
      <c r="F16" s="16" t="n"/>
    </row>
    <row r="17">
      <c r="A17" s="20" t="n">
        <v>2.3</v>
      </c>
      <c r="B17" s="21" t="inlineStr">
        <is>
          <t>REFUERZOS DE CIMENTACIÓN</t>
        </is>
      </c>
      <c r="C17" s="22" t="n"/>
      <c r="D17" s="22" t="n"/>
      <c r="E17" s="2" t="n"/>
      <c r="F17" s="3">
        <f>SUM(F18:F19)</f>
        <v>9051767.399999999</v>
      </c>
    </row>
    <row r="18" ht="26.4" customHeight="1" s="30">
      <c r="A18" s="5" t="inlineStr">
        <is>
          <t>2.3.1</t>
        </is>
      </c>
      <c r="B18" s="23" t="inlineStr">
        <is>
          <t>ACERO FIGURADO DE REFUERZO 60000 PSI VIGAS CIMENTACIÓN. INCLUYE ALAMBRE DE AMARRE</t>
        </is>
      </c>
      <c r="C18" s="5" t="inlineStr">
        <is>
          <t>KG</t>
        </is>
      </c>
      <c r="D18" s="37" t="n">
        <v>1302.6</v>
      </c>
      <c r="E18" s="38" t="n">
        <v>6949</v>
      </c>
      <c r="F18" s="8">
        <f>+D18*E18</f>
        <v>9051767.399999999</v>
      </c>
    </row>
    <row r="19">
      <c r="A19" s="24" t="n"/>
      <c r="B19" s="6" t="n"/>
      <c r="C19" s="6" t="n"/>
      <c r="D19" s="6" t="n"/>
      <c r="E19" s="16" t="n"/>
      <c r="F19" s="16" t="n"/>
    </row>
    <row r="20">
      <c r="A20" s="18" t="n">
        <v>4</v>
      </c>
      <c r="B20" s="19" t="inlineStr">
        <is>
          <t>ESTRUCTURA EN CONCRETO Y METALICAS</t>
        </is>
      </c>
      <c r="C20" s="7" t="n"/>
      <c r="D20" s="7" t="n"/>
      <c r="E20" s="7" t="n"/>
      <c r="F20" s="7" t="n"/>
    </row>
    <row r="21">
      <c r="A21" s="24" t="n"/>
      <c r="B21" s="6" t="n"/>
      <c r="C21" s="6" t="n"/>
      <c r="D21" s="6" t="n"/>
      <c r="E21" s="16" t="n"/>
      <c r="F21" s="16" t="n"/>
    </row>
    <row r="22">
      <c r="A22" s="20" t="n">
        <v>4.1</v>
      </c>
      <c r="B22" s="21" t="inlineStr">
        <is>
          <t>COLUMNAS EN CONCRETO</t>
        </is>
      </c>
      <c r="C22" s="22" t="n"/>
      <c r="D22" s="22" t="n"/>
      <c r="E22" s="2" t="n"/>
      <c r="F22" s="3">
        <f>SUM(F23)</f>
        <v>6602447.999999999</v>
      </c>
    </row>
    <row r="23" ht="26.4" customHeight="1" s="30">
      <c r="A23" s="5" t="inlineStr">
        <is>
          <t>4.1.1</t>
        </is>
      </c>
      <c r="B23" s="28" t="inlineStr">
        <is>
          <t>COLUMNAS EN CONCRETO 3.000 PSI ACABADO A LA VISTA  (INCLUYE FORMALETA. VIBRADO. CURADO Y DESMOLDEANTE. NO INCLUYE ACERO)</t>
        </is>
      </c>
      <c r="C23" s="5" t="inlineStr">
        <is>
          <t>M3</t>
        </is>
      </c>
      <c r="D23" s="37" t="n">
        <v>8.039999999999999</v>
      </c>
      <c r="E23" s="39" t="n">
        <v>821200</v>
      </c>
      <c r="F23" s="8">
        <f>+D23*E23</f>
        <v>6602447.999999999</v>
      </c>
    </row>
    <row r="24">
      <c r="A24" s="24" t="n"/>
      <c r="B24" s="6" t="n"/>
      <c r="C24" s="6" t="n"/>
      <c r="D24" s="6" t="n"/>
      <c r="E24" s="29" t="n"/>
      <c r="F24" s="8" t="n"/>
    </row>
    <row r="25">
      <c r="A25" s="20" t="n">
        <v>4.2</v>
      </c>
      <c r="B25" s="21" t="inlineStr">
        <is>
          <t>VIGAS DE CUBIERTA EN CONCRETO</t>
        </is>
      </c>
      <c r="C25" s="22" t="n"/>
      <c r="D25" s="22" t="n"/>
      <c r="E25" s="22" t="n"/>
      <c r="F25" s="3">
        <f>SUM(F26:F26)</f>
        <v>11417952.68</v>
      </c>
    </row>
    <row r="26" ht="26.4" customHeight="1" s="30">
      <c r="A26" s="5" t="inlineStr">
        <is>
          <t>4.2.1</t>
        </is>
      </c>
      <c r="B26" s="23" t="inlineStr">
        <is>
          <t>CONCRETO 3.000 PSI PARA VIGA CINTA  (INCLUYE FORMALETA. VIBRADO. CURADO Y DESMOLDEANTE. NO INCLUYE ACERO)</t>
        </is>
      </c>
      <c r="C26" s="5" t="inlineStr">
        <is>
          <t>M3</t>
        </is>
      </c>
      <c r="D26" s="37" t="n">
        <v>15.22</v>
      </c>
      <c r="E26" s="39" t="n">
        <v>750194</v>
      </c>
      <c r="F26" s="8">
        <f>+D26*E26</f>
        <v>11417952.68</v>
      </c>
    </row>
    <row r="27">
      <c r="A27" s="24" t="n"/>
      <c r="B27" s="6" t="n"/>
      <c r="C27" s="6" t="n"/>
      <c r="D27" s="6" t="n"/>
      <c r="E27" s="8" t="n"/>
      <c r="F27" s="8" t="n"/>
    </row>
    <row r="28">
      <c r="A28" s="20" t="n">
        <v>4.3</v>
      </c>
      <c r="B28" s="21" t="inlineStr">
        <is>
          <t>PLACA DE CONTRAPISO EN CONCRETO</t>
        </is>
      </c>
      <c r="C28" s="22" t="n"/>
      <c r="D28" s="22" t="n"/>
      <c r="E28" s="2" t="n"/>
      <c r="F28" s="3">
        <f>SUM(F29)</f>
        <v>14393515.0</v>
      </c>
    </row>
    <row r="29" ht="26.4" customHeight="1" s="30">
      <c r="A29" s="5" t="inlineStr">
        <is>
          <t>4.3.1</t>
        </is>
      </c>
      <c r="B29" s="23" t="inlineStr">
        <is>
          <t>ELABORACIÓN Y COLOCACIÓN DE CONCRETO DE 3000 PSI PARA LOSAS DE PISO. (INCLUYE FORMALETA. VIBRADO. CURADO Y DESMOLDEANTE. NO INCLUYE ACERO)</t>
        </is>
      </c>
      <c r="C29" s="5" t="inlineStr">
        <is>
          <t>M3</t>
        </is>
      </c>
      <c r="D29" s="37" t="n">
        <v>21.62</v>
      </c>
      <c r="E29" s="38" t="n">
        <v>665750</v>
      </c>
      <c r="F29" s="8">
        <f>+D29*E29</f>
        <v>14393515.0</v>
      </c>
    </row>
    <row r="30">
      <c r="A30" s="6" t="n"/>
      <c r="B30" s="6" t="n"/>
      <c r="C30" s="6" t="n"/>
      <c r="D30" s="6" t="n"/>
      <c r="E30" s="8" t="n"/>
      <c r="F30" s="8" t="n"/>
    </row>
    <row r="31">
      <c r="A31" s="20" t="n">
        <v>4.4</v>
      </c>
      <c r="B31" s="21" t="inlineStr">
        <is>
          <t>PLACAS DE CUBIERTA EN CONCRETO</t>
        </is>
      </c>
      <c r="C31" s="22" t="n"/>
      <c r="D31" s="22" t="n"/>
      <c r="E31" s="2" t="n"/>
      <c r="F31" s="3">
        <f>SUM(F32:F32)</f>
        <v>17116320.0</v>
      </c>
    </row>
    <row r="32" ht="26.4" customHeight="1" s="30">
      <c r="A32" s="5" t="inlineStr">
        <is>
          <t>4.3.3</t>
        </is>
      </c>
      <c r="B32" s="23" t="inlineStr">
        <is>
          <t>PLACA ALIGERADA CONCRETO 3000 PSI . (INCLUYE FORMALETA. VIBRADO. CURADO Y DESMOLDEANTE. NO INCLUYE ACERO)</t>
        </is>
      </c>
      <c r="C32" s="5" t="inlineStr">
        <is>
          <t>M2</t>
        </is>
      </c>
      <c r="D32" s="37" t="n">
        <v>135.2</v>
      </c>
      <c r="E32" s="38" t="n">
        <v>126600</v>
      </c>
      <c r="F32" s="8">
        <f>+D32*E32</f>
        <v>17116320.0</v>
      </c>
    </row>
    <row r="33">
      <c r="A33" s="24" t="n"/>
      <c r="B33" s="6" t="n"/>
      <c r="C33" s="6" t="n"/>
      <c r="D33" s="6" t="n"/>
      <c r="E33" s="8" t="n"/>
      <c r="F33" s="8" t="n"/>
    </row>
    <row r="34">
      <c r="A34" s="20" t="n">
        <v>4.6</v>
      </c>
      <c r="B34" s="21" t="inlineStr">
        <is>
          <t>ACERO DE REFUERZO PLACA CONTRAPISO</t>
        </is>
      </c>
      <c r="C34" s="22" t="n"/>
      <c r="D34" s="22" t="n"/>
      <c r="E34" s="2" t="n"/>
      <c r="F34" s="3">
        <f>SUM(F35:F36)</f>
        <v>9369952.5</v>
      </c>
    </row>
    <row r="35">
      <c r="A35" s="5" t="inlineStr">
        <is>
          <t>4.6.1</t>
        </is>
      </c>
      <c r="B35" s="23" t="inlineStr">
        <is>
          <t>SUMINISTRO E INSTALACIÓN DE MALLA ELECTROSOLDADA DE 8MM 15X15 ESTANDAR</t>
        </is>
      </c>
      <c r="C35" s="5" t="inlineStr">
        <is>
          <t>KG</t>
        </is>
      </c>
      <c r="D35" s="37" t="n">
        <v>1252.5</v>
      </c>
      <c r="E35" s="38" t="n">
        <v>7481</v>
      </c>
      <c r="F35" s="8">
        <f>+D35*E35</f>
        <v>9369952.5</v>
      </c>
    </row>
    <row r="36">
      <c r="A36" s="24" t="n"/>
      <c r="B36" s="6" t="n"/>
      <c r="C36" s="6" t="n"/>
      <c r="D36" s="6" t="n"/>
      <c r="E36" s="8" t="n"/>
      <c r="F36" s="8" t="n"/>
    </row>
    <row r="37">
      <c r="A37" s="20" t="n">
        <v>4.7</v>
      </c>
      <c r="B37" s="21" t="inlineStr">
        <is>
          <t>ACERO DE REFUERZO COLUMNAS TANQUE Y OTROS</t>
        </is>
      </c>
      <c r="C37" s="22" t="n"/>
      <c r="D37" s="22" t="n"/>
      <c r="E37" s="2" t="n"/>
      <c r="F37" s="3">
        <f>SUM(F38:F39)</f>
        <v>4476545.800000001</v>
      </c>
    </row>
    <row r="38">
      <c r="A38" s="5" t="inlineStr">
        <is>
          <t>4.7.1</t>
        </is>
      </c>
      <c r="B38" s="23" t="inlineStr">
        <is>
          <t>ACERO FIGURADO  DE REFUERZO 60000 PSI INCLUYE ALAMBRE DE AMARRE</t>
        </is>
      </c>
      <c r="C38" s="5" t="inlineStr">
        <is>
          <t>KG</t>
        </is>
      </c>
      <c r="D38" s="37" t="n">
        <v>644.2</v>
      </c>
      <c r="E38" s="38" t="n">
        <v>6949</v>
      </c>
      <c r="F38" s="8">
        <f>+D38*E38</f>
        <v>4476545.800000001</v>
      </c>
    </row>
    <row r="39">
      <c r="A39" s="24" t="n"/>
      <c r="B39" s="6" t="n"/>
      <c r="C39" s="6" t="n"/>
      <c r="D39" s="6" t="n"/>
      <c r="E39" s="8" t="n"/>
      <c r="F39" s="8" t="n"/>
    </row>
    <row r="40">
      <c r="A40" s="20" t="n">
        <v>4.8</v>
      </c>
      <c r="B40" s="21" t="inlineStr">
        <is>
          <t>ACERO DE REFUERZO VIGAS DE CUBIERTA Y "S"</t>
        </is>
      </c>
      <c r="C40" s="22" t="n"/>
      <c r="D40" s="22" t="n"/>
      <c r="E40" s="2" t="n"/>
      <c r="F40" s="3">
        <f>SUM(F41:F42)</f>
        <v>12214257.3</v>
      </c>
    </row>
    <row r="41">
      <c r="A41" s="5" t="inlineStr">
        <is>
          <t>4.8.1</t>
        </is>
      </c>
      <c r="B41" s="23" t="inlineStr">
        <is>
          <t>ACERO FIGURADO  DE REFUERZO 60000 PSI INCLUYE ALAMBRE DE AMARRE</t>
        </is>
      </c>
      <c r="C41" s="5" t="inlineStr">
        <is>
          <t>KG</t>
        </is>
      </c>
      <c r="D41" s="37" t="n">
        <v>1757.7</v>
      </c>
      <c r="E41" s="38" t="n">
        <v>6949</v>
      </c>
      <c r="F41" s="8">
        <f>+D41*E41</f>
        <v>12214257.3</v>
      </c>
    </row>
    <row r="42">
      <c r="A42" s="6" t="n"/>
      <c r="B42" s="6" t="n"/>
      <c r="C42" s="6" t="n"/>
      <c r="D42" s="6" t="n"/>
      <c r="E42" s="8" t="n"/>
      <c r="F42" s="8" t="n"/>
    </row>
    <row r="43">
      <c r="A43" s="20" t="n">
        <v>4.9</v>
      </c>
      <c r="B43" s="21" t="inlineStr">
        <is>
          <t>ACERO DE REFUERZO PLACAS CUBIERTA</t>
        </is>
      </c>
      <c r="C43" s="22" t="n"/>
      <c r="D43" s="22" t="n"/>
      <c r="E43" s="2" t="n"/>
      <c r="F43" s="3">
        <f>SUM(F44:F45)</f>
        <v>5859867.3</v>
      </c>
    </row>
    <row r="44">
      <c r="A44" s="5" t="inlineStr">
        <is>
          <t>4.9.1</t>
        </is>
      </c>
      <c r="B44" s="23" t="inlineStr">
        <is>
          <t>SUMINISTRO E INSTALACIÓN DE MALLA ELECTROSOLDADA DE 8MM 15X15 ESTANDAR</t>
        </is>
      </c>
      <c r="C44" s="5" t="inlineStr">
        <is>
          <t>KG</t>
        </is>
      </c>
      <c r="D44" s="37" t="n">
        <v>783.3</v>
      </c>
      <c r="E44" s="38" t="n">
        <v>7481</v>
      </c>
      <c r="F44" s="8">
        <f>+D44*E44</f>
        <v>5859867.3</v>
      </c>
    </row>
    <row r="45">
      <c r="A45" s="5" t="n"/>
      <c r="C45" s="5" t="n"/>
      <c r="D45" s="5" t="n"/>
      <c r="E45" s="8" t="n"/>
      <c r="F45" s="8" t="n"/>
    </row>
    <row r="46">
      <c r="A46" s="18" t="n">
        <v>5</v>
      </c>
      <c r="B46" s="19" t="inlineStr">
        <is>
          <t>MAMPOSTERIA</t>
        </is>
      </c>
      <c r="C46" s="7" t="n"/>
      <c r="D46" s="7" t="n"/>
      <c r="E46" s="7" t="n"/>
      <c r="F46" s="7" t="n"/>
    </row>
    <row r="47">
      <c r="A47" s="24" t="n"/>
      <c r="B47" s="6" t="n"/>
      <c r="C47" s="6" t="n"/>
      <c r="D47" s="6" t="n"/>
      <c r="E47" s="16" t="n"/>
      <c r="F47" s="16" t="n"/>
    </row>
    <row r="48">
      <c r="A48" s="20" t="n">
        <v>5.1</v>
      </c>
      <c r="B48" s="21" t="inlineStr">
        <is>
          <t>MAMPOSTERIA Y PAÑETE</t>
        </is>
      </c>
      <c r="C48" s="22" t="n"/>
      <c r="D48" s="22" t="n"/>
      <c r="E48" s="2" t="n"/>
      <c r="F48" s="3">
        <f>SUM(F49:F51)</f>
        <v>43650158.199999996</v>
      </c>
    </row>
    <row r="49">
      <c r="A49" s="5" t="inlineStr">
        <is>
          <t>5.1.1</t>
        </is>
      </c>
      <c r="B49" s="23" t="inlineStr">
        <is>
          <t>MUROS EN BLOQUE HUECO NO.4 INCLUYE MORTERO DE PEGA 1:3</t>
        </is>
      </c>
      <c r="C49" s="5" t="inlineStr">
        <is>
          <t>M2</t>
        </is>
      </c>
      <c r="D49" s="37" t="n">
        <v>416.64</v>
      </c>
      <c r="E49" s="38" t="n">
        <v>61345</v>
      </c>
      <c r="F49" s="8">
        <f>+D49*E49</f>
        <v>25558780.8</v>
      </c>
    </row>
    <row r="50">
      <c r="A50" s="5" t="inlineStr">
        <is>
          <t>5.1.2</t>
        </is>
      </c>
      <c r="B50" s="23" t="inlineStr">
        <is>
          <t>COLUMNETA DE CONFINAMIENTO MUROS MAMPOSTERÍA EN BLOQUE No 5</t>
        </is>
      </c>
      <c r="C50" s="5" t="inlineStr">
        <is>
          <t>ML</t>
        </is>
      </c>
      <c r="D50" s="37" t="n">
        <v>348</v>
      </c>
      <c r="E50" s="38" t="n">
        <v>33255</v>
      </c>
      <c r="F50" s="8">
        <f>+D50*E50</f>
        <v>11572740.0</v>
      </c>
    </row>
    <row r="51">
      <c r="A51" s="5" t="inlineStr">
        <is>
          <t>5.1.4</t>
        </is>
      </c>
      <c r="B51" s="23" t="inlineStr">
        <is>
          <t xml:space="preserve">PAÑETE LISO IMPERMEABILIZADO INTEGRALMENTE EN MORTERO 1:4. PARA MUROS </t>
        </is>
      </c>
      <c r="C51" s="5" t="inlineStr">
        <is>
          <t>M2</t>
        </is>
      </c>
      <c r="D51" s="37" t="n">
        <v>270.82</v>
      </c>
      <c r="E51" s="38" t="n">
        <v>24070</v>
      </c>
      <c r="F51" s="8">
        <f>+D51*E51</f>
        <v>6518637.399999999</v>
      </c>
    </row>
    <row r="52">
      <c r="A52" s="6" t="n"/>
      <c r="B52" s="6" t="n"/>
      <c r="C52" s="6" t="n"/>
      <c r="D52" s="6" t="n"/>
      <c r="E52" s="8" t="n"/>
      <c r="F52" s="8" t="n"/>
    </row>
    <row r="53">
      <c r="A53" s="20" t="n">
        <v>5.2</v>
      </c>
      <c r="B53" s="21" t="inlineStr">
        <is>
          <t>ACERO DE REFUERZO MAMPOSTERIA CONFINADA</t>
        </is>
      </c>
      <c r="C53" s="22" t="n"/>
      <c r="D53" s="22" t="n"/>
      <c r="E53" s="2" t="n"/>
      <c r="F53" s="3">
        <f>SUM(F54:F55)</f>
        <v>7415972.800000001</v>
      </c>
    </row>
    <row r="54">
      <c r="A54" s="5" t="inlineStr">
        <is>
          <t>5.2.1</t>
        </is>
      </c>
      <c r="B54" s="23" t="inlineStr">
        <is>
          <t>ACERO FIGURADO  DE REFUERZO 60000 PSI INCLUYE ALAMBRE DE AMARRE</t>
        </is>
      </c>
      <c r="C54" s="5" t="inlineStr">
        <is>
          <t>KG</t>
        </is>
      </c>
      <c r="D54" s="37" t="n">
        <v>1067.2</v>
      </c>
      <c r="E54" s="38" t="n">
        <v>6949</v>
      </c>
      <c r="F54" s="8">
        <f>+D54*E54</f>
        <v>7415972.800000001</v>
      </c>
    </row>
    <row r="55">
      <c r="A55" s="24" t="n"/>
      <c r="B55" s="6" t="n"/>
      <c r="C55" s="6" t="n"/>
      <c r="D55" s="6" t="n"/>
      <c r="E55" s="8" t="n"/>
      <c r="F55" s="8" t="n"/>
    </row>
    <row r="56">
      <c r="A56" s="18" t="n">
        <v>8</v>
      </c>
      <c r="B56" s="19" t="inlineStr">
        <is>
          <t>PISOS</t>
        </is>
      </c>
      <c r="C56" s="7" t="n"/>
      <c r="D56" s="7" t="n"/>
      <c r="E56" s="25" t="n"/>
      <c r="F56" s="25" t="n"/>
    </row>
    <row r="57">
      <c r="A57" s="24" t="n"/>
      <c r="B57" s="6" t="n"/>
      <c r="C57" s="6" t="n"/>
      <c r="D57" s="6" t="n"/>
      <c r="E57" s="16" t="n"/>
      <c r="F57" s="16" t="n"/>
    </row>
    <row r="58">
      <c r="A58" s="20" t="n">
        <v>8.1</v>
      </c>
      <c r="B58" s="21" t="inlineStr">
        <is>
          <t>PISOS ACABADOS</t>
        </is>
      </c>
      <c r="C58" s="22" t="n"/>
      <c r="D58" s="22" t="n"/>
      <c r="E58" s="3" t="n"/>
      <c r="F58" s="3">
        <f>SUM(F59:F59)</f>
        <v>11258468.5</v>
      </c>
    </row>
    <row r="59">
      <c r="A59" s="5" t="inlineStr">
        <is>
          <t>8.1.1</t>
        </is>
      </c>
      <c r="B59" s="23" t="inlineStr">
        <is>
          <t>ADOQUIN EN CONCRETO 0.20*0.10*0.06 M SUMINISTRO E INSTALACION</t>
        </is>
      </c>
      <c r="C59" s="5" t="inlineStr">
        <is>
          <t>M2</t>
        </is>
      </c>
      <c r="D59" s="37" t="n">
        <v>115.3</v>
      </c>
      <c r="E59" s="38" t="n">
        <v>97645</v>
      </c>
      <c r="F59" s="8">
        <f>+D59*E59</f>
        <v>11258468.5</v>
      </c>
    </row>
    <row r="60">
      <c r="A60" s="24" t="n"/>
      <c r="B60" s="6" t="n"/>
      <c r="C60" s="6" t="n"/>
      <c r="D60" s="6" t="n"/>
      <c r="E60" s="16" t="n"/>
      <c r="F60" s="16" t="n"/>
    </row>
    <row r="61">
      <c r="A61" s="9" t="n"/>
      <c r="B61" s="9" t="n"/>
      <c r="C61" s="9" t="n"/>
      <c r="D61" s="9" t="n"/>
    </row>
    <row r="62" ht="17.4" customHeight="1" s="30">
      <c r="A62" s="9" t="n"/>
      <c r="B62" s="9" t="n"/>
      <c r="C62" s="34" t="inlineStr">
        <is>
          <t>TOTAL COSTO DIRECTO</t>
        </is>
      </c>
      <c r="D62" s="40" t="n"/>
      <c r="E62" s="41" t="n"/>
      <c r="F62" s="10">
        <f>SUM(F3:F60)/2</f>
        <v>184632723.48999998</v>
      </c>
    </row>
    <row r="63">
      <c r="A63" s="9" t="n"/>
      <c r="B63" s="9" t="n"/>
      <c r="C63" s="11" t="n"/>
      <c r="D63" s="11" t="n"/>
      <c r="E63" s="12" t="n"/>
      <c r="F63" s="12" t="n"/>
    </row>
    <row r="64">
      <c r="A64" s="9" t="n"/>
      <c r="B64" s="9" t="n"/>
      <c r="C64" s="35" t="inlineStr">
        <is>
          <t>ADMINISTRACIÓN</t>
        </is>
      </c>
      <c r="D64" s="41" t="n"/>
      <c r="E64" s="13" t="n">
        <v>0.08</v>
      </c>
      <c r="F64" s="8">
        <f>+F62*E64</f>
        <v>14770617.879199998</v>
      </c>
    </row>
    <row r="65">
      <c r="A65" s="9" t="n"/>
      <c r="B65" s="9" t="n"/>
      <c r="C65" s="35" t="inlineStr">
        <is>
          <t>IMPREVISTOS</t>
        </is>
      </c>
      <c r="D65" s="41" t="n"/>
      <c r="E65" s="13" t="n">
        <v>0.03</v>
      </c>
      <c r="F65" s="8">
        <f>+E65*F62</f>
        <v>5538981.704699999</v>
      </c>
    </row>
    <row r="66">
      <c r="A66" s="9" t="n"/>
      <c r="B66" s="9" t="n"/>
      <c r="C66" s="36" t="inlineStr">
        <is>
          <t>UTILIDAD</t>
        </is>
      </c>
      <c r="D66" s="41" t="n"/>
      <c r="E66" s="13" t="n">
        <v>0.05</v>
      </c>
      <c r="F66" s="8">
        <f>+F62*E66</f>
        <v>9231636.1745</v>
      </c>
    </row>
    <row r="67">
      <c r="A67" s="9" t="n"/>
      <c r="B67" s="9" t="n"/>
      <c r="C67" s="36" t="inlineStr">
        <is>
          <t>IVA SOBRE UTILIDAD</t>
        </is>
      </c>
      <c r="D67" s="41" t="n"/>
      <c r="E67" s="13" t="n">
        <v>0.19</v>
      </c>
      <c r="F67" s="8">
        <f>+F66*E67</f>
        <v>1754010.873155</v>
      </c>
    </row>
    <row r="68">
      <c r="A68" s="9" t="n"/>
      <c r="B68" s="9" t="n"/>
      <c r="C68" s="11" t="n"/>
      <c r="D68" s="11" t="n"/>
      <c r="E68" s="12" t="n"/>
      <c r="F68" s="12" t="n"/>
    </row>
    <row r="69" ht="17.4" customHeight="1" s="30">
      <c r="C69" s="33" t="inlineStr">
        <is>
          <t>COSTO TOTAL OBRA</t>
        </is>
      </c>
      <c r="D69" s="40" t="n"/>
      <c r="E69" s="41" t="n"/>
      <c r="F69" s="14">
        <f>SUM(F62:F67)</f>
        <v>215927970.12155497</v>
      </c>
    </row>
    <row r="70"/>
    <row r="71"/>
    <row r="72">
      <c r="F72" s="26" t="n"/>
    </row>
    <row r="73">
      <c r="F73" s="27" t="n"/>
    </row>
    <row r="74"/>
    <row r="75"/>
    <row r="76">
      <c r="F76" s="26" t="n"/>
    </row>
    <row r="77">
      <c r="F77" s="27" t="n"/>
    </row>
  </sheetData>
  <mergeCells count="6">
    <mergeCell ref="C67:D67"/>
    <mergeCell ref="C65:D65"/>
    <mergeCell ref="C69:E69"/>
    <mergeCell ref="C66:D66"/>
    <mergeCell ref="C64:D64"/>
    <mergeCell ref="C62:E62"/>
  </mergeCells>
  <pageMargins left="0.7" right="0.7" top="0.75" bottom="0.75" header="0.3" footer="0.3"/>
  <pageSetup orientation="landscape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apachecom</dc:creator>
  <dcterms:created xsi:type="dcterms:W3CDTF">2017-01-12T21:09:47Z</dcterms:created>
  <dcterms:modified xsi:type="dcterms:W3CDTF">2026-06-24T16:17:54Z</dcterms:modified>
  <cp:lastModifiedBy>giovanni</cp:lastModifiedBy>
  <cp:lastPrinted>2017-05-15T20:44:17Z</cp:lastPrinted>
</cp:coreProperties>
</file>