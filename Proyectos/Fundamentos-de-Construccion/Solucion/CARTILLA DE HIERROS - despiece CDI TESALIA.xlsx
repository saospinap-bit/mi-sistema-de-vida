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ILLA DE HI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color rgb="00000000"/>
      <sz val="8"/>
    </font>
    <font>
      <b val="1"/>
      <color rgb="00FFFFFF"/>
      <sz val="10"/>
    </font>
    <font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3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4" fillId="5" borderId="1" pivotButton="0" quotePrefix="0" xfId="0"/>
    <xf numFmtId="0" fontId="0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30" customWidth="1" min="4" max="4"/>
    <col width="13" customWidth="1" min="5" max="5"/>
    <col width="12" customWidth="1" min="6" max="6"/>
    <col width="9" customWidth="1" min="7" max="7"/>
    <col width="14" customWidth="1" min="8" max="8"/>
    <col width="11" customWidth="1" min="9" max="9"/>
    <col width="12" customWidth="1" min="10" max="10"/>
  </cols>
  <sheetData>
    <row r="1">
      <c r="A1" s="1" t="inlineStr">
        <is>
          <t>CARTILLA DE HIERROS / DESPIECE DE ACERO  -  CDI TESALIA (HUILA) - MODULO 1</t>
        </is>
      </c>
    </row>
    <row r="2">
      <c r="A2" s="2" t="inlineStr">
        <is>
          <t>Acero fy=420 MPa (60000 psi). Pesos: #2=0.250  #3=0.560  #4=0.994  #5=1.552  #6=2.235  #7=3.042 kg/m. Longitudes incluyen ganchos/traslapos; se agrega 10% de desperdicio al total por elemento.</t>
        </is>
      </c>
    </row>
    <row r="3">
      <c r="A3" s="3" t="inlineStr">
        <is>
          <t>ELEMENTO</t>
        </is>
      </c>
      <c r="B3" s="3" t="inlineStr">
        <is>
          <t>MARCA</t>
        </is>
      </c>
      <c r="C3" s="3" t="inlineStr">
        <is>
          <t>No. (Ø)</t>
        </is>
      </c>
      <c r="D3" s="3" t="inlineStr">
        <is>
          <t>FIGURA</t>
        </is>
      </c>
      <c r="E3" s="3" t="inlineStr">
        <is>
          <t>LONG. UNIT (m)</t>
        </is>
      </c>
      <c r="F3" s="3" t="inlineStr">
        <is>
          <t>BARRAS/ELEM</t>
        </is>
      </c>
      <c r="G3" s="3" t="inlineStr">
        <is>
          <t>No. ELEM</t>
        </is>
      </c>
      <c r="H3" s="3" t="inlineStr">
        <is>
          <t>LONG. TOTAL (m)</t>
        </is>
      </c>
      <c r="I3" s="3" t="inlineStr">
        <is>
          <t>PESO (kg/m)</t>
        </is>
      </c>
      <c r="J3" s="3" t="inlineStr">
        <is>
          <t>PESO (kg)</t>
        </is>
      </c>
    </row>
    <row r="4">
      <c r="A4" s="4" t="inlineStr">
        <is>
          <t>Vigas cimentacion VC (40x45)</t>
        </is>
      </c>
      <c r="B4" s="5" t="inlineStr">
        <is>
          <t>VC-1</t>
        </is>
      </c>
      <c r="C4" s="5" t="inlineStr">
        <is>
          <t>#6</t>
        </is>
      </c>
      <c r="D4" s="4" t="inlineStr">
        <is>
          <t>Recta (long. superior)</t>
        </is>
      </c>
      <c r="E4" s="6" t="n">
        <v>76.09999999999999</v>
      </c>
      <c r="F4" s="5" t="n">
        <v>3</v>
      </c>
      <c r="G4" s="5" t="n">
        <v>1</v>
      </c>
      <c r="H4" s="7">
        <f>E4*F4*G4</f>
        <v/>
      </c>
      <c r="I4" s="8" t="n">
        <v>2.235</v>
      </c>
      <c r="J4" s="7">
        <f>H4*I4</f>
        <v/>
      </c>
    </row>
    <row r="5">
      <c r="A5" s="4" t="inlineStr">
        <is>
          <t>Vigas cimentacion VC (40x45)</t>
        </is>
      </c>
      <c r="B5" s="5" t="inlineStr">
        <is>
          <t>VC-2</t>
        </is>
      </c>
      <c r="C5" s="5" t="inlineStr">
        <is>
          <t>#5</t>
        </is>
      </c>
      <c r="D5" s="4" t="inlineStr">
        <is>
          <t>Recta (long. inferior)</t>
        </is>
      </c>
      <c r="E5" s="6" t="n">
        <v>76.09999999999999</v>
      </c>
      <c r="F5" s="5" t="n">
        <v>3</v>
      </c>
      <c r="G5" s="5" t="n">
        <v>1</v>
      </c>
      <c r="H5" s="7">
        <f>E5*F5*G5</f>
        <v/>
      </c>
      <c r="I5" s="8" t="n">
        <v>1.552</v>
      </c>
      <c r="J5" s="7">
        <f>H5*I5</f>
        <v/>
      </c>
    </row>
    <row r="6">
      <c r="A6" s="4" t="inlineStr">
        <is>
          <t>Vigas cimentacion VC (40x45)</t>
        </is>
      </c>
      <c r="B6" s="5" t="inlineStr">
        <is>
          <t>VC-E</t>
        </is>
      </c>
      <c r="C6" s="5" t="inlineStr">
        <is>
          <t>#3</t>
        </is>
      </c>
      <c r="D6" s="4" t="inlineStr">
        <is>
          <t>Estribo cerrado 0.30x0.35</t>
        </is>
      </c>
      <c r="E6" s="6" t="n">
        <v>1.5</v>
      </c>
      <c r="F6" s="5" t="n">
        <v>380</v>
      </c>
      <c r="G6" s="5" t="n">
        <v>1</v>
      </c>
      <c r="H6" s="7">
        <f>E6*F6*G6</f>
        <v/>
      </c>
      <c r="I6" s="8" t="n">
        <v>0.5600000000000001</v>
      </c>
      <c r="J6" s="7">
        <f>H6*I6</f>
        <v/>
      </c>
    </row>
    <row r="7">
      <c r="A7" s="9" t="inlineStr">
        <is>
          <t xml:space="preserve">   SUBTOTAL Vigas cimentacion VC (40x45) (con +10% desperdicio)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1">
        <f>SUM(J4:J6)*1.1</f>
        <v/>
      </c>
    </row>
    <row r="8">
      <c r="A8" s="4" t="inlineStr">
        <is>
          <t>Columnas (0.40x0.40)</t>
        </is>
      </c>
      <c r="B8" s="5" t="inlineStr">
        <is>
          <t>C-1</t>
        </is>
      </c>
      <c r="C8" s="5" t="inlineStr">
        <is>
          <t>#6</t>
        </is>
      </c>
      <c r="D8" s="4" t="inlineStr">
        <is>
          <t>Recta (vertical)</t>
        </is>
      </c>
      <c r="E8" s="6" t="n">
        <v>5.95</v>
      </c>
      <c r="F8" s="5" t="n">
        <v>2</v>
      </c>
      <c r="G8" s="5" t="n">
        <v>8</v>
      </c>
      <c r="H8" s="7">
        <f>E8*F8*G8</f>
        <v/>
      </c>
      <c r="I8" s="8" t="n">
        <v>2.235</v>
      </c>
      <c r="J8" s="7">
        <f>H8*I8</f>
        <v/>
      </c>
    </row>
    <row r="9">
      <c r="A9" s="4" t="inlineStr">
        <is>
          <t>Columnas (0.40x0.40)</t>
        </is>
      </c>
      <c r="B9" s="5" t="inlineStr">
        <is>
          <t>C-2</t>
        </is>
      </c>
      <c r="C9" s="5" t="inlineStr">
        <is>
          <t>#7</t>
        </is>
      </c>
      <c r="D9" s="4" t="inlineStr">
        <is>
          <t>Recta (vertical)</t>
        </is>
      </c>
      <c r="E9" s="6" t="n">
        <v>5.95</v>
      </c>
      <c r="F9" s="5" t="n">
        <v>2</v>
      </c>
      <c r="G9" s="5" t="n">
        <v>8</v>
      </c>
      <c r="H9" s="7">
        <f>E9*F9*G9</f>
        <v/>
      </c>
      <c r="I9" s="8" t="n">
        <v>3.042</v>
      </c>
      <c r="J9" s="7">
        <f>H9*I9</f>
        <v/>
      </c>
    </row>
    <row r="10">
      <c r="A10" s="4" t="inlineStr">
        <is>
          <t>Columnas (0.40x0.40)</t>
        </is>
      </c>
      <c r="B10" s="5" t="inlineStr">
        <is>
          <t>C-E</t>
        </is>
      </c>
      <c r="C10" s="5" t="inlineStr">
        <is>
          <t>#2</t>
        </is>
      </c>
      <c r="D10" s="4" t="inlineStr">
        <is>
          <t>Estribo cerrado 0.35x0.35 + gancho</t>
        </is>
      </c>
      <c r="E10" s="6" t="n">
        <v>1.5</v>
      </c>
      <c r="F10" s="5" t="n">
        <v>24</v>
      </c>
      <c r="G10" s="5" t="n">
        <v>8</v>
      </c>
      <c r="H10" s="7">
        <f>E10*F10*G10</f>
        <v/>
      </c>
      <c r="I10" s="8" t="n">
        <v>0.25</v>
      </c>
      <c r="J10" s="7">
        <f>H10*I10</f>
        <v/>
      </c>
    </row>
    <row r="11">
      <c r="A11" s="9" t="inlineStr">
        <is>
          <t xml:space="preserve">   SUBTOTAL Columnas (0.40x0.40) (con +10% desperdicio)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>
        <f>SUM(J8:J10)*1.1</f>
        <v/>
      </c>
    </row>
    <row r="12">
      <c r="A12" s="4" t="inlineStr">
        <is>
          <t>Vigas cubierta VG (40x50)</t>
        </is>
      </c>
      <c r="B12" s="5" t="inlineStr">
        <is>
          <t>VG-1</t>
        </is>
      </c>
      <c r="C12" s="5" t="inlineStr">
        <is>
          <t>#7</t>
        </is>
      </c>
      <c r="D12" s="4" t="inlineStr">
        <is>
          <t>Recta (long. inferior)</t>
        </is>
      </c>
      <c r="E12" s="6" t="n">
        <v>76.09999999999999</v>
      </c>
      <c r="F12" s="5" t="n">
        <v>2</v>
      </c>
      <c r="G12" s="5" t="n">
        <v>1</v>
      </c>
      <c r="H12" s="7">
        <f>E12*F12*G12</f>
        <v/>
      </c>
      <c r="I12" s="8" t="n">
        <v>3.042</v>
      </c>
      <c r="J12" s="7">
        <f>H12*I12</f>
        <v/>
      </c>
    </row>
    <row r="13">
      <c r="A13" s="4" t="inlineStr">
        <is>
          <t>Vigas cubierta VG (40x50)</t>
        </is>
      </c>
      <c r="B13" s="5" t="inlineStr">
        <is>
          <t>VG-2</t>
        </is>
      </c>
      <c r="C13" s="5" t="inlineStr">
        <is>
          <t>#6</t>
        </is>
      </c>
      <c r="D13" s="4" t="inlineStr">
        <is>
          <t>Recta (long. inf+sup)</t>
        </is>
      </c>
      <c r="E13" s="6" t="n">
        <v>76.09999999999999</v>
      </c>
      <c r="F13" s="5" t="n">
        <v>4</v>
      </c>
      <c r="G13" s="5" t="n">
        <v>1</v>
      </c>
      <c r="H13" s="7">
        <f>E13*F13*G13</f>
        <v/>
      </c>
      <c r="I13" s="8" t="n">
        <v>2.235</v>
      </c>
      <c r="J13" s="7">
        <f>H13*I13</f>
        <v/>
      </c>
    </row>
    <row r="14">
      <c r="A14" s="4" t="inlineStr">
        <is>
          <t>Vigas cubierta VG (40x50)</t>
        </is>
      </c>
      <c r="B14" s="5" t="inlineStr">
        <is>
          <t>VG-E</t>
        </is>
      </c>
      <c r="C14" s="5" t="inlineStr">
        <is>
          <t>#3</t>
        </is>
      </c>
      <c r="D14" s="4" t="inlineStr">
        <is>
          <t>Estribo cerrado 0.30x0.40</t>
        </is>
      </c>
      <c r="E14" s="6" t="n">
        <v>1.6</v>
      </c>
      <c r="F14" s="5" t="n">
        <v>507</v>
      </c>
      <c r="G14" s="5" t="n">
        <v>1</v>
      </c>
      <c r="H14" s="7">
        <f>E14*F14*G14</f>
        <v/>
      </c>
      <c r="I14" s="8" t="n">
        <v>0.5600000000000001</v>
      </c>
      <c r="J14" s="7">
        <f>H14*I14</f>
        <v/>
      </c>
    </row>
    <row r="15">
      <c r="A15" s="9" t="inlineStr">
        <is>
          <t xml:space="preserve">   SUBTOTAL Vigas cubierta VG (40x50) (con +10% desperdicio)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1">
        <f>SUM(J12:J14)*1.1</f>
        <v/>
      </c>
    </row>
    <row r="16">
      <c r="A16" s="4" t="inlineStr">
        <is>
          <t>Columnetas confinamiento</t>
        </is>
      </c>
      <c r="B16" s="5" t="inlineStr">
        <is>
          <t>CN-1</t>
        </is>
      </c>
      <c r="C16" s="5" t="inlineStr">
        <is>
          <t>#3</t>
        </is>
      </c>
      <c r="D16" s="4" t="inlineStr">
        <is>
          <t>Recta (vertical)</t>
        </is>
      </c>
      <c r="E16" s="6" t="n">
        <v>348</v>
      </c>
      <c r="F16" s="5" t="n">
        <v>4</v>
      </c>
      <c r="G16" s="5" t="n">
        <v>1</v>
      </c>
      <c r="H16" s="7">
        <f>E16*F16*G16</f>
        <v/>
      </c>
      <c r="I16" s="8" t="n">
        <v>0.5600000000000001</v>
      </c>
      <c r="J16" s="7">
        <f>H16*I16</f>
        <v/>
      </c>
    </row>
    <row r="17">
      <c r="A17" s="4" t="inlineStr">
        <is>
          <t>Columnetas confinamiento</t>
        </is>
      </c>
      <c r="B17" s="5" t="inlineStr">
        <is>
          <t>CN-E</t>
        </is>
      </c>
      <c r="C17" s="5" t="inlineStr">
        <is>
          <t>#2</t>
        </is>
      </c>
      <c r="D17" s="4" t="inlineStr">
        <is>
          <t>Estribo 0.10x0.10</t>
        </is>
      </c>
      <c r="E17" s="6" t="n">
        <v>0.5</v>
      </c>
      <c r="F17" s="5" t="n">
        <v>1740</v>
      </c>
      <c r="G17" s="5" t="n">
        <v>1</v>
      </c>
      <c r="H17" s="7">
        <f>E17*F17*G17</f>
        <v/>
      </c>
      <c r="I17" s="8" t="n">
        <v>0.25</v>
      </c>
      <c r="J17" s="7">
        <f>H17*I17</f>
        <v/>
      </c>
    </row>
    <row r="18">
      <c r="A18" s="9" t="inlineStr">
        <is>
          <t xml:space="preserve">   SUBTOTAL Columnetas confinamiento (con +10% desperdicio)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>
        <f>SUM(J16:J17)*1.1</f>
        <v/>
      </c>
    </row>
    <row r="20">
      <c r="A20" s="12" t="inlineStr">
        <is>
          <t>RESUMEN POR ITEM DEL PRESUPUESTO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4" t="inlineStr">
        <is>
          <t>2.3.1 Acero vigas de cimentacion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7" t="n">
        <v>1302.6</v>
      </c>
    </row>
    <row r="22">
      <c r="A22" s="4" t="inlineStr">
        <is>
          <t>4.7.1 Acero columnas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7" t="n">
        <v>644.2</v>
      </c>
    </row>
    <row r="23">
      <c r="A23" s="4" t="inlineStr">
        <is>
          <t>4.8.1 Acero vigas de cubierta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7" t="n">
        <v>1757.7</v>
      </c>
    </row>
    <row r="24">
      <c r="A24" s="4" t="inlineStr">
        <is>
          <t>5.2.1 Acero mamposteria confinada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7" t="n">
        <v>1067.2</v>
      </c>
    </row>
    <row r="25">
      <c r="A25" s="4" t="inlineStr">
        <is>
          <t>4.6.1 Malla electrosoldada contrapiso (216.20 m2)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7" t="n">
        <v>1252.5</v>
      </c>
    </row>
    <row r="26">
      <c r="A26" s="4" t="inlineStr">
        <is>
          <t>4.9.1 Malla electrosoldada cubierta (135.20 m2)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7" t="n">
        <v>783.3</v>
      </c>
    </row>
    <row r="27">
      <c r="A27" s="15" t="inlineStr">
        <is>
          <t>TOTAL ACERO + MALLA (kg)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>
        <v>6807.5</v>
      </c>
    </row>
  </sheetData>
  <mergeCells count="9">
    <mergeCell ref="A26:I26"/>
    <mergeCell ref="A1:J1"/>
    <mergeCell ref="A25:I25"/>
    <mergeCell ref="A2:J2"/>
    <mergeCell ref="A23:I23"/>
    <mergeCell ref="A27:I27"/>
    <mergeCell ref="A22:I22"/>
    <mergeCell ref="A24:I2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2026-06-24T16:17:54Z</dcterms:created>
  <dcterms:modified xsi:type="dcterms:W3CDTF">2026-06-24T16:17:54Z</dcterms:modified>
</cp:coreProperties>
</file>