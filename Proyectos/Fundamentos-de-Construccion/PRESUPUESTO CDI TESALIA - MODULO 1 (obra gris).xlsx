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INSUMOS" sheetId="2" state="visible" r:id="rId2"/>
    <sheet name="APU" sheetId="3" state="visible" r:id="rId3"/>
    <sheet name="PRESUPUESTO" sheetId="4" state="visible" r:id="rId4"/>
    <sheet name="AIU" sheetId="5" state="visible" r:id="rId5"/>
    <sheet name="CANTIDADES" sheetId="6" state="visible" r:id="rId6"/>
    <sheet name="CARTILLA HIERROS" sheetId="7" state="visible" r:id="rId7"/>
    <sheet name="PROGRAMAC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$ * #,##0_-;-$ * #,##0_-;_-$ * &quot;-&quot;_-;_-@_-"/>
    <numFmt numFmtId="165" formatCode="#,##0.00000"/>
    <numFmt numFmtId="166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000000"/>
      <sz val="8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FFFFFF"/>
      <sz val="16"/>
    </font>
    <font>
      <name val="Calibri"/>
      <b val="1"/>
      <color rgb="00000000"/>
      <sz val="14"/>
    </font>
    <font>
      <name val="Calibri"/>
      <b val="1"/>
      <color rgb="00000000"/>
      <sz val="12"/>
    </font>
    <font>
      <name val="Calibri"/>
      <color rgb="00000000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right" vertical="center"/>
    </xf>
    <xf numFmtId="9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2" borderId="1" pivotButton="0" quotePrefix="0" xfId="0"/>
    <xf numFmtId="0" fontId="4" fillId="5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0" fontId="0" fillId="6" borderId="1" pivotButton="0" quotePrefix="0" xfId="0"/>
    <xf numFmtId="0" fontId="4" fillId="6" borderId="1" pivotButton="0" quotePrefix="0" xfId="0"/>
    <xf numFmtId="164" fontId="4" fillId="6" borderId="1" pivotButton="0" quotePrefix="0" xfId="0"/>
    <xf numFmtId="0" fontId="0" fillId="4" borderId="1" pivotButton="0" quotePrefix="0" xfId="0"/>
    <xf numFmtId="0" fontId="6" fillId="4" borderId="1" pivotButton="0" quotePrefix="0" xfId="0"/>
    <xf numFmtId="164" fontId="6" fillId="4" borderId="1" pivotButton="0" quotePrefix="0" xfId="0"/>
    <xf numFmtId="164" fontId="4" fillId="5" borderId="1" pivotButton="0" quotePrefix="0" xfId="0"/>
    <xf numFmtId="0" fontId="3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3" borderId="1" pivotButton="0" quotePrefix="0" xfId="0"/>
    <xf numFmtId="0" fontId="0" fillId="3" borderId="1" pivotButton="0" quotePrefix="0" xfId="0"/>
    <xf numFmtId="166" fontId="0" fillId="0" borderId="1" applyAlignment="1" pivotButton="0" quotePrefix="0" xfId="0">
      <alignment horizontal="right" vertical="center"/>
    </xf>
    <xf numFmtId="166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UNIVERSIDAD NACIONAL DE COLOMBIA</t>
        </is>
      </c>
    </row>
    <row r="2">
      <c r="A2" s="2" t="inlineStr">
        <is>
          <t>FACULTAD DE INGENIERIA - DEPTO. DE INGENIERIA CIVIL Y AGRICOLA</t>
        </is>
      </c>
    </row>
    <row r="3">
      <c r="A3" s="2" t="inlineStr">
        <is>
          <t>FUNDAMENTOS EN CONSTRUCCION</t>
        </is>
      </c>
    </row>
    <row r="4">
      <c r="A4" s="3" t="inlineStr"/>
    </row>
    <row r="5">
      <c r="A5" s="4" t="inlineStr">
        <is>
          <t>PRESUPUESTO GENERAL DE OBRA</t>
        </is>
      </c>
    </row>
    <row r="6">
      <c r="A6" s="5" t="inlineStr">
        <is>
          <t>PROYECTO: MODULO 1 - CENTRO DE DESARROLLO INFANTIL (CDI) TESALIA (HUILA)</t>
        </is>
      </c>
    </row>
    <row r="7">
      <c r="A7" s="6" t="inlineStr">
        <is>
          <t>ETAPA: OBRA GRIS</t>
        </is>
      </c>
    </row>
    <row r="8">
      <c r="A8" s="3" t="inlineStr"/>
    </row>
    <row r="9">
      <c r="A9" s="7" t="inlineStr">
        <is>
          <t>CONTENIDO DEL LIBRO:</t>
        </is>
      </c>
    </row>
    <row r="10">
      <c r="A10" s="8" t="inlineStr">
        <is>
          <t xml:space="preserve">  1. INSUMOS  - lista de materiales, mano de obra y equipo con precios y fuentes</t>
        </is>
      </c>
    </row>
    <row r="11">
      <c r="A11" s="8" t="inlineStr">
        <is>
          <t xml:space="preserve">  2. APU      - analisis de precios unitarios de las 19 actividades</t>
        </is>
      </c>
    </row>
    <row r="12">
      <c r="A12" s="8" t="inlineStr">
        <is>
          <t xml:space="preserve">  3. PRESUPUESTO - presupuesto jerarquico (capitulos e items) con AIU</t>
        </is>
      </c>
    </row>
    <row r="13">
      <c r="A13" s="8" t="inlineStr">
        <is>
          <t xml:space="preserve">  4. AIU      - justificacion del A.I.U. para proyecto publico</t>
        </is>
      </c>
    </row>
    <row r="14">
      <c r="A14" s="8" t="inlineStr">
        <is>
          <t xml:space="preserve">  5. CANTIDADES - cuadro de cantidades con memoria/formula</t>
        </is>
      </c>
    </row>
    <row r="15">
      <c r="A15" s="8" t="inlineStr">
        <is>
          <t xml:space="preserve">  6. CARTILLA HIERROS - despiece de acero</t>
        </is>
      </c>
    </row>
    <row r="16">
      <c r="A16" s="8" t="inlineStr">
        <is>
          <t xml:space="preserve">  7. PROGRAMACION - base para Microsoft Project</t>
        </is>
      </c>
    </row>
    <row r="17">
      <c r="A17" s="3" t="inlineStr"/>
    </row>
    <row r="18">
      <c r="A18" s="9" t="inlineStr">
        <is>
          <t>Libro PROGRAMADO: el presupuesto toma el Vr. Unitario de la hoja APU, y los APU toman</t>
        </is>
      </c>
    </row>
    <row r="19">
      <c r="A19" s="9" t="inlineStr">
        <is>
          <t>los precios de la hoja INSUMOS. Cambie un precio en INSUMOS y todo se recalcula.</t>
        </is>
      </c>
    </row>
    <row r="20">
      <c r="A20" s="9" t="inlineStr">
        <is>
          <t>Las cantidades provienen de los planos DWG; los precios son de referencia (Construdata 2025).</t>
        </is>
      </c>
    </row>
  </sheetData>
  <mergeCells count="20">
    <mergeCell ref="A9:H9"/>
    <mergeCell ref="A15:H15"/>
    <mergeCell ref="A11:H11"/>
    <mergeCell ref="A1:H1"/>
    <mergeCell ref="A6:H6"/>
    <mergeCell ref="A7:H7"/>
    <mergeCell ref="A16:H16"/>
    <mergeCell ref="A12:H12"/>
    <mergeCell ref="A18:H18"/>
    <mergeCell ref="A3:H3"/>
    <mergeCell ref="A2:H2"/>
    <mergeCell ref="A14:H14"/>
    <mergeCell ref="A5:H5"/>
    <mergeCell ref="A8:H8"/>
    <mergeCell ref="A17:H17"/>
    <mergeCell ref="A4:H4"/>
    <mergeCell ref="A20:H20"/>
    <mergeCell ref="A10:H10"/>
    <mergeCell ref="A13:H13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8" customWidth="1" min="3" max="3"/>
    <col width="7" customWidth="1" min="4" max="4"/>
    <col width="18" customWidth="1" min="5" max="5"/>
    <col width="34" customWidth="1" min="6" max="6"/>
  </cols>
  <sheetData>
    <row r="1">
      <c r="A1" s="10" t="inlineStr">
        <is>
          <t>LISTA DE INSUMOS - CDI TESALIA (HUILA) - MODULO 1</t>
        </is>
      </c>
    </row>
    <row r="2">
      <c r="A2" s="11" t="inlineStr">
        <is>
          <t>Precios de referencia COP - 2026. Fuente: cotizaciones de referencia (Argos, Homecenter, ferreterias y proveedores Huila), Construdata 2026 y SMLMV 2026 (Decreto 1469 de 2025). Reemplazar por cotizaciones formales si la entidad lo exige.</t>
        </is>
      </c>
    </row>
    <row r="3">
      <c r="A3" s="12" t="inlineStr">
        <is>
          <t>CODIGO</t>
        </is>
      </c>
      <c r="B3" s="12" t="inlineStr">
        <is>
          <t>DESCRIPCION DEL INSUMO</t>
        </is>
      </c>
      <c r="C3" s="12" t="inlineStr">
        <is>
          <t>UNIDAD</t>
        </is>
      </c>
      <c r="D3" s="12" t="inlineStr">
        <is>
          <t>TIPO</t>
        </is>
      </c>
      <c r="E3" s="12" t="inlineStr">
        <is>
          <t>VALOR UNITARIO (COP)</t>
        </is>
      </c>
      <c r="F3" s="12" t="inlineStr">
        <is>
          <t>FUENTE</t>
        </is>
      </c>
    </row>
    <row r="4">
      <c r="A4" s="13" t="inlineStr">
        <is>
          <t>M01</t>
        </is>
      </c>
      <c r="B4" s="14" t="inlineStr">
        <is>
          <t>Cemento gris Portland Tipo I (saco 50 kg)</t>
        </is>
      </c>
      <c r="C4" s="15" t="inlineStr">
        <is>
          <t>saco</t>
        </is>
      </c>
      <c r="D4" s="15" t="inlineStr">
        <is>
          <t>MAT</t>
        </is>
      </c>
      <c r="E4" s="16" t="n">
        <v>34000</v>
      </c>
      <c r="F4" s="17" t="inlineStr">
        <is>
          <t>Cot. ref. Homecenter/Argos 2026</t>
        </is>
      </c>
    </row>
    <row r="5">
      <c r="A5" s="13" t="inlineStr">
        <is>
          <t>M02</t>
        </is>
      </c>
      <c r="B5" s="14" t="inlineStr">
        <is>
          <t>Arena de rio</t>
        </is>
      </c>
      <c r="C5" s="15" t="inlineStr">
        <is>
          <t>m3</t>
        </is>
      </c>
      <c r="D5" s="15" t="inlineStr">
        <is>
          <t>MAT</t>
        </is>
      </c>
      <c r="E5" s="16" t="n">
        <v>82000</v>
      </c>
      <c r="F5" s="17" t="inlineStr">
        <is>
          <t>Cot. ref. proveedor agregados Neiva-Huila 2026</t>
        </is>
      </c>
    </row>
    <row r="6">
      <c r="A6" s="13" t="inlineStr">
        <is>
          <t>M03</t>
        </is>
      </c>
      <c r="B6" s="14" t="inlineStr">
        <is>
          <t>Arena lavada/pena</t>
        </is>
      </c>
      <c r="C6" s="15" t="inlineStr">
        <is>
          <t>m3</t>
        </is>
      </c>
      <c r="D6" s="15" t="inlineStr">
        <is>
          <t>MAT</t>
        </is>
      </c>
      <c r="E6" s="16" t="n">
        <v>74000</v>
      </c>
      <c r="F6" s="17" t="inlineStr">
        <is>
          <t>Cot. ref. proveedor agregados Neiva-Huila 2026</t>
        </is>
      </c>
    </row>
    <row r="7">
      <c r="A7" s="13" t="inlineStr">
        <is>
          <t>M04</t>
        </is>
      </c>
      <c r="B7" s="14" t="inlineStr">
        <is>
          <t>Triturado / gravilla 3/4"</t>
        </is>
      </c>
      <c r="C7" s="15" t="inlineStr">
        <is>
          <t>m3</t>
        </is>
      </c>
      <c r="D7" s="15" t="inlineStr">
        <is>
          <t>MAT</t>
        </is>
      </c>
      <c r="E7" s="16" t="n">
        <v>88000</v>
      </c>
      <c r="F7" s="17" t="inlineStr">
        <is>
          <t>Cot. ref. proveedor agregados Neiva-Huila 2026</t>
        </is>
      </c>
    </row>
    <row r="8">
      <c r="A8" s="13" t="inlineStr">
        <is>
          <t>M05</t>
        </is>
      </c>
      <c r="B8" s="14" t="inlineStr">
        <is>
          <t>Agua</t>
        </is>
      </c>
      <c r="C8" s="15" t="inlineStr">
        <is>
          <t>m3</t>
        </is>
      </c>
      <c r="D8" s="15" t="inlineStr">
        <is>
          <t>MAT</t>
        </is>
      </c>
      <c r="E8" s="16" t="n">
        <v>8500</v>
      </c>
      <c r="F8" s="17" t="inlineStr">
        <is>
          <t>Tarifa acueducto / carrotanque 2026</t>
        </is>
      </c>
    </row>
    <row r="9">
      <c r="A9" s="13" t="inlineStr">
        <is>
          <t>M06</t>
        </is>
      </c>
      <c r="B9" s="14" t="inlineStr">
        <is>
          <t>Concreto premezclado 3000 psi (21 MPa)</t>
        </is>
      </c>
      <c r="C9" s="15" t="inlineStr">
        <is>
          <t>m3</t>
        </is>
      </c>
      <c r="D9" s="15" t="inlineStr">
        <is>
          <t>MAT</t>
        </is>
      </c>
      <c r="E9" s="16" t="n">
        <v>590000</v>
      </c>
      <c r="F9" s="17" t="inlineStr">
        <is>
          <t>Cot. ref. Cementos Argos / Concretodo 2026</t>
        </is>
      </c>
    </row>
    <row r="10">
      <c r="A10" s="13" t="inlineStr">
        <is>
          <t>M07</t>
        </is>
      </c>
      <c r="B10" s="14" t="inlineStr">
        <is>
          <t>Concreto premezclado 1500 psi (solado)</t>
        </is>
      </c>
      <c r="C10" s="15" t="inlineStr">
        <is>
          <t>m3</t>
        </is>
      </c>
      <c r="D10" s="15" t="inlineStr">
        <is>
          <t>MAT</t>
        </is>
      </c>
      <c r="E10" s="16" t="n">
        <v>430000</v>
      </c>
      <c r="F10" s="17" t="inlineStr">
        <is>
          <t>Cot. ref. Cementos Argos 2026</t>
        </is>
      </c>
    </row>
    <row r="11">
      <c r="A11" s="13" t="inlineStr">
        <is>
          <t>M08</t>
        </is>
      </c>
      <c r="B11" s="14" t="inlineStr">
        <is>
          <t>Acero de refuerzo fy=420 MPa (60000psi) figurado</t>
        </is>
      </c>
      <c r="C11" s="15" t="inlineStr">
        <is>
          <t>kg</t>
        </is>
      </c>
      <c r="D11" s="15" t="inlineStr">
        <is>
          <t>MAT</t>
        </is>
      </c>
      <c r="E11" s="16" t="n">
        <v>4800</v>
      </c>
      <c r="F11" s="17" t="inlineStr">
        <is>
          <t>Cot. ref. ferreteria/figurado (varilla 1/2") 2026</t>
        </is>
      </c>
    </row>
    <row r="12">
      <c r="A12" s="13" t="inlineStr">
        <is>
          <t>M09</t>
        </is>
      </c>
      <c r="B12" s="14" t="inlineStr">
        <is>
          <t>Alambre negro recocido No.18</t>
        </is>
      </c>
      <c r="C12" s="15" t="inlineStr">
        <is>
          <t>kg</t>
        </is>
      </c>
      <c r="D12" s="15" t="inlineStr">
        <is>
          <t>MAT</t>
        </is>
      </c>
      <c r="E12" s="16" t="n">
        <v>7000</v>
      </c>
      <c r="F12" s="17" t="inlineStr">
        <is>
          <t>Cot. ref. ferreteria 2026</t>
        </is>
      </c>
    </row>
    <row r="13">
      <c r="A13" s="13" t="inlineStr">
        <is>
          <t>M10</t>
        </is>
      </c>
      <c r="B13" s="14" t="inlineStr">
        <is>
          <t>Malla electrosoldada 8mm (15x15)</t>
        </is>
      </c>
      <c r="C13" s="15" t="inlineStr">
        <is>
          <t>kg</t>
        </is>
      </c>
      <c r="D13" s="15" t="inlineStr">
        <is>
          <t>MAT</t>
        </is>
      </c>
      <c r="E13" s="16" t="n">
        <v>6500</v>
      </c>
      <c r="F13" s="17" t="inlineStr">
        <is>
          <t>Cot. ref. Acesco/ferreteria 2026</t>
        </is>
      </c>
    </row>
    <row r="14">
      <c r="A14" s="13" t="inlineStr">
        <is>
          <t>M11</t>
        </is>
      </c>
      <c r="B14" s="14" t="inlineStr">
        <is>
          <t>Bloque de concreto No.4 (hueco)</t>
        </is>
      </c>
      <c r="C14" s="15" t="inlineStr">
        <is>
          <t>und</t>
        </is>
      </c>
      <c r="D14" s="15" t="inlineStr">
        <is>
          <t>MAT</t>
        </is>
      </c>
      <c r="E14" s="16" t="n">
        <v>2700</v>
      </c>
      <c r="F14" s="17" t="inlineStr">
        <is>
          <t>Cot. ref. bloquera local Huila 2026</t>
        </is>
      </c>
    </row>
    <row r="15">
      <c r="A15" s="13" t="inlineStr">
        <is>
          <t>M12</t>
        </is>
      </c>
      <c r="B15" s="14" t="inlineStr">
        <is>
          <t>Bloque de concreto No.5</t>
        </is>
      </c>
      <c r="C15" s="15" t="inlineStr">
        <is>
          <t>und</t>
        </is>
      </c>
      <c r="D15" s="15" t="inlineStr">
        <is>
          <t>MAT</t>
        </is>
      </c>
      <c r="E15" s="16" t="n">
        <v>3100</v>
      </c>
      <c r="F15" s="17" t="inlineStr">
        <is>
          <t>Cot. ref. bloquera local Huila 2026</t>
        </is>
      </c>
    </row>
    <row r="16">
      <c r="A16" s="13" t="inlineStr">
        <is>
          <t>M13</t>
        </is>
      </c>
      <c r="B16" s="14" t="inlineStr">
        <is>
          <t>Adoquin en concreto 0.20x0.10x0.06</t>
        </is>
      </c>
      <c r="C16" s="15" t="inlineStr">
        <is>
          <t>und</t>
        </is>
      </c>
      <c r="D16" s="15" t="inlineStr">
        <is>
          <t>MAT</t>
        </is>
      </c>
      <c r="E16" s="16" t="n">
        <v>1350</v>
      </c>
      <c r="F16" s="17" t="inlineStr">
        <is>
          <t>Cot. ref. prefabricados de concreto 2026</t>
        </is>
      </c>
    </row>
    <row r="17">
      <c r="A17" s="13" t="inlineStr">
        <is>
          <t>M14</t>
        </is>
      </c>
      <c r="B17" s="14" t="inlineStr">
        <is>
          <t>Geotextil no tejido NT 1600</t>
        </is>
      </c>
      <c r="C17" s="15" t="inlineStr">
        <is>
          <t>m2</t>
        </is>
      </c>
      <c r="D17" s="15" t="inlineStr">
        <is>
          <t>MAT</t>
        </is>
      </c>
      <c r="E17" s="16" t="n">
        <v>4500</v>
      </c>
      <c r="F17" s="17" t="inlineStr">
        <is>
          <t>Cot. ref. Pavco/Geomatrix 2026</t>
        </is>
      </c>
    </row>
    <row r="18">
      <c r="A18" s="13" t="inlineStr">
        <is>
          <t>M15</t>
        </is>
      </c>
      <c r="B18" s="14" t="inlineStr">
        <is>
          <t>Material granular subbase B-400</t>
        </is>
      </c>
      <c r="C18" s="15" t="inlineStr">
        <is>
          <t>m3</t>
        </is>
      </c>
      <c r="D18" s="15" t="inlineStr">
        <is>
          <t>MAT</t>
        </is>
      </c>
      <c r="E18" s="16" t="n">
        <v>95000</v>
      </c>
      <c r="F18" s="17" t="inlineStr">
        <is>
          <t>Cot. ref. cantera/proveedor Huila 2026</t>
        </is>
      </c>
    </row>
    <row r="19">
      <c r="A19" s="13" t="inlineStr">
        <is>
          <t>M16</t>
        </is>
      </c>
      <c r="B19" s="14" t="inlineStr">
        <is>
          <t>Recebo comun compactable</t>
        </is>
      </c>
      <c r="C19" s="15" t="inlineStr">
        <is>
          <t>m3</t>
        </is>
      </c>
      <c r="D19" s="15" t="inlineStr">
        <is>
          <t>MAT</t>
        </is>
      </c>
      <c r="E19" s="16" t="n">
        <v>65000</v>
      </c>
      <c r="F19" s="17" t="inlineStr">
        <is>
          <t>Cot. ref. cantera/proveedor Huila 2026</t>
        </is>
      </c>
    </row>
    <row r="20">
      <c r="A20" s="13" t="inlineStr">
        <is>
          <t>M17</t>
        </is>
      </c>
      <c r="B20" s="14" t="inlineStr">
        <is>
          <t>Formaleta (madera/metalica) - costo por uso</t>
        </is>
      </c>
      <c r="C20" s="15" t="inlineStr">
        <is>
          <t>m2</t>
        </is>
      </c>
      <c r="D20" s="15" t="inlineStr">
        <is>
          <t>MAT</t>
        </is>
      </c>
      <c r="E20" s="16" t="n">
        <v>15000</v>
      </c>
      <c r="F20" s="17" t="inlineStr">
        <is>
          <t>Construdata 2026 (costo por uso)</t>
        </is>
      </c>
    </row>
    <row r="21">
      <c r="A21" s="13" t="inlineStr">
        <is>
          <t>M18</t>
        </is>
      </c>
      <c r="B21" s="14" t="inlineStr">
        <is>
          <t>Curador / antisol / impermeabilizante</t>
        </is>
      </c>
      <c r="C21" s="15" t="inlineStr">
        <is>
          <t>gal</t>
        </is>
      </c>
      <c r="D21" s="15" t="inlineStr">
        <is>
          <t>MAT</t>
        </is>
      </c>
      <c r="E21" s="16" t="n">
        <v>48000</v>
      </c>
      <c r="F21" s="17" t="inlineStr">
        <is>
          <t>Cot. ref. Sika/Toxement 2026</t>
        </is>
      </c>
    </row>
    <row r="22">
      <c r="A22" s="13" t="inlineStr">
        <is>
          <t>M19</t>
        </is>
      </c>
      <c r="B22" s="14" t="inlineStr">
        <is>
          <t>Desmoldante (ACPM/aceite)</t>
        </is>
      </c>
      <c r="C22" s="15" t="inlineStr">
        <is>
          <t>gal</t>
        </is>
      </c>
      <c r="D22" s="15" t="inlineStr">
        <is>
          <t>MAT</t>
        </is>
      </c>
      <c r="E22" s="16" t="n">
        <v>40000</v>
      </c>
      <c r="F22" s="17" t="inlineStr">
        <is>
          <t>Cot. ref. ferreteria 2026</t>
        </is>
      </c>
    </row>
    <row r="23">
      <c r="A23" s="13" t="inlineStr">
        <is>
          <t>M20</t>
        </is>
      </c>
      <c r="B23" s="14" t="inlineStr">
        <is>
          <t>Arena de cama y sello para adoquin</t>
        </is>
      </c>
      <c r="C23" s="15" t="inlineStr">
        <is>
          <t>m3</t>
        </is>
      </c>
      <c r="D23" s="15" t="inlineStr">
        <is>
          <t>MAT</t>
        </is>
      </c>
      <c r="E23" s="16" t="n">
        <v>74000</v>
      </c>
      <c r="F23" s="17" t="inlineStr">
        <is>
          <t>Cot. ref. proveedor agregados 2026</t>
        </is>
      </c>
    </row>
    <row r="24">
      <c r="A24" s="13" t="inlineStr">
        <is>
          <t>M21</t>
        </is>
      </c>
      <c r="B24" s="14" t="inlineStr">
        <is>
          <t>Caseton / aligerante placa (guadua-icopor)</t>
        </is>
      </c>
      <c r="C24" s="15" t="inlineStr">
        <is>
          <t>m2</t>
        </is>
      </c>
      <c r="D24" s="15" t="inlineStr">
        <is>
          <t>MAT</t>
        </is>
      </c>
      <c r="E24" s="16" t="n">
        <v>19000</v>
      </c>
      <c r="F24" s="17" t="inlineStr">
        <is>
          <t>Construdata 2026</t>
        </is>
      </c>
    </row>
    <row r="25">
      <c r="A25" s="13" t="inlineStr">
        <is>
          <t>MO1</t>
        </is>
      </c>
      <c r="B25" s="14" t="inlineStr">
        <is>
          <t>Oficial de construccion (jornal + prestaciones)</t>
        </is>
      </c>
      <c r="C25" s="15" t="inlineStr">
        <is>
          <t>dia</t>
        </is>
      </c>
      <c r="D25" s="15" t="inlineStr">
        <is>
          <t>MO</t>
        </is>
      </c>
      <c r="E25" s="16" t="n">
        <v>145000</v>
      </c>
      <c r="F25" s="17" t="inlineStr">
        <is>
          <t>SMLMV 2026 $1.750.905 (Dec.1469/25) x ~1.4 SMLMV + factor prestacional 1.55</t>
        </is>
      </c>
    </row>
    <row r="26">
      <c r="A26" s="13" t="inlineStr">
        <is>
          <t>MO2</t>
        </is>
      </c>
      <c r="B26" s="14" t="inlineStr">
        <is>
          <t>Ayudante / obrero (jornal + prestaciones)</t>
        </is>
      </c>
      <c r="C26" s="15" t="inlineStr">
        <is>
          <t>dia</t>
        </is>
      </c>
      <c r="D26" s="15" t="inlineStr">
        <is>
          <t>MO</t>
        </is>
      </c>
      <c r="E26" s="16" t="n">
        <v>105000</v>
      </c>
      <c r="F26" s="17" t="inlineStr">
        <is>
          <t>SMLMV 2026 $1.750.905 + aux. transporte + factor prestacional 1.55</t>
        </is>
      </c>
    </row>
    <row r="27">
      <c r="A27" s="13" t="inlineStr">
        <is>
          <t>EQ1</t>
        </is>
      </c>
      <c r="B27" s="14" t="inlineStr">
        <is>
          <t>Retroexcavadora sobre llantas</t>
        </is>
      </c>
      <c r="C27" s="15" t="inlineStr">
        <is>
          <t>hora</t>
        </is>
      </c>
      <c r="D27" s="15" t="inlineStr">
        <is>
          <t>EQU</t>
        </is>
      </c>
      <c r="E27" s="16" t="n">
        <v>155000</v>
      </c>
      <c r="F27" s="17" t="inlineStr">
        <is>
          <t>Tarifa alquiler maquinaria 2026</t>
        </is>
      </c>
    </row>
    <row r="28">
      <c r="A28" s="13" t="inlineStr">
        <is>
          <t>EQ2</t>
        </is>
      </c>
      <c r="B28" s="14" t="inlineStr">
        <is>
          <t>Volqueta - retiro y disposicion (hasta 15 km)</t>
        </is>
      </c>
      <c r="C28" s="15" t="inlineStr">
        <is>
          <t>m3</t>
        </is>
      </c>
      <c r="D28" s="15" t="inlineStr">
        <is>
          <t>EQU</t>
        </is>
      </c>
      <c r="E28" s="16" t="n">
        <v>30000</v>
      </c>
      <c r="F28" s="17" t="inlineStr">
        <is>
          <t>Tarifa transporte/disposicion 2026</t>
        </is>
      </c>
    </row>
    <row r="29">
      <c r="A29" s="13" t="inlineStr">
        <is>
          <t>EQ3</t>
        </is>
      </c>
      <c r="B29" s="14" t="inlineStr">
        <is>
          <t>Vibrador de concreto a gasolina</t>
        </is>
      </c>
      <c r="C29" s="15" t="inlineStr">
        <is>
          <t>dia</t>
        </is>
      </c>
      <c r="D29" s="15" t="inlineStr">
        <is>
          <t>EQU</t>
        </is>
      </c>
      <c r="E29" s="16" t="n">
        <v>42000</v>
      </c>
      <c r="F29" s="17" t="inlineStr">
        <is>
          <t>Tarifa alquiler equipo 2026</t>
        </is>
      </c>
    </row>
    <row r="30">
      <c r="A30" s="13" t="inlineStr">
        <is>
          <t>EQ4</t>
        </is>
      </c>
      <c r="B30" s="14" t="inlineStr">
        <is>
          <t>Mezcladora de concreto 1.5 saco</t>
        </is>
      </c>
      <c r="C30" s="15" t="inlineStr">
        <is>
          <t>dia</t>
        </is>
      </c>
      <c r="D30" s="15" t="inlineStr">
        <is>
          <t>EQU</t>
        </is>
      </c>
      <c r="E30" s="16" t="n">
        <v>58000</v>
      </c>
      <c r="F30" s="17" t="inlineStr">
        <is>
          <t>Tarifa alquiler equipo 2026</t>
        </is>
      </c>
    </row>
    <row r="31">
      <c r="A31" s="13" t="inlineStr">
        <is>
          <t>EQ5</t>
        </is>
      </c>
      <c r="B31" s="14" t="inlineStr">
        <is>
          <t>Vibrocompactador tipo rana / canguro</t>
        </is>
      </c>
      <c r="C31" s="15" t="inlineStr">
        <is>
          <t>dia</t>
        </is>
      </c>
      <c r="D31" s="15" t="inlineStr">
        <is>
          <t>EQU</t>
        </is>
      </c>
      <c r="E31" s="16" t="n">
        <v>62000</v>
      </c>
      <c r="F31" s="17" t="inlineStr">
        <is>
          <t>Tarifa alquiler equipo 2026</t>
        </is>
      </c>
    </row>
    <row r="32">
      <c r="A32" s="13" t="inlineStr">
        <is>
          <t>EQ6</t>
        </is>
      </c>
      <c r="B32" s="14" t="inlineStr">
        <is>
          <t>Cortadora y dobladora de hierro</t>
        </is>
      </c>
      <c r="C32" s="15" t="inlineStr">
        <is>
          <t>dia</t>
        </is>
      </c>
      <c r="D32" s="15" t="inlineStr">
        <is>
          <t>EQU</t>
        </is>
      </c>
      <c r="E32" s="16" t="n">
        <v>52000</v>
      </c>
      <c r="F32" s="17" t="inlineStr">
        <is>
          <t>Tarifa alquiler equipo 2026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2" customWidth="1" min="4" max="4"/>
    <col width="16" customWidth="1" min="5" max="5"/>
    <col width="18" customWidth="1" min="6" max="6"/>
  </cols>
  <sheetData>
    <row r="1">
      <c r="A1" s="10" t="inlineStr">
        <is>
          <t>ANALISIS DE PRECIOS UNITARIOS (APU) - CDI TESALIA - MODULO 1</t>
        </is>
      </c>
    </row>
    <row r="3">
      <c r="A3" s="18" t="inlineStr">
        <is>
          <t>APU 2.1.1</t>
        </is>
      </c>
      <c r="B3" s="18" t="inlineStr">
        <is>
          <t>Excavacion a maquina, conglomerado 0.0-2.0 m, incluye retiro y disposicion final (15 km)</t>
        </is>
      </c>
      <c r="C3" s="18" t="inlineStr">
        <is>
          <t>UND: M3</t>
        </is>
      </c>
      <c r="D3" s="19" t="n"/>
      <c r="E3" s="19" t="n"/>
      <c r="F3" s="19" t="n"/>
    </row>
    <row r="4">
      <c r="A4" s="20" t="inlineStr">
        <is>
          <t>CODIGO</t>
        </is>
      </c>
      <c r="B4" s="20" t="inlineStr">
        <is>
          <t>INSUMO / RECURSO</t>
        </is>
      </c>
      <c r="C4" s="20" t="inlineStr">
        <is>
          <t>UNIDAD</t>
        </is>
      </c>
      <c r="D4" s="20" t="inlineStr">
        <is>
          <t>CANT./REND.</t>
        </is>
      </c>
      <c r="E4" s="20" t="inlineStr">
        <is>
          <t>VR. UNITARIO</t>
        </is>
      </c>
      <c r="F4" s="20" t="inlineStr">
        <is>
          <t>VR. PARCIAL</t>
        </is>
      </c>
    </row>
    <row r="5">
      <c r="A5" s="15" t="inlineStr">
        <is>
          <t>EQ1</t>
        </is>
      </c>
      <c r="B5" s="14" t="inlineStr">
        <is>
          <t>Retroexcavadora sobre llantas  [Retroexcavadora]</t>
        </is>
      </c>
      <c r="C5" s="15" t="inlineStr">
        <is>
          <t>hora</t>
        </is>
      </c>
      <c r="D5" s="21" t="n">
        <v>0.12</v>
      </c>
      <c r="E5" s="16">
        <f>INSUMOS!$E$27</f>
        <v/>
      </c>
      <c r="F5" s="16">
        <f>D5*E5</f>
        <v/>
      </c>
    </row>
    <row r="6">
      <c r="A6" s="15" t="inlineStr">
        <is>
          <t>EQ2</t>
        </is>
      </c>
      <c r="B6" s="14" t="inlineStr">
        <is>
          <t>Volqueta - retiro y disposicion (hasta 15 km)  [Retiro+disposicion (esponj. 1.25)]</t>
        </is>
      </c>
      <c r="C6" s="15" t="inlineStr">
        <is>
          <t>m3</t>
        </is>
      </c>
      <c r="D6" s="21" t="n">
        <v>1.25</v>
      </c>
      <c r="E6" s="16">
        <f>INSUMOS!$E$28</f>
        <v/>
      </c>
      <c r="F6" s="16">
        <f>D6*E6</f>
        <v/>
      </c>
    </row>
    <row r="7">
      <c r="A7" s="15" t="inlineStr">
        <is>
          <t>MO2</t>
        </is>
      </c>
      <c r="B7" s="14" t="inlineStr">
        <is>
          <t>Ayudante / obrero (jornal + prestaciones)  [Ayudante]</t>
        </is>
      </c>
      <c r="C7" s="15" t="inlineStr">
        <is>
          <t>dia</t>
        </is>
      </c>
      <c r="D7" s="21" t="n">
        <v>0.01667</v>
      </c>
      <c r="E7" s="16">
        <f>INSUMOS!$E$26</f>
        <v/>
      </c>
      <c r="F7" s="16">
        <f>D7*E7</f>
        <v/>
      </c>
    </row>
    <row r="8">
      <c r="A8" s="15" t="inlineStr">
        <is>
          <t>HM</t>
        </is>
      </c>
      <c r="B8" s="14" t="inlineStr">
        <is>
          <t>Herramienta menor (5% de la mano de obra)</t>
        </is>
      </c>
      <c r="C8" s="15" t="inlineStr">
        <is>
          <t>%</t>
        </is>
      </c>
      <c r="D8" s="22" t="n">
        <v>0.05</v>
      </c>
      <c r="E8" s="14" t="n"/>
      <c r="F8" s="16">
        <f>(F7)*0.05</f>
        <v/>
      </c>
    </row>
    <row r="9">
      <c r="A9" s="23" t="n"/>
      <c r="B9" s="24" t="inlineStr">
        <is>
          <t>VALOR UNITARIO TOTAL  -  APU 2.1.1</t>
        </is>
      </c>
      <c r="C9" s="23" t="n"/>
      <c r="D9" s="23" t="n"/>
      <c r="E9" s="23" t="n"/>
      <c r="F9" s="25">
        <f>SUM(F5:F8)</f>
        <v/>
      </c>
    </row>
    <row r="11">
      <c r="A11" s="18" t="inlineStr">
        <is>
          <t>APU 2.1.2</t>
        </is>
      </c>
      <c r="B11" s="18" t="inlineStr">
        <is>
          <t>Relleno compactado en material granular de subbase B-400</t>
        </is>
      </c>
      <c r="C11" s="18" t="inlineStr">
        <is>
          <t>UND: M3</t>
        </is>
      </c>
      <c r="D11" s="19" t="n"/>
      <c r="E11" s="19" t="n"/>
      <c r="F11" s="19" t="n"/>
    </row>
    <row r="12">
      <c r="A12" s="20" t="inlineStr">
        <is>
          <t>CODIGO</t>
        </is>
      </c>
      <c r="B12" s="20" t="inlineStr">
        <is>
          <t>INSUMO / RECURSO</t>
        </is>
      </c>
      <c r="C12" s="20" t="inlineStr">
        <is>
          <t>UNIDAD</t>
        </is>
      </c>
      <c r="D12" s="20" t="inlineStr">
        <is>
          <t>CANT./REND.</t>
        </is>
      </c>
      <c r="E12" s="20" t="inlineStr">
        <is>
          <t>VR. UNITARIO</t>
        </is>
      </c>
      <c r="F12" s="20" t="inlineStr">
        <is>
          <t>VR. PARCIAL</t>
        </is>
      </c>
    </row>
    <row r="13">
      <c r="A13" s="15" t="inlineStr">
        <is>
          <t>M15</t>
        </is>
      </c>
      <c r="B13" s="14" t="inlineStr">
        <is>
          <t>Material granular subbase B-400  [Material granular B-400 (comp. 1.25)]</t>
        </is>
      </c>
      <c r="C13" s="15" t="inlineStr">
        <is>
          <t>m3</t>
        </is>
      </c>
      <c r="D13" s="21" t="n">
        <v>1.25</v>
      </c>
      <c r="E13" s="16">
        <f>INSUMOS!$E$18</f>
        <v/>
      </c>
      <c r="F13" s="16">
        <f>D13*E13</f>
        <v/>
      </c>
    </row>
    <row r="14">
      <c r="A14" s="15" t="inlineStr">
        <is>
          <t>EQ5</t>
        </is>
      </c>
      <c r="B14" s="14" t="inlineStr">
        <is>
          <t>Vibrocompactador tipo rana / canguro  [Vibrocompactador]</t>
        </is>
      </c>
      <c r="C14" s="15" t="inlineStr">
        <is>
          <t>dia</t>
        </is>
      </c>
      <c r="D14" s="21" t="n">
        <v>0.025</v>
      </c>
      <c r="E14" s="16">
        <f>INSUMOS!$E$31</f>
        <v/>
      </c>
      <c r="F14" s="16">
        <f>D14*E14</f>
        <v/>
      </c>
    </row>
    <row r="15">
      <c r="A15" s="15" t="inlineStr">
        <is>
          <t>MO1</t>
        </is>
      </c>
      <c r="B15" s="14" t="inlineStr">
        <is>
          <t>Oficial de construccion (jornal + prestaciones)  [Oficial]</t>
        </is>
      </c>
      <c r="C15" s="15" t="inlineStr">
        <is>
          <t>dia</t>
        </is>
      </c>
      <c r="D15" s="21" t="n">
        <v>0.025</v>
      </c>
      <c r="E15" s="16">
        <f>INSUMOS!$E$25</f>
        <v/>
      </c>
      <c r="F15" s="16">
        <f>D15*E15</f>
        <v/>
      </c>
    </row>
    <row r="16">
      <c r="A16" s="15" t="inlineStr">
        <is>
          <t>MO2</t>
        </is>
      </c>
      <c r="B16" s="14" t="inlineStr">
        <is>
          <t>Ayudante / obrero (jornal + prestaciones)  [Ayudante x2]</t>
        </is>
      </c>
      <c r="C16" s="15" t="inlineStr">
        <is>
          <t>dia</t>
        </is>
      </c>
      <c r="D16" s="21" t="n">
        <v>0.05</v>
      </c>
      <c r="E16" s="16">
        <f>INSUMOS!$E$26</f>
        <v/>
      </c>
      <c r="F16" s="16">
        <f>D16*E16</f>
        <v/>
      </c>
    </row>
    <row r="17">
      <c r="A17" s="15" t="inlineStr">
        <is>
          <t>HM</t>
        </is>
      </c>
      <c r="B17" s="14" t="inlineStr">
        <is>
          <t>Herramienta menor (5% de la mano de obra)</t>
        </is>
      </c>
      <c r="C17" s="15" t="inlineStr">
        <is>
          <t>%</t>
        </is>
      </c>
      <c r="D17" s="22" t="n">
        <v>0.05</v>
      </c>
      <c r="E17" s="14" t="n"/>
      <c r="F17" s="16">
        <f>(F15+F16)*0.05</f>
        <v/>
      </c>
    </row>
    <row r="18">
      <c r="A18" s="23" t="n"/>
      <c r="B18" s="24" t="inlineStr">
        <is>
          <t>VALOR UNITARIO TOTAL  -  APU 2.1.2</t>
        </is>
      </c>
      <c r="C18" s="23" t="n"/>
      <c r="D18" s="23" t="n"/>
      <c r="E18" s="23" t="n"/>
      <c r="F18" s="25">
        <f>SUM(F13:F17)</f>
        <v/>
      </c>
    </row>
    <row r="20">
      <c r="A20" s="18" t="inlineStr">
        <is>
          <t>APU 2.1.3</t>
        </is>
      </c>
      <c r="B20" s="18" t="inlineStr">
        <is>
          <t>Excavacion manual, material comun 0.0-2.0 m, incluye retiro (15 km)</t>
        </is>
      </c>
      <c r="C20" s="18" t="inlineStr">
        <is>
          <t>UND: M3</t>
        </is>
      </c>
      <c r="D20" s="19" t="n"/>
      <c r="E20" s="19" t="n"/>
      <c r="F20" s="19" t="n"/>
    </row>
    <row r="21">
      <c r="A21" s="20" t="inlineStr">
        <is>
          <t>CODIGO</t>
        </is>
      </c>
      <c r="B21" s="20" t="inlineStr">
        <is>
          <t>INSUMO / RECURSO</t>
        </is>
      </c>
      <c r="C21" s="20" t="inlineStr">
        <is>
          <t>UNIDAD</t>
        </is>
      </c>
      <c r="D21" s="20" t="inlineStr">
        <is>
          <t>CANT./REND.</t>
        </is>
      </c>
      <c r="E21" s="20" t="inlineStr">
        <is>
          <t>VR. UNITARIO</t>
        </is>
      </c>
      <c r="F21" s="20" t="inlineStr">
        <is>
          <t>VR. PARCIAL</t>
        </is>
      </c>
    </row>
    <row r="22">
      <c r="A22" s="15" t="inlineStr">
        <is>
          <t>MO2</t>
        </is>
      </c>
      <c r="B22" s="14" t="inlineStr">
        <is>
          <t>Ayudante / obrero (jornal + prestaciones)  [Ayudante]</t>
        </is>
      </c>
      <c r="C22" s="15" t="inlineStr">
        <is>
          <t>dia</t>
        </is>
      </c>
      <c r="D22" s="21" t="n">
        <v>0.33333</v>
      </c>
      <c r="E22" s="16">
        <f>INSUMOS!$E$26</f>
        <v/>
      </c>
      <c r="F22" s="16">
        <f>D22*E22</f>
        <v/>
      </c>
    </row>
    <row r="23">
      <c r="A23" s="15" t="inlineStr">
        <is>
          <t>EQ2</t>
        </is>
      </c>
      <c r="B23" s="14" t="inlineStr">
        <is>
          <t>Volqueta - retiro y disposicion (hasta 15 km)  [Retiro+disposicion]</t>
        </is>
      </c>
      <c r="C23" s="15" t="inlineStr">
        <is>
          <t>m3</t>
        </is>
      </c>
      <c r="D23" s="21" t="n">
        <v>1.25</v>
      </c>
      <c r="E23" s="16">
        <f>INSUMOS!$E$28</f>
        <v/>
      </c>
      <c r="F23" s="16">
        <f>D23*E23</f>
        <v/>
      </c>
    </row>
    <row r="24">
      <c r="A24" s="15" t="inlineStr">
        <is>
          <t>HM</t>
        </is>
      </c>
      <c r="B24" s="14" t="inlineStr">
        <is>
          <t>Herramienta menor (5% de la mano de obra)</t>
        </is>
      </c>
      <c r="C24" s="15" t="inlineStr">
        <is>
          <t>%</t>
        </is>
      </c>
      <c r="D24" s="22" t="n">
        <v>0.05</v>
      </c>
      <c r="E24" s="14" t="n"/>
      <c r="F24" s="16">
        <f>(F22)*0.05</f>
        <v/>
      </c>
    </row>
    <row r="25">
      <c r="A25" s="23" t="n"/>
      <c r="B25" s="24" t="inlineStr">
        <is>
          <t>VALOR UNITARIO TOTAL  -  APU 2.1.3</t>
        </is>
      </c>
      <c r="C25" s="23" t="n"/>
      <c r="D25" s="23" t="n"/>
      <c r="E25" s="23" t="n"/>
      <c r="F25" s="25">
        <f>SUM(F22:F24)</f>
        <v/>
      </c>
    </row>
    <row r="27">
      <c r="A27" s="18" t="inlineStr">
        <is>
          <t>APU 2.1.4</t>
        </is>
      </c>
      <c r="B27" s="18" t="inlineStr">
        <is>
          <t>Relleno compactado con material comun (recebo)</t>
        </is>
      </c>
      <c r="C27" s="18" t="inlineStr">
        <is>
          <t>UND: M3</t>
        </is>
      </c>
      <c r="D27" s="19" t="n"/>
      <c r="E27" s="19" t="n"/>
      <c r="F27" s="19" t="n"/>
    </row>
    <row r="28">
      <c r="A28" s="20" t="inlineStr">
        <is>
          <t>CODIGO</t>
        </is>
      </c>
      <c r="B28" s="20" t="inlineStr">
        <is>
          <t>INSUMO / RECURSO</t>
        </is>
      </c>
      <c r="C28" s="20" t="inlineStr">
        <is>
          <t>UNIDAD</t>
        </is>
      </c>
      <c r="D28" s="20" t="inlineStr">
        <is>
          <t>CANT./REND.</t>
        </is>
      </c>
      <c r="E28" s="20" t="inlineStr">
        <is>
          <t>VR. UNITARIO</t>
        </is>
      </c>
      <c r="F28" s="20" t="inlineStr">
        <is>
          <t>VR. PARCIAL</t>
        </is>
      </c>
    </row>
    <row r="29">
      <c r="A29" s="15" t="inlineStr">
        <is>
          <t>M16</t>
        </is>
      </c>
      <c r="B29" s="14" t="inlineStr">
        <is>
          <t>Recebo comun compactable  [Recebo comun (comp. 1.25)]</t>
        </is>
      </c>
      <c r="C29" s="15" t="inlineStr">
        <is>
          <t>m3</t>
        </is>
      </c>
      <c r="D29" s="21" t="n">
        <v>1.25</v>
      </c>
      <c r="E29" s="16">
        <f>INSUMOS!$E$19</f>
        <v/>
      </c>
      <c r="F29" s="16">
        <f>D29*E29</f>
        <v/>
      </c>
    </row>
    <row r="30">
      <c r="A30" s="15" t="inlineStr">
        <is>
          <t>EQ5</t>
        </is>
      </c>
      <c r="B30" s="14" t="inlineStr">
        <is>
          <t>Vibrocompactador tipo rana / canguro  [Vibrocompactador]</t>
        </is>
      </c>
      <c r="C30" s="15" t="inlineStr">
        <is>
          <t>dia</t>
        </is>
      </c>
      <c r="D30" s="21" t="n">
        <v>0.025</v>
      </c>
      <c r="E30" s="16">
        <f>INSUMOS!$E$31</f>
        <v/>
      </c>
      <c r="F30" s="16">
        <f>D30*E30</f>
        <v/>
      </c>
    </row>
    <row r="31">
      <c r="A31" s="15" t="inlineStr">
        <is>
          <t>MO1</t>
        </is>
      </c>
      <c r="B31" s="14" t="inlineStr">
        <is>
          <t>Oficial de construccion (jornal + prestaciones)  [Oficial]</t>
        </is>
      </c>
      <c r="C31" s="15" t="inlineStr">
        <is>
          <t>dia</t>
        </is>
      </c>
      <c r="D31" s="21" t="n">
        <v>0.025</v>
      </c>
      <c r="E31" s="16">
        <f>INSUMOS!$E$25</f>
        <v/>
      </c>
      <c r="F31" s="16">
        <f>D31*E31</f>
        <v/>
      </c>
    </row>
    <row r="32">
      <c r="A32" s="15" t="inlineStr">
        <is>
          <t>MO2</t>
        </is>
      </c>
      <c r="B32" s="14" t="inlineStr">
        <is>
          <t>Ayudante / obrero (jornal + prestaciones)  [Ayudante x2]</t>
        </is>
      </c>
      <c r="C32" s="15" t="inlineStr">
        <is>
          <t>dia</t>
        </is>
      </c>
      <c r="D32" s="21" t="n">
        <v>0.05</v>
      </c>
      <c r="E32" s="16">
        <f>INSUMOS!$E$26</f>
        <v/>
      </c>
      <c r="F32" s="16">
        <f>D32*E32</f>
        <v/>
      </c>
    </row>
    <row r="33">
      <c r="A33" s="15" t="inlineStr">
        <is>
          <t>HM</t>
        </is>
      </c>
      <c r="B33" s="14" t="inlineStr">
        <is>
          <t>Herramienta menor (5% de la mano de obra)</t>
        </is>
      </c>
      <c r="C33" s="15" t="inlineStr">
        <is>
          <t>%</t>
        </is>
      </c>
      <c r="D33" s="22" t="n">
        <v>0.05</v>
      </c>
      <c r="E33" s="14" t="n"/>
      <c r="F33" s="16">
        <f>(F31+F32)*0.05</f>
        <v/>
      </c>
    </row>
    <row r="34">
      <c r="A34" s="23" t="n"/>
      <c r="B34" s="24" t="inlineStr">
        <is>
          <t>VALOR UNITARIO TOTAL  -  APU 2.1.4</t>
        </is>
      </c>
      <c r="C34" s="23" t="n"/>
      <c r="D34" s="23" t="n"/>
      <c r="E34" s="23" t="n"/>
      <c r="F34" s="25">
        <f>SUM(F29:F33)</f>
        <v/>
      </c>
    </row>
    <row r="36">
      <c r="A36" s="18" t="inlineStr">
        <is>
          <t>APU 2.1.6</t>
        </is>
      </c>
      <c r="B36" s="18" t="inlineStr">
        <is>
          <t>Geotextil NT 1600, suministro e instalacion</t>
        </is>
      </c>
      <c r="C36" s="18" t="inlineStr">
        <is>
          <t>UND: M2</t>
        </is>
      </c>
      <c r="D36" s="19" t="n"/>
      <c r="E36" s="19" t="n"/>
      <c r="F36" s="19" t="n"/>
    </row>
    <row r="37">
      <c r="A37" s="20" t="inlineStr">
        <is>
          <t>CODIGO</t>
        </is>
      </c>
      <c r="B37" s="20" t="inlineStr">
        <is>
          <t>INSUMO / RECURSO</t>
        </is>
      </c>
      <c r="C37" s="20" t="inlineStr">
        <is>
          <t>UNIDAD</t>
        </is>
      </c>
      <c r="D37" s="20" t="inlineStr">
        <is>
          <t>CANT./REND.</t>
        </is>
      </c>
      <c r="E37" s="20" t="inlineStr">
        <is>
          <t>VR. UNITARIO</t>
        </is>
      </c>
      <c r="F37" s="20" t="inlineStr">
        <is>
          <t>VR. PARCIAL</t>
        </is>
      </c>
    </row>
    <row r="38">
      <c r="A38" s="15" t="inlineStr">
        <is>
          <t>M14</t>
        </is>
      </c>
      <c r="B38" s="14" t="inlineStr">
        <is>
          <t>Geotextil no tejido NT 1600  [Geotextil NT1600 (traslapo 1.10)]</t>
        </is>
      </c>
      <c r="C38" s="15" t="inlineStr">
        <is>
          <t>m2</t>
        </is>
      </c>
      <c r="D38" s="21" t="n">
        <v>1.1</v>
      </c>
      <c r="E38" s="16">
        <f>INSUMOS!$E$17</f>
        <v/>
      </c>
      <c r="F38" s="16">
        <f>D38*E38</f>
        <v/>
      </c>
    </row>
    <row r="39">
      <c r="A39" s="15" t="inlineStr">
        <is>
          <t>MO2</t>
        </is>
      </c>
      <c r="B39" s="14" t="inlineStr">
        <is>
          <t>Ayudante / obrero (jornal + prestaciones)  [Ayudante]</t>
        </is>
      </c>
      <c r="C39" s="15" t="inlineStr">
        <is>
          <t>dia</t>
        </is>
      </c>
      <c r="D39" s="21" t="n">
        <v>0.008330000000000001</v>
      </c>
      <c r="E39" s="16">
        <f>INSUMOS!$E$26</f>
        <v/>
      </c>
      <c r="F39" s="16">
        <f>D39*E39</f>
        <v/>
      </c>
    </row>
    <row r="40">
      <c r="A40" s="15" t="inlineStr">
        <is>
          <t>HM</t>
        </is>
      </c>
      <c r="B40" s="14" t="inlineStr">
        <is>
          <t>Herramienta menor (5% de la mano de obra)</t>
        </is>
      </c>
      <c r="C40" s="15" t="inlineStr">
        <is>
          <t>%</t>
        </is>
      </c>
      <c r="D40" s="22" t="n">
        <v>0.05</v>
      </c>
      <c r="E40" s="14" t="n"/>
      <c r="F40" s="16">
        <f>(F39)*0.05</f>
        <v/>
      </c>
    </row>
    <row r="41">
      <c r="A41" s="23" t="n"/>
      <c r="B41" s="24" t="inlineStr">
        <is>
          <t>VALOR UNITARIO TOTAL  -  APU 2.1.6</t>
        </is>
      </c>
      <c r="C41" s="23" t="n"/>
      <c r="D41" s="23" t="n"/>
      <c r="E41" s="23" t="n"/>
      <c r="F41" s="25">
        <f>SUM(F38:F40)</f>
        <v/>
      </c>
    </row>
    <row r="43">
      <c r="A43" s="18" t="inlineStr">
        <is>
          <t>APU 2.2.1</t>
        </is>
      </c>
      <c r="B43" s="18" t="inlineStr">
        <is>
          <t>Vigas de cimentacion en concreto 3000 psi (incluye formaleta, vibrado, curado, desmoldeante; no incluye acero)</t>
        </is>
      </c>
      <c r="C43" s="18" t="inlineStr">
        <is>
          <t>UND: M3</t>
        </is>
      </c>
      <c r="D43" s="19" t="n"/>
      <c r="E43" s="19" t="n"/>
      <c r="F43" s="19" t="n"/>
    </row>
    <row r="44">
      <c r="A44" s="20" t="inlineStr">
        <is>
          <t>CODIGO</t>
        </is>
      </c>
      <c r="B44" s="20" t="inlineStr">
        <is>
          <t>INSUMO / RECURSO</t>
        </is>
      </c>
      <c r="C44" s="20" t="inlineStr">
        <is>
          <t>UNIDAD</t>
        </is>
      </c>
      <c r="D44" s="20" t="inlineStr">
        <is>
          <t>CANT./REND.</t>
        </is>
      </c>
      <c r="E44" s="20" t="inlineStr">
        <is>
          <t>VR. UNITARIO</t>
        </is>
      </c>
      <c r="F44" s="20" t="inlineStr">
        <is>
          <t>VR. PARCIAL</t>
        </is>
      </c>
    </row>
    <row r="45">
      <c r="A45" s="15" t="inlineStr">
        <is>
          <t>M06</t>
        </is>
      </c>
      <c r="B45" s="14" t="inlineStr">
        <is>
          <t>Concreto premezclado 3000 psi (21 MPa)  [Concreto 3000psi (1.03)]</t>
        </is>
      </c>
      <c r="C45" s="15" t="inlineStr">
        <is>
          <t>m3</t>
        </is>
      </c>
      <c r="D45" s="21" t="n">
        <v>1.03</v>
      </c>
      <c r="E45" s="16">
        <f>INSUMOS!$E$9</f>
        <v/>
      </c>
      <c r="F45" s="16">
        <f>D45*E45</f>
        <v/>
      </c>
    </row>
    <row r="46">
      <c r="A46" s="15" t="inlineStr">
        <is>
          <t>M17</t>
        </is>
      </c>
      <c r="B46" s="14" t="inlineStr">
        <is>
          <t>Formaleta (madera/metalica) - costo por uso  [Formaleta]</t>
        </is>
      </c>
      <c r="C46" s="15" t="inlineStr">
        <is>
          <t>m2</t>
        </is>
      </c>
      <c r="D46" s="21" t="n">
        <v>5</v>
      </c>
      <c r="E46" s="16">
        <f>INSUMOS!$E$20</f>
        <v/>
      </c>
      <c r="F46" s="16">
        <f>D46*E46</f>
        <v/>
      </c>
    </row>
    <row r="47">
      <c r="A47" s="15" t="inlineStr">
        <is>
          <t>M19</t>
        </is>
      </c>
      <c r="B47" s="14" t="inlineStr">
        <is>
          <t>Desmoldante (ACPM/aceite)  [Desmoldante]</t>
        </is>
      </c>
      <c r="C47" s="15" t="inlineStr">
        <is>
          <t>gal</t>
        </is>
      </c>
      <c r="D47" s="21" t="n">
        <v>0.05</v>
      </c>
      <c r="E47" s="16">
        <f>INSUMOS!$E$22</f>
        <v/>
      </c>
      <c r="F47" s="16">
        <f>D47*E47</f>
        <v/>
      </c>
    </row>
    <row r="48">
      <c r="A48" s="15" t="inlineStr">
        <is>
          <t>M18</t>
        </is>
      </c>
      <c r="B48" s="14" t="inlineStr">
        <is>
          <t>Curador / antisol / impermeabilizante  [Curador]</t>
        </is>
      </c>
      <c r="C48" s="15" t="inlineStr">
        <is>
          <t>gal</t>
        </is>
      </c>
      <c r="D48" s="21" t="n">
        <v>0.05</v>
      </c>
      <c r="E48" s="16">
        <f>INSUMOS!$E$21</f>
        <v/>
      </c>
      <c r="F48" s="16">
        <f>D48*E48</f>
        <v/>
      </c>
    </row>
    <row r="49">
      <c r="A49" s="15" t="inlineStr">
        <is>
          <t>EQ3</t>
        </is>
      </c>
      <c r="B49" s="14" t="inlineStr">
        <is>
          <t>Vibrador de concreto a gasolina  [Vibrador]</t>
        </is>
      </c>
      <c r="C49" s="15" t="inlineStr">
        <is>
          <t>dia</t>
        </is>
      </c>
      <c r="D49" s="21" t="n">
        <v>0.08333</v>
      </c>
      <c r="E49" s="16">
        <f>INSUMOS!$E$29</f>
        <v/>
      </c>
      <c r="F49" s="16">
        <f>D49*E49</f>
        <v/>
      </c>
    </row>
    <row r="50">
      <c r="A50" s="15" t="inlineStr">
        <is>
          <t>MO1</t>
        </is>
      </c>
      <c r="B50" s="14" t="inlineStr">
        <is>
          <t>Oficial de construccion (jornal + prestaciones)  [Oficial]</t>
        </is>
      </c>
      <c r="C50" s="15" t="inlineStr">
        <is>
          <t>dia</t>
        </is>
      </c>
      <c r="D50" s="21" t="n">
        <v>0.125</v>
      </c>
      <c r="E50" s="16">
        <f>INSUMOS!$E$25</f>
        <v/>
      </c>
      <c r="F50" s="16">
        <f>D50*E50</f>
        <v/>
      </c>
    </row>
    <row r="51">
      <c r="A51" s="15" t="inlineStr">
        <is>
          <t>MO2</t>
        </is>
      </c>
      <c r="B51" s="14" t="inlineStr">
        <is>
          <t>Ayudante / obrero (jornal + prestaciones)  [Ayudante x2]</t>
        </is>
      </c>
      <c r="C51" s="15" t="inlineStr">
        <is>
          <t>dia</t>
        </is>
      </c>
      <c r="D51" s="21" t="n">
        <v>0.25</v>
      </c>
      <c r="E51" s="16">
        <f>INSUMOS!$E$26</f>
        <v/>
      </c>
      <c r="F51" s="16">
        <f>D51*E51</f>
        <v/>
      </c>
    </row>
    <row r="52">
      <c r="A52" s="15" t="inlineStr">
        <is>
          <t>HM</t>
        </is>
      </c>
      <c r="B52" s="14" t="inlineStr">
        <is>
          <t>Herramienta menor (5% de la mano de obra)</t>
        </is>
      </c>
      <c r="C52" s="15" t="inlineStr">
        <is>
          <t>%</t>
        </is>
      </c>
      <c r="D52" s="22" t="n">
        <v>0.05</v>
      </c>
      <c r="E52" s="14" t="n"/>
      <c r="F52" s="16">
        <f>(F50+F51)*0.05</f>
        <v/>
      </c>
    </row>
    <row r="53">
      <c r="A53" s="23" t="n"/>
      <c r="B53" s="24" t="inlineStr">
        <is>
          <t>VALOR UNITARIO TOTAL  -  APU 2.2.1</t>
        </is>
      </c>
      <c r="C53" s="23" t="n"/>
      <c r="D53" s="23" t="n"/>
      <c r="E53" s="23" t="n"/>
      <c r="F53" s="25">
        <f>SUM(F45:F52)</f>
        <v/>
      </c>
    </row>
    <row r="55">
      <c r="A55" s="18" t="inlineStr">
        <is>
          <t>APU 2.2.2</t>
        </is>
      </c>
      <c r="B55" s="18" t="inlineStr">
        <is>
          <t>Concreto 1500 psi para solados e=0.05 m</t>
        </is>
      </c>
      <c r="C55" s="18" t="inlineStr">
        <is>
          <t>UND: M2</t>
        </is>
      </c>
      <c r="D55" s="19" t="n"/>
      <c r="E55" s="19" t="n"/>
      <c r="F55" s="19" t="n"/>
    </row>
    <row r="56">
      <c r="A56" s="20" t="inlineStr">
        <is>
          <t>CODIGO</t>
        </is>
      </c>
      <c r="B56" s="20" t="inlineStr">
        <is>
          <t>INSUMO / RECURSO</t>
        </is>
      </c>
      <c r="C56" s="20" t="inlineStr">
        <is>
          <t>UNIDAD</t>
        </is>
      </c>
      <c r="D56" s="20" t="inlineStr">
        <is>
          <t>CANT./REND.</t>
        </is>
      </c>
      <c r="E56" s="20" t="inlineStr">
        <is>
          <t>VR. UNITARIO</t>
        </is>
      </c>
      <c r="F56" s="20" t="inlineStr">
        <is>
          <t>VR. PARCIAL</t>
        </is>
      </c>
    </row>
    <row r="57">
      <c r="A57" s="15" t="inlineStr">
        <is>
          <t>M07</t>
        </is>
      </c>
      <c r="B57" s="14" t="inlineStr">
        <is>
          <t>Concreto premezclado 1500 psi (solado)  [Concreto 1500psi (0.05 m3/m2)]</t>
        </is>
      </c>
      <c r="C57" s="15" t="inlineStr">
        <is>
          <t>m3</t>
        </is>
      </c>
      <c r="D57" s="21" t="n">
        <v>0.05</v>
      </c>
      <c r="E57" s="16">
        <f>INSUMOS!$E$10</f>
        <v/>
      </c>
      <c r="F57" s="16">
        <f>D57*E57</f>
        <v/>
      </c>
    </row>
    <row r="58">
      <c r="A58" s="15" t="inlineStr">
        <is>
          <t>MO1</t>
        </is>
      </c>
      <c r="B58" s="14" t="inlineStr">
        <is>
          <t>Oficial de construccion (jornal + prestaciones)  [Oficial]</t>
        </is>
      </c>
      <c r="C58" s="15" t="inlineStr">
        <is>
          <t>dia</t>
        </is>
      </c>
      <c r="D58" s="21" t="n">
        <v>0.0125</v>
      </c>
      <c r="E58" s="16">
        <f>INSUMOS!$E$25</f>
        <v/>
      </c>
      <c r="F58" s="16">
        <f>D58*E58</f>
        <v/>
      </c>
    </row>
    <row r="59">
      <c r="A59" s="15" t="inlineStr">
        <is>
          <t>MO2</t>
        </is>
      </c>
      <c r="B59" s="14" t="inlineStr">
        <is>
          <t>Ayudante / obrero (jornal + prestaciones)  [Ayudante x2]</t>
        </is>
      </c>
      <c r="C59" s="15" t="inlineStr">
        <is>
          <t>dia</t>
        </is>
      </c>
      <c r="D59" s="21" t="n">
        <v>0.025</v>
      </c>
      <c r="E59" s="16">
        <f>INSUMOS!$E$26</f>
        <v/>
      </c>
      <c r="F59" s="16">
        <f>D59*E59</f>
        <v/>
      </c>
    </row>
    <row r="60">
      <c r="A60" s="15" t="inlineStr">
        <is>
          <t>HM</t>
        </is>
      </c>
      <c r="B60" s="14" t="inlineStr">
        <is>
          <t>Herramienta menor (5% de la mano de obra)</t>
        </is>
      </c>
      <c r="C60" s="15" t="inlineStr">
        <is>
          <t>%</t>
        </is>
      </c>
      <c r="D60" s="22" t="n">
        <v>0.05</v>
      </c>
      <c r="E60" s="14" t="n"/>
      <c r="F60" s="16">
        <f>(F58+F59)*0.05</f>
        <v/>
      </c>
    </row>
    <row r="61">
      <c r="A61" s="23" t="n"/>
      <c r="B61" s="24" t="inlineStr">
        <is>
          <t>VALOR UNITARIO TOTAL  -  APU 2.2.2</t>
        </is>
      </c>
      <c r="C61" s="23" t="n"/>
      <c r="D61" s="23" t="n"/>
      <c r="E61" s="23" t="n"/>
      <c r="F61" s="25">
        <f>SUM(F57:F60)</f>
        <v/>
      </c>
    </row>
    <row r="63">
      <c r="A63" s="18" t="inlineStr">
        <is>
          <t>APU 2.3.1</t>
        </is>
      </c>
      <c r="B63" s="18" t="inlineStr">
        <is>
          <t>Acero figurado de refuerzo 60000 psi, incluye alambre de amarre, corte, figurado e instalacion</t>
        </is>
      </c>
      <c r="C63" s="18" t="inlineStr">
        <is>
          <t>UND: KG</t>
        </is>
      </c>
      <c r="D63" s="19" t="n"/>
      <c r="E63" s="19" t="n"/>
      <c r="F63" s="19" t="n"/>
    </row>
    <row r="64">
      <c r="A64" s="20" t="inlineStr">
        <is>
          <t>CODIGO</t>
        </is>
      </c>
      <c r="B64" s="20" t="inlineStr">
        <is>
          <t>INSUMO / RECURSO</t>
        </is>
      </c>
      <c r="C64" s="20" t="inlineStr">
        <is>
          <t>UNIDAD</t>
        </is>
      </c>
      <c r="D64" s="20" t="inlineStr">
        <is>
          <t>CANT./REND.</t>
        </is>
      </c>
      <c r="E64" s="20" t="inlineStr">
        <is>
          <t>VR. UNITARIO</t>
        </is>
      </c>
      <c r="F64" s="20" t="inlineStr">
        <is>
          <t>VR. PARCIAL</t>
        </is>
      </c>
    </row>
    <row r="65">
      <c r="A65" s="15" t="inlineStr">
        <is>
          <t>M08</t>
        </is>
      </c>
      <c r="B65" s="14" t="inlineStr">
        <is>
          <t>Acero de refuerzo fy=420 MPa (60000psi) figurado  [Acero figurado (desperd. 1.05)]</t>
        </is>
      </c>
      <c r="C65" s="15" t="inlineStr">
        <is>
          <t>kg</t>
        </is>
      </c>
      <c r="D65" s="21" t="n">
        <v>1.05</v>
      </c>
      <c r="E65" s="16">
        <f>INSUMOS!$E$11</f>
        <v/>
      </c>
      <c r="F65" s="16">
        <f>D65*E65</f>
        <v/>
      </c>
    </row>
    <row r="66">
      <c r="A66" s="15" t="inlineStr">
        <is>
          <t>M09</t>
        </is>
      </c>
      <c r="B66" s="14" t="inlineStr">
        <is>
          <t>Alambre negro recocido No.18  [Alambre de amarre]</t>
        </is>
      </c>
      <c r="C66" s="15" t="inlineStr">
        <is>
          <t>kg</t>
        </is>
      </c>
      <c r="D66" s="21" t="n">
        <v>0.03</v>
      </c>
      <c r="E66" s="16">
        <f>INSUMOS!$E$12</f>
        <v/>
      </c>
      <c r="F66" s="16">
        <f>D66*E66</f>
        <v/>
      </c>
    </row>
    <row r="67">
      <c r="A67" s="15" t="inlineStr">
        <is>
          <t>EQ6</t>
        </is>
      </c>
      <c r="B67" s="14" t="inlineStr">
        <is>
          <t>Cortadora y dobladora de hierro  [Cortadora-dobladora]</t>
        </is>
      </c>
      <c r="C67" s="15" t="inlineStr">
        <is>
          <t>dia</t>
        </is>
      </c>
      <c r="D67" s="21" t="n">
        <v>0.004</v>
      </c>
      <c r="E67" s="16">
        <f>INSUMOS!$E$32</f>
        <v/>
      </c>
      <c r="F67" s="16">
        <f>D67*E67</f>
        <v/>
      </c>
    </row>
    <row r="68">
      <c r="A68" s="15" t="inlineStr">
        <is>
          <t>MO1</t>
        </is>
      </c>
      <c r="B68" s="14" t="inlineStr">
        <is>
          <t>Oficial de construccion (jornal + prestaciones)  [Oficial armador]</t>
        </is>
      </c>
      <c r="C68" s="15" t="inlineStr">
        <is>
          <t>dia</t>
        </is>
      </c>
      <c r="D68" s="21" t="n">
        <v>0.004</v>
      </c>
      <c r="E68" s="16">
        <f>INSUMOS!$E$25</f>
        <v/>
      </c>
      <c r="F68" s="16">
        <f>D68*E68</f>
        <v/>
      </c>
    </row>
    <row r="69">
      <c r="A69" s="15" t="inlineStr">
        <is>
          <t>MO2</t>
        </is>
      </c>
      <c r="B69" s="14" t="inlineStr">
        <is>
          <t>Ayudante / obrero (jornal + prestaciones)  [Ayudante x2]</t>
        </is>
      </c>
      <c r="C69" s="15" t="inlineStr">
        <is>
          <t>dia</t>
        </is>
      </c>
      <c r="D69" s="21" t="n">
        <v>0.008</v>
      </c>
      <c r="E69" s="16">
        <f>INSUMOS!$E$26</f>
        <v/>
      </c>
      <c r="F69" s="16">
        <f>D69*E69</f>
        <v/>
      </c>
    </row>
    <row r="70">
      <c r="A70" s="15" t="inlineStr">
        <is>
          <t>HM</t>
        </is>
      </c>
      <c r="B70" s="14" t="inlineStr">
        <is>
          <t>Herramienta menor (5% de la mano de obra)</t>
        </is>
      </c>
      <c r="C70" s="15" t="inlineStr">
        <is>
          <t>%</t>
        </is>
      </c>
      <c r="D70" s="22" t="n">
        <v>0.05</v>
      </c>
      <c r="E70" s="14" t="n"/>
      <c r="F70" s="16">
        <f>(F68+F69)*0.05</f>
        <v/>
      </c>
    </row>
    <row r="71">
      <c r="A71" s="23" t="n"/>
      <c r="B71" s="24" t="inlineStr">
        <is>
          <t>VALOR UNITARIO TOTAL  -  APU 2.3.1</t>
        </is>
      </c>
      <c r="C71" s="23" t="n"/>
      <c r="D71" s="23" t="n"/>
      <c r="E71" s="23" t="n"/>
      <c r="F71" s="25">
        <f>SUM(F65:F70)</f>
        <v/>
      </c>
    </row>
    <row r="73">
      <c r="A73" s="18" t="inlineStr">
        <is>
          <t>APU 4.1.1</t>
        </is>
      </c>
      <c r="B73" s="18" t="inlineStr">
        <is>
          <t>Columnas en concreto 3000 psi acabado a la vista (incluye formaleta, vibrado, curado; no incluye acero)</t>
        </is>
      </c>
      <c r="C73" s="18" t="inlineStr">
        <is>
          <t>UND: M3</t>
        </is>
      </c>
      <c r="D73" s="19" t="n"/>
      <c r="E73" s="19" t="n"/>
      <c r="F73" s="19" t="n"/>
    </row>
    <row r="74">
      <c r="A74" s="20" t="inlineStr">
        <is>
          <t>CODIGO</t>
        </is>
      </c>
      <c r="B74" s="20" t="inlineStr">
        <is>
          <t>INSUMO / RECURSO</t>
        </is>
      </c>
      <c r="C74" s="20" t="inlineStr">
        <is>
          <t>UNIDAD</t>
        </is>
      </c>
      <c r="D74" s="20" t="inlineStr">
        <is>
          <t>CANT./REND.</t>
        </is>
      </c>
      <c r="E74" s="20" t="inlineStr">
        <is>
          <t>VR. UNITARIO</t>
        </is>
      </c>
      <c r="F74" s="20" t="inlineStr">
        <is>
          <t>VR. PARCIAL</t>
        </is>
      </c>
    </row>
    <row r="75">
      <c r="A75" s="15" t="inlineStr">
        <is>
          <t>M06</t>
        </is>
      </c>
      <c r="B75" s="14" t="inlineStr">
        <is>
          <t>Concreto premezclado 3000 psi (21 MPa)  [Concreto 3000psi (1.03)]</t>
        </is>
      </c>
      <c r="C75" s="15" t="inlineStr">
        <is>
          <t>m3</t>
        </is>
      </c>
      <c r="D75" s="21" t="n">
        <v>1.03</v>
      </c>
      <c r="E75" s="16">
        <f>INSUMOS!$E$9</f>
        <v/>
      </c>
      <c r="F75" s="16">
        <f>D75*E75</f>
        <v/>
      </c>
    </row>
    <row r="76">
      <c r="A76" s="15" t="inlineStr">
        <is>
          <t>M17</t>
        </is>
      </c>
      <c r="B76" s="14" t="inlineStr">
        <is>
          <t>Formaleta (madera/metalica) - costo por uso  [Formaleta a la vista]</t>
        </is>
      </c>
      <c r="C76" s="15" t="inlineStr">
        <is>
          <t>m2</t>
        </is>
      </c>
      <c r="D76" s="21" t="n">
        <v>8</v>
      </c>
      <c r="E76" s="16">
        <f>INSUMOS!$E$20</f>
        <v/>
      </c>
      <c r="F76" s="16">
        <f>D76*E76</f>
        <v/>
      </c>
    </row>
    <row r="77">
      <c r="A77" s="15" t="inlineStr">
        <is>
          <t>M19</t>
        </is>
      </c>
      <c r="B77" s="14" t="inlineStr">
        <is>
          <t>Desmoldante (ACPM/aceite)  [Desmoldante]</t>
        </is>
      </c>
      <c r="C77" s="15" t="inlineStr">
        <is>
          <t>gal</t>
        </is>
      </c>
      <c r="D77" s="21" t="n">
        <v>0.1</v>
      </c>
      <c r="E77" s="16">
        <f>INSUMOS!$E$22</f>
        <v/>
      </c>
      <c r="F77" s="16">
        <f>D77*E77</f>
        <v/>
      </c>
    </row>
    <row r="78">
      <c r="A78" s="15" t="inlineStr">
        <is>
          <t>M18</t>
        </is>
      </c>
      <c r="B78" s="14" t="inlineStr">
        <is>
          <t>Curador / antisol / impermeabilizante  [Curador]</t>
        </is>
      </c>
      <c r="C78" s="15" t="inlineStr">
        <is>
          <t>gal</t>
        </is>
      </c>
      <c r="D78" s="21" t="n">
        <v>0.1</v>
      </c>
      <c r="E78" s="16">
        <f>INSUMOS!$E$21</f>
        <v/>
      </c>
      <c r="F78" s="16">
        <f>D78*E78</f>
        <v/>
      </c>
    </row>
    <row r="79">
      <c r="A79" s="15" t="inlineStr">
        <is>
          <t>EQ3</t>
        </is>
      </c>
      <c r="B79" s="14" t="inlineStr">
        <is>
          <t>Vibrador de concreto a gasolina  [Vibrador]</t>
        </is>
      </c>
      <c r="C79" s="15" t="inlineStr">
        <is>
          <t>dia</t>
        </is>
      </c>
      <c r="D79" s="21" t="n">
        <v>0.1</v>
      </c>
      <c r="E79" s="16">
        <f>INSUMOS!$E$29</f>
        <v/>
      </c>
      <c r="F79" s="16">
        <f>D79*E79</f>
        <v/>
      </c>
    </row>
    <row r="80">
      <c r="A80" s="15" t="inlineStr">
        <is>
          <t>MO1</t>
        </is>
      </c>
      <c r="B80" s="14" t="inlineStr">
        <is>
          <t>Oficial de construccion (jornal + prestaciones)  [Oficial]</t>
        </is>
      </c>
      <c r="C80" s="15" t="inlineStr">
        <is>
          <t>dia</t>
        </is>
      </c>
      <c r="D80" s="21" t="n">
        <v>0.16667</v>
      </c>
      <c r="E80" s="16">
        <f>INSUMOS!$E$25</f>
        <v/>
      </c>
      <c r="F80" s="16">
        <f>D80*E80</f>
        <v/>
      </c>
    </row>
    <row r="81">
      <c r="A81" s="15" t="inlineStr">
        <is>
          <t>MO2</t>
        </is>
      </c>
      <c r="B81" s="14" t="inlineStr">
        <is>
          <t>Ayudante / obrero (jornal + prestaciones)  [Ayudante x3]</t>
        </is>
      </c>
      <c r="C81" s="15" t="inlineStr">
        <is>
          <t>dia</t>
        </is>
      </c>
      <c r="D81" s="21" t="n">
        <v>0.5</v>
      </c>
      <c r="E81" s="16">
        <f>INSUMOS!$E$26</f>
        <v/>
      </c>
      <c r="F81" s="16">
        <f>D81*E81</f>
        <v/>
      </c>
    </row>
    <row r="82">
      <c r="A82" s="15" t="inlineStr">
        <is>
          <t>HM</t>
        </is>
      </c>
      <c r="B82" s="14" t="inlineStr">
        <is>
          <t>Herramienta menor (5% de la mano de obra)</t>
        </is>
      </c>
      <c r="C82" s="15" t="inlineStr">
        <is>
          <t>%</t>
        </is>
      </c>
      <c r="D82" s="22" t="n">
        <v>0.05</v>
      </c>
      <c r="E82" s="14" t="n"/>
      <c r="F82" s="16">
        <f>(F80+F81)*0.05</f>
        <v/>
      </c>
    </row>
    <row r="83">
      <c r="A83" s="23" t="n"/>
      <c r="B83" s="24" t="inlineStr">
        <is>
          <t>VALOR UNITARIO TOTAL  -  APU 4.1.1</t>
        </is>
      </c>
      <c r="C83" s="23" t="n"/>
      <c r="D83" s="23" t="n"/>
      <c r="E83" s="23" t="n"/>
      <c r="F83" s="25">
        <f>SUM(F75:F82)</f>
        <v/>
      </c>
    </row>
    <row r="85">
      <c r="A85" s="18" t="inlineStr">
        <is>
          <t>APU 4.2.1</t>
        </is>
      </c>
      <c r="B85" s="18" t="inlineStr">
        <is>
          <t>Concreto 3000 psi para viga cinta / viga de cubierta (incluye formaleta, vibrado, curado; no incluye acero)</t>
        </is>
      </c>
      <c r="C85" s="18" t="inlineStr">
        <is>
          <t>UND: M3</t>
        </is>
      </c>
      <c r="D85" s="19" t="n"/>
      <c r="E85" s="19" t="n"/>
      <c r="F85" s="19" t="n"/>
    </row>
    <row r="86">
      <c r="A86" s="20" t="inlineStr">
        <is>
          <t>CODIGO</t>
        </is>
      </c>
      <c r="B86" s="20" t="inlineStr">
        <is>
          <t>INSUMO / RECURSO</t>
        </is>
      </c>
      <c r="C86" s="20" t="inlineStr">
        <is>
          <t>UNIDAD</t>
        </is>
      </c>
      <c r="D86" s="20" t="inlineStr">
        <is>
          <t>CANT./REND.</t>
        </is>
      </c>
      <c r="E86" s="20" t="inlineStr">
        <is>
          <t>VR. UNITARIO</t>
        </is>
      </c>
      <c r="F86" s="20" t="inlineStr">
        <is>
          <t>VR. PARCIAL</t>
        </is>
      </c>
    </row>
    <row r="87">
      <c r="A87" s="15" t="inlineStr">
        <is>
          <t>M06</t>
        </is>
      </c>
      <c r="B87" s="14" t="inlineStr">
        <is>
          <t>Concreto premezclado 3000 psi (21 MPa)  [Concreto 3000psi (1.03)]</t>
        </is>
      </c>
      <c r="C87" s="15" t="inlineStr">
        <is>
          <t>m3</t>
        </is>
      </c>
      <c r="D87" s="21" t="n">
        <v>1.03</v>
      </c>
      <c r="E87" s="16">
        <f>INSUMOS!$E$9</f>
        <v/>
      </c>
      <c r="F87" s="16">
        <f>D87*E87</f>
        <v/>
      </c>
    </row>
    <row r="88">
      <c r="A88" s="15" t="inlineStr">
        <is>
          <t>M17</t>
        </is>
      </c>
      <c r="B88" s="14" t="inlineStr">
        <is>
          <t>Formaleta (madera/metalica) - costo por uso  [Formaleta]</t>
        </is>
      </c>
      <c r="C88" s="15" t="inlineStr">
        <is>
          <t>m2</t>
        </is>
      </c>
      <c r="D88" s="21" t="n">
        <v>6</v>
      </c>
      <c r="E88" s="16">
        <f>INSUMOS!$E$20</f>
        <v/>
      </c>
      <c r="F88" s="16">
        <f>D88*E88</f>
        <v/>
      </c>
    </row>
    <row r="89">
      <c r="A89" s="15" t="inlineStr">
        <is>
          <t>M19</t>
        </is>
      </c>
      <c r="B89" s="14" t="inlineStr">
        <is>
          <t>Desmoldante (ACPM/aceite)  [Desmoldante]</t>
        </is>
      </c>
      <c r="C89" s="15" t="inlineStr">
        <is>
          <t>gal</t>
        </is>
      </c>
      <c r="D89" s="21" t="n">
        <v>0.06</v>
      </c>
      <c r="E89" s="16">
        <f>INSUMOS!$E$22</f>
        <v/>
      </c>
      <c r="F89" s="16">
        <f>D89*E89</f>
        <v/>
      </c>
    </row>
    <row r="90">
      <c r="A90" s="15" t="inlineStr">
        <is>
          <t>EQ3</t>
        </is>
      </c>
      <c r="B90" s="14" t="inlineStr">
        <is>
          <t>Vibrador de concreto a gasolina  [Vibrador]</t>
        </is>
      </c>
      <c r="C90" s="15" t="inlineStr">
        <is>
          <t>dia</t>
        </is>
      </c>
      <c r="D90" s="21" t="n">
        <v>0.08333</v>
      </c>
      <c r="E90" s="16">
        <f>INSUMOS!$E$29</f>
        <v/>
      </c>
      <c r="F90" s="16">
        <f>D90*E90</f>
        <v/>
      </c>
    </row>
    <row r="91">
      <c r="A91" s="15" t="inlineStr">
        <is>
          <t>MO1</t>
        </is>
      </c>
      <c r="B91" s="14" t="inlineStr">
        <is>
          <t>Oficial de construccion (jornal + prestaciones)  [Oficial]</t>
        </is>
      </c>
      <c r="C91" s="15" t="inlineStr">
        <is>
          <t>dia</t>
        </is>
      </c>
      <c r="D91" s="21" t="n">
        <v>0.125</v>
      </c>
      <c r="E91" s="16">
        <f>INSUMOS!$E$25</f>
        <v/>
      </c>
      <c r="F91" s="16">
        <f>D91*E91</f>
        <v/>
      </c>
    </row>
    <row r="92">
      <c r="A92" s="15" t="inlineStr">
        <is>
          <t>MO2</t>
        </is>
      </c>
      <c r="B92" s="14" t="inlineStr">
        <is>
          <t>Ayudante / obrero (jornal + prestaciones)  [Ayudante x2]</t>
        </is>
      </c>
      <c r="C92" s="15" t="inlineStr">
        <is>
          <t>dia</t>
        </is>
      </c>
      <c r="D92" s="21" t="n">
        <v>0.25</v>
      </c>
      <c r="E92" s="16">
        <f>INSUMOS!$E$26</f>
        <v/>
      </c>
      <c r="F92" s="16">
        <f>D92*E92</f>
        <v/>
      </c>
    </row>
    <row r="93">
      <c r="A93" s="15" t="inlineStr">
        <is>
          <t>HM</t>
        </is>
      </c>
      <c r="B93" s="14" t="inlineStr">
        <is>
          <t>Herramienta menor (5% de la mano de obra)</t>
        </is>
      </c>
      <c r="C93" s="15" t="inlineStr">
        <is>
          <t>%</t>
        </is>
      </c>
      <c r="D93" s="22" t="n">
        <v>0.05</v>
      </c>
      <c r="E93" s="14" t="n"/>
      <c r="F93" s="16">
        <f>(F91+F92)*0.05</f>
        <v/>
      </c>
    </row>
    <row r="94">
      <c r="A94" s="23" t="n"/>
      <c r="B94" s="24" t="inlineStr">
        <is>
          <t>VALOR UNITARIO TOTAL  -  APU 4.2.1</t>
        </is>
      </c>
      <c r="C94" s="23" t="n"/>
      <c r="D94" s="23" t="n"/>
      <c r="E94" s="23" t="n"/>
      <c r="F94" s="25">
        <f>SUM(F87:F93)</f>
        <v/>
      </c>
    </row>
    <row r="96">
      <c r="A96" s="18" t="inlineStr">
        <is>
          <t>APU 4.3.1</t>
        </is>
      </c>
      <c r="B96" s="18" t="inlineStr">
        <is>
          <t>Concreto 3000 psi para losa de piso / contrapiso e=0.10 (incluye vibrado, curado; no incluye acero)</t>
        </is>
      </c>
      <c r="C96" s="18" t="inlineStr">
        <is>
          <t>UND: M3</t>
        </is>
      </c>
      <c r="D96" s="19" t="n"/>
      <c r="E96" s="19" t="n"/>
      <c r="F96" s="19" t="n"/>
    </row>
    <row r="97">
      <c r="A97" s="20" t="inlineStr">
        <is>
          <t>CODIGO</t>
        </is>
      </c>
      <c r="B97" s="20" t="inlineStr">
        <is>
          <t>INSUMO / RECURSO</t>
        </is>
      </c>
      <c r="C97" s="20" t="inlineStr">
        <is>
          <t>UNIDAD</t>
        </is>
      </c>
      <c r="D97" s="20" t="inlineStr">
        <is>
          <t>CANT./REND.</t>
        </is>
      </c>
      <c r="E97" s="20" t="inlineStr">
        <is>
          <t>VR. UNITARIO</t>
        </is>
      </c>
      <c r="F97" s="20" t="inlineStr">
        <is>
          <t>VR. PARCIAL</t>
        </is>
      </c>
    </row>
    <row r="98">
      <c r="A98" s="15" t="inlineStr">
        <is>
          <t>M06</t>
        </is>
      </c>
      <c r="B98" s="14" t="inlineStr">
        <is>
          <t>Concreto premezclado 3000 psi (21 MPa)  [Concreto 3000psi (1.03)]</t>
        </is>
      </c>
      <c r="C98" s="15" t="inlineStr">
        <is>
          <t>m3</t>
        </is>
      </c>
      <c r="D98" s="21" t="n">
        <v>1.03</v>
      </c>
      <c r="E98" s="16">
        <f>INSUMOS!$E$9</f>
        <v/>
      </c>
      <c r="F98" s="16">
        <f>D98*E98</f>
        <v/>
      </c>
    </row>
    <row r="99">
      <c r="A99" s="15" t="inlineStr">
        <is>
          <t>M17</t>
        </is>
      </c>
      <c r="B99" s="14" t="inlineStr">
        <is>
          <t>Formaleta (madera/metalica) - costo por uso  [Formaleta lateral]</t>
        </is>
      </c>
      <c r="C99" s="15" t="inlineStr">
        <is>
          <t>m2</t>
        </is>
      </c>
      <c r="D99" s="21" t="n">
        <v>1</v>
      </c>
      <c r="E99" s="16">
        <f>INSUMOS!$E$20</f>
        <v/>
      </c>
      <c r="F99" s="16">
        <f>D99*E99</f>
        <v/>
      </c>
    </row>
    <row r="100">
      <c r="A100" s="15" t="inlineStr">
        <is>
          <t>EQ3</t>
        </is>
      </c>
      <c r="B100" s="14" t="inlineStr">
        <is>
          <t>Vibrador de concreto a gasolina  [Vibrador]</t>
        </is>
      </c>
      <c r="C100" s="15" t="inlineStr">
        <is>
          <t>dia</t>
        </is>
      </c>
      <c r="D100" s="21" t="n">
        <v>0.06666999999999999</v>
      </c>
      <c r="E100" s="16">
        <f>INSUMOS!$E$29</f>
        <v/>
      </c>
      <c r="F100" s="16">
        <f>D100*E100</f>
        <v/>
      </c>
    </row>
    <row r="101">
      <c r="A101" s="15" t="inlineStr">
        <is>
          <t>MO1</t>
        </is>
      </c>
      <c r="B101" s="14" t="inlineStr">
        <is>
          <t>Oficial de construccion (jornal + prestaciones)  [Oficial]</t>
        </is>
      </c>
      <c r="C101" s="15" t="inlineStr">
        <is>
          <t>dia</t>
        </is>
      </c>
      <c r="D101" s="21" t="n">
        <v>0.08333</v>
      </c>
      <c r="E101" s="16">
        <f>INSUMOS!$E$25</f>
        <v/>
      </c>
      <c r="F101" s="16">
        <f>D101*E101</f>
        <v/>
      </c>
    </row>
    <row r="102">
      <c r="A102" s="15" t="inlineStr">
        <is>
          <t>MO2</t>
        </is>
      </c>
      <c r="B102" s="14" t="inlineStr">
        <is>
          <t>Ayudante / obrero (jornal + prestaciones)  [Ayudante x3]</t>
        </is>
      </c>
      <c r="C102" s="15" t="inlineStr">
        <is>
          <t>dia</t>
        </is>
      </c>
      <c r="D102" s="21" t="n">
        <v>0.25</v>
      </c>
      <c r="E102" s="16">
        <f>INSUMOS!$E$26</f>
        <v/>
      </c>
      <c r="F102" s="16">
        <f>D102*E102</f>
        <v/>
      </c>
    </row>
    <row r="103">
      <c r="A103" s="15" t="inlineStr">
        <is>
          <t>HM</t>
        </is>
      </c>
      <c r="B103" s="14" t="inlineStr">
        <is>
          <t>Herramienta menor (5% de la mano de obra)</t>
        </is>
      </c>
      <c r="C103" s="15" t="inlineStr">
        <is>
          <t>%</t>
        </is>
      </c>
      <c r="D103" s="22" t="n">
        <v>0.05</v>
      </c>
      <c r="E103" s="14" t="n"/>
      <c r="F103" s="16">
        <f>(F101+F102)*0.05</f>
        <v/>
      </c>
    </row>
    <row r="104">
      <c r="A104" s="23" t="n"/>
      <c r="B104" s="24" t="inlineStr">
        <is>
          <t>VALOR UNITARIO TOTAL  -  APU 4.3.1</t>
        </is>
      </c>
      <c r="C104" s="23" t="n"/>
      <c r="D104" s="23" t="n"/>
      <c r="E104" s="23" t="n"/>
      <c r="F104" s="25">
        <f>SUM(F98:F103)</f>
        <v/>
      </c>
    </row>
    <row r="106">
      <c r="A106" s="18" t="inlineStr">
        <is>
          <t>APU 4.3.3</t>
        </is>
      </c>
      <c r="B106" s="18" t="inlineStr">
        <is>
          <t>Placa aligerada de cubierta en concreto 3000 psi e=0.08 (incluye formaleta y aligerante; no incluye acero)</t>
        </is>
      </c>
      <c r="C106" s="18" t="inlineStr">
        <is>
          <t>UND: M2</t>
        </is>
      </c>
      <c r="D106" s="19" t="n"/>
      <c r="E106" s="19" t="n"/>
      <c r="F106" s="19" t="n"/>
    </row>
    <row r="107">
      <c r="A107" s="20" t="inlineStr">
        <is>
          <t>CODIGO</t>
        </is>
      </c>
      <c r="B107" s="20" t="inlineStr">
        <is>
          <t>INSUMO / RECURSO</t>
        </is>
      </c>
      <c r="C107" s="20" t="inlineStr">
        <is>
          <t>UNIDAD</t>
        </is>
      </c>
      <c r="D107" s="20" t="inlineStr">
        <is>
          <t>CANT./REND.</t>
        </is>
      </c>
      <c r="E107" s="20" t="inlineStr">
        <is>
          <t>VR. UNITARIO</t>
        </is>
      </c>
      <c r="F107" s="20" t="inlineStr">
        <is>
          <t>VR. PARCIAL</t>
        </is>
      </c>
    </row>
    <row r="108">
      <c r="A108" s="15" t="inlineStr">
        <is>
          <t>M06</t>
        </is>
      </c>
      <c r="B108" s="14" t="inlineStr">
        <is>
          <t>Concreto premezclado 3000 psi (21 MPa)  [Concreto 3000psi (0.085 m3/m2)]</t>
        </is>
      </c>
      <c r="C108" s="15" t="inlineStr">
        <is>
          <t>m3</t>
        </is>
      </c>
      <c r="D108" s="21" t="n">
        <v>0.08500000000000001</v>
      </c>
      <c r="E108" s="16">
        <f>INSUMOS!$E$9</f>
        <v/>
      </c>
      <c r="F108" s="16">
        <f>D108*E108</f>
        <v/>
      </c>
    </row>
    <row r="109">
      <c r="A109" s="15" t="inlineStr">
        <is>
          <t>M17</t>
        </is>
      </c>
      <c r="B109" s="14" t="inlineStr">
        <is>
          <t>Formaleta (madera/metalica) - costo por uso  [Formaleta+camilla]</t>
        </is>
      </c>
      <c r="C109" s="15" t="inlineStr">
        <is>
          <t>m2</t>
        </is>
      </c>
      <c r="D109" s="21" t="n">
        <v>1.1</v>
      </c>
      <c r="E109" s="16">
        <f>INSUMOS!$E$20</f>
        <v/>
      </c>
      <c r="F109" s="16">
        <f>D109*E109</f>
        <v/>
      </c>
    </row>
    <row r="110">
      <c r="A110" s="15" t="inlineStr">
        <is>
          <t>M21</t>
        </is>
      </c>
      <c r="B110" s="14" t="inlineStr">
        <is>
          <t>Caseton / aligerante placa (guadua-icopor)  [Caseton/aligerante]</t>
        </is>
      </c>
      <c r="C110" s="15" t="inlineStr">
        <is>
          <t>m2</t>
        </is>
      </c>
      <c r="D110" s="21" t="n">
        <v>1</v>
      </c>
      <c r="E110" s="16">
        <f>INSUMOS!$E$24</f>
        <v/>
      </c>
      <c r="F110" s="16">
        <f>D110*E110</f>
        <v/>
      </c>
    </row>
    <row r="111">
      <c r="A111" s="15" t="inlineStr">
        <is>
          <t>EQ3</t>
        </is>
      </c>
      <c r="B111" s="14" t="inlineStr">
        <is>
          <t>Vibrador de concreto a gasolina  [Vibrador]</t>
        </is>
      </c>
      <c r="C111" s="15" t="inlineStr">
        <is>
          <t>dia</t>
        </is>
      </c>
      <c r="D111" s="21" t="n">
        <v>0.01667</v>
      </c>
      <c r="E111" s="16">
        <f>INSUMOS!$E$29</f>
        <v/>
      </c>
      <c r="F111" s="16">
        <f>D111*E111</f>
        <v/>
      </c>
    </row>
    <row r="112">
      <c r="A112" s="15" t="inlineStr">
        <is>
          <t>MO1</t>
        </is>
      </c>
      <c r="B112" s="14" t="inlineStr">
        <is>
          <t>Oficial de construccion (jornal + prestaciones)  [Oficial]</t>
        </is>
      </c>
      <c r="C112" s="15" t="inlineStr">
        <is>
          <t>dia</t>
        </is>
      </c>
      <c r="D112" s="21" t="n">
        <v>0.08333</v>
      </c>
      <c r="E112" s="16">
        <f>INSUMOS!$E$25</f>
        <v/>
      </c>
      <c r="F112" s="16">
        <f>D112*E112</f>
        <v/>
      </c>
    </row>
    <row r="113">
      <c r="A113" s="15" t="inlineStr">
        <is>
          <t>MO2</t>
        </is>
      </c>
      <c r="B113" s="14" t="inlineStr">
        <is>
          <t>Ayudante / obrero (jornal + prestaciones)  [Ayudante x3]</t>
        </is>
      </c>
      <c r="C113" s="15" t="inlineStr">
        <is>
          <t>dia</t>
        </is>
      </c>
      <c r="D113" s="21" t="n">
        <v>0.25</v>
      </c>
      <c r="E113" s="16">
        <f>INSUMOS!$E$26</f>
        <v/>
      </c>
      <c r="F113" s="16">
        <f>D113*E113</f>
        <v/>
      </c>
    </row>
    <row r="114">
      <c r="A114" s="15" t="inlineStr">
        <is>
          <t>HM</t>
        </is>
      </c>
      <c r="B114" s="14" t="inlineStr">
        <is>
          <t>Herramienta menor (5% de la mano de obra)</t>
        </is>
      </c>
      <c r="C114" s="15" t="inlineStr">
        <is>
          <t>%</t>
        </is>
      </c>
      <c r="D114" s="22" t="n">
        <v>0.05</v>
      </c>
      <c r="E114" s="14" t="n"/>
      <c r="F114" s="16">
        <f>(F112+F113)*0.05</f>
        <v/>
      </c>
    </row>
    <row r="115">
      <c r="A115" s="23" t="n"/>
      <c r="B115" s="24" t="inlineStr">
        <is>
          <t>VALOR UNITARIO TOTAL  -  APU 4.3.3</t>
        </is>
      </c>
      <c r="C115" s="23" t="n"/>
      <c r="D115" s="23" t="n"/>
      <c r="E115" s="23" t="n"/>
      <c r="F115" s="25">
        <f>SUM(F108:F114)</f>
        <v/>
      </c>
    </row>
    <row r="117">
      <c r="A117" s="18" t="inlineStr">
        <is>
          <t>APU 4.6.1</t>
        </is>
      </c>
      <c r="B117" s="18" t="inlineStr">
        <is>
          <t>Suministro e instalacion de malla electrosoldada 8mm 15x15 estandar</t>
        </is>
      </c>
      <c r="C117" s="18" t="inlineStr">
        <is>
          <t>UND: KG</t>
        </is>
      </c>
      <c r="D117" s="19" t="n"/>
      <c r="E117" s="19" t="n"/>
      <c r="F117" s="19" t="n"/>
    </row>
    <row r="118">
      <c r="A118" s="20" t="inlineStr">
        <is>
          <t>CODIGO</t>
        </is>
      </c>
      <c r="B118" s="20" t="inlineStr">
        <is>
          <t>INSUMO / RECURSO</t>
        </is>
      </c>
      <c r="C118" s="20" t="inlineStr">
        <is>
          <t>UNIDAD</t>
        </is>
      </c>
      <c r="D118" s="20" t="inlineStr">
        <is>
          <t>CANT./REND.</t>
        </is>
      </c>
      <c r="E118" s="20" t="inlineStr">
        <is>
          <t>VR. UNITARIO</t>
        </is>
      </c>
      <c r="F118" s="20" t="inlineStr">
        <is>
          <t>VR. PARCIAL</t>
        </is>
      </c>
    </row>
    <row r="119">
      <c r="A119" s="15" t="inlineStr">
        <is>
          <t>M10</t>
        </is>
      </c>
      <c r="B119" s="14" t="inlineStr">
        <is>
          <t>Malla electrosoldada 8mm (15x15)  [Malla electrosoldada (1.05)]</t>
        </is>
      </c>
      <c r="C119" s="15" t="inlineStr">
        <is>
          <t>kg</t>
        </is>
      </c>
      <c r="D119" s="21" t="n">
        <v>1.05</v>
      </c>
      <c r="E119" s="16">
        <f>INSUMOS!$E$13</f>
        <v/>
      </c>
      <c r="F119" s="16">
        <f>D119*E119</f>
        <v/>
      </c>
    </row>
    <row r="120">
      <c r="A120" s="15" t="inlineStr">
        <is>
          <t>MO1</t>
        </is>
      </c>
      <c r="B120" s="14" t="inlineStr">
        <is>
          <t>Oficial de construccion (jornal + prestaciones)  [Oficial]</t>
        </is>
      </c>
      <c r="C120" s="15" t="inlineStr">
        <is>
          <t>dia</t>
        </is>
      </c>
      <c r="D120" s="21" t="n">
        <v>0.0025</v>
      </c>
      <c r="E120" s="16">
        <f>INSUMOS!$E$25</f>
        <v/>
      </c>
      <c r="F120" s="16">
        <f>D120*E120</f>
        <v/>
      </c>
    </row>
    <row r="121">
      <c r="A121" s="15" t="inlineStr">
        <is>
          <t>MO2</t>
        </is>
      </c>
      <c r="B121" s="14" t="inlineStr">
        <is>
          <t>Ayudante / obrero (jornal + prestaciones)  [Ayudante]</t>
        </is>
      </c>
      <c r="C121" s="15" t="inlineStr">
        <is>
          <t>dia</t>
        </is>
      </c>
      <c r="D121" s="21" t="n">
        <v>0.0025</v>
      </c>
      <c r="E121" s="16">
        <f>INSUMOS!$E$26</f>
        <v/>
      </c>
      <c r="F121" s="16">
        <f>D121*E121</f>
        <v/>
      </c>
    </row>
    <row r="122">
      <c r="A122" s="15" t="inlineStr">
        <is>
          <t>HM</t>
        </is>
      </c>
      <c r="B122" s="14" t="inlineStr">
        <is>
          <t>Herramienta menor (5% de la mano de obra)</t>
        </is>
      </c>
      <c r="C122" s="15" t="inlineStr">
        <is>
          <t>%</t>
        </is>
      </c>
      <c r="D122" s="22" t="n">
        <v>0.05</v>
      </c>
      <c r="E122" s="14" t="n"/>
      <c r="F122" s="16">
        <f>(F120+F121)*0.05</f>
        <v/>
      </c>
    </row>
    <row r="123">
      <c r="A123" s="23" t="n"/>
      <c r="B123" s="24" t="inlineStr">
        <is>
          <t>VALOR UNITARIO TOTAL  -  APU 4.6.1</t>
        </is>
      </c>
      <c r="C123" s="23" t="n"/>
      <c r="D123" s="23" t="n"/>
      <c r="E123" s="23" t="n"/>
      <c r="F123" s="25">
        <f>SUM(F119:F122)</f>
        <v/>
      </c>
    </row>
    <row r="125">
      <c r="A125" s="18" t="inlineStr">
        <is>
          <t>APU 4.7.1</t>
        </is>
      </c>
      <c r="B125" s="18" t="inlineStr">
        <is>
          <t>Acero figurado de refuerzo 60000 psi, incluye alambre de amarre, corte, figurado e instalacion</t>
        </is>
      </c>
      <c r="C125" s="18" t="inlineStr">
        <is>
          <t>UND: KG</t>
        </is>
      </c>
      <c r="D125" s="19" t="n"/>
      <c r="E125" s="19" t="n"/>
      <c r="F125" s="19" t="n"/>
    </row>
    <row r="126">
      <c r="A126" s="20" t="inlineStr">
        <is>
          <t>CODIGO</t>
        </is>
      </c>
      <c r="B126" s="20" t="inlineStr">
        <is>
          <t>INSUMO / RECURSO</t>
        </is>
      </c>
      <c r="C126" s="20" t="inlineStr">
        <is>
          <t>UNIDAD</t>
        </is>
      </c>
      <c r="D126" s="20" t="inlineStr">
        <is>
          <t>CANT./REND.</t>
        </is>
      </c>
      <c r="E126" s="20" t="inlineStr">
        <is>
          <t>VR. UNITARIO</t>
        </is>
      </c>
      <c r="F126" s="20" t="inlineStr">
        <is>
          <t>VR. PARCIAL</t>
        </is>
      </c>
    </row>
    <row r="127">
      <c r="A127" s="15" t="inlineStr">
        <is>
          <t>M08</t>
        </is>
      </c>
      <c r="B127" s="14" t="inlineStr">
        <is>
          <t>Acero de refuerzo fy=420 MPa (60000psi) figurado  [Acero figurado (desperd. 1.05)]</t>
        </is>
      </c>
      <c r="C127" s="15" t="inlineStr">
        <is>
          <t>kg</t>
        </is>
      </c>
      <c r="D127" s="21" t="n">
        <v>1.05</v>
      </c>
      <c r="E127" s="16">
        <f>INSUMOS!$E$11</f>
        <v/>
      </c>
      <c r="F127" s="16">
        <f>D127*E127</f>
        <v/>
      </c>
    </row>
    <row r="128">
      <c r="A128" s="15" t="inlineStr">
        <is>
          <t>M09</t>
        </is>
      </c>
      <c r="B128" s="14" t="inlineStr">
        <is>
          <t>Alambre negro recocido No.18  [Alambre de amarre]</t>
        </is>
      </c>
      <c r="C128" s="15" t="inlineStr">
        <is>
          <t>kg</t>
        </is>
      </c>
      <c r="D128" s="21" t="n">
        <v>0.03</v>
      </c>
      <c r="E128" s="16">
        <f>INSUMOS!$E$12</f>
        <v/>
      </c>
      <c r="F128" s="16">
        <f>D128*E128</f>
        <v/>
      </c>
    </row>
    <row r="129">
      <c r="A129" s="15" t="inlineStr">
        <is>
          <t>EQ6</t>
        </is>
      </c>
      <c r="B129" s="14" t="inlineStr">
        <is>
          <t>Cortadora y dobladora de hierro  [Cortadora-dobladora]</t>
        </is>
      </c>
      <c r="C129" s="15" t="inlineStr">
        <is>
          <t>dia</t>
        </is>
      </c>
      <c r="D129" s="21" t="n">
        <v>0.004</v>
      </c>
      <c r="E129" s="16">
        <f>INSUMOS!$E$32</f>
        <v/>
      </c>
      <c r="F129" s="16">
        <f>D129*E129</f>
        <v/>
      </c>
    </row>
    <row r="130">
      <c r="A130" s="15" t="inlineStr">
        <is>
          <t>MO1</t>
        </is>
      </c>
      <c r="B130" s="14" t="inlineStr">
        <is>
          <t>Oficial de construccion (jornal + prestaciones)  [Oficial armador]</t>
        </is>
      </c>
      <c r="C130" s="15" t="inlineStr">
        <is>
          <t>dia</t>
        </is>
      </c>
      <c r="D130" s="21" t="n">
        <v>0.004</v>
      </c>
      <c r="E130" s="16">
        <f>INSUMOS!$E$25</f>
        <v/>
      </c>
      <c r="F130" s="16">
        <f>D130*E130</f>
        <v/>
      </c>
    </row>
    <row r="131">
      <c r="A131" s="15" t="inlineStr">
        <is>
          <t>MO2</t>
        </is>
      </c>
      <c r="B131" s="14" t="inlineStr">
        <is>
          <t>Ayudante / obrero (jornal + prestaciones)  [Ayudante x2]</t>
        </is>
      </c>
      <c r="C131" s="15" t="inlineStr">
        <is>
          <t>dia</t>
        </is>
      </c>
      <c r="D131" s="21" t="n">
        <v>0.008</v>
      </c>
      <c r="E131" s="16">
        <f>INSUMOS!$E$26</f>
        <v/>
      </c>
      <c r="F131" s="16">
        <f>D131*E131</f>
        <v/>
      </c>
    </row>
    <row r="132">
      <c r="A132" s="15" t="inlineStr">
        <is>
          <t>HM</t>
        </is>
      </c>
      <c r="B132" s="14" t="inlineStr">
        <is>
          <t>Herramienta menor (5% de la mano de obra)</t>
        </is>
      </c>
      <c r="C132" s="15" t="inlineStr">
        <is>
          <t>%</t>
        </is>
      </c>
      <c r="D132" s="22" t="n">
        <v>0.05</v>
      </c>
      <c r="E132" s="14" t="n"/>
      <c r="F132" s="16">
        <f>(F130+F131)*0.05</f>
        <v/>
      </c>
    </row>
    <row r="133">
      <c r="A133" s="23" t="n"/>
      <c r="B133" s="24" t="inlineStr">
        <is>
          <t>VALOR UNITARIO TOTAL  -  APU 4.7.1</t>
        </is>
      </c>
      <c r="C133" s="23" t="n"/>
      <c r="D133" s="23" t="n"/>
      <c r="E133" s="23" t="n"/>
      <c r="F133" s="25">
        <f>SUM(F127:F132)</f>
        <v/>
      </c>
    </row>
    <row r="135">
      <c r="A135" s="18" t="inlineStr">
        <is>
          <t>APU 4.8.1</t>
        </is>
      </c>
      <c r="B135" s="18" t="inlineStr">
        <is>
          <t>Acero figurado de refuerzo 60000 psi, incluye alambre de amarre, corte, figurado e instalacion</t>
        </is>
      </c>
      <c r="C135" s="18" t="inlineStr">
        <is>
          <t>UND: KG</t>
        </is>
      </c>
      <c r="D135" s="19" t="n"/>
      <c r="E135" s="19" t="n"/>
      <c r="F135" s="19" t="n"/>
    </row>
    <row r="136">
      <c r="A136" s="20" t="inlineStr">
        <is>
          <t>CODIGO</t>
        </is>
      </c>
      <c r="B136" s="20" t="inlineStr">
        <is>
          <t>INSUMO / RECURSO</t>
        </is>
      </c>
      <c r="C136" s="20" t="inlineStr">
        <is>
          <t>UNIDAD</t>
        </is>
      </c>
      <c r="D136" s="20" t="inlineStr">
        <is>
          <t>CANT./REND.</t>
        </is>
      </c>
      <c r="E136" s="20" t="inlineStr">
        <is>
          <t>VR. UNITARIO</t>
        </is>
      </c>
      <c r="F136" s="20" t="inlineStr">
        <is>
          <t>VR. PARCIAL</t>
        </is>
      </c>
    </row>
    <row r="137">
      <c r="A137" s="15" t="inlineStr">
        <is>
          <t>M08</t>
        </is>
      </c>
      <c r="B137" s="14" t="inlineStr">
        <is>
          <t>Acero de refuerzo fy=420 MPa (60000psi) figurado  [Acero figurado (desperd. 1.05)]</t>
        </is>
      </c>
      <c r="C137" s="15" t="inlineStr">
        <is>
          <t>kg</t>
        </is>
      </c>
      <c r="D137" s="21" t="n">
        <v>1.05</v>
      </c>
      <c r="E137" s="16">
        <f>INSUMOS!$E$11</f>
        <v/>
      </c>
      <c r="F137" s="16">
        <f>D137*E137</f>
        <v/>
      </c>
    </row>
    <row r="138">
      <c r="A138" s="15" t="inlineStr">
        <is>
          <t>M09</t>
        </is>
      </c>
      <c r="B138" s="14" t="inlineStr">
        <is>
          <t>Alambre negro recocido No.18  [Alambre de amarre]</t>
        </is>
      </c>
      <c r="C138" s="15" t="inlineStr">
        <is>
          <t>kg</t>
        </is>
      </c>
      <c r="D138" s="21" t="n">
        <v>0.03</v>
      </c>
      <c r="E138" s="16">
        <f>INSUMOS!$E$12</f>
        <v/>
      </c>
      <c r="F138" s="16">
        <f>D138*E138</f>
        <v/>
      </c>
    </row>
    <row r="139">
      <c r="A139" s="15" t="inlineStr">
        <is>
          <t>EQ6</t>
        </is>
      </c>
      <c r="B139" s="14" t="inlineStr">
        <is>
          <t>Cortadora y dobladora de hierro  [Cortadora-dobladora]</t>
        </is>
      </c>
      <c r="C139" s="15" t="inlineStr">
        <is>
          <t>dia</t>
        </is>
      </c>
      <c r="D139" s="21" t="n">
        <v>0.004</v>
      </c>
      <c r="E139" s="16">
        <f>INSUMOS!$E$32</f>
        <v/>
      </c>
      <c r="F139" s="16">
        <f>D139*E139</f>
        <v/>
      </c>
    </row>
    <row r="140">
      <c r="A140" s="15" t="inlineStr">
        <is>
          <t>MO1</t>
        </is>
      </c>
      <c r="B140" s="14" t="inlineStr">
        <is>
          <t>Oficial de construccion (jornal + prestaciones)  [Oficial armador]</t>
        </is>
      </c>
      <c r="C140" s="15" t="inlineStr">
        <is>
          <t>dia</t>
        </is>
      </c>
      <c r="D140" s="21" t="n">
        <v>0.004</v>
      </c>
      <c r="E140" s="16">
        <f>INSUMOS!$E$25</f>
        <v/>
      </c>
      <c r="F140" s="16">
        <f>D140*E140</f>
        <v/>
      </c>
    </row>
    <row r="141">
      <c r="A141" s="15" t="inlineStr">
        <is>
          <t>MO2</t>
        </is>
      </c>
      <c r="B141" s="14" t="inlineStr">
        <is>
          <t>Ayudante / obrero (jornal + prestaciones)  [Ayudante x2]</t>
        </is>
      </c>
      <c r="C141" s="15" t="inlineStr">
        <is>
          <t>dia</t>
        </is>
      </c>
      <c r="D141" s="21" t="n">
        <v>0.008</v>
      </c>
      <c r="E141" s="16">
        <f>INSUMOS!$E$26</f>
        <v/>
      </c>
      <c r="F141" s="16">
        <f>D141*E141</f>
        <v/>
      </c>
    </row>
    <row r="142">
      <c r="A142" s="15" t="inlineStr">
        <is>
          <t>HM</t>
        </is>
      </c>
      <c r="B142" s="14" t="inlineStr">
        <is>
          <t>Herramienta menor (5% de la mano de obra)</t>
        </is>
      </c>
      <c r="C142" s="15" t="inlineStr">
        <is>
          <t>%</t>
        </is>
      </c>
      <c r="D142" s="22" t="n">
        <v>0.05</v>
      </c>
      <c r="E142" s="14" t="n"/>
      <c r="F142" s="16">
        <f>(F140+F141)*0.05</f>
        <v/>
      </c>
    </row>
    <row r="143">
      <c r="A143" s="23" t="n"/>
      <c r="B143" s="24" t="inlineStr">
        <is>
          <t>VALOR UNITARIO TOTAL  -  APU 4.8.1</t>
        </is>
      </c>
      <c r="C143" s="23" t="n"/>
      <c r="D143" s="23" t="n"/>
      <c r="E143" s="23" t="n"/>
      <c r="F143" s="25">
        <f>SUM(F137:F142)</f>
        <v/>
      </c>
    </row>
    <row r="145">
      <c r="A145" s="18" t="inlineStr">
        <is>
          <t>APU 4.9.1</t>
        </is>
      </c>
      <c r="B145" s="18" t="inlineStr">
        <is>
          <t>Suministro e instalacion de malla electrosoldada 8mm 15x15 estandar</t>
        </is>
      </c>
      <c r="C145" s="18" t="inlineStr">
        <is>
          <t>UND: KG</t>
        </is>
      </c>
      <c r="D145" s="19" t="n"/>
      <c r="E145" s="19" t="n"/>
      <c r="F145" s="19" t="n"/>
    </row>
    <row r="146">
      <c r="A146" s="20" t="inlineStr">
        <is>
          <t>CODIGO</t>
        </is>
      </c>
      <c r="B146" s="20" t="inlineStr">
        <is>
          <t>INSUMO / RECURSO</t>
        </is>
      </c>
      <c r="C146" s="20" t="inlineStr">
        <is>
          <t>UNIDAD</t>
        </is>
      </c>
      <c r="D146" s="20" t="inlineStr">
        <is>
          <t>CANT./REND.</t>
        </is>
      </c>
      <c r="E146" s="20" t="inlineStr">
        <is>
          <t>VR. UNITARIO</t>
        </is>
      </c>
      <c r="F146" s="20" t="inlineStr">
        <is>
          <t>VR. PARCIAL</t>
        </is>
      </c>
    </row>
    <row r="147">
      <c r="A147" s="15" t="inlineStr">
        <is>
          <t>M10</t>
        </is>
      </c>
      <c r="B147" s="14" t="inlineStr">
        <is>
          <t>Malla electrosoldada 8mm (15x15)  [Malla electrosoldada (1.05)]</t>
        </is>
      </c>
      <c r="C147" s="15" t="inlineStr">
        <is>
          <t>kg</t>
        </is>
      </c>
      <c r="D147" s="21" t="n">
        <v>1.05</v>
      </c>
      <c r="E147" s="16">
        <f>INSUMOS!$E$13</f>
        <v/>
      </c>
      <c r="F147" s="16">
        <f>D147*E147</f>
        <v/>
      </c>
    </row>
    <row r="148">
      <c r="A148" s="15" t="inlineStr">
        <is>
          <t>MO1</t>
        </is>
      </c>
      <c r="B148" s="14" t="inlineStr">
        <is>
          <t>Oficial de construccion (jornal + prestaciones)  [Oficial]</t>
        </is>
      </c>
      <c r="C148" s="15" t="inlineStr">
        <is>
          <t>dia</t>
        </is>
      </c>
      <c r="D148" s="21" t="n">
        <v>0.0025</v>
      </c>
      <c r="E148" s="16">
        <f>INSUMOS!$E$25</f>
        <v/>
      </c>
      <c r="F148" s="16">
        <f>D148*E148</f>
        <v/>
      </c>
    </row>
    <row r="149">
      <c r="A149" s="15" t="inlineStr">
        <is>
          <t>MO2</t>
        </is>
      </c>
      <c r="B149" s="14" t="inlineStr">
        <is>
          <t>Ayudante / obrero (jornal + prestaciones)  [Ayudante]</t>
        </is>
      </c>
      <c r="C149" s="15" t="inlineStr">
        <is>
          <t>dia</t>
        </is>
      </c>
      <c r="D149" s="21" t="n">
        <v>0.0025</v>
      </c>
      <c r="E149" s="16">
        <f>INSUMOS!$E$26</f>
        <v/>
      </c>
      <c r="F149" s="16">
        <f>D149*E149</f>
        <v/>
      </c>
    </row>
    <row r="150">
      <c r="A150" s="15" t="inlineStr">
        <is>
          <t>HM</t>
        </is>
      </c>
      <c r="B150" s="14" t="inlineStr">
        <is>
          <t>Herramienta menor (5% de la mano de obra)</t>
        </is>
      </c>
      <c r="C150" s="15" t="inlineStr">
        <is>
          <t>%</t>
        </is>
      </c>
      <c r="D150" s="22" t="n">
        <v>0.05</v>
      </c>
      <c r="E150" s="14" t="n"/>
      <c r="F150" s="16">
        <f>(F148+F149)*0.05</f>
        <v/>
      </c>
    </row>
    <row r="151">
      <c r="A151" s="23" t="n"/>
      <c r="B151" s="24" t="inlineStr">
        <is>
          <t>VALOR UNITARIO TOTAL  -  APU 4.9.1</t>
        </is>
      </c>
      <c r="C151" s="23" t="n"/>
      <c r="D151" s="23" t="n"/>
      <c r="E151" s="23" t="n"/>
      <c r="F151" s="25">
        <f>SUM(F147:F150)</f>
        <v/>
      </c>
    </row>
    <row r="153">
      <c r="A153" s="18" t="inlineStr">
        <is>
          <t>APU 5.1.1</t>
        </is>
      </c>
      <c r="B153" s="18" t="inlineStr">
        <is>
          <t>Muros en bloque hueco No.4, incluye mortero de pega 1:3</t>
        </is>
      </c>
      <c r="C153" s="18" t="inlineStr">
        <is>
          <t>UND: M2</t>
        </is>
      </c>
      <c r="D153" s="19" t="n"/>
      <c r="E153" s="19" t="n"/>
      <c r="F153" s="19" t="n"/>
    </row>
    <row r="154">
      <c r="A154" s="20" t="inlineStr">
        <is>
          <t>CODIGO</t>
        </is>
      </c>
      <c r="B154" s="20" t="inlineStr">
        <is>
          <t>INSUMO / RECURSO</t>
        </is>
      </c>
      <c r="C154" s="20" t="inlineStr">
        <is>
          <t>UNIDAD</t>
        </is>
      </c>
      <c r="D154" s="20" t="inlineStr">
        <is>
          <t>CANT./REND.</t>
        </is>
      </c>
      <c r="E154" s="20" t="inlineStr">
        <is>
          <t>VR. UNITARIO</t>
        </is>
      </c>
      <c r="F154" s="20" t="inlineStr">
        <is>
          <t>VR. PARCIAL</t>
        </is>
      </c>
    </row>
    <row r="155">
      <c r="A155" s="15" t="inlineStr">
        <is>
          <t>M11</t>
        </is>
      </c>
      <c r="B155" s="14" t="inlineStr">
        <is>
          <t>Bloque de concreto No.4 (hueco)  [Bloque No.4 (12.5/m2)]</t>
        </is>
      </c>
      <c r="C155" s="15" t="inlineStr">
        <is>
          <t>und</t>
        </is>
      </c>
      <c r="D155" s="21" t="n">
        <v>12.5</v>
      </c>
      <c r="E155" s="16">
        <f>INSUMOS!$E$14</f>
        <v/>
      </c>
      <c r="F155" s="16">
        <f>D155*E155</f>
        <v/>
      </c>
    </row>
    <row r="156">
      <c r="A156" s="15" t="inlineStr">
        <is>
          <t>M01</t>
        </is>
      </c>
      <c r="B156" s="14" t="inlineStr">
        <is>
          <t>Cemento gris Portland Tipo I (saco 50 kg)  [Cemento mortero 1:3]</t>
        </is>
      </c>
      <c r="C156" s="15" t="inlineStr">
        <is>
          <t>saco</t>
        </is>
      </c>
      <c r="D156" s="21" t="n">
        <v>0.12</v>
      </c>
      <c r="E156" s="16">
        <f>INSUMOS!$E$4</f>
        <v/>
      </c>
      <c r="F156" s="16">
        <f>D156*E156</f>
        <v/>
      </c>
    </row>
    <row r="157">
      <c r="A157" s="15" t="inlineStr">
        <is>
          <t>M02</t>
        </is>
      </c>
      <c r="B157" s="14" t="inlineStr">
        <is>
          <t>Arena de rio  [Arena]</t>
        </is>
      </c>
      <c r="C157" s="15" t="inlineStr">
        <is>
          <t>m3</t>
        </is>
      </c>
      <c r="D157" s="21" t="n">
        <v>0.02</v>
      </c>
      <c r="E157" s="16">
        <f>INSUMOS!$E$5</f>
        <v/>
      </c>
      <c r="F157" s="16">
        <f>D157*E157</f>
        <v/>
      </c>
    </row>
    <row r="158">
      <c r="A158" s="15" t="inlineStr">
        <is>
          <t>MO1</t>
        </is>
      </c>
      <c r="B158" s="14" t="inlineStr">
        <is>
          <t>Oficial de construccion (jornal + prestaciones)  [Oficial]</t>
        </is>
      </c>
      <c r="C158" s="15" t="inlineStr">
        <is>
          <t>dia</t>
        </is>
      </c>
      <c r="D158" s="21" t="n">
        <v>0.08333</v>
      </c>
      <c r="E158" s="16">
        <f>INSUMOS!$E$25</f>
        <v/>
      </c>
      <c r="F158" s="16">
        <f>D158*E158</f>
        <v/>
      </c>
    </row>
    <row r="159">
      <c r="A159" s="15" t="inlineStr">
        <is>
          <t>MO2</t>
        </is>
      </c>
      <c r="B159" s="14" t="inlineStr">
        <is>
          <t>Ayudante / obrero (jornal + prestaciones)  [Ayudante]</t>
        </is>
      </c>
      <c r="C159" s="15" t="inlineStr">
        <is>
          <t>dia</t>
        </is>
      </c>
      <c r="D159" s="21" t="n">
        <v>0.08333</v>
      </c>
      <c r="E159" s="16">
        <f>INSUMOS!$E$26</f>
        <v/>
      </c>
      <c r="F159" s="16">
        <f>D159*E159</f>
        <v/>
      </c>
    </row>
    <row r="160">
      <c r="A160" s="15" t="inlineStr">
        <is>
          <t>HM</t>
        </is>
      </c>
      <c r="B160" s="14" t="inlineStr">
        <is>
          <t>Herramienta menor (5% de la mano de obra)</t>
        </is>
      </c>
      <c r="C160" s="15" t="inlineStr">
        <is>
          <t>%</t>
        </is>
      </c>
      <c r="D160" s="22" t="n">
        <v>0.05</v>
      </c>
      <c r="E160" s="14" t="n"/>
      <c r="F160" s="16">
        <f>(F158+F159)*0.05</f>
        <v/>
      </c>
    </row>
    <row r="161">
      <c r="A161" s="23" t="n"/>
      <c r="B161" s="24" t="inlineStr">
        <is>
          <t>VALOR UNITARIO TOTAL  -  APU 5.1.1</t>
        </is>
      </c>
      <c r="C161" s="23" t="n"/>
      <c r="D161" s="23" t="n"/>
      <c r="E161" s="23" t="n"/>
      <c r="F161" s="25">
        <f>SUM(F155:F160)</f>
        <v/>
      </c>
    </row>
    <row r="163">
      <c r="A163" s="18" t="inlineStr">
        <is>
          <t>APU 5.1.2</t>
        </is>
      </c>
      <c r="B163" s="18" t="inlineStr">
        <is>
          <t>Columneta de confinamiento en bloque No.5 (muros mamposteria)</t>
        </is>
      </c>
      <c r="C163" s="18" t="inlineStr">
        <is>
          <t>UND: ML</t>
        </is>
      </c>
      <c r="D163" s="19" t="n"/>
      <c r="E163" s="19" t="n"/>
      <c r="F163" s="19" t="n"/>
    </row>
    <row r="164">
      <c r="A164" s="20" t="inlineStr">
        <is>
          <t>CODIGO</t>
        </is>
      </c>
      <c r="B164" s="20" t="inlineStr">
        <is>
          <t>INSUMO / RECURSO</t>
        </is>
      </c>
      <c r="C164" s="20" t="inlineStr">
        <is>
          <t>UNIDAD</t>
        </is>
      </c>
      <c r="D164" s="20" t="inlineStr">
        <is>
          <t>CANT./REND.</t>
        </is>
      </c>
      <c r="E164" s="20" t="inlineStr">
        <is>
          <t>VR. UNITARIO</t>
        </is>
      </c>
      <c r="F164" s="20" t="inlineStr">
        <is>
          <t>VR. PARCIAL</t>
        </is>
      </c>
    </row>
    <row r="165">
      <c r="A165" s="15" t="inlineStr">
        <is>
          <t>M12</t>
        </is>
      </c>
      <c r="B165" s="14" t="inlineStr">
        <is>
          <t>Bloque de concreto No.5  [Bloque No.5 (5/ml)]</t>
        </is>
      </c>
      <c r="C165" s="15" t="inlineStr">
        <is>
          <t>und</t>
        </is>
      </c>
      <c r="D165" s="21" t="n">
        <v>5</v>
      </c>
      <c r="E165" s="16">
        <f>INSUMOS!$E$15</f>
        <v/>
      </c>
      <c r="F165" s="16">
        <f>D165*E165</f>
        <v/>
      </c>
    </row>
    <row r="166">
      <c r="A166" s="15" t="inlineStr">
        <is>
          <t>M01</t>
        </is>
      </c>
      <c r="B166" s="14" t="inlineStr">
        <is>
          <t>Cemento gris Portland Tipo I (saco 50 kg)  [Cemento relleno/mortero]</t>
        </is>
      </c>
      <c r="C166" s="15" t="inlineStr">
        <is>
          <t>saco</t>
        </is>
      </c>
      <c r="D166" s="21" t="n">
        <v>0.1</v>
      </c>
      <c r="E166" s="16">
        <f>INSUMOS!$E$4</f>
        <v/>
      </c>
      <c r="F166" s="16">
        <f>D166*E166</f>
        <v/>
      </c>
    </row>
    <row r="167">
      <c r="A167" s="15" t="inlineStr">
        <is>
          <t>M02</t>
        </is>
      </c>
      <c r="B167" s="14" t="inlineStr">
        <is>
          <t>Arena de rio  [Arena]</t>
        </is>
      </c>
      <c r="C167" s="15" t="inlineStr">
        <is>
          <t>m3</t>
        </is>
      </c>
      <c r="D167" s="21" t="n">
        <v>0.015</v>
      </c>
      <c r="E167" s="16">
        <f>INSUMOS!$E$5</f>
        <v/>
      </c>
      <c r="F167" s="16">
        <f>D167*E167</f>
        <v/>
      </c>
    </row>
    <row r="168">
      <c r="A168" s="15" t="inlineStr">
        <is>
          <t>MO1</t>
        </is>
      </c>
      <c r="B168" s="14" t="inlineStr">
        <is>
          <t>Oficial de construccion (jornal + prestaciones)  [Oficial]</t>
        </is>
      </c>
      <c r="C168" s="15" t="inlineStr">
        <is>
          <t>dia</t>
        </is>
      </c>
      <c r="D168" s="21" t="n">
        <v>0.05</v>
      </c>
      <c r="E168" s="16">
        <f>INSUMOS!$E$25</f>
        <v/>
      </c>
      <c r="F168" s="16">
        <f>D168*E168</f>
        <v/>
      </c>
    </row>
    <row r="169">
      <c r="A169" s="15" t="inlineStr">
        <is>
          <t>MO2</t>
        </is>
      </c>
      <c r="B169" s="14" t="inlineStr">
        <is>
          <t>Ayudante / obrero (jornal + prestaciones)  [Ayudante]</t>
        </is>
      </c>
      <c r="C169" s="15" t="inlineStr">
        <is>
          <t>dia</t>
        </is>
      </c>
      <c r="D169" s="21" t="n">
        <v>0.05</v>
      </c>
      <c r="E169" s="16">
        <f>INSUMOS!$E$26</f>
        <v/>
      </c>
      <c r="F169" s="16">
        <f>D169*E169</f>
        <v/>
      </c>
    </row>
    <row r="170">
      <c r="A170" s="15" t="inlineStr">
        <is>
          <t>HM</t>
        </is>
      </c>
      <c r="B170" s="14" t="inlineStr">
        <is>
          <t>Herramienta menor (5% de la mano de obra)</t>
        </is>
      </c>
      <c r="C170" s="15" t="inlineStr">
        <is>
          <t>%</t>
        </is>
      </c>
      <c r="D170" s="22" t="n">
        <v>0.05</v>
      </c>
      <c r="E170" s="14" t="n"/>
      <c r="F170" s="16">
        <f>(F168+F169)*0.05</f>
        <v/>
      </c>
    </row>
    <row r="171">
      <c r="A171" s="23" t="n"/>
      <c r="B171" s="24" t="inlineStr">
        <is>
          <t>VALOR UNITARIO TOTAL  -  APU 5.1.2</t>
        </is>
      </c>
      <c r="C171" s="23" t="n"/>
      <c r="D171" s="23" t="n"/>
      <c r="E171" s="23" t="n"/>
      <c r="F171" s="25">
        <f>SUM(F165:F170)</f>
        <v/>
      </c>
    </row>
    <row r="173">
      <c r="A173" s="18" t="inlineStr">
        <is>
          <t>APU 5.1.4</t>
        </is>
      </c>
      <c r="B173" s="18" t="inlineStr">
        <is>
          <t>Panete liso impermeabilizado integralmente mortero 1:4, para muros</t>
        </is>
      </c>
      <c r="C173" s="18" t="inlineStr">
        <is>
          <t>UND: M2</t>
        </is>
      </c>
      <c r="D173" s="19" t="n"/>
      <c r="E173" s="19" t="n"/>
      <c r="F173" s="19" t="n"/>
    </row>
    <row r="174">
      <c r="A174" s="20" t="inlineStr">
        <is>
          <t>CODIGO</t>
        </is>
      </c>
      <c r="B174" s="20" t="inlineStr">
        <is>
          <t>INSUMO / RECURSO</t>
        </is>
      </c>
      <c r="C174" s="20" t="inlineStr">
        <is>
          <t>UNIDAD</t>
        </is>
      </c>
      <c r="D174" s="20" t="inlineStr">
        <is>
          <t>CANT./REND.</t>
        </is>
      </c>
      <c r="E174" s="20" t="inlineStr">
        <is>
          <t>VR. UNITARIO</t>
        </is>
      </c>
      <c r="F174" s="20" t="inlineStr">
        <is>
          <t>VR. PARCIAL</t>
        </is>
      </c>
    </row>
    <row r="175">
      <c r="A175" s="15" t="inlineStr">
        <is>
          <t>M01</t>
        </is>
      </c>
      <c r="B175" s="14" t="inlineStr">
        <is>
          <t>Cemento gris Portland Tipo I (saco 50 kg)  [Cemento mortero 1:4]</t>
        </is>
      </c>
      <c r="C175" s="15" t="inlineStr">
        <is>
          <t>saco</t>
        </is>
      </c>
      <c r="D175" s="21" t="n">
        <v>0.08</v>
      </c>
      <c r="E175" s="16">
        <f>INSUMOS!$E$4</f>
        <v/>
      </c>
      <c r="F175" s="16">
        <f>D175*E175</f>
        <v/>
      </c>
    </row>
    <row r="176">
      <c r="A176" s="15" t="inlineStr">
        <is>
          <t>M02</t>
        </is>
      </c>
      <c r="B176" s="14" t="inlineStr">
        <is>
          <t>Arena de rio  [Arena]</t>
        </is>
      </c>
      <c r="C176" s="15" t="inlineStr">
        <is>
          <t>m3</t>
        </is>
      </c>
      <c r="D176" s="21" t="n">
        <v>0.02</v>
      </c>
      <c r="E176" s="16">
        <f>INSUMOS!$E$5</f>
        <v/>
      </c>
      <c r="F176" s="16">
        <f>D176*E176</f>
        <v/>
      </c>
    </row>
    <row r="177">
      <c r="A177" s="15" t="inlineStr">
        <is>
          <t>M18</t>
        </is>
      </c>
      <c r="B177" s="14" t="inlineStr">
        <is>
          <t>Curador / antisol / impermeabilizante  [Impermeabilizante integral (gal)]</t>
        </is>
      </c>
      <c r="C177" s="15" t="inlineStr">
        <is>
          <t>gal</t>
        </is>
      </c>
      <c r="D177" s="21" t="n">
        <v>0.02</v>
      </c>
      <c r="E177" s="16">
        <f>INSUMOS!$E$21</f>
        <v/>
      </c>
      <c r="F177" s="16">
        <f>D177*E177</f>
        <v/>
      </c>
    </row>
    <row r="178">
      <c r="A178" s="15" t="inlineStr">
        <is>
          <t>MO1</t>
        </is>
      </c>
      <c r="B178" s="14" t="inlineStr">
        <is>
          <t>Oficial de construccion (jornal + prestaciones)  [Oficial]</t>
        </is>
      </c>
      <c r="C178" s="15" t="inlineStr">
        <is>
          <t>dia</t>
        </is>
      </c>
      <c r="D178" s="21" t="n">
        <v>0.07142999999999999</v>
      </c>
      <c r="E178" s="16">
        <f>INSUMOS!$E$25</f>
        <v/>
      </c>
      <c r="F178" s="16">
        <f>D178*E178</f>
        <v/>
      </c>
    </row>
    <row r="179">
      <c r="A179" s="15" t="inlineStr">
        <is>
          <t>MO2</t>
        </is>
      </c>
      <c r="B179" s="14" t="inlineStr">
        <is>
          <t>Ayudante / obrero (jornal + prestaciones)  [Ayudante]</t>
        </is>
      </c>
      <c r="C179" s="15" t="inlineStr">
        <is>
          <t>dia</t>
        </is>
      </c>
      <c r="D179" s="21" t="n">
        <v>0.07142999999999999</v>
      </c>
      <c r="E179" s="16">
        <f>INSUMOS!$E$26</f>
        <v/>
      </c>
      <c r="F179" s="16">
        <f>D179*E179</f>
        <v/>
      </c>
    </row>
    <row r="180">
      <c r="A180" s="15" t="inlineStr">
        <is>
          <t>HM</t>
        </is>
      </c>
      <c r="B180" s="14" t="inlineStr">
        <is>
          <t>Herramienta menor (5% de la mano de obra)</t>
        </is>
      </c>
      <c r="C180" s="15" t="inlineStr">
        <is>
          <t>%</t>
        </is>
      </c>
      <c r="D180" s="22" t="n">
        <v>0.05</v>
      </c>
      <c r="E180" s="14" t="n"/>
      <c r="F180" s="16">
        <f>(F178+F179)*0.05</f>
        <v/>
      </c>
    </row>
    <row r="181">
      <c r="A181" s="23" t="n"/>
      <c r="B181" s="24" t="inlineStr">
        <is>
          <t>VALOR UNITARIO TOTAL  -  APU 5.1.4</t>
        </is>
      </c>
      <c r="C181" s="23" t="n"/>
      <c r="D181" s="23" t="n"/>
      <c r="E181" s="23" t="n"/>
      <c r="F181" s="25">
        <f>SUM(F175:F180)</f>
        <v/>
      </c>
    </row>
    <row r="183">
      <c r="A183" s="18" t="inlineStr">
        <is>
          <t>APU 5.2.1</t>
        </is>
      </c>
      <c r="B183" s="18" t="inlineStr">
        <is>
          <t>Acero figurado de refuerzo 60000 psi, incluye alambre de amarre, corte, figurado e instalacion</t>
        </is>
      </c>
      <c r="C183" s="18" t="inlineStr">
        <is>
          <t>UND: KG</t>
        </is>
      </c>
      <c r="D183" s="19" t="n"/>
      <c r="E183" s="19" t="n"/>
      <c r="F183" s="19" t="n"/>
    </row>
    <row r="184">
      <c r="A184" s="20" t="inlineStr">
        <is>
          <t>CODIGO</t>
        </is>
      </c>
      <c r="B184" s="20" t="inlineStr">
        <is>
          <t>INSUMO / RECURSO</t>
        </is>
      </c>
      <c r="C184" s="20" t="inlineStr">
        <is>
          <t>UNIDAD</t>
        </is>
      </c>
      <c r="D184" s="20" t="inlineStr">
        <is>
          <t>CANT./REND.</t>
        </is>
      </c>
      <c r="E184" s="20" t="inlineStr">
        <is>
          <t>VR. UNITARIO</t>
        </is>
      </c>
      <c r="F184" s="20" t="inlineStr">
        <is>
          <t>VR. PARCIAL</t>
        </is>
      </c>
    </row>
    <row r="185">
      <c r="A185" s="15" t="inlineStr">
        <is>
          <t>M08</t>
        </is>
      </c>
      <c r="B185" s="14" t="inlineStr">
        <is>
          <t>Acero de refuerzo fy=420 MPa (60000psi) figurado  [Acero figurado (desperd. 1.05)]</t>
        </is>
      </c>
      <c r="C185" s="15" t="inlineStr">
        <is>
          <t>kg</t>
        </is>
      </c>
      <c r="D185" s="21" t="n">
        <v>1.05</v>
      </c>
      <c r="E185" s="16">
        <f>INSUMOS!$E$11</f>
        <v/>
      </c>
      <c r="F185" s="16">
        <f>D185*E185</f>
        <v/>
      </c>
    </row>
    <row r="186">
      <c r="A186" s="15" t="inlineStr">
        <is>
          <t>M09</t>
        </is>
      </c>
      <c r="B186" s="14" t="inlineStr">
        <is>
          <t>Alambre negro recocido No.18  [Alambre de amarre]</t>
        </is>
      </c>
      <c r="C186" s="15" t="inlineStr">
        <is>
          <t>kg</t>
        </is>
      </c>
      <c r="D186" s="21" t="n">
        <v>0.03</v>
      </c>
      <c r="E186" s="16">
        <f>INSUMOS!$E$12</f>
        <v/>
      </c>
      <c r="F186" s="16">
        <f>D186*E186</f>
        <v/>
      </c>
    </row>
    <row r="187">
      <c r="A187" s="15" t="inlineStr">
        <is>
          <t>EQ6</t>
        </is>
      </c>
      <c r="B187" s="14" t="inlineStr">
        <is>
          <t>Cortadora y dobladora de hierro  [Cortadora-dobladora]</t>
        </is>
      </c>
      <c r="C187" s="15" t="inlineStr">
        <is>
          <t>dia</t>
        </is>
      </c>
      <c r="D187" s="21" t="n">
        <v>0.004</v>
      </c>
      <c r="E187" s="16">
        <f>INSUMOS!$E$32</f>
        <v/>
      </c>
      <c r="F187" s="16">
        <f>D187*E187</f>
        <v/>
      </c>
    </row>
    <row r="188">
      <c r="A188" s="15" t="inlineStr">
        <is>
          <t>MO1</t>
        </is>
      </c>
      <c r="B188" s="14" t="inlineStr">
        <is>
          <t>Oficial de construccion (jornal + prestaciones)  [Oficial armador]</t>
        </is>
      </c>
      <c r="C188" s="15" t="inlineStr">
        <is>
          <t>dia</t>
        </is>
      </c>
      <c r="D188" s="21" t="n">
        <v>0.004</v>
      </c>
      <c r="E188" s="16">
        <f>INSUMOS!$E$25</f>
        <v/>
      </c>
      <c r="F188" s="16">
        <f>D188*E188</f>
        <v/>
      </c>
    </row>
    <row r="189">
      <c r="A189" s="15" t="inlineStr">
        <is>
          <t>MO2</t>
        </is>
      </c>
      <c r="B189" s="14" t="inlineStr">
        <is>
          <t>Ayudante / obrero (jornal + prestaciones)  [Ayudante x2]</t>
        </is>
      </c>
      <c r="C189" s="15" t="inlineStr">
        <is>
          <t>dia</t>
        </is>
      </c>
      <c r="D189" s="21" t="n">
        <v>0.008</v>
      </c>
      <c r="E189" s="16">
        <f>INSUMOS!$E$26</f>
        <v/>
      </c>
      <c r="F189" s="16">
        <f>D189*E189</f>
        <v/>
      </c>
    </row>
    <row r="190">
      <c r="A190" s="15" t="inlineStr">
        <is>
          <t>HM</t>
        </is>
      </c>
      <c r="B190" s="14" t="inlineStr">
        <is>
          <t>Herramienta menor (5% de la mano de obra)</t>
        </is>
      </c>
      <c r="C190" s="15" t="inlineStr">
        <is>
          <t>%</t>
        </is>
      </c>
      <c r="D190" s="22" t="n">
        <v>0.05</v>
      </c>
      <c r="E190" s="14" t="n"/>
      <c r="F190" s="16">
        <f>(F188+F189)*0.05</f>
        <v/>
      </c>
    </row>
    <row r="191">
      <c r="A191" s="23" t="n"/>
      <c r="B191" s="24" t="inlineStr">
        <is>
          <t>VALOR UNITARIO TOTAL  -  APU 5.2.1</t>
        </is>
      </c>
      <c r="C191" s="23" t="n"/>
      <c r="D191" s="23" t="n"/>
      <c r="E191" s="23" t="n"/>
      <c r="F191" s="25">
        <f>SUM(F185:F190)</f>
        <v/>
      </c>
    </row>
    <row r="193">
      <c r="A193" s="18" t="inlineStr">
        <is>
          <t>APU 8.1.1</t>
        </is>
      </c>
      <c r="B193" s="18" t="inlineStr">
        <is>
          <t>Adoquin en concreto 0.20x0.10x0.06 m, suministro e instalacion</t>
        </is>
      </c>
      <c r="C193" s="18" t="inlineStr">
        <is>
          <t>UND: M2</t>
        </is>
      </c>
      <c r="D193" s="19" t="n"/>
      <c r="E193" s="19" t="n"/>
      <c r="F193" s="19" t="n"/>
    </row>
    <row r="194">
      <c r="A194" s="20" t="inlineStr">
        <is>
          <t>CODIGO</t>
        </is>
      </c>
      <c r="B194" s="20" t="inlineStr">
        <is>
          <t>INSUMO / RECURSO</t>
        </is>
      </c>
      <c r="C194" s="20" t="inlineStr">
        <is>
          <t>UNIDAD</t>
        </is>
      </c>
      <c r="D194" s="20" t="inlineStr">
        <is>
          <t>CANT./REND.</t>
        </is>
      </c>
      <c r="E194" s="20" t="inlineStr">
        <is>
          <t>VR. UNITARIO</t>
        </is>
      </c>
      <c r="F194" s="20" t="inlineStr">
        <is>
          <t>VR. PARCIAL</t>
        </is>
      </c>
    </row>
    <row r="195">
      <c r="A195" s="15" t="inlineStr">
        <is>
          <t>M13</t>
        </is>
      </c>
      <c r="B195" s="14" t="inlineStr">
        <is>
          <t>Adoquin en concreto 0.20x0.10x0.06  [Adoquin (50/m2)]</t>
        </is>
      </c>
      <c r="C195" s="15" t="inlineStr">
        <is>
          <t>und</t>
        </is>
      </c>
      <c r="D195" s="21" t="n">
        <v>50</v>
      </c>
      <c r="E195" s="16">
        <f>INSUMOS!$E$16</f>
        <v/>
      </c>
      <c r="F195" s="16">
        <f>D195*E195</f>
        <v/>
      </c>
    </row>
    <row r="196">
      <c r="A196" s="15" t="inlineStr">
        <is>
          <t>M20</t>
        </is>
      </c>
      <c r="B196" s="14" t="inlineStr">
        <is>
          <t>Arena de cama y sello para adoquin  [Arena cama (0.05)]</t>
        </is>
      </c>
      <c r="C196" s="15" t="inlineStr">
        <is>
          <t>m3</t>
        </is>
      </c>
      <c r="D196" s="21" t="n">
        <v>0.05</v>
      </c>
      <c r="E196" s="16">
        <f>INSUMOS!$E$23</f>
        <v/>
      </c>
      <c r="F196" s="16">
        <f>D196*E196</f>
        <v/>
      </c>
    </row>
    <row r="197">
      <c r="A197" s="15" t="inlineStr">
        <is>
          <t>M02</t>
        </is>
      </c>
      <c r="B197" s="14" t="inlineStr">
        <is>
          <t>Arena de rio  [Arena sello]</t>
        </is>
      </c>
      <c r="C197" s="15" t="inlineStr">
        <is>
          <t>m3</t>
        </is>
      </c>
      <c r="D197" s="21" t="n">
        <v>0.01</v>
      </c>
      <c r="E197" s="16">
        <f>INSUMOS!$E$5</f>
        <v/>
      </c>
      <c r="F197" s="16">
        <f>D197*E197</f>
        <v/>
      </c>
    </row>
    <row r="198">
      <c r="A198" s="15" t="inlineStr">
        <is>
          <t>EQ5</t>
        </is>
      </c>
      <c r="B198" s="14" t="inlineStr">
        <is>
          <t>Vibrocompactador tipo rana / canguro  [Vibrocompactador]</t>
        </is>
      </c>
      <c r="C198" s="15" t="inlineStr">
        <is>
          <t>dia</t>
        </is>
      </c>
      <c r="D198" s="21" t="n">
        <v>0.0125</v>
      </c>
      <c r="E198" s="16">
        <f>INSUMOS!$E$31</f>
        <v/>
      </c>
      <c r="F198" s="16">
        <f>D198*E198</f>
        <v/>
      </c>
    </row>
    <row r="199">
      <c r="A199" s="15" t="inlineStr">
        <is>
          <t>MO1</t>
        </is>
      </c>
      <c r="B199" s="14" t="inlineStr">
        <is>
          <t>Oficial de construccion (jornal + prestaciones)  [Oficial]</t>
        </is>
      </c>
      <c r="C199" s="15" t="inlineStr">
        <is>
          <t>dia</t>
        </is>
      </c>
      <c r="D199" s="21" t="n">
        <v>0.06666999999999999</v>
      </c>
      <c r="E199" s="16">
        <f>INSUMOS!$E$25</f>
        <v/>
      </c>
      <c r="F199" s="16">
        <f>D199*E199</f>
        <v/>
      </c>
    </row>
    <row r="200">
      <c r="A200" s="15" t="inlineStr">
        <is>
          <t>MO2</t>
        </is>
      </c>
      <c r="B200" s="14" t="inlineStr">
        <is>
          <t>Ayudante / obrero (jornal + prestaciones)  [Ayudante x2]</t>
        </is>
      </c>
      <c r="C200" s="15" t="inlineStr">
        <is>
          <t>dia</t>
        </is>
      </c>
      <c r="D200" s="21" t="n">
        <v>0.13333</v>
      </c>
      <c r="E200" s="16">
        <f>INSUMOS!$E$26</f>
        <v/>
      </c>
      <c r="F200" s="16">
        <f>D200*E200</f>
        <v/>
      </c>
    </row>
    <row r="201">
      <c r="A201" s="15" t="inlineStr">
        <is>
          <t>HM</t>
        </is>
      </c>
      <c r="B201" s="14" t="inlineStr">
        <is>
          <t>Herramienta menor (5% de la mano de obra)</t>
        </is>
      </c>
      <c r="C201" s="15" t="inlineStr">
        <is>
          <t>%</t>
        </is>
      </c>
      <c r="D201" s="22" t="n">
        <v>0.05</v>
      </c>
      <c r="E201" s="14" t="n"/>
      <c r="F201" s="16">
        <f>(F199+F200)*0.05</f>
        <v/>
      </c>
    </row>
    <row r="202">
      <c r="A202" s="23" t="n"/>
      <c r="B202" s="24" t="inlineStr">
        <is>
          <t>VALOR UNITARIO TOTAL  -  APU 8.1.1</t>
        </is>
      </c>
      <c r="C202" s="23" t="n"/>
      <c r="D202" s="23" t="n"/>
      <c r="E202" s="23" t="n"/>
      <c r="F202" s="25">
        <f>SUM(F195:F201)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7" customWidth="1" min="3" max="3"/>
    <col width="12" customWidth="1" min="4" max="4"/>
    <col width="17" customWidth="1" min="5" max="5"/>
    <col width="18" customWidth="1" min="6" max="6"/>
  </cols>
  <sheetData>
    <row r="1">
      <c r="A1" s="10" t="inlineStr">
        <is>
          <t>PRESUPUESTO GENERAL DE OBRA - CDI TESALIA (HUILA) - MODULO 1 - ETAPA OBRA GRIS</t>
        </is>
      </c>
    </row>
    <row r="2">
      <c r="A2" s="12" t="inlineStr">
        <is>
          <t>ITEM</t>
        </is>
      </c>
      <c r="B2" s="12" t="inlineStr">
        <is>
          <t>DESCRIPCION</t>
        </is>
      </c>
      <c r="C2" s="12" t="inlineStr">
        <is>
          <t>UND</t>
        </is>
      </c>
      <c r="D2" s="12" t="inlineStr">
        <is>
          <t>CANTIDAD</t>
        </is>
      </c>
      <c r="E2" s="12" t="inlineStr">
        <is>
          <t>VALOR UNITARIO</t>
        </is>
      </c>
      <c r="F2" s="12" t="inlineStr">
        <is>
          <t>VALOR TOTAL</t>
        </is>
      </c>
    </row>
    <row r="3">
      <c r="A3" s="26" t="inlineStr">
        <is>
          <t>2</t>
        </is>
      </c>
      <c r="B3" s="26" t="inlineStr">
        <is>
          <t>CIMENTACION</t>
        </is>
      </c>
      <c r="C3" s="23" t="n"/>
      <c r="D3" s="23" t="n"/>
      <c r="E3" s="23" t="n"/>
      <c r="F3" s="23" t="n"/>
    </row>
    <row r="4">
      <c r="A4" s="27" t="inlineStr">
        <is>
          <t>2.1</t>
        </is>
      </c>
      <c r="B4" s="27" t="inlineStr">
        <is>
          <t>EXCAVACIONES, RELLENOS Y REEMPLAZOS</t>
        </is>
      </c>
      <c r="C4" s="28" t="n"/>
      <c r="D4" s="28" t="n"/>
      <c r="E4" s="28" t="n"/>
      <c r="F4" s="28" t="n"/>
    </row>
    <row r="5">
      <c r="A5" s="15" t="inlineStr">
        <is>
          <t>2.1.1</t>
        </is>
      </c>
      <c r="B5" s="29" t="inlineStr">
        <is>
          <t>Excavacion a maquina conglomerado 0-2m (incl. retiro 15km)</t>
        </is>
      </c>
      <c r="C5" s="15" t="inlineStr">
        <is>
          <t>M3</t>
        </is>
      </c>
      <c r="D5" s="30" t="n">
        <v>118.91</v>
      </c>
      <c r="E5" s="16">
        <f>APU!$F$9</f>
        <v/>
      </c>
      <c r="F5" s="16">
        <f>D5*E5</f>
        <v/>
      </c>
    </row>
    <row r="6">
      <c r="A6" s="15" t="inlineStr">
        <is>
          <t>2.1.2</t>
        </is>
      </c>
      <c r="B6" s="29" t="inlineStr">
        <is>
          <t>Relleno compactado material granular subbase B-400</t>
        </is>
      </c>
      <c r="C6" s="15" t="inlineStr">
        <is>
          <t>M3</t>
        </is>
      </c>
      <c r="D6" s="30" t="n">
        <v>32.43</v>
      </c>
      <c r="E6" s="16">
        <f>APU!$F$18</f>
        <v/>
      </c>
      <c r="F6" s="16">
        <f>D6*E6</f>
        <v/>
      </c>
    </row>
    <row r="7">
      <c r="A7" s="15" t="inlineStr">
        <is>
          <t>2.1.3</t>
        </is>
      </c>
      <c r="B7" s="29" t="inlineStr">
        <is>
          <t>Excavacion manual material comun 0-2m (incl. retiro 15km)</t>
        </is>
      </c>
      <c r="C7" s="15" t="inlineStr">
        <is>
          <t>M3</t>
        </is>
      </c>
      <c r="D7" s="30" t="n">
        <v>12.18</v>
      </c>
      <c r="E7" s="16">
        <f>APU!$F$25</f>
        <v/>
      </c>
      <c r="F7" s="16">
        <f>D7*E7</f>
        <v/>
      </c>
    </row>
    <row r="8">
      <c r="A8" s="15" t="inlineStr">
        <is>
          <t>2.1.4</t>
        </is>
      </c>
      <c r="B8" s="29" t="inlineStr">
        <is>
          <t>Relleno compactado material comun (recebo)</t>
        </is>
      </c>
      <c r="C8" s="15" t="inlineStr">
        <is>
          <t>M3</t>
        </is>
      </c>
      <c r="D8" s="30" t="n">
        <v>43.24</v>
      </c>
      <c r="E8" s="16">
        <f>APU!$F$34</f>
        <v/>
      </c>
      <c r="F8" s="16">
        <f>D8*E8</f>
        <v/>
      </c>
    </row>
    <row r="9">
      <c r="A9" s="15" t="inlineStr">
        <is>
          <t>2.1.6</t>
        </is>
      </c>
      <c r="B9" s="29" t="inlineStr">
        <is>
          <t>Geotextil NT 1600 suministro e instalacion</t>
        </is>
      </c>
      <c r="C9" s="15" t="inlineStr">
        <is>
          <t>M2</t>
        </is>
      </c>
      <c r="D9" s="30" t="n">
        <v>216.2</v>
      </c>
      <c r="E9" s="16">
        <f>APU!$F$41</f>
        <v/>
      </c>
      <c r="F9" s="16">
        <f>D9*E9</f>
        <v/>
      </c>
    </row>
    <row r="10">
      <c r="A10" s="27" t="inlineStr">
        <is>
          <t>2.2</t>
        </is>
      </c>
      <c r="B10" s="27" t="inlineStr">
        <is>
          <t>CONCRETOS DE CIMENTACION</t>
        </is>
      </c>
      <c r="C10" s="28" t="n"/>
      <c r="D10" s="28" t="n"/>
      <c r="E10" s="28" t="n"/>
      <c r="F10" s="28" t="n"/>
    </row>
    <row r="11">
      <c r="A11" s="15" t="inlineStr">
        <is>
          <t>2.2.1</t>
        </is>
      </c>
      <c r="B11" s="29" t="inlineStr">
        <is>
          <t>Vigas de cimentacion concreto 3000psi (incl. formaleta)</t>
        </is>
      </c>
      <c r="C11" s="15" t="inlineStr">
        <is>
          <t>M3</t>
        </is>
      </c>
      <c r="D11" s="30" t="n">
        <v>13.7</v>
      </c>
      <c r="E11" s="16">
        <f>APU!$F$53</f>
        <v/>
      </c>
      <c r="F11" s="16">
        <f>D11*E11</f>
        <v/>
      </c>
    </row>
    <row r="12">
      <c r="A12" s="15" t="inlineStr">
        <is>
          <t>2.2.2</t>
        </is>
      </c>
      <c r="B12" s="29" t="inlineStr">
        <is>
          <t>Concreto 1500psi para solados e=0.05m</t>
        </is>
      </c>
      <c r="C12" s="15" t="inlineStr">
        <is>
          <t>M2</t>
        </is>
      </c>
      <c r="D12" s="30" t="n">
        <v>38.05</v>
      </c>
      <c r="E12" s="16">
        <f>APU!$F$61</f>
        <v/>
      </c>
      <c r="F12" s="16">
        <f>D12*E12</f>
        <v/>
      </c>
    </row>
    <row r="13">
      <c r="A13" s="27" t="inlineStr">
        <is>
          <t>2.3</t>
        </is>
      </c>
      <c r="B13" s="27" t="inlineStr">
        <is>
          <t>REFUERZOS DE CIMENTACION</t>
        </is>
      </c>
      <c r="C13" s="28" t="n"/>
      <c r="D13" s="28" t="n"/>
      <c r="E13" s="28" t="n"/>
      <c r="F13" s="28" t="n"/>
    </row>
    <row r="14">
      <c r="A14" s="15" t="inlineStr">
        <is>
          <t>2.3.1</t>
        </is>
      </c>
      <c r="B14" s="29" t="inlineStr">
        <is>
          <t>Acero figurado 60000psi vigas de cimentacion</t>
        </is>
      </c>
      <c r="C14" s="15" t="inlineStr">
        <is>
          <t>KG</t>
        </is>
      </c>
      <c r="D14" s="30" t="n">
        <v>1302.6</v>
      </c>
      <c r="E14" s="16">
        <f>APU!$F$71</f>
        <v/>
      </c>
      <c r="F14" s="16">
        <f>D14*E14</f>
        <v/>
      </c>
    </row>
    <row r="15">
      <c r="A15" s="26" t="inlineStr">
        <is>
          <t>4</t>
        </is>
      </c>
      <c r="B15" s="26" t="inlineStr">
        <is>
          <t>ESTRUCTURA EN CONCRETO Y METALICAS</t>
        </is>
      </c>
      <c r="C15" s="23" t="n"/>
      <c r="D15" s="23" t="n"/>
      <c r="E15" s="23" t="n"/>
      <c r="F15" s="23" t="n"/>
    </row>
    <row r="16">
      <c r="A16" s="27" t="inlineStr">
        <is>
          <t>4.1</t>
        </is>
      </c>
      <c r="B16" s="27" t="inlineStr">
        <is>
          <t>COLUMNAS EN CONCRETO</t>
        </is>
      </c>
      <c r="C16" s="28" t="n"/>
      <c r="D16" s="28" t="n"/>
      <c r="E16" s="28" t="n"/>
      <c r="F16" s="28" t="n"/>
    </row>
    <row r="17">
      <c r="A17" s="15" t="inlineStr">
        <is>
          <t>4.1.1</t>
        </is>
      </c>
      <c r="B17" s="29" t="inlineStr">
        <is>
          <t>Columnas concreto 3000psi acabado a la vista</t>
        </is>
      </c>
      <c r="C17" s="15" t="inlineStr">
        <is>
          <t>M3</t>
        </is>
      </c>
      <c r="D17" s="30" t="n">
        <v>7.84</v>
      </c>
      <c r="E17" s="16">
        <f>APU!$F$83</f>
        <v/>
      </c>
      <c r="F17" s="16">
        <f>D17*E17</f>
        <v/>
      </c>
    </row>
    <row r="18">
      <c r="A18" s="27" t="inlineStr">
        <is>
          <t>4.2</t>
        </is>
      </c>
      <c r="B18" s="27" t="inlineStr">
        <is>
          <t>VIGAS DE CUBIERTA EN CONCRETO</t>
        </is>
      </c>
      <c r="C18" s="28" t="n"/>
      <c r="D18" s="28" t="n"/>
      <c r="E18" s="28" t="n"/>
      <c r="F18" s="28" t="n"/>
    </row>
    <row r="19">
      <c r="A19" s="15" t="inlineStr">
        <is>
          <t>4.2.1</t>
        </is>
      </c>
      <c r="B19" s="29" t="inlineStr">
        <is>
          <t>Concreto 3000psi para viga cinta / cubierta</t>
        </is>
      </c>
      <c r="C19" s="15" t="inlineStr">
        <is>
          <t>M3</t>
        </is>
      </c>
      <c r="D19" s="30" t="n">
        <v>15.22</v>
      </c>
      <c r="E19" s="16">
        <f>APU!$F$94</f>
        <v/>
      </c>
      <c r="F19" s="16">
        <f>D19*E19</f>
        <v/>
      </c>
    </row>
    <row r="20">
      <c r="A20" s="27" t="inlineStr">
        <is>
          <t>4.3</t>
        </is>
      </c>
      <c r="B20" s="27" t="inlineStr">
        <is>
          <t>PLACA DE CONTRAPISO Y CUBIERTA</t>
        </is>
      </c>
      <c r="C20" s="28" t="n"/>
      <c r="D20" s="28" t="n"/>
      <c r="E20" s="28" t="n"/>
      <c r="F20" s="28" t="n"/>
    </row>
    <row r="21">
      <c r="A21" s="15" t="inlineStr">
        <is>
          <t>4.3.1</t>
        </is>
      </c>
      <c r="B21" s="29" t="inlineStr">
        <is>
          <t>Concreto 3000psi losas de piso (contrapiso) e=0.10</t>
        </is>
      </c>
      <c r="C21" s="15" t="inlineStr">
        <is>
          <t>M3</t>
        </is>
      </c>
      <c r="D21" s="30" t="n">
        <v>21.62</v>
      </c>
      <c r="E21" s="16">
        <f>APU!$F$104</f>
        <v/>
      </c>
      <c r="F21" s="16">
        <f>D21*E21</f>
        <v/>
      </c>
    </row>
    <row r="22">
      <c r="A22" s="15" t="inlineStr">
        <is>
          <t>4.3.3</t>
        </is>
      </c>
      <c r="B22" s="29" t="inlineStr">
        <is>
          <t>Placa aligerada cubierta concreto 3000psi e=0.08</t>
        </is>
      </c>
      <c r="C22" s="15" t="inlineStr">
        <is>
          <t>M2</t>
        </is>
      </c>
      <c r="D22" s="30" t="n">
        <v>135.2</v>
      </c>
      <c r="E22" s="16">
        <f>APU!$F$115</f>
        <v/>
      </c>
      <c r="F22" s="16">
        <f>D22*E22</f>
        <v/>
      </c>
    </row>
    <row r="23">
      <c r="A23" s="27" t="inlineStr">
        <is>
          <t>4.6</t>
        </is>
      </c>
      <c r="B23" s="27" t="inlineStr">
        <is>
          <t>ACERO DE REFUERZO PLACA CONTRAPISO</t>
        </is>
      </c>
      <c r="C23" s="28" t="n"/>
      <c r="D23" s="28" t="n"/>
      <c r="E23" s="28" t="n"/>
      <c r="F23" s="28" t="n"/>
    </row>
    <row r="24">
      <c r="A24" s="15" t="inlineStr">
        <is>
          <t>4.6.1</t>
        </is>
      </c>
      <c r="B24" s="29" t="inlineStr">
        <is>
          <t>Malla electrosoldada 8mm 15x15 contrapiso</t>
        </is>
      </c>
      <c r="C24" s="15" t="inlineStr">
        <is>
          <t>KG</t>
        </is>
      </c>
      <c r="D24" s="30" t="n">
        <v>1252.5</v>
      </c>
      <c r="E24" s="16">
        <f>APU!$F$123</f>
        <v/>
      </c>
      <c r="F24" s="16">
        <f>D24*E24</f>
        <v/>
      </c>
    </row>
    <row r="25">
      <c r="A25" s="27" t="inlineStr">
        <is>
          <t>4.7</t>
        </is>
      </c>
      <c r="B25" s="27" t="inlineStr">
        <is>
          <t>ACERO DE REFUERZO COLUMNAS</t>
        </is>
      </c>
      <c r="C25" s="28" t="n"/>
      <c r="D25" s="28" t="n"/>
      <c r="E25" s="28" t="n"/>
      <c r="F25" s="28" t="n"/>
    </row>
    <row r="26">
      <c r="A26" s="15" t="inlineStr">
        <is>
          <t>4.7.1</t>
        </is>
      </c>
      <c r="B26" s="29" t="inlineStr">
        <is>
          <t>Acero figurado 60000psi columnas y otros</t>
        </is>
      </c>
      <c r="C26" s="15" t="inlineStr">
        <is>
          <t>KG</t>
        </is>
      </c>
      <c r="D26" s="30" t="n">
        <v>791.8</v>
      </c>
      <c r="E26" s="16">
        <f>APU!$F$133</f>
        <v/>
      </c>
      <c r="F26" s="16">
        <f>D26*E26</f>
        <v/>
      </c>
    </row>
    <row r="27">
      <c r="A27" s="27" t="inlineStr">
        <is>
          <t>4.8</t>
        </is>
      </c>
      <c r="B27" s="27" t="inlineStr">
        <is>
          <t>ACERO DE REFUERZO VIGAS DE CUBIERTA</t>
        </is>
      </c>
      <c r="C27" s="28" t="n"/>
      <c r="D27" s="28" t="n"/>
      <c r="E27" s="28" t="n"/>
      <c r="F27" s="28" t="n"/>
    </row>
    <row r="28">
      <c r="A28" s="15" t="inlineStr">
        <is>
          <t>4.8.1</t>
        </is>
      </c>
      <c r="B28" s="29" t="inlineStr">
        <is>
          <t>Acero figurado 60000psi vigas de cubierta</t>
        </is>
      </c>
      <c r="C28" s="15" t="inlineStr">
        <is>
          <t>KG</t>
        </is>
      </c>
      <c r="D28" s="30" t="n">
        <v>1757.7</v>
      </c>
      <c r="E28" s="16">
        <f>APU!$F$143</f>
        <v/>
      </c>
      <c r="F28" s="16">
        <f>D28*E28</f>
        <v/>
      </c>
    </row>
    <row r="29">
      <c r="A29" s="27" t="inlineStr">
        <is>
          <t>4.9</t>
        </is>
      </c>
      <c r="B29" s="27" t="inlineStr">
        <is>
          <t>ACERO DE REFUERZO PLACAS CUBIERTA</t>
        </is>
      </c>
      <c r="C29" s="28" t="n"/>
      <c r="D29" s="28" t="n"/>
      <c r="E29" s="28" t="n"/>
      <c r="F29" s="28" t="n"/>
    </row>
    <row r="30">
      <c r="A30" s="15" t="inlineStr">
        <is>
          <t>4.9.1</t>
        </is>
      </c>
      <c r="B30" s="29" t="inlineStr">
        <is>
          <t>Malla electrosoldada 8mm 15x15 placa cubierta</t>
        </is>
      </c>
      <c r="C30" s="15" t="inlineStr">
        <is>
          <t>KG</t>
        </is>
      </c>
      <c r="D30" s="30" t="n">
        <v>783.3</v>
      </c>
      <c r="E30" s="16">
        <f>APU!$F$151</f>
        <v/>
      </c>
      <c r="F30" s="16">
        <f>D30*E30</f>
        <v/>
      </c>
    </row>
    <row r="31">
      <c r="A31" s="26" t="inlineStr">
        <is>
          <t>5</t>
        </is>
      </c>
      <c r="B31" s="26" t="inlineStr">
        <is>
          <t>MAMPOSTERIA</t>
        </is>
      </c>
      <c r="C31" s="23" t="n"/>
      <c r="D31" s="23" t="n"/>
      <c r="E31" s="23" t="n"/>
      <c r="F31" s="23" t="n"/>
    </row>
    <row r="32">
      <c r="A32" s="27" t="inlineStr">
        <is>
          <t>5.1</t>
        </is>
      </c>
      <c r="B32" s="27" t="inlineStr">
        <is>
          <t>MAMPOSTERIA Y PANETE</t>
        </is>
      </c>
      <c r="C32" s="28" t="n"/>
      <c r="D32" s="28" t="n"/>
      <c r="E32" s="28" t="n"/>
      <c r="F32" s="28" t="n"/>
    </row>
    <row r="33">
      <c r="A33" s="15" t="inlineStr">
        <is>
          <t>5.1.1</t>
        </is>
      </c>
      <c r="B33" s="29" t="inlineStr">
        <is>
          <t>Muros bloque hueco No.4 (incl. mortero pega 1:3)</t>
        </is>
      </c>
      <c r="C33" s="15" t="inlineStr">
        <is>
          <t>M2</t>
        </is>
      </c>
      <c r="D33" s="30" t="n">
        <v>402.75</v>
      </c>
      <c r="E33" s="16">
        <f>APU!$F$161</f>
        <v/>
      </c>
      <c r="F33" s="16">
        <f>D33*E33</f>
        <v/>
      </c>
    </row>
    <row r="34">
      <c r="A34" s="15" t="inlineStr">
        <is>
          <t>5.1.2</t>
        </is>
      </c>
      <c r="B34" s="29" t="inlineStr">
        <is>
          <t>Columneta de confinamiento bloque No.5</t>
        </is>
      </c>
      <c r="C34" s="15" t="inlineStr">
        <is>
          <t>ML</t>
        </is>
      </c>
      <c r="D34" s="30" t="n">
        <v>168.2</v>
      </c>
      <c r="E34" s="16">
        <f>APU!$F$171</f>
        <v/>
      </c>
      <c r="F34" s="16">
        <f>D34*E34</f>
        <v/>
      </c>
    </row>
    <row r="35">
      <c r="A35" s="15" t="inlineStr">
        <is>
          <t>5.1.4</t>
        </is>
      </c>
      <c r="B35" s="29" t="inlineStr">
        <is>
          <t>Panete liso impermeabilizado mortero 1:4 muros</t>
        </is>
      </c>
      <c r="C35" s="15" t="inlineStr">
        <is>
          <t>M2</t>
        </is>
      </c>
      <c r="D35" s="30" t="n">
        <v>261.79</v>
      </c>
      <c r="E35" s="16">
        <f>APU!$F$181</f>
        <v/>
      </c>
      <c r="F35" s="16">
        <f>D35*E35</f>
        <v/>
      </c>
    </row>
    <row r="36">
      <c r="A36" s="27" t="inlineStr">
        <is>
          <t>5.2</t>
        </is>
      </c>
      <c r="B36" s="27" t="inlineStr">
        <is>
          <t>ACERO DE REFUERZO MAMPOSTERIA CONFINADA</t>
        </is>
      </c>
      <c r="C36" s="28" t="n"/>
      <c r="D36" s="28" t="n"/>
      <c r="E36" s="28" t="n"/>
      <c r="F36" s="28" t="n"/>
    </row>
    <row r="37">
      <c r="A37" s="15" t="inlineStr">
        <is>
          <t>5.2.1</t>
        </is>
      </c>
      <c r="B37" s="29" t="inlineStr">
        <is>
          <t>Acero figurado 60000psi mamposteria confinada</t>
        </is>
      </c>
      <c r="C37" s="15" t="inlineStr">
        <is>
          <t>KG</t>
        </is>
      </c>
      <c r="D37" s="30" t="n">
        <v>530.1</v>
      </c>
      <c r="E37" s="16">
        <f>APU!$F$191</f>
        <v/>
      </c>
      <c r="F37" s="16">
        <f>D37*E37</f>
        <v/>
      </c>
    </row>
    <row r="38">
      <c r="A38" s="26" t="inlineStr">
        <is>
          <t>8</t>
        </is>
      </c>
      <c r="B38" s="26" t="inlineStr">
        <is>
          <t>PISOS</t>
        </is>
      </c>
      <c r="C38" s="23" t="n"/>
      <c r="D38" s="23" t="n"/>
      <c r="E38" s="23" t="n"/>
      <c r="F38" s="23" t="n"/>
    </row>
    <row r="39">
      <c r="A39" s="27" t="inlineStr">
        <is>
          <t>8.1</t>
        </is>
      </c>
      <c r="B39" s="27" t="inlineStr">
        <is>
          <t>PISOS ACABADOS</t>
        </is>
      </c>
      <c r="C39" s="28" t="n"/>
      <c r="D39" s="28" t="n"/>
      <c r="E39" s="28" t="n"/>
      <c r="F39" s="28" t="n"/>
    </row>
    <row r="40">
      <c r="A40" s="15" t="inlineStr">
        <is>
          <t>8.1.1</t>
        </is>
      </c>
      <c r="B40" s="29" t="inlineStr">
        <is>
          <t>Adoquin en concreto 0.20x0.10x0.06m suministro e instalacion</t>
        </is>
      </c>
      <c r="C40" s="15" t="inlineStr">
        <is>
          <t>M2</t>
        </is>
      </c>
      <c r="D40" s="30" t="n">
        <v>115.3</v>
      </c>
      <c r="E40" s="16">
        <f>APU!$F$202</f>
        <v/>
      </c>
      <c r="F40" s="16">
        <f>D40*E40</f>
        <v/>
      </c>
    </row>
    <row r="41">
      <c r="A41" s="31" t="n"/>
      <c r="B41" s="32" t="inlineStr">
        <is>
          <t>TOTAL COSTO DIRECTO</t>
        </is>
      </c>
      <c r="C41" s="31" t="n"/>
      <c r="D41" s="31" t="n"/>
      <c r="E41" s="31" t="n"/>
      <c r="F41" s="33">
        <f>SUM(F5:F40)</f>
        <v/>
      </c>
    </row>
    <row r="42">
      <c r="A42" s="34" t="n"/>
      <c r="B42" s="35" t="inlineStr">
        <is>
          <t>ADMINISTRACION (A) = 8%</t>
        </is>
      </c>
      <c r="C42" s="34" t="n"/>
      <c r="D42" s="34" t="n"/>
      <c r="E42" s="34" t="n"/>
      <c r="F42" s="36">
        <f>F41*0.08</f>
        <v/>
      </c>
    </row>
    <row r="43">
      <c r="A43" s="34" t="n"/>
      <c r="B43" s="35" t="inlineStr">
        <is>
          <t>IMPREVISTOS (I) = 3%</t>
        </is>
      </c>
      <c r="C43" s="34" t="n"/>
      <c r="D43" s="34" t="n"/>
      <c r="E43" s="34" t="n"/>
      <c r="F43" s="36">
        <f>F41*0.03</f>
        <v/>
      </c>
    </row>
    <row r="44">
      <c r="A44" s="34" t="n"/>
      <c r="B44" s="35" t="inlineStr">
        <is>
          <t>UTILIDAD (U) = 5%</t>
        </is>
      </c>
      <c r="C44" s="34" t="n"/>
      <c r="D44" s="34" t="n"/>
      <c r="E44" s="34" t="n"/>
      <c r="F44" s="36">
        <f>F41*0.05</f>
        <v/>
      </c>
    </row>
    <row r="45">
      <c r="A45" s="34" t="n"/>
      <c r="B45" s="35" t="inlineStr">
        <is>
          <t>IVA 19% SOBRE UTILIDAD</t>
        </is>
      </c>
      <c r="C45" s="34" t="n"/>
      <c r="D45" s="34" t="n"/>
      <c r="E45" s="34" t="n"/>
      <c r="F45" s="36">
        <f>F44*0.19</f>
        <v/>
      </c>
    </row>
    <row r="46">
      <c r="A46" s="28" t="n"/>
      <c r="B46" s="27" t="inlineStr">
        <is>
          <t>COSTO TOTAL DE OBRA</t>
        </is>
      </c>
      <c r="C46" s="28" t="n"/>
      <c r="D46" s="28" t="n"/>
      <c r="E46" s="28" t="n"/>
      <c r="F46" s="37">
        <f>F41+F42+F43+F44+F45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5" customWidth="1" min="3" max="3"/>
  </cols>
  <sheetData>
    <row r="1">
      <c r="A1" s="10" t="inlineStr">
        <is>
          <t>JUSTIFICACION DEL A.I.U. - PROYECTO PUBLICO (CDI TESALIA)</t>
        </is>
      </c>
    </row>
    <row r="2">
      <c r="A2" t="inlineStr"/>
      <c r="B2" t="inlineStr"/>
    </row>
    <row r="3">
      <c r="A3" t="inlineStr">
        <is>
          <t>El A.I.U. corresponde a Administracion, Imprevistos y Utilidad. Por tratarse de un proyecto del</t>
        </is>
      </c>
      <c r="B3" t="inlineStr"/>
    </row>
    <row r="4">
      <c r="A4" t="inlineStr">
        <is>
          <t>sector publico (Centro de Desarrollo Infantil financiado con recursos publicos), se adopta un</t>
        </is>
      </c>
      <c r="B4" t="inlineStr"/>
    </row>
    <row r="5">
      <c r="A5" t="inlineStr">
        <is>
          <t>A.I.U. moderado y competitivo, acorde con licitaciones de infraestructura social en Colombia.</t>
        </is>
      </c>
      <c r="B5" t="inlineStr"/>
    </row>
    <row r="6">
      <c r="A6" t="inlineStr"/>
      <c r="B6" t="inlineStr"/>
    </row>
    <row r="7">
      <c r="A7" s="38" t="inlineStr">
        <is>
          <t>COMPONENTE</t>
        </is>
      </c>
      <c r="B7" s="38" t="inlineStr">
        <is>
          <t>%</t>
        </is>
      </c>
      <c r="C7" s="38" t="inlineStr">
        <is>
          <t>SUSTENTACION</t>
        </is>
      </c>
    </row>
    <row r="8">
      <c r="A8" t="inlineStr">
        <is>
          <t>Administracion (A)</t>
        </is>
      </c>
      <c r="B8" t="inlineStr">
        <is>
          <t>8%</t>
        </is>
      </c>
      <c r="C8" s="39" t="inlineStr">
        <is>
          <t>Costos indirectos: direccion de obra, residente, almacenista, campamento, valla, polizas, servicios publicos provisionales, administracion central prorrateada.</t>
        </is>
      </c>
    </row>
    <row r="9">
      <c r="A9" t="inlineStr">
        <is>
          <t>Imprevistos (I)</t>
        </is>
      </c>
      <c r="B9" t="inlineStr">
        <is>
          <t>3%</t>
        </is>
      </c>
      <c r="C9" s="39" t="inlineStr">
        <is>
          <t>Cobertura de riesgos no previstos (clima, variacion menor de cantidades, reprocesos). Para obra publica suele estar entre 1% y 5%.</t>
        </is>
      </c>
    </row>
    <row r="10">
      <c r="A10" t="inlineStr">
        <is>
          <t>Utilidad (U)</t>
        </is>
      </c>
      <c r="B10" t="inlineStr">
        <is>
          <t>5%</t>
        </is>
      </c>
      <c r="C10" s="39" t="inlineStr">
        <is>
          <t>Ganancia razonable del contratista para proyecto publico (usual 5%).</t>
        </is>
      </c>
    </row>
    <row r="11">
      <c r="A11" t="inlineStr">
        <is>
          <t>TOTAL A.I.U.</t>
        </is>
      </c>
      <c r="B11" t="inlineStr">
        <is>
          <t>16%</t>
        </is>
      </c>
      <c r="C11" s="39" t="inlineStr"/>
    </row>
    <row r="12">
      <c r="A12" t="inlineStr"/>
      <c r="B12" t="inlineStr"/>
    </row>
    <row r="13">
      <c r="A13" t="inlineStr">
        <is>
          <t>IVA</t>
        </is>
      </c>
      <c r="B13" t="inlineStr"/>
      <c r="C13" t="inlineStr">
        <is>
          <t>En obra publica el IVA del 19% se liquida SOBRE LA UTILIDAD (Art. 462-1 E.T.), no sobre todo el contrato.</t>
        </is>
      </c>
    </row>
    <row r="14">
      <c r="A14" t="inlineStr"/>
      <c r="B14" t="inlineStr"/>
    </row>
    <row r="15">
      <c r="A15" t="inlineStr">
        <is>
          <t>Nota</t>
        </is>
      </c>
      <c r="B15" t="inlineStr"/>
      <c r="C15" t="inlineStr">
        <is>
          <t>Si la entidad exige otro AIU (p.ej. 25% A+5% I+5% U), basta cambiar los porcentajes en la hoja PRESUPUESTO.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9" customWidth="1" min="1" max="1"/>
    <col width="46" customWidth="1" min="2" max="2"/>
    <col width="7" customWidth="1" min="3" max="3"/>
    <col width="12" customWidth="1" min="4" max="4"/>
    <col width="60" customWidth="1" min="5" max="5"/>
  </cols>
  <sheetData>
    <row r="1">
      <c r="A1" s="10" t="inlineStr">
        <is>
          <t>CUADRO DE CANTIDADES DE OBRA - SOPORTE DE CALCULO</t>
        </is>
      </c>
    </row>
    <row r="2">
      <c r="A2" s="12" t="inlineStr">
        <is>
          <t>ITEM</t>
        </is>
      </c>
      <c r="B2" s="12" t="inlineStr">
        <is>
          <t>DESCRIPCION</t>
        </is>
      </c>
      <c r="C2" s="12" t="inlineStr">
        <is>
          <t>UND</t>
        </is>
      </c>
      <c r="D2" s="12" t="inlineStr">
        <is>
          <t>CANTIDAD</t>
        </is>
      </c>
      <c r="E2" s="12" t="inlineStr">
        <is>
          <t>MEMORIA / FORMULA DE CALCULO</t>
        </is>
      </c>
    </row>
    <row r="3">
      <c r="A3" s="15" t="inlineStr">
        <is>
          <t>2.1.1</t>
        </is>
      </c>
      <c r="B3" s="14" t="inlineStr">
        <is>
          <t>Excavacion a maquina conglomerado 0-2m (incl. retiro 15km)</t>
        </is>
      </c>
      <c r="C3" s="15" t="inlineStr">
        <is>
          <t>M3</t>
        </is>
      </c>
      <c r="D3" s="30" t="n">
        <v>118.91</v>
      </c>
      <c r="E3" s="29" t="inlineStr">
        <is>
          <t>A_plataforma 216.20 m2 x prof. masiva 0.55 m</t>
        </is>
      </c>
    </row>
    <row r="4">
      <c r="A4" s="15" t="inlineStr">
        <is>
          <t>2.1.2</t>
        </is>
      </c>
      <c r="B4" s="14" t="inlineStr">
        <is>
          <t>Relleno compactado material granular subbase B-400</t>
        </is>
      </c>
      <c r="C4" s="15" t="inlineStr">
        <is>
          <t>M3</t>
        </is>
      </c>
      <c r="D4" s="30" t="n">
        <v>32.43</v>
      </c>
      <c r="E4" s="29" t="inlineStr">
        <is>
          <t>A_placa 216.20 m2 x espesor capa 0.15 m</t>
        </is>
      </c>
    </row>
    <row r="5">
      <c r="A5" s="15" t="inlineStr">
        <is>
          <t>2.1.3</t>
        </is>
      </c>
      <c r="B5" s="14" t="inlineStr">
        <is>
          <t>Excavacion manual material comun 0-2m (incl. retiro 15km)</t>
        </is>
      </c>
      <c r="C5" s="15" t="inlineStr">
        <is>
          <t>M3</t>
        </is>
      </c>
      <c r="D5" s="30" t="n">
        <v>12.18</v>
      </c>
      <c r="E5" s="29" t="inlineStr">
        <is>
          <t>Afinado zanjas vigas: L 76.10 m x 0.40 x 0.40 m</t>
        </is>
      </c>
    </row>
    <row r="6">
      <c r="A6" s="15" t="inlineStr">
        <is>
          <t>2.1.4</t>
        </is>
      </c>
      <c r="B6" s="14" t="inlineStr">
        <is>
          <t>Relleno compactado material comun (recebo)</t>
        </is>
      </c>
      <c r="C6" s="15" t="inlineStr">
        <is>
          <t>M3</t>
        </is>
      </c>
      <c r="D6" s="30" t="n">
        <v>43.24</v>
      </c>
      <c r="E6" s="29" t="inlineStr">
        <is>
          <t>A_placa 216.20 m2 x espesor nivelacion 0.20 m</t>
        </is>
      </c>
    </row>
    <row r="7">
      <c r="A7" s="15" t="inlineStr">
        <is>
          <t>2.1.6</t>
        </is>
      </c>
      <c r="B7" s="14" t="inlineStr">
        <is>
          <t>Geotextil NT 1600 suministro e instalacion</t>
        </is>
      </c>
      <c r="C7" s="15" t="inlineStr">
        <is>
          <t>M2</t>
        </is>
      </c>
      <c r="D7" s="30" t="n">
        <v>216.2</v>
      </c>
      <c r="E7" s="29" t="inlineStr">
        <is>
          <t>Area placa contrapiso 216.20 m2</t>
        </is>
      </c>
    </row>
    <row r="8">
      <c r="A8" s="15" t="inlineStr">
        <is>
          <t>2.2.1</t>
        </is>
      </c>
      <c r="B8" s="14" t="inlineStr">
        <is>
          <t>Vigas de cimentacion concreto 3000psi (incl. formaleta)</t>
        </is>
      </c>
      <c r="C8" s="15" t="inlineStr">
        <is>
          <t>M3</t>
        </is>
      </c>
      <c r="D8" s="30" t="n">
        <v>13.7</v>
      </c>
      <c r="E8" s="29" t="inlineStr">
        <is>
          <t>L_vigas 76.10 m x 0.40 x 0.45 m</t>
        </is>
      </c>
    </row>
    <row r="9">
      <c r="A9" s="15" t="inlineStr">
        <is>
          <t>2.2.2</t>
        </is>
      </c>
      <c r="B9" s="14" t="inlineStr">
        <is>
          <t>Concreto 1500psi para solados e=0.05m</t>
        </is>
      </c>
      <c r="C9" s="15" t="inlineStr">
        <is>
          <t>M2</t>
        </is>
      </c>
      <c r="D9" s="30" t="n">
        <v>38.05</v>
      </c>
      <c r="E9" s="29" t="inlineStr">
        <is>
          <t>L_vigas 76.10 m x ancho solado 0.50 m</t>
        </is>
      </c>
    </row>
    <row r="10">
      <c r="A10" s="15" t="inlineStr">
        <is>
          <t>2.3.1</t>
        </is>
      </c>
      <c r="B10" s="14" t="inlineStr">
        <is>
          <t>Acero figurado 60000psi vigas de cimentacion</t>
        </is>
      </c>
      <c r="C10" s="15" t="inlineStr">
        <is>
          <t>KG</t>
        </is>
      </c>
      <c r="D10" s="30" t="n">
        <v>1302.6</v>
      </c>
      <c r="E10" s="29" t="inlineStr">
        <is>
          <t>Ver cartilla de hierros (cimentacion)</t>
        </is>
      </c>
    </row>
    <row r="11">
      <c r="A11" s="15" t="inlineStr">
        <is>
          <t>4.1.1</t>
        </is>
      </c>
      <c r="B11" s="14" t="inlineStr">
        <is>
          <t>Columnas concreto 3000psi acabado a la vista</t>
        </is>
      </c>
      <c r="C11" s="15" t="inlineStr">
        <is>
          <t>M3</t>
        </is>
      </c>
      <c r="D11" s="30" t="n">
        <v>7.84</v>
      </c>
      <c r="E11" s="29" t="inlineStr">
        <is>
          <t>10 col x 0.40 x 0.40 x 4.90 m</t>
        </is>
      </c>
    </row>
    <row r="12">
      <c r="A12" s="15" t="inlineStr">
        <is>
          <t>4.2.1</t>
        </is>
      </c>
      <c r="B12" s="14" t="inlineStr">
        <is>
          <t>Concreto 3000psi para viga cinta / cubierta</t>
        </is>
      </c>
      <c r="C12" s="15" t="inlineStr">
        <is>
          <t>M3</t>
        </is>
      </c>
      <c r="D12" s="30" t="n">
        <v>15.22</v>
      </c>
      <c r="E12" s="29" t="inlineStr">
        <is>
          <t>L_vigas cubierta 76.10 m x 0.40 x 0.50 m</t>
        </is>
      </c>
    </row>
    <row r="13">
      <c r="A13" s="15" t="inlineStr">
        <is>
          <t>4.3.1</t>
        </is>
      </c>
      <c r="B13" s="14" t="inlineStr">
        <is>
          <t>Concreto 3000psi losas de piso (contrapiso) e=0.10</t>
        </is>
      </c>
      <c r="C13" s="15" t="inlineStr">
        <is>
          <t>M3</t>
        </is>
      </c>
      <c r="D13" s="30" t="n">
        <v>21.62</v>
      </c>
      <c r="E13" s="29" t="inlineStr">
        <is>
          <t>Area 216.20 m2 x espesor 0.10 m</t>
        </is>
      </c>
    </row>
    <row r="14">
      <c r="A14" s="15" t="inlineStr">
        <is>
          <t>4.3.3</t>
        </is>
      </c>
      <c r="B14" s="14" t="inlineStr">
        <is>
          <t>Placa aligerada cubierta concreto 3000psi e=0.08</t>
        </is>
      </c>
      <c r="C14" s="15" t="inlineStr">
        <is>
          <t>M2</t>
        </is>
      </c>
      <c r="D14" s="30" t="n">
        <v>135.2</v>
      </c>
      <c r="E14" s="29" t="inlineStr">
        <is>
          <t>Area placa cubierta 7.30 x 18.52 = 135.20 m2</t>
        </is>
      </c>
    </row>
    <row r="15">
      <c r="A15" s="15" t="inlineStr">
        <is>
          <t>4.6.1</t>
        </is>
      </c>
      <c r="B15" s="14" t="inlineStr">
        <is>
          <t>Malla electrosoldada 8mm 15x15 contrapiso</t>
        </is>
      </c>
      <c r="C15" s="15" t="inlineStr">
        <is>
          <t>KG</t>
        </is>
      </c>
      <c r="D15" s="30" t="n">
        <v>1252.5</v>
      </c>
      <c r="E15" s="29" t="inlineStr">
        <is>
          <t>Ver cartilla (malla contrapiso)</t>
        </is>
      </c>
    </row>
    <row r="16">
      <c r="A16" s="15" t="inlineStr">
        <is>
          <t>4.7.1</t>
        </is>
      </c>
      <c r="B16" s="14" t="inlineStr">
        <is>
          <t>Acero figurado 60000psi columnas y otros</t>
        </is>
      </c>
      <c r="C16" s="15" t="inlineStr">
        <is>
          <t>KG</t>
        </is>
      </c>
      <c r="D16" s="30" t="n">
        <v>791.8</v>
      </c>
      <c r="E16" s="29" t="inlineStr">
        <is>
          <t>Ver cartilla de hierros (columnas)</t>
        </is>
      </c>
    </row>
    <row r="17">
      <c r="A17" s="15" t="inlineStr">
        <is>
          <t>4.8.1</t>
        </is>
      </c>
      <c r="B17" s="14" t="inlineStr">
        <is>
          <t>Acero figurado 60000psi vigas de cubierta</t>
        </is>
      </c>
      <c r="C17" s="15" t="inlineStr">
        <is>
          <t>KG</t>
        </is>
      </c>
      <c r="D17" s="30" t="n">
        <v>1757.7</v>
      </c>
      <c r="E17" s="29" t="inlineStr">
        <is>
          <t>Ver cartilla de hierros (vigas cubierta)</t>
        </is>
      </c>
    </row>
    <row r="18">
      <c r="A18" s="15" t="inlineStr">
        <is>
          <t>4.9.1</t>
        </is>
      </c>
      <c r="B18" s="14" t="inlineStr">
        <is>
          <t>Malla electrosoldada 8mm 15x15 placa cubierta</t>
        </is>
      </c>
      <c r="C18" s="15" t="inlineStr">
        <is>
          <t>KG</t>
        </is>
      </c>
      <c r="D18" s="30" t="n">
        <v>783.3</v>
      </c>
      <c r="E18" s="29" t="inlineStr">
        <is>
          <t>Ver cartilla (malla cubierta)</t>
        </is>
      </c>
    </row>
    <row r="19">
      <c r="A19" s="15" t="inlineStr">
        <is>
          <t>5.1.1</t>
        </is>
      </c>
      <c r="B19" s="14" t="inlineStr">
        <is>
          <t>Muros bloque hueco No.4 (incl. mortero pega 1:3)</t>
        </is>
      </c>
      <c r="C19" s="15" t="inlineStr">
        <is>
          <t>M2</t>
        </is>
      </c>
      <c r="D19" s="30" t="n">
        <v>402.75</v>
      </c>
      <c r="E19" s="29" t="inlineStr">
        <is>
          <t>L_muro 173.60 m x H 2.90 m x 0.80 (desc. vanos)</t>
        </is>
      </c>
    </row>
    <row r="20">
      <c r="A20" s="15" t="inlineStr">
        <is>
          <t>5.1.2</t>
        </is>
      </c>
      <c r="B20" s="14" t="inlineStr">
        <is>
          <t>Columneta de confinamiento bloque No.5</t>
        </is>
      </c>
      <c r="C20" s="15" t="inlineStr">
        <is>
          <t>ML</t>
        </is>
      </c>
      <c r="D20" s="30" t="n">
        <v>168.2</v>
      </c>
      <c r="E20" s="29" t="inlineStr">
        <is>
          <t>(173.60/3) columnetas x H 2.90 m</t>
        </is>
      </c>
    </row>
    <row r="21">
      <c r="A21" s="15" t="inlineStr">
        <is>
          <t>5.1.4</t>
        </is>
      </c>
      <c r="B21" s="14" t="inlineStr">
        <is>
          <t>Panete liso impermeabilizado mortero 1:4 muros</t>
        </is>
      </c>
      <c r="C21" s="15" t="inlineStr">
        <is>
          <t>M2</t>
        </is>
      </c>
      <c r="D21" s="30" t="n">
        <v>261.79</v>
      </c>
      <c r="E21" s="29" t="inlineStr">
        <is>
          <t>65% del area de muro (fachadas + zonas humedas)</t>
        </is>
      </c>
    </row>
    <row r="22">
      <c r="A22" s="15" t="inlineStr">
        <is>
          <t>5.2.1</t>
        </is>
      </c>
      <c r="B22" s="14" t="inlineStr">
        <is>
          <t>Acero figurado 60000psi mamposteria confinada</t>
        </is>
      </c>
      <c r="C22" s="15" t="inlineStr">
        <is>
          <t>KG</t>
        </is>
      </c>
      <c r="D22" s="30" t="n">
        <v>530.1</v>
      </c>
      <c r="E22" s="29" t="inlineStr">
        <is>
          <t>Ver cartilla (columnetas)</t>
        </is>
      </c>
    </row>
    <row r="23">
      <c r="A23" s="15" t="inlineStr">
        <is>
          <t>8.1.1</t>
        </is>
      </c>
      <c r="B23" s="14" t="inlineStr">
        <is>
          <t>Adoquin en concreto 0.20x0.10x0.06m suministro e instalacion</t>
        </is>
      </c>
      <c r="C23" s="15" t="inlineStr">
        <is>
          <t>M2</t>
        </is>
      </c>
      <c r="D23" s="30" t="n">
        <v>115.3</v>
      </c>
      <c r="E23" s="29" t="inlineStr">
        <is>
          <t>Suma 9 areas adoquinadas = 115.30 m2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14" customWidth="1" min="3" max="3"/>
    <col width="6" customWidth="1" min="4" max="4"/>
  </cols>
  <sheetData>
    <row r="1">
      <c r="A1" s="10" t="inlineStr">
        <is>
          <t>CARTILLA DE HIERROS / DESPIECE DE ACERO - CDI TESALIA MODULO 1</t>
        </is>
      </c>
    </row>
    <row r="2">
      <c r="A2" s="40" t="inlineStr">
        <is>
          <t>Pesos: #2=0.250 #3=0.560 #4=0.994 #5=1.552 #6=2.235 #7=3.042 kg/m. Incluye 10% por desperdicio y traslapos.</t>
        </is>
      </c>
    </row>
    <row r="3">
      <c r="A3" s="41" t="inlineStr">
        <is>
          <t>ITEM 2.3.1 - ACERO VIGAS DE CIMENTACION (40x45)</t>
        </is>
      </c>
      <c r="B3" s="42" t="n"/>
      <c r="C3" s="42" t="n"/>
      <c r="D3" s="42" t="n"/>
    </row>
    <row r="4">
      <c r="A4" s="14" t="n"/>
      <c r="B4" s="14" t="inlineStr">
        <is>
          <t>Long. 3#6+3#5 (kg)</t>
        </is>
      </c>
      <c r="C4" s="43" t="n">
        <v>864.6</v>
      </c>
      <c r="D4" s="14" t="inlineStr">
        <is>
          <t>kg</t>
        </is>
      </c>
    </row>
    <row r="5">
      <c r="A5" s="14" t="n"/>
      <c r="B5" s="14" t="inlineStr">
        <is>
          <t>Estribos #3 c/0.20 (kg)</t>
        </is>
      </c>
      <c r="C5" s="43" t="n">
        <v>319.6</v>
      </c>
      <c r="D5" s="14" t="inlineStr">
        <is>
          <t>kg</t>
        </is>
      </c>
    </row>
    <row r="6">
      <c r="A6" s="14" t="n"/>
      <c r="B6" s="14" t="inlineStr">
        <is>
          <t>Subtotal (kg)</t>
        </is>
      </c>
      <c r="C6" s="43" t="n">
        <v>1184.2</v>
      </c>
      <c r="D6" s="14" t="inlineStr">
        <is>
          <t>kg</t>
        </is>
      </c>
    </row>
    <row r="7">
      <c r="A7" s="14" t="n"/>
      <c r="B7" s="14" t="inlineStr">
        <is>
          <t>Con 10% desperd/traslapo (kg)</t>
        </is>
      </c>
      <c r="C7" s="43" t="n">
        <v>1302.6</v>
      </c>
      <c r="D7" s="14" t="inlineStr">
        <is>
          <t>kg</t>
        </is>
      </c>
    </row>
    <row r="9">
      <c r="A9" s="41" t="inlineStr">
        <is>
          <t>ITEM 4.7.1 - ACERO COLUMNAS (2#6+2#7, estribo #2 c/0.20)</t>
        </is>
      </c>
      <c r="B9" s="42" t="n"/>
      <c r="C9" s="42" t="n"/>
      <c r="D9" s="42" t="n"/>
    </row>
    <row r="10">
      <c r="A10" s="14" t="n"/>
      <c r="B10" s="14" t="inlineStr">
        <is>
          <t>Long. 10col x (2#6+2#7) L=5.95 (kg)</t>
        </is>
      </c>
      <c r="C10" s="43" t="n">
        <v>628</v>
      </c>
      <c r="D10" s="14" t="inlineStr">
        <is>
          <t>kg</t>
        </is>
      </c>
    </row>
    <row r="11">
      <c r="A11" s="14" t="n"/>
      <c r="B11" s="14" t="inlineStr">
        <is>
          <t>Estribos #2 c/0.20 (kg)</t>
        </is>
      </c>
      <c r="C11" s="43" t="n">
        <v>91.90000000000001</v>
      </c>
      <c r="D11" s="14" t="inlineStr">
        <is>
          <t>kg</t>
        </is>
      </c>
    </row>
    <row r="12">
      <c r="A12" s="14" t="n"/>
      <c r="B12" s="14" t="inlineStr">
        <is>
          <t>Subtotal (kg)</t>
        </is>
      </c>
      <c r="C12" s="43" t="n">
        <v>719.8</v>
      </c>
      <c r="D12" s="14" t="inlineStr">
        <is>
          <t>kg</t>
        </is>
      </c>
    </row>
    <row r="13">
      <c r="A13" s="14" t="n"/>
      <c r="B13" s="14" t="inlineStr">
        <is>
          <t>Con 10% (kg)</t>
        </is>
      </c>
      <c r="C13" s="43" t="n">
        <v>791.8</v>
      </c>
      <c r="D13" s="14" t="inlineStr">
        <is>
          <t>kg</t>
        </is>
      </c>
    </row>
    <row r="15">
      <c r="A15" s="41" t="inlineStr">
        <is>
          <t>ITEM 4.8.1 - ACERO VIGAS DE CUBIERTA (40x50)</t>
        </is>
      </c>
      <c r="B15" s="42" t="n"/>
      <c r="C15" s="42" t="n"/>
      <c r="D15" s="42" t="n"/>
    </row>
    <row r="16">
      <c r="A16" s="14" t="n"/>
      <c r="B16" s="14" t="inlineStr">
        <is>
          <t>Long. 2#6+2#7+2#6 (kg)</t>
        </is>
      </c>
      <c r="C16" s="43" t="n">
        <v>1143.3</v>
      </c>
      <c r="D16" s="14" t="inlineStr">
        <is>
          <t>kg</t>
        </is>
      </c>
    </row>
    <row r="17">
      <c r="A17" s="14" t="n"/>
      <c r="B17" s="14" t="inlineStr">
        <is>
          <t>Estribos #3 c/0.15 (kg)</t>
        </is>
      </c>
      <c r="C17" s="43" t="n">
        <v>454.6</v>
      </c>
      <c r="D17" s="14" t="inlineStr">
        <is>
          <t>kg</t>
        </is>
      </c>
    </row>
    <row r="18">
      <c r="A18" s="14" t="n"/>
      <c r="B18" s="14" t="inlineStr">
        <is>
          <t>Subtotal (kg)</t>
        </is>
      </c>
      <c r="C18" s="43" t="n">
        <v>1597.9</v>
      </c>
      <c r="D18" s="14" t="inlineStr">
        <is>
          <t>kg</t>
        </is>
      </c>
    </row>
    <row r="19">
      <c r="A19" s="14" t="n"/>
      <c r="B19" s="14" t="inlineStr">
        <is>
          <t>Con 10% (kg)</t>
        </is>
      </c>
      <c r="C19" s="43" t="n">
        <v>1757.7</v>
      </c>
      <c r="D19" s="14" t="inlineStr">
        <is>
          <t>kg</t>
        </is>
      </c>
    </row>
    <row r="21">
      <c r="A21" s="41" t="inlineStr">
        <is>
          <t>ITEM 5.2.1 - ACERO MAMPOSTERIA CONFINADA (columnetas)</t>
        </is>
      </c>
      <c r="B21" s="42" t="n"/>
      <c r="C21" s="42" t="n"/>
      <c r="D21" s="42" t="n"/>
    </row>
    <row r="22">
      <c r="A22" s="14" t="n"/>
      <c r="B22" s="14" t="inlineStr">
        <is>
          <t>Long. 4#3 (kg)</t>
        </is>
      </c>
      <c r="C22" s="43" t="n">
        <v>376.8</v>
      </c>
      <c r="D22" s="14" t="inlineStr">
        <is>
          <t>kg</t>
        </is>
      </c>
    </row>
    <row r="23">
      <c r="A23" s="14" t="n"/>
      <c r="B23" s="14" t="inlineStr">
        <is>
          <t>Estribos #2 c/0.20 (kg)</t>
        </is>
      </c>
      <c r="C23" s="43" t="n">
        <v>105.1</v>
      </c>
      <c r="D23" s="14" t="inlineStr">
        <is>
          <t>kg</t>
        </is>
      </c>
    </row>
    <row r="24">
      <c r="A24" s="14" t="n"/>
      <c r="B24" s="14" t="inlineStr">
        <is>
          <t>Subtotal (kg)</t>
        </is>
      </c>
      <c r="C24" s="43" t="n">
        <v>481.9</v>
      </c>
      <c r="D24" s="14" t="inlineStr">
        <is>
          <t>kg</t>
        </is>
      </c>
    </row>
    <row r="25">
      <c r="A25" s="14" t="n"/>
      <c r="B25" s="14" t="inlineStr">
        <is>
          <t>Con 10% (kg)</t>
        </is>
      </c>
      <c r="C25" s="43" t="n">
        <v>530.1</v>
      </c>
      <c r="D25" s="14" t="inlineStr">
        <is>
          <t>kg</t>
        </is>
      </c>
    </row>
    <row r="27">
      <c r="A27" s="41" t="inlineStr">
        <is>
          <t>MALLAS ELECTROSOLDADAS 8mm @0.15 (densidad 5.27 kg/m2 + 10%)</t>
        </is>
      </c>
      <c r="B27" s="42" t="n"/>
      <c r="C27" s="42" t="n"/>
      <c r="D27" s="42" t="n"/>
    </row>
    <row r="28">
      <c r="B28" t="inlineStr">
        <is>
          <t>Item 4.6.1 - Malla contrapiso (216.20 m2)</t>
        </is>
      </c>
      <c r="C28" s="44" t="n">
        <v>1252.5</v>
      </c>
      <c r="D28" t="inlineStr">
        <is>
          <t>kg</t>
        </is>
      </c>
    </row>
    <row r="29">
      <c r="B29" t="inlineStr">
        <is>
          <t>Item 4.9.1 - Malla placa cubierta (135.20 m2)</t>
        </is>
      </c>
      <c r="C29" s="44" t="n">
        <v>783.3</v>
      </c>
      <c r="D29" t="inlineStr">
        <is>
          <t>kg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5" customWidth="1" min="3" max="3"/>
    <col width="13" customWidth="1" min="4" max="4"/>
    <col width="44" customWidth="1" min="5" max="5"/>
  </cols>
  <sheetData>
    <row r="1">
      <c r="A1" s="10" t="inlineStr">
        <is>
          <t>PROGRAMACION DE OBRA (base para Microsoft Project) - CDI TESALIA MODULO 1</t>
        </is>
      </c>
    </row>
    <row r="2">
      <c r="A2" s="12" t="inlineStr">
        <is>
          <t>No.</t>
        </is>
      </c>
      <c r="B2" s="12" t="inlineStr">
        <is>
          <t>ACTIVIDAD</t>
        </is>
      </c>
      <c r="C2" s="12" t="inlineStr">
        <is>
          <t>DURACION (dias)</t>
        </is>
      </c>
      <c r="D2" s="12" t="inlineStr">
        <is>
          <t>PREDECESORA</t>
        </is>
      </c>
      <c r="E2" s="12" t="inlineStr">
        <is>
          <t>RECURSOS PRINCIPALES (del APU)</t>
        </is>
      </c>
      <c r="F2" t="inlineStr"/>
    </row>
    <row r="3">
      <c r="A3" s="15" t="n">
        <v>1</v>
      </c>
      <c r="B3" s="14" t="inlineStr">
        <is>
          <t>Preliminares y localizacion</t>
        </is>
      </c>
      <c r="C3" s="15" t="n">
        <v>3</v>
      </c>
      <c r="D3" s="14" t="inlineStr">
        <is>
          <t>-</t>
        </is>
      </c>
      <c r="E3" s="14" t="inlineStr">
        <is>
          <t>Comision topografia, ayudantes</t>
        </is>
      </c>
    </row>
    <row r="4">
      <c r="A4" s="15" t="n">
        <v>2</v>
      </c>
      <c r="B4" s="14" t="inlineStr">
        <is>
          <t>Excavacion a maquina (2.1.1)</t>
        </is>
      </c>
      <c r="C4" s="15" t="n">
        <v>4</v>
      </c>
      <c r="D4" s="14" t="inlineStr">
        <is>
          <t>1</t>
        </is>
      </c>
      <c r="E4" s="14" t="inlineStr">
        <is>
          <t>Retroexcavadora, volqueta, ayudante</t>
        </is>
      </c>
    </row>
    <row r="5">
      <c r="A5" s="15" t="n">
        <v>3</v>
      </c>
      <c r="B5" s="14" t="inlineStr">
        <is>
          <t>Excavacion manual y afinado (2.1.3)</t>
        </is>
      </c>
      <c r="C5" s="15" t="n">
        <v>3</v>
      </c>
      <c r="D5" s="14" t="inlineStr">
        <is>
          <t>2</t>
        </is>
      </c>
      <c r="E5" s="14" t="inlineStr">
        <is>
          <t>Ayudantes</t>
        </is>
      </c>
    </row>
    <row r="6">
      <c r="A6" s="15" t="n">
        <v>4</v>
      </c>
      <c r="B6" s="14" t="inlineStr">
        <is>
          <t>Solado 1500psi (2.2.2)</t>
        </is>
      </c>
      <c r="C6" s="15" t="n">
        <v>2</v>
      </c>
      <c r="D6" s="14" t="inlineStr">
        <is>
          <t>3</t>
        </is>
      </c>
      <c r="E6" s="14" t="inlineStr">
        <is>
          <t>Cuadrilla concreto</t>
        </is>
      </c>
    </row>
    <row r="7">
      <c r="A7" s="15" t="n">
        <v>5</v>
      </c>
      <c r="B7" s="14" t="inlineStr">
        <is>
          <t>Figurado y armado acero cimentacion (2.3.1)</t>
        </is>
      </c>
      <c r="C7" s="15" t="n">
        <v>4</v>
      </c>
      <c r="D7" s="14" t="inlineStr">
        <is>
          <t>3</t>
        </is>
      </c>
      <c r="E7" s="14" t="inlineStr">
        <is>
          <t>Figurador, oficial, cortadora</t>
        </is>
      </c>
    </row>
    <row r="8">
      <c r="A8" s="15" t="n">
        <v>6</v>
      </c>
      <c r="B8" s="14" t="inlineStr">
        <is>
          <t>Fundida vigas de cimentacion (2.2.1)</t>
        </is>
      </c>
      <c r="C8" s="15" t="n">
        <v>3</v>
      </c>
      <c r="D8" s="14" t="inlineStr">
        <is>
          <t>4,5</t>
        </is>
      </c>
      <c r="E8" s="14" t="inlineStr">
        <is>
          <t>Cuadrilla concreto, vibrador, formaleta</t>
        </is>
      </c>
    </row>
    <row r="9">
      <c r="A9" s="15" t="n">
        <v>7</v>
      </c>
      <c r="B9" s="14" t="inlineStr">
        <is>
          <t>Subbase B-400 + geotextil (2.1.2/2.1.6)</t>
        </is>
      </c>
      <c r="C9" s="15" t="n">
        <v>3</v>
      </c>
      <c r="D9" s="14" t="inlineStr">
        <is>
          <t>6</t>
        </is>
      </c>
      <c r="E9" s="14" t="inlineStr">
        <is>
          <t>Material granular, rana, ayudantes</t>
        </is>
      </c>
    </row>
    <row r="10">
      <c r="A10" s="15" t="n">
        <v>8</v>
      </c>
      <c r="B10" s="14" t="inlineStr">
        <is>
          <t>Relleno recebo (2.1.4)</t>
        </is>
      </c>
      <c r="C10" s="15" t="n">
        <v>2</v>
      </c>
      <c r="D10" s="14" t="inlineStr">
        <is>
          <t>7</t>
        </is>
      </c>
      <c r="E10" s="14" t="inlineStr">
        <is>
          <t>Recebo, rana</t>
        </is>
      </c>
    </row>
    <row r="11">
      <c r="A11" s="15" t="n">
        <v>9</v>
      </c>
      <c r="B11" s="14" t="inlineStr">
        <is>
          <t>Armado y fundida columnas (4.1.1/4.7.1)</t>
        </is>
      </c>
      <c r="C11" s="15" t="n">
        <v>6</v>
      </c>
      <c r="D11" s="14" t="inlineStr">
        <is>
          <t>6</t>
        </is>
      </c>
      <c r="E11" s="14" t="inlineStr">
        <is>
          <t>Cuadrilla concreto, formaleta, figurado</t>
        </is>
      </c>
    </row>
    <row r="12">
      <c r="A12" s="15" t="n">
        <v>10</v>
      </c>
      <c r="B12" s="14" t="inlineStr">
        <is>
          <t>Malla y fundida contrapiso (4.3.1/4.6.1)</t>
        </is>
      </c>
      <c r="C12" s="15" t="n">
        <v>4</v>
      </c>
      <c r="D12" s="14" t="inlineStr">
        <is>
          <t>8</t>
        </is>
      </c>
      <c r="E12" s="14" t="inlineStr">
        <is>
          <t>Cuadrilla concreto, malla</t>
        </is>
      </c>
    </row>
    <row r="13">
      <c r="A13" s="15" t="n">
        <v>11</v>
      </c>
      <c r="B13" s="14" t="inlineStr">
        <is>
          <t>Armado y fundida vigas cubierta (4.2.1/4.8.1)</t>
        </is>
      </c>
      <c r="C13" s="15" t="n">
        <v>6</v>
      </c>
      <c r="D13" s="14" t="inlineStr">
        <is>
          <t>9</t>
        </is>
      </c>
      <c r="E13" s="14" t="inlineStr">
        <is>
          <t>Cuadrilla concreto, formaleta, figurado</t>
        </is>
      </c>
    </row>
    <row r="14">
      <c r="A14" s="15" t="n">
        <v>12</v>
      </c>
      <c r="B14" s="14" t="inlineStr">
        <is>
          <t>Placa aligerada cubierta (4.3.3/4.9.1)</t>
        </is>
      </c>
      <c r="C14" s="15" t="n">
        <v>6</v>
      </c>
      <c r="D14" s="14" t="inlineStr">
        <is>
          <t>11</t>
        </is>
      </c>
      <c r="E14" s="14" t="inlineStr">
        <is>
          <t>Cuadrilla concreto, casetones, malla</t>
        </is>
      </c>
    </row>
    <row r="15">
      <c r="A15" s="15" t="n">
        <v>13</v>
      </c>
      <c r="B15" s="14" t="inlineStr">
        <is>
          <t>Mamposteria muros bloque No.4 (5.1.1)</t>
        </is>
      </c>
      <c r="C15" s="15" t="n">
        <v>10</v>
      </c>
      <c r="D15" s="14" t="inlineStr">
        <is>
          <t>10</t>
        </is>
      </c>
      <c r="E15" s="14" t="inlineStr">
        <is>
          <t>Cuadrilla mamposteria</t>
        </is>
      </c>
    </row>
    <row r="16">
      <c r="A16" s="15" t="n">
        <v>14</v>
      </c>
      <c r="B16" s="14" t="inlineStr">
        <is>
          <t>Columnetas de confinamiento (5.1.2/5.2.1)</t>
        </is>
      </c>
      <c r="C16" s="15" t="n">
        <v>5</v>
      </c>
      <c r="D16" s="14" t="inlineStr">
        <is>
          <t>13</t>
        </is>
      </c>
      <c r="E16" s="14" t="inlineStr">
        <is>
          <t>Cuadrilla, figurado</t>
        </is>
      </c>
    </row>
    <row r="17">
      <c r="A17" s="15" t="n">
        <v>15</v>
      </c>
      <c r="B17" s="14" t="inlineStr">
        <is>
          <t>Panete impermeabilizado (5.1.4)</t>
        </is>
      </c>
      <c r="C17" s="15" t="n">
        <v>8</v>
      </c>
      <c r="D17" s="14" t="inlineStr">
        <is>
          <t>14</t>
        </is>
      </c>
      <c r="E17" s="14" t="inlineStr">
        <is>
          <t>Cuadrilla panete</t>
        </is>
      </c>
    </row>
    <row r="18">
      <c r="A18" s="15" t="n">
        <v>16</v>
      </c>
      <c r="B18" s="14" t="inlineStr">
        <is>
          <t>Adoquin exterior (8.1.1)</t>
        </is>
      </c>
      <c r="C18" s="15" t="n">
        <v>5</v>
      </c>
      <c r="D18" s="14" t="inlineStr">
        <is>
          <t>15</t>
        </is>
      </c>
      <c r="E18" s="14" t="inlineStr">
        <is>
          <t>Cuadrilla pisos, rana</t>
        </is>
      </c>
    </row>
    <row r="19">
      <c r="B19" s="45" t="inlineStr">
        <is>
          <t>DURACION TOTAL ESTIMADA (con traslapos en MSP)</t>
        </is>
      </c>
      <c r="C19" s="45" t="inlineStr">
        <is>
          <t>~ 60-70 dias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2026-06-19T02:43:21Z</dcterms:created>
  <dcterms:modified xsi:type="dcterms:W3CDTF">2026-06-19T02:43:21Z</dcterms:modified>
</cp:coreProperties>
</file>