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vanni\Desktop\PROYECTO FC GRUPO 3\PAQUETE A ENVIAR\"/>
    </mc:Choice>
  </mc:AlternateContent>
  <xr:revisionPtr revIDLastSave="0" documentId="13_ncr:1_{8978751A-F891-4371-9358-7B3A0A81B377}" xr6:coauthVersionLast="47" xr6:coauthVersionMax="47" xr10:uidLastSave="{00000000-0000-0000-0000-000000000000}"/>
  <bookViews>
    <workbookView xWindow="-108" yWindow="-108" windowWidth="23256" windowHeight="12576" tabRatio="551" xr2:uid="{00000000-000D-0000-FFFF-FFFF00000000}"/>
  </bookViews>
  <sheets>
    <sheet name="PRESUPUESTO TESALIA" sheetId="1" r:id="rId1"/>
  </sheets>
  <definedNames>
    <definedName name="_xlnm.Print_Area" localSheetId="0">'PRESUPUESTO TESALIA'!$A$1:$F$80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59" i="1" l="1"/>
  <c r="F54" i="1"/>
  <c r="F53" i="1" s="1"/>
  <c r="F51" i="1"/>
  <c r="F50" i="1"/>
  <c r="F49" i="1"/>
  <c r="F44" i="1"/>
  <c r="F43" i="1" s="1"/>
  <c r="F41" i="1"/>
  <c r="F40" i="1" s="1"/>
  <c r="F38" i="1"/>
  <c r="F37" i="1" s="1"/>
  <c r="F35" i="1"/>
  <c r="F34" i="1" s="1"/>
  <c r="F32" i="1"/>
  <c r="F29" i="1"/>
  <c r="F28" i="1" s="1"/>
  <c r="F26" i="1"/>
  <c r="F23" i="1"/>
  <c r="F22" i="1" s="1"/>
  <c r="F18" i="1"/>
  <c r="F17" i="1" s="1"/>
  <c r="F15" i="1"/>
  <c r="F14" i="1"/>
  <c r="F11" i="1"/>
  <c r="F10" i="1"/>
  <c r="F9" i="1"/>
  <c r="F8" i="1"/>
  <c r="F58" i="1" l="1"/>
  <c r="F48" i="1"/>
  <c r="F31" i="1"/>
  <c r="F25" i="1"/>
  <c r="F13" i="1"/>
  <c r="F6" i="1"/>
  <c r="F62" i="1" l="1"/>
  <c r="F66" i="1" l="1"/>
  <c r="F67" i="1" s="1"/>
  <c r="F64" i="1"/>
  <c r="F65" i="1"/>
  <c r="F69" i="1" l="1"/>
</calcChain>
</file>

<file path=xl/sharedStrings.xml><?xml version="1.0" encoding="utf-8"?>
<sst xmlns="http://schemas.openxmlformats.org/spreadsheetml/2006/main" count="94" uniqueCount="74">
  <si>
    <t>ITEM</t>
  </si>
  <si>
    <t>UND</t>
  </si>
  <si>
    <t>CANTIDAD</t>
  </si>
  <si>
    <t>ML</t>
  </si>
  <si>
    <t>M2</t>
  </si>
  <si>
    <t>CIMENTACIÓN</t>
  </si>
  <si>
    <t>2.1.1</t>
  </si>
  <si>
    <t>EXCAVACIÓN A MAQUINA  A CIELO ABIERTO - CONGLOMERADO - 0.0 A 2.0 MT INCLUYE RETIRO DE SOBRANTES Y DISPOSICION FINAL A SITIO AUTORIZADO  HASTA 15 KM</t>
  </si>
  <si>
    <t>M3</t>
  </si>
  <si>
    <t>2.1.2</t>
  </si>
  <si>
    <t>RELLENO COMPACTADO EN MATERIAL GRANULAR DE SUBBASE B= 400</t>
  </si>
  <si>
    <t>2.1.3</t>
  </si>
  <si>
    <t>EXCAVACIÓN MANUAL - MATERIAL COMÚN - 0.0 A 2.0 MT  INCLUYE RETIRO DE SOBRANTES  Y DISPOSICION FINAL A SITIO AUTORIZADO HASTA 15 KM</t>
  </si>
  <si>
    <t>2.1.4</t>
  </si>
  <si>
    <t>RELLENOS COMPACTADOS CON MATERIAL COMÚN DE CANTERA DE PRÉSTAMO RECEBO COMUN</t>
  </si>
  <si>
    <t>2.1.6</t>
  </si>
  <si>
    <t>GEOTEXTIL NT 1600 SUMINISTRO E INSTALACION</t>
  </si>
  <si>
    <t>CONCRETOS DE CIMENTACIÓN</t>
  </si>
  <si>
    <t>2.2.1</t>
  </si>
  <si>
    <t>2.2.2</t>
  </si>
  <si>
    <t>REFUERZOS DE CIMENTACIÓN</t>
  </si>
  <si>
    <t>2.3.1</t>
  </si>
  <si>
    <t>KG</t>
  </si>
  <si>
    <t>ESTRUCTURA EN CONCRETO Y METALICAS</t>
  </si>
  <si>
    <t>COLUMNAS EN CONCRETO</t>
  </si>
  <si>
    <t>4.1.1</t>
  </si>
  <si>
    <t>VIGAS DE CUBIERTA EN CONCRETO</t>
  </si>
  <si>
    <t>4.2.1</t>
  </si>
  <si>
    <t>PLACA DE CONTRAPISO EN CONCRETO</t>
  </si>
  <si>
    <t>4.3.1</t>
  </si>
  <si>
    <t>PLACAS DE CUBIERTA EN CONCRETO</t>
  </si>
  <si>
    <t>4.3.3</t>
  </si>
  <si>
    <t>ACERO DE REFUERZO PLACA CONTRAPISO</t>
  </si>
  <si>
    <t>4.6.1</t>
  </si>
  <si>
    <t>SUMINISTRO E INSTALACIÓN DE MALLA ELECTROSOLDADA DE 8MM 15X15 ESTANDAR</t>
  </si>
  <si>
    <t>ACERO DE REFUERZO COLUMNAS TANQUE Y OTROS</t>
  </si>
  <si>
    <t>4.7.1</t>
  </si>
  <si>
    <t>ACERO FIGURADO  DE REFUERZO 60000 PSI INCLUYE ALAMBRE DE AMARRE</t>
  </si>
  <si>
    <t>ACERO DE REFUERZO VIGAS DE CUBIERTA Y "S"</t>
  </si>
  <si>
    <t>4.8.1</t>
  </si>
  <si>
    <t>ACERO DE REFUERZO PLACAS CUBIERTA</t>
  </si>
  <si>
    <t>4.9.1</t>
  </si>
  <si>
    <t>MAMPOSTERIA</t>
  </si>
  <si>
    <t>MAMPOSTERIA Y PAÑETE</t>
  </si>
  <si>
    <t>5.1.2</t>
  </si>
  <si>
    <t>MUROS EN BLOQUE HUECO NO.4 INCLUYE MORTERO DE PEGA 1:3</t>
  </si>
  <si>
    <t>5.1.4</t>
  </si>
  <si>
    <t>5.2.1</t>
  </si>
  <si>
    <t>PISOS</t>
  </si>
  <si>
    <t>PISOS ACABADOS</t>
  </si>
  <si>
    <t>8.1.1</t>
  </si>
  <si>
    <t>TOTAL COSTO DIRECTO</t>
  </si>
  <si>
    <t>ADMINISTRACIÓN</t>
  </si>
  <si>
    <t>IMPREVISTOS</t>
  </si>
  <si>
    <t>UTILIDAD</t>
  </si>
  <si>
    <t>IVA SOBRE UTILIDAD</t>
  </si>
  <si>
    <t>EXCAVACIONES. RELLENOS Y REEMPLAZOS</t>
  </si>
  <si>
    <t>VIGAS DE CIMENTACIÓN CONCRETO DE 3000PSI. (INCLUYE FORMALETA. VIBRADO. CURADO Y DESMOLDEANTE. NO INCLUYE ACERO)</t>
  </si>
  <si>
    <t>CONCRETO 1.500 PSI PARA SOLADOS E=0.05M   SUMINISTRO E INSTALACION</t>
  </si>
  <si>
    <t>ACERO FIGURADO DE REFUERZO 60000 PSI VIGAS CIMENTACIÓN. INCLUYE ALAMBRE DE AMARRE</t>
  </si>
  <si>
    <t>COLUMNAS EN CONCRETO 3.000 PSI ACABADO A LA VISTA  (INCLUYE FORMALETA. VIBRADO. CURADO Y DESMOLDEANTE. NO INCLUYE ACERO)</t>
  </si>
  <si>
    <t>ELABORACIÓN Y COLOCACIÓN DE CONCRETO DE 3000 PSI PARA LOSAS DE PISO. (INCLUYE FORMALETA. VIBRADO. CURADO Y DESMOLDEANTE. NO INCLUYE ACERO)</t>
  </si>
  <si>
    <t>ADOQUIN EN CONCRETO 0.20*0.10*0.06 M SUMINISTRO E INSTALACION</t>
  </si>
  <si>
    <t>VALOR UNITARIO</t>
  </si>
  <si>
    <t>VALOR TOTAL</t>
  </si>
  <si>
    <t xml:space="preserve">PAÑETE LISO IMPERMEABILIZADO INTEGRALMENTE EN MORTERO 1:4. PARA MUROS </t>
  </si>
  <si>
    <t>PLACA ALIGERADA CONCRETO 3000 PSI . (INCLUYE FORMALETA. VIBRADO. CURADO Y DESMOLDEANTE. NO INCLUYE ACERO)</t>
  </si>
  <si>
    <t xml:space="preserve">DESCRIPCION ITEM </t>
  </si>
  <si>
    <t>MODULO 1</t>
  </si>
  <si>
    <t>COSTO TOTAL OBRA</t>
  </si>
  <si>
    <t>5.1.1</t>
  </si>
  <si>
    <t>COLUMNETA DE CONFINAMIENTO MUROS MAMPOSTERÍA EN BLOQUE No 5</t>
  </si>
  <si>
    <t>ACERO DE REFUERZO MAMPOSTERIA CONFINADA</t>
  </si>
  <si>
    <t>CONCRETO 3.000 PSI PARA VIGA CINTA  (INCLUYE FORMALETA. VIBRADO. CURADO Y DESMOLDEANTE. NO INCLUYE ACERO)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</si>
</sst>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"/>
  </numFmts>
  <fonts count="11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name val="Times New Roman"/>
      <charset val="204"/>
    </font>
  </fonts>
  <fills count="9">
    <fill>
      <patternFill patternType="none"/>
    </fill>
    <fill>
      <patternFill patternType="gray125"/>
    </fill>
    <fill>
      <patternFill patternType="solid">
        <fgColor rgb="FFDAEDF3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9" fillId="0" borderId="0"/>
    <xf numFmtId="0" fontId="6" fillId="0" borderId="0"/>
  </cellStyleXfs>
  <cellXfs count="37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center"/>
    </xf>
    <xf numFmtId="164" fontId="3" fillId="5" borderId="1" xfId="1" applyFont="1" applyFill="1" applyBorder="1" applyAlignment="1">
      <alignment vertical="center"/>
    </xf>
    <xf numFmtId="164" fontId="4" fillId="5" borderId="1" xfId="1" applyFont="1" applyFill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0" borderId="1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164" fontId="8" fillId="0" borderId="1" xfId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1" applyFont="1" applyAlignment="1">
      <alignment vertical="center"/>
    </xf>
    <xf numFmtId="9" fontId="3" fillId="0" borderId="1" xfId="1" applyNumberFormat="1" applyFont="1" applyBorder="1" applyAlignment="1">
      <alignment horizontal="center" vertical="center"/>
    </xf>
    <xf numFmtId="164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0" borderId="0" xfId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164" fontId="3" fillId="7" borderId="1" xfId="1" applyFont="1" applyFill="1" applyBorder="1" applyAlignment="1">
      <alignment vertical="center"/>
    </xf>
    <xf numFmtId="0" fontId="0" fillId="0" borderId="0" xfId="0" applyFill="1"/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</cellXfs>
  <cellStyles count="4">
    <cellStyle name="Moneda" xfId="1" builtinId="4"/>
    <cellStyle name="Normal" xfId="0" builtinId="0"/>
    <cellStyle name="Normal 11" xfId="2" xr:uid="{00000000-0005-0000-0000-000002000000}"/>
    <cellStyle name="Normal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31" zoomScale="95" zoomScaleNormal="95" workbookViewId="0">
      <selection activeCell="A52" sqref="A52:XFD52"/>
    </sheetView>
  </sheetViews>
  <sheetFormatPr baseColWidth="10" defaultColWidth="9.33203125" defaultRowHeight="13.2" x14ac:dyDescent="0.25"/>
  <cols>
    <col min="1" max="1" width="9.77734375" style="1" customWidth="1"/>
    <col min="2" max="2" width="81" style="1" customWidth="1"/>
    <col min="3" max="3" width="14" style="1" customWidth="1"/>
    <col min="4" max="4" width="19.6640625" style="1" customWidth="1"/>
    <col min="5" max="5" width="20" style="1" customWidth="1"/>
    <col min="6" max="6" width="33.109375" style="1" bestFit="1" customWidth="1"/>
    <col min="7" max="7" width="9.33203125" style="1"/>
    <col min="8" max="8" width="20.44140625" style="1" bestFit="1" customWidth="1"/>
    <col min="9" max="16384" width="9.33203125" style="1"/>
  </cols>
  <sheetData>
    <row r="1" spans="1:6" x14ac:dyDescent="0.25">
      <c r="A1" s="15" t="s">
        <v>0</v>
      </c>
      <c r="B1" s="15" t="s">
        <v>67</v>
      </c>
      <c r="C1" s="15" t="s">
        <v>1</v>
      </c>
      <c r="D1" s="15" t="s">
        <v>2</v>
      </c>
      <c r="E1" s="15" t="s">
        <v>63</v>
      </c>
      <c r="F1" s="15" t="s">
        <v>64</v>
      </c>
    </row>
    <row r="2" spans="1:6" x14ac:dyDescent="0.25">
      <c r="A2" s="32"/>
      <c r="B2" s="31" t="s">
        <v>68</v>
      </c>
      <c r="C2" s="17"/>
      <c r="D2" s="17"/>
      <c r="E2" s="17"/>
      <c r="F2" s="17"/>
    </row>
    <row r="3" spans="1:6" x14ac:dyDescent="0.25">
      <c r="A3" s="6"/>
      <c r="B3" s="6"/>
      <c r="C3" s="6"/>
      <c r="D3" s="6"/>
      <c r="E3" s="16"/>
      <c r="F3" s="16"/>
    </row>
    <row r="4" spans="1:6" x14ac:dyDescent="0.25">
      <c r="A4" s="18">
        <v>2</v>
      </c>
      <c r="B4" s="19" t="s">
        <v>5</v>
      </c>
      <c r="C4" s="7"/>
      <c r="D4" s="7"/>
      <c r="E4" s="7"/>
      <c r="F4" s="7"/>
    </row>
    <row r="5" spans="1:6" x14ac:dyDescent="0.25">
      <c r="A5" s="24"/>
      <c r="B5" s="6"/>
      <c r="C5" s="6"/>
      <c r="D5" s="6"/>
      <c r="E5" s="16"/>
      <c r="F5" s="16"/>
    </row>
    <row r="6" spans="1:6" x14ac:dyDescent="0.25">
      <c r="A6" s="20">
        <v>2.1</v>
      </c>
      <c r="B6" s="21" t="s">
        <v>56</v>
      </c>
      <c r="C6" s="22"/>
      <c r="D6" s="22"/>
      <c r="E6" s="2"/>
      <c r="F6" s="3">
        <f>SUM(F7:F11)</f>
        <v>0</v>
      </c>
    </row>
    <row r="7" spans="1:6" ht="26.4" x14ac:dyDescent="0.25">
      <c r="A7" s="5" t="s">
        <v>6</v>
      </c>
      <c r="B7" s="23" t="s">
        <v>7</v>
      </c>
      <c r="C7" s="5" t="s">
        <v>8</v>
      </c>
      <c r="D7" s="5"/>
      <c r="E7" s="4"/>
      <c r="F7" s="4">
        <f>+D7*E7</f>
        <v>0</v>
      </c>
    </row>
    <row r="8" spans="1:6" x14ac:dyDescent="0.25">
      <c r="A8" s="5" t="s">
        <v>9</v>
      </c>
      <c r="B8" s="23" t="s">
        <v>10</v>
      </c>
      <c r="C8" s="5" t="s">
        <v>8</v>
      </c>
      <c r="D8" s="5"/>
      <c r="E8" s="29"/>
      <c r="F8" s="4">
        <f t="shared" ref="F8:F11" si="0">+D8*E8</f>
        <v>0</v>
      </c>
    </row>
    <row r="9" spans="1:6" ht="26.4" x14ac:dyDescent="0.25">
      <c r="A9" s="5" t="s">
        <v>11</v>
      </c>
      <c r="B9" s="23" t="s">
        <v>12</v>
      </c>
      <c r="C9" s="5" t="s">
        <v>8</v>
      </c>
      <c r="D9" s="5"/>
      <c r="E9" s="4"/>
      <c r="F9" s="4">
        <f t="shared" si="0"/>
        <v>0</v>
      </c>
    </row>
    <row r="10" spans="1:6" ht="26.4" x14ac:dyDescent="0.25">
      <c r="A10" s="5" t="s">
        <v>13</v>
      </c>
      <c r="B10" s="23" t="s">
        <v>14</v>
      </c>
      <c r="C10" s="5" t="s">
        <v>8</v>
      </c>
      <c r="D10" s="5"/>
      <c r="E10" s="4"/>
      <c r="F10" s="4">
        <f t="shared" si="0"/>
        <v>0</v>
      </c>
    </row>
    <row r="11" spans="1:6" x14ac:dyDescent="0.25">
      <c r="A11" s="5" t="s">
        <v>15</v>
      </c>
      <c r="B11" s="23" t="s">
        <v>16</v>
      </c>
      <c r="C11" s="5" t="s">
        <v>4</v>
      </c>
      <c r="D11" s="5"/>
      <c r="E11" s="4"/>
      <c r="F11" s="4">
        <f t="shared" si="0"/>
        <v>0</v>
      </c>
    </row>
    <row r="12" spans="1:6" x14ac:dyDescent="0.25">
      <c r="A12" s="24"/>
      <c r="B12" s="6"/>
      <c r="C12" s="6"/>
      <c r="D12" s="6"/>
      <c r="E12" s="16"/>
      <c r="F12" s="16"/>
    </row>
    <row r="13" spans="1:6" x14ac:dyDescent="0.25">
      <c r="A13" s="20">
        <v>2.2000000000000002</v>
      </c>
      <c r="B13" s="21" t="s">
        <v>17</v>
      </c>
      <c r="C13" s="22"/>
      <c r="D13" s="22"/>
      <c r="E13" s="2"/>
      <c r="F13" s="3">
        <f>SUM(F14:F15)</f>
        <v>0</v>
      </c>
    </row>
    <row r="14" spans="1:6" ht="26.4" x14ac:dyDescent="0.25">
      <c r="A14" s="5" t="s">
        <v>18</v>
      </c>
      <c r="B14" s="28" t="s">
        <v>57</v>
      </c>
      <c r="C14" s="5" t="s">
        <v>8</v>
      </c>
      <c r="D14" s="5"/>
      <c r="E14" s="4"/>
      <c r="F14" s="4">
        <f t="shared" ref="F14:F15" si="1">+D14*E14</f>
        <v>0</v>
      </c>
    </row>
    <row r="15" spans="1:6" x14ac:dyDescent="0.25">
      <c r="A15" s="5" t="s">
        <v>19</v>
      </c>
      <c r="B15" s="23" t="s">
        <v>58</v>
      </c>
      <c r="C15" s="5" t="s">
        <v>4</v>
      </c>
      <c r="D15" s="5"/>
      <c r="E15" s="4"/>
      <c r="F15" s="4">
        <f t="shared" si="1"/>
        <v>0</v>
      </c>
    </row>
    <row r="16" spans="1:6" x14ac:dyDescent="0.25">
      <c r="A16" s="24"/>
      <c r="B16" s="6"/>
      <c r="C16" s="6"/>
      <c r="D16" s="6"/>
      <c r="E16" s="16"/>
      <c r="F16" s="16"/>
    </row>
    <row r="17" spans="1:6" x14ac:dyDescent="0.25">
      <c r="A17" s="20">
        <v>2.2999999999999998</v>
      </c>
      <c r="B17" s="21" t="s">
        <v>20</v>
      </c>
      <c r="C17" s="22"/>
      <c r="D17" s="22"/>
      <c r="E17" s="2"/>
      <c r="F17" s="3">
        <f>SUM(F18:F19)</f>
        <v>0</v>
      </c>
    </row>
    <row r="18" spans="1:6" ht="26.4" x14ac:dyDescent="0.25">
      <c r="A18" s="5" t="s">
        <v>21</v>
      </c>
      <c r="B18" s="23" t="s">
        <v>59</v>
      </c>
      <c r="C18" s="5" t="s">
        <v>22</v>
      </c>
      <c r="D18" s="5"/>
      <c r="E18" s="4"/>
      <c r="F18" s="4">
        <f t="shared" ref="F18" si="2">+D18*E18</f>
        <v>0</v>
      </c>
    </row>
    <row r="19" spans="1:6" x14ac:dyDescent="0.25">
      <c r="A19" s="24"/>
      <c r="B19" s="6"/>
      <c r="C19" s="6"/>
      <c r="D19" s="6"/>
      <c r="E19" s="16"/>
      <c r="F19" s="16"/>
    </row>
    <row r="20" spans="1:6" x14ac:dyDescent="0.25">
      <c r="A20" s="18">
        <v>4</v>
      </c>
      <c r="B20" s="19" t="s">
        <v>23</v>
      </c>
      <c r="C20" s="7"/>
      <c r="D20" s="7"/>
      <c r="E20" s="7"/>
      <c r="F20" s="7"/>
    </row>
    <row r="21" spans="1:6" x14ac:dyDescent="0.25">
      <c r="A21" s="24"/>
      <c r="B21" s="6"/>
      <c r="C21" s="6"/>
      <c r="D21" s="6"/>
      <c r="E21" s="16"/>
      <c r="F21" s="16"/>
    </row>
    <row r="22" spans="1:6" x14ac:dyDescent="0.25">
      <c r="A22" s="20">
        <v>4.0999999999999996</v>
      </c>
      <c r="B22" s="21" t="s">
        <v>24</v>
      </c>
      <c r="C22" s="22"/>
      <c r="D22" s="22"/>
      <c r="E22" s="2"/>
      <c r="F22" s="3">
        <f>SUM(F23)</f>
        <v>0</v>
      </c>
    </row>
    <row r="23" spans="1:6" ht="26.4" x14ac:dyDescent="0.25">
      <c r="A23" s="5" t="s">
        <v>25</v>
      </c>
      <c r="B23" s="28" t="s">
        <v>60</v>
      </c>
      <c r="C23" s="5" t="s">
        <v>8</v>
      </c>
      <c r="D23" s="5"/>
      <c r="E23" s="29"/>
      <c r="F23" s="4">
        <f t="shared" ref="F23" si="3">+D23*E23</f>
        <v>0</v>
      </c>
    </row>
    <row r="24" spans="1:6" x14ac:dyDescent="0.25">
      <c r="A24" s="24"/>
      <c r="B24" s="6"/>
      <c r="C24" s="6"/>
      <c r="D24" s="6"/>
      <c r="E24" s="29"/>
      <c r="F24" s="4"/>
    </row>
    <row r="25" spans="1:6" x14ac:dyDescent="0.25">
      <c r="A25" s="20">
        <v>4.2</v>
      </c>
      <c r="B25" s="21" t="s">
        <v>26</v>
      </c>
      <c r="C25" s="22"/>
      <c r="D25" s="22"/>
      <c r="E25" s="22"/>
      <c r="F25" s="3">
        <f>SUM(F26:F26)</f>
        <v>0</v>
      </c>
    </row>
    <row r="26" spans="1:6" ht="26.4" x14ac:dyDescent="0.25">
      <c r="A26" s="5" t="s">
        <v>27</v>
      </c>
      <c r="B26" s="23" t="s">
        <v>73</v>
      </c>
      <c r="C26" s="5" t="s">
        <v>8</v>
      </c>
      <c r="D26" s="5"/>
      <c r="E26" s="29"/>
      <c r="F26" s="4">
        <f t="shared" ref="F26" si="4">+D26*E26</f>
        <v>0</v>
      </c>
    </row>
    <row r="27" spans="1:6" x14ac:dyDescent="0.25">
      <c r="A27" s="24"/>
      <c r="B27" s="6"/>
      <c r="C27" s="6"/>
      <c r="D27" s="6"/>
      <c r="E27" s="4"/>
      <c r="F27" s="4"/>
    </row>
    <row r="28" spans="1:6" x14ac:dyDescent="0.25">
      <c r="A28" s="20">
        <v>4.3</v>
      </c>
      <c r="B28" s="21" t="s">
        <v>28</v>
      </c>
      <c r="C28" s="22"/>
      <c r="D28" s="22"/>
      <c r="E28" s="2"/>
      <c r="F28" s="3">
        <f>SUM(F29)</f>
        <v>0</v>
      </c>
    </row>
    <row r="29" spans="1:6" ht="26.4" x14ac:dyDescent="0.25">
      <c r="A29" s="5" t="s">
        <v>29</v>
      </c>
      <c r="B29" s="23" t="s">
        <v>61</v>
      </c>
      <c r="C29" s="5" t="s">
        <v>8</v>
      </c>
      <c r="D29" s="5"/>
      <c r="E29" s="4"/>
      <c r="F29" s="4">
        <f t="shared" ref="F29" si="5">+D29*E29</f>
        <v>0</v>
      </c>
    </row>
    <row r="30" spans="1:6" x14ac:dyDescent="0.25">
      <c r="A30" s="6"/>
      <c r="B30" s="6"/>
      <c r="C30" s="6"/>
      <c r="D30" s="6"/>
      <c r="E30" s="4"/>
      <c r="F30" s="4"/>
    </row>
    <row r="31" spans="1:6" x14ac:dyDescent="0.25">
      <c r="A31" s="20">
        <v>4.4000000000000004</v>
      </c>
      <c r="B31" s="21" t="s">
        <v>30</v>
      </c>
      <c r="C31" s="22"/>
      <c r="D31" s="22"/>
      <c r="E31" s="2"/>
      <c r="F31" s="3">
        <f>SUM(F32:F32)</f>
        <v>0</v>
      </c>
    </row>
    <row r="32" spans="1:6" ht="26.4" x14ac:dyDescent="0.25">
      <c r="A32" s="5" t="s">
        <v>31</v>
      </c>
      <c r="B32" s="23" t="s">
        <v>66</v>
      </c>
      <c r="C32" s="5" t="s">
        <v>4</v>
      </c>
      <c r="D32" s="5"/>
      <c r="E32" s="4"/>
      <c r="F32" s="4">
        <f t="shared" ref="F32" si="6">+D32*E32</f>
        <v>0</v>
      </c>
    </row>
    <row r="33" spans="1:6" x14ac:dyDescent="0.25">
      <c r="A33" s="24"/>
      <c r="B33" s="6"/>
      <c r="C33" s="6"/>
      <c r="D33" s="6"/>
      <c r="E33" s="4"/>
      <c r="F33" s="4"/>
    </row>
    <row r="34" spans="1:6" x14ac:dyDescent="0.25">
      <c r="A34" s="20">
        <v>4.5999999999999996</v>
      </c>
      <c r="B34" s="21" t="s">
        <v>32</v>
      </c>
      <c r="C34" s="22"/>
      <c r="D34" s="22"/>
      <c r="E34" s="2"/>
      <c r="F34" s="3">
        <f>SUM(F35:F36)</f>
        <v>0</v>
      </c>
    </row>
    <row r="35" spans="1:6" x14ac:dyDescent="0.25">
      <c r="A35" s="5" t="s">
        <v>33</v>
      </c>
      <c r="B35" s="23" t="s">
        <v>34</v>
      </c>
      <c r="C35" s="5" t="s">
        <v>22</v>
      </c>
      <c r="D35" s="5"/>
      <c r="E35" s="4"/>
      <c r="F35" s="4">
        <f t="shared" ref="F35" si="7">+D35*E35</f>
        <v>0</v>
      </c>
    </row>
    <row r="36" spans="1:6" x14ac:dyDescent="0.25">
      <c r="A36" s="24"/>
      <c r="B36" s="6"/>
      <c r="C36" s="6"/>
      <c r="D36" s="6"/>
      <c r="E36" s="4"/>
      <c r="F36" s="4"/>
    </row>
    <row r="37" spans="1:6" x14ac:dyDescent="0.25">
      <c r="A37" s="20">
        <v>4.7</v>
      </c>
      <c r="B37" s="21" t="s">
        <v>35</v>
      </c>
      <c r="C37" s="22"/>
      <c r="D37" s="22"/>
      <c r="E37" s="2"/>
      <c r="F37" s="3">
        <f>SUM(F38:F39)</f>
        <v>0</v>
      </c>
    </row>
    <row r="38" spans="1:6" x14ac:dyDescent="0.25">
      <c r="A38" s="5" t="s">
        <v>36</v>
      </c>
      <c r="B38" s="23" t="s">
        <v>37</v>
      </c>
      <c r="C38" s="5" t="s">
        <v>22</v>
      </c>
      <c r="D38" s="5"/>
      <c r="E38" s="8"/>
      <c r="F38" s="8">
        <f t="shared" ref="F38" si="8">+D38*E38</f>
        <v>0</v>
      </c>
    </row>
    <row r="39" spans="1:6" x14ac:dyDescent="0.25">
      <c r="A39" s="24"/>
      <c r="B39" s="6"/>
      <c r="C39" s="6"/>
      <c r="D39" s="6"/>
      <c r="E39" s="4"/>
      <c r="F39" s="4"/>
    </row>
    <row r="40" spans="1:6" x14ac:dyDescent="0.25">
      <c r="A40" s="20">
        <v>4.8</v>
      </c>
      <c r="B40" s="21" t="s">
        <v>38</v>
      </c>
      <c r="C40" s="22"/>
      <c r="D40" s="22"/>
      <c r="E40" s="2"/>
      <c r="F40" s="3">
        <f>SUM(F41:F42)</f>
        <v>0</v>
      </c>
    </row>
    <row r="41" spans="1:6" x14ac:dyDescent="0.25">
      <c r="A41" s="5" t="s">
        <v>39</v>
      </c>
      <c r="B41" s="23" t="s">
        <v>37</v>
      </c>
      <c r="C41" s="5" t="s">
        <v>22</v>
      </c>
      <c r="D41" s="5"/>
      <c r="E41" s="8"/>
      <c r="F41" s="8">
        <f t="shared" ref="F41" si="9">+D41*E41</f>
        <v>0</v>
      </c>
    </row>
    <row r="42" spans="1:6" x14ac:dyDescent="0.25">
      <c r="A42" s="6"/>
      <c r="B42" s="6"/>
      <c r="C42" s="6"/>
      <c r="D42" s="6"/>
      <c r="E42" s="4"/>
      <c r="F42" s="4"/>
    </row>
    <row r="43" spans="1:6" x14ac:dyDescent="0.25">
      <c r="A43" s="20">
        <v>4.9000000000000004</v>
      </c>
      <c r="B43" s="21" t="s">
        <v>40</v>
      </c>
      <c r="C43" s="22"/>
      <c r="D43" s="22"/>
      <c r="E43" s="2"/>
      <c r="F43" s="3">
        <f>SUM(F44:F45)</f>
        <v>0</v>
      </c>
    </row>
    <row r="44" spans="1:6" x14ac:dyDescent="0.25">
      <c r="A44" s="5" t="s">
        <v>41</v>
      </c>
      <c r="B44" s="23" t="s">
        <v>34</v>
      </c>
      <c r="C44" s="5" t="s">
        <v>22</v>
      </c>
      <c r="D44" s="5"/>
      <c r="E44" s="4"/>
      <c r="F44" s="4">
        <f t="shared" ref="F44" si="10">+D44*E44</f>
        <v>0</v>
      </c>
    </row>
    <row r="45" spans="1:6" x14ac:dyDescent="0.25">
      <c r="A45" s="5"/>
      <c r="B45" s="30"/>
      <c r="C45" s="5"/>
      <c r="D45" s="5"/>
      <c r="E45" s="4"/>
      <c r="F45" s="4"/>
    </row>
    <row r="46" spans="1:6" x14ac:dyDescent="0.25">
      <c r="A46" s="18">
        <v>5</v>
      </c>
      <c r="B46" s="19" t="s">
        <v>42</v>
      </c>
      <c r="C46" s="7"/>
      <c r="D46" s="7"/>
      <c r="E46" s="7"/>
      <c r="F46" s="7"/>
    </row>
    <row r="47" spans="1:6" x14ac:dyDescent="0.25">
      <c r="A47" s="24"/>
      <c r="B47" s="6"/>
      <c r="C47" s="6"/>
      <c r="D47" s="6"/>
      <c r="E47" s="16"/>
      <c r="F47" s="16"/>
    </row>
    <row r="48" spans="1:6" x14ac:dyDescent="0.25">
      <c r="A48" s="20">
        <v>5.0999999999999996</v>
      </c>
      <c r="B48" s="21" t="s">
        <v>43</v>
      </c>
      <c r="C48" s="22"/>
      <c r="D48" s="22"/>
      <c r="E48" s="2"/>
      <c r="F48" s="3">
        <f>SUM(F49:F51)</f>
        <v>0</v>
      </c>
    </row>
    <row r="49" spans="1:6" x14ac:dyDescent="0.25">
      <c r="A49" s="5" t="s">
        <v>70</v>
      </c>
      <c r="B49" s="23" t="s">
        <v>45</v>
      </c>
      <c r="C49" s="5" t="s">
        <v>4</v>
      </c>
      <c r="D49" s="5"/>
      <c r="E49" s="8"/>
      <c r="F49" s="4">
        <f t="shared" ref="F49:F51" si="11">+D49*E49</f>
        <v>0</v>
      </c>
    </row>
    <row r="50" spans="1:6" x14ac:dyDescent="0.25">
      <c r="A50" s="5" t="s">
        <v>44</v>
      </c>
      <c r="B50" s="23" t="s">
        <v>71</v>
      </c>
      <c r="C50" s="5" t="s">
        <v>3</v>
      </c>
      <c r="D50" s="5"/>
      <c r="E50" s="8"/>
      <c r="F50" s="4">
        <f t="shared" si="11"/>
        <v>0</v>
      </c>
    </row>
    <row r="51" spans="1:6" x14ac:dyDescent="0.25">
      <c r="A51" s="5" t="s">
        <v>46</v>
      </c>
      <c r="B51" s="23" t="s">
        <v>65</v>
      </c>
      <c r="C51" s="5" t="s">
        <v>4</v>
      </c>
      <c r="D51" s="5"/>
      <c r="E51" s="8"/>
      <c r="F51" s="4">
        <f t="shared" si="11"/>
        <v>0</v>
      </c>
    </row>
    <row r="52" spans="1:6" x14ac:dyDescent="0.25">
      <c r="A52" s="6"/>
      <c r="B52" s="6"/>
      <c r="C52" s="6"/>
      <c r="D52" s="6"/>
      <c r="E52" s="4"/>
      <c r="F52" s="4"/>
    </row>
    <row r="53" spans="1:6" x14ac:dyDescent="0.25">
      <c r="A53" s="20">
        <v>5.2</v>
      </c>
      <c r="B53" s="21" t="s">
        <v>72</v>
      </c>
      <c r="C53" s="22"/>
      <c r="D53" s="22"/>
      <c r="E53" s="2"/>
      <c r="F53" s="3">
        <f>SUM(F54:F55)</f>
        <v>0</v>
      </c>
    </row>
    <row r="54" spans="1:6" x14ac:dyDescent="0.25">
      <c r="A54" s="5" t="s">
        <v>47</v>
      </c>
      <c r="B54" s="23" t="s">
        <v>37</v>
      </c>
      <c r="C54" s="5" t="s">
        <v>22</v>
      </c>
      <c r="D54" s="5"/>
      <c r="E54" s="4"/>
      <c r="F54" s="4">
        <f t="shared" ref="F54" si="12">+D54*E54</f>
        <v>0</v>
      </c>
    </row>
    <row r="55" spans="1:6" x14ac:dyDescent="0.25">
      <c r="A55" s="24"/>
      <c r="B55" s="6"/>
      <c r="C55" s="6"/>
      <c r="D55" s="6"/>
      <c r="E55" s="4"/>
      <c r="F55" s="4"/>
    </row>
    <row r="56" spans="1:6" x14ac:dyDescent="0.25">
      <c r="A56" s="18">
        <v>8</v>
      </c>
      <c r="B56" s="19" t="s">
        <v>48</v>
      </c>
      <c r="C56" s="7"/>
      <c r="D56" s="7"/>
      <c r="E56" s="25"/>
      <c r="F56" s="25"/>
    </row>
    <row r="57" spans="1:6" x14ac:dyDescent="0.25">
      <c r="A57" s="24"/>
      <c r="B57" s="6"/>
      <c r="C57" s="6"/>
      <c r="D57" s="6"/>
      <c r="E57" s="16"/>
      <c r="F57" s="16"/>
    </row>
    <row r="58" spans="1:6" x14ac:dyDescent="0.25">
      <c r="A58" s="20">
        <v>8.1</v>
      </c>
      <c r="B58" s="21" t="s">
        <v>49</v>
      </c>
      <c r="C58" s="22"/>
      <c r="D58" s="22"/>
      <c r="E58" s="3"/>
      <c r="F58" s="3">
        <f>SUM(F59:F59)</f>
        <v>0</v>
      </c>
    </row>
    <row r="59" spans="1:6" x14ac:dyDescent="0.25">
      <c r="A59" s="5" t="s">
        <v>50</v>
      </c>
      <c r="B59" s="23" t="s">
        <v>62</v>
      </c>
      <c r="C59" s="5" t="s">
        <v>4</v>
      </c>
      <c r="D59" s="5"/>
      <c r="E59" s="4"/>
      <c r="F59" s="4">
        <f t="shared" ref="F59" si="13">+D59*E59</f>
        <v>0</v>
      </c>
    </row>
    <row r="60" spans="1:6" x14ac:dyDescent="0.25">
      <c r="A60" s="24"/>
      <c r="B60" s="6"/>
      <c r="C60" s="6"/>
      <c r="D60" s="6"/>
      <c r="E60" s="16"/>
      <c r="F60" s="16"/>
    </row>
    <row r="61" spans="1:6" x14ac:dyDescent="0.25">
      <c r="A61" s="9"/>
      <c r="B61" s="9"/>
      <c r="C61" s="9"/>
      <c r="D61" s="9"/>
    </row>
    <row r="62" spans="1:6" ht="17.399999999999999" x14ac:dyDescent="0.25">
      <c r="A62" s="9"/>
      <c r="B62" s="9"/>
      <c r="C62" s="34" t="s">
        <v>51</v>
      </c>
      <c r="D62" s="34"/>
      <c r="E62" s="34"/>
      <c r="F62" s="10">
        <f>SUM(F3:F60)/2</f>
        <v>0</v>
      </c>
    </row>
    <row r="63" spans="1:6" x14ac:dyDescent="0.25">
      <c r="A63" s="9"/>
      <c r="B63" s="9"/>
      <c r="C63" s="11"/>
      <c r="D63" s="11"/>
      <c r="E63" s="12"/>
      <c r="F63" s="12"/>
    </row>
    <row r="64" spans="1:6" x14ac:dyDescent="0.25">
      <c r="A64" s="9"/>
      <c r="B64" s="9"/>
      <c r="C64" s="35" t="s">
        <v>52</v>
      </c>
      <c r="D64" s="35"/>
      <c r="E64" s="13"/>
      <c r="F64" s="4">
        <f>+F62*E64</f>
        <v>0</v>
      </c>
    </row>
    <row r="65" spans="1:6" x14ac:dyDescent="0.25">
      <c r="A65" s="9"/>
      <c r="B65" s="9"/>
      <c r="C65" s="35" t="s">
        <v>53</v>
      </c>
      <c r="D65" s="35"/>
      <c r="E65" s="13"/>
      <c r="F65" s="4">
        <f>+E65*F62</f>
        <v>0</v>
      </c>
    </row>
    <row r="66" spans="1:6" x14ac:dyDescent="0.25">
      <c r="A66" s="9"/>
      <c r="B66" s="9"/>
      <c r="C66" s="36" t="s">
        <v>54</v>
      </c>
      <c r="D66" s="36"/>
      <c r="E66" s="13"/>
      <c r="F66" s="4">
        <f>+F62*E66</f>
        <v>0</v>
      </c>
    </row>
    <row r="67" spans="1:6" x14ac:dyDescent="0.25">
      <c r="A67" s="9"/>
      <c r="B67" s="9"/>
      <c r="C67" s="36" t="s">
        <v>55</v>
      </c>
      <c r="D67" s="36"/>
      <c r="E67" s="13"/>
      <c r="F67" s="4">
        <f>+F66*E67</f>
        <v>0</v>
      </c>
    </row>
    <row r="68" spans="1:6" x14ac:dyDescent="0.25">
      <c r="A68" s="9"/>
      <c r="B68" s="9"/>
      <c r="C68" s="11"/>
      <c r="D68" s="11"/>
      <c r="E68" s="12"/>
      <c r="F68" s="12"/>
    </row>
    <row r="69" spans="1:6" ht="17.399999999999999" x14ac:dyDescent="0.25">
      <c r="C69" s="33" t="s">
        <v>69</v>
      </c>
      <c r="D69" s="33"/>
      <c r="E69" s="33"/>
      <c r="F69" s="14">
        <f>SUM(F62:F67)</f>
        <v>0</v>
      </c>
    </row>
    <row r="72" spans="1:6" x14ac:dyDescent="0.25">
      <c r="F72" s="26"/>
    </row>
    <row r="73" spans="1:6" x14ac:dyDescent="0.25">
      <c r="F73" s="27"/>
    </row>
    <row r="76" spans="1:6" x14ac:dyDescent="0.25">
      <c r="F76" s="26"/>
    </row>
    <row r="77" spans="1:6" x14ac:dyDescent="0.25">
      <c r="F77" s="27"/>
    </row>
  </sheetData>
  <mergeCells count="6">
    <mergeCell ref="C69:E69"/>
    <mergeCell ref="C62:E62"/>
    <mergeCell ref="C64:D64"/>
    <mergeCell ref="C65:D65"/>
    <mergeCell ref="C66:D66"/>
    <mergeCell ref="C67:D67"/>
  </mergeCells>
  <phoneticPr fontId="10" type="noConversion"/>
  <pageMargins left="0.7" right="0.7" top="0.75" bottom="0.75" header="0.3" footer="0.3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 TESALIA</vt:lpstr>
      <vt:lpstr>'PRESUPUESTO TESALIA'!Área_de_impresión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apachecom</dc:creator>
  <cp:lastModifiedBy>giovanni</cp:lastModifiedBy>
  <cp:lastPrinted>2017-05-15T20:44:17Z</cp:lastPrinted>
  <dcterms:created xsi:type="dcterms:W3CDTF">2017-01-12T21:09:47Z</dcterms:created>
  <dcterms:modified xsi:type="dcterms:W3CDTF">2026-05-19T18:42:51Z</dcterms:modified>
</cp:coreProperties>
</file>