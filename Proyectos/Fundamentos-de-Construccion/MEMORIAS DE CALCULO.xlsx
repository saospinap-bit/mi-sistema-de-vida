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4.3.1 Placa-Contrapiso" sheetId="1" state="visible" r:id="rId1"/>
    <sheet xmlns:r="http://schemas.openxmlformats.org/officeDocument/2006/relationships" name="4.3.3 PLACA CUBIERTA" sheetId="2" state="visible" r:id="rId2"/>
    <sheet xmlns:r="http://schemas.openxmlformats.org/officeDocument/2006/relationships" name="8.1 PISOS ACABADOS" sheetId="3" state="visible" r:id="rId3"/>
    <sheet xmlns:r="http://schemas.openxmlformats.org/officeDocument/2006/relationships" name="2.1.1" sheetId="4" state="visible" r:id="rId4"/>
    <sheet xmlns:r="http://schemas.openxmlformats.org/officeDocument/2006/relationships" name="2.1.2" sheetId="5" state="visible" r:id="rId5"/>
    <sheet xmlns:r="http://schemas.openxmlformats.org/officeDocument/2006/relationships" name="2.1.3" sheetId="6" state="visible" r:id="rId6"/>
    <sheet xmlns:r="http://schemas.openxmlformats.org/officeDocument/2006/relationships" name="2.1.4" sheetId="7" state="visible" r:id="rId7"/>
    <sheet xmlns:r="http://schemas.openxmlformats.org/officeDocument/2006/relationships" name="2.1.6" sheetId="8" state="visible" r:id="rId8"/>
    <sheet xmlns:r="http://schemas.openxmlformats.org/officeDocument/2006/relationships" name="2.2.1" sheetId="9" state="visible" r:id="rId9"/>
    <sheet xmlns:r="http://schemas.openxmlformats.org/officeDocument/2006/relationships" name="2.2.2" sheetId="10" state="visible" r:id="rId10"/>
    <sheet xmlns:r="http://schemas.openxmlformats.org/officeDocument/2006/relationships" name="4.1.1" sheetId="11" state="visible" r:id="rId11"/>
    <sheet xmlns:r="http://schemas.openxmlformats.org/officeDocument/2006/relationships" name="4.2.1" sheetId="12" state="visible" r:id="rId12"/>
    <sheet xmlns:r="http://schemas.openxmlformats.org/officeDocument/2006/relationships" name="5.1.1" sheetId="13" state="visible" r:id="rId13"/>
    <sheet xmlns:r="http://schemas.openxmlformats.org/officeDocument/2006/relationships" name="5.1.2" sheetId="14" state="visible" r:id="rId14"/>
    <sheet xmlns:r="http://schemas.openxmlformats.org/officeDocument/2006/relationships" name="5.1.4" sheetId="15" state="visible" r:id="rId15"/>
    <sheet xmlns:r="http://schemas.openxmlformats.org/officeDocument/2006/relationships" name="2.3.1" sheetId="16" state="visible" r:id="rId16"/>
    <sheet xmlns:r="http://schemas.openxmlformats.org/officeDocument/2006/relationships" name="4.7.1" sheetId="17" state="visible" r:id="rId17"/>
    <sheet xmlns:r="http://schemas.openxmlformats.org/officeDocument/2006/relationships" name="4.8.1" sheetId="18" state="visible" r:id="rId18"/>
    <sheet xmlns:r="http://schemas.openxmlformats.org/officeDocument/2006/relationships" name="5.2.1" sheetId="19" state="visible" r:id="rId19"/>
    <sheet xmlns:r="http://schemas.openxmlformats.org/officeDocument/2006/relationships" name="2.2.3 ZAPATAS" sheetId="20" state="visible" r:id="rId20"/>
    <sheet xmlns:r="http://schemas.openxmlformats.org/officeDocument/2006/relationships" name="2.3.2 ACERO ZAPATA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0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U13" sqref="U13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n">
        <v>4</v>
      </c>
      <c r="K13" s="20" t="inlineStr">
        <is>
          <t>Placa de concretocontrapiso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de concreto contrapiso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4" workbookViewId="0">
      <selection activeCell="B51" sqref="B51:D53"/>
    </sheetView>
  </sheetViews>
  <sheetFormatPr baseColWidth="10" defaultColWidth="8.85546875" defaultRowHeight="15"/>
  <cols>
    <col width="9.140625" customWidth="1" style="24" min="1" max="1"/>
    <col width="11" customWidth="1" style="24" min="2" max="2"/>
    <col width="10.28515625" customWidth="1" style="24" min="11" max="11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4.3.3.1</t>
        </is>
      </c>
      <c r="K13" s="20" t="inlineStr">
        <is>
          <t xml:space="preserve">Placas de Cubierta en Concreto 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aligerada e=0.08 (area en planta)</t>
        </is>
      </c>
      <c r="L17" s="21" t="n"/>
      <c r="M17" s="22" t="n"/>
      <c r="N17" s="18" t="n">
        <v>7.3</v>
      </c>
      <c r="O17" s="18" t="n">
        <v>1</v>
      </c>
      <c r="P17" s="18">
        <f>5.55+6.10+6.87</f>
        <v/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Viguetas 0.20x0.40 (incluidas en la placa aligerada - no suma area)</t>
        </is>
      </c>
      <c r="L18" s="21" t="n"/>
      <c r="M18" s="22" t="n"/>
      <c r="N18" s="18" t="n">
        <v>0.2</v>
      </c>
      <c r="O18" s="18" t="n">
        <v>0.4</v>
      </c>
      <c r="P18" s="18">
        <f>5.55+6.10+6.87</f>
        <v/>
      </c>
      <c r="Q18" s="18" t="n">
        <v>0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item por M2 -&gt; se toma AREA de losa (Alto=1). Viguetas son 0.20x0.40 (el plano dice 20x40, no 20x32) y van incluidas en el m2 de losa aligerada, por eso su fila no suma (Cantidad=0). El concreto de viguetas se detalla en la cartilla / APU.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3" sqref="U23"/>
    </sheetView>
  </sheetViews>
  <sheetFormatPr baseColWidth="10" defaultRowHeight="15"/>
  <cols>
    <col width="14.42578125" customWidth="1" style="24" min="14" max="14"/>
    <col width="9.140625" bestFit="1" customWidth="1" style="24" min="15" max="15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NOV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8.1</v>
      </c>
      <c r="D13" s="20" t="inlineStr">
        <is>
          <t>PISOS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8,1,1</t>
        </is>
      </c>
      <c r="K13" s="20" t="inlineStr">
        <is>
          <t>ADOQUIN EN CONCRETO 0.20*0.10*0.06 M SUMINISTRO E INSTALACION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Area (m2)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1</t>
        </is>
      </c>
      <c r="L17" s="21" t="n"/>
      <c r="M17" s="22" t="n"/>
      <c r="N17" s="18" t="n">
        <v>18.62</v>
      </c>
      <c r="O17" s="18" t="n"/>
      <c r="P17" s="18" t="n"/>
      <c r="Q17" s="18" t="n">
        <v>1</v>
      </c>
      <c r="R17" s="18">
        <f>+N17*Q17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Area 2</t>
        </is>
      </c>
      <c r="L18" s="21" t="n"/>
      <c r="M18" s="22" t="n"/>
      <c r="N18" s="18" t="n">
        <v>17.49</v>
      </c>
      <c r="O18" s="18" t="n"/>
      <c r="P18" s="18" t="n"/>
      <c r="Q18" s="18" t="n">
        <v>1</v>
      </c>
      <c r="R18" s="18">
        <f>+N18*Q18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Area 3</t>
        </is>
      </c>
      <c r="L19" s="21" t="n"/>
      <c r="M19" s="22" t="n"/>
      <c r="N19" s="18" t="n">
        <v>22.25</v>
      </c>
      <c r="O19" s="18" t="n"/>
      <c r="P19" s="18" t="n"/>
      <c r="Q19" s="18" t="n">
        <v>1</v>
      </c>
      <c r="R19" s="18">
        <f>+N19*Q19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Area 4</t>
        </is>
      </c>
      <c r="L20" s="21" t="n"/>
      <c r="M20" s="22" t="n"/>
      <c r="N20" s="18" t="n">
        <v>7.76</v>
      </c>
      <c r="O20" s="18" t="n"/>
      <c r="P20" s="18" t="n"/>
      <c r="Q20" s="18" t="n">
        <v>1</v>
      </c>
      <c r="R20" s="18">
        <f>+N20*Q20</f>
        <v/>
      </c>
      <c r="S20" s="9" t="n"/>
    </row>
    <row r="21" ht="15.6" customHeight="1" s="24">
      <c r="A21" s="8" t="n"/>
      <c r="B21" s="29" t="n"/>
      <c r="J21" s="30" t="n"/>
      <c r="K21" s="20" t="inlineStr">
        <is>
          <t>Area 5</t>
        </is>
      </c>
      <c r="L21" s="21" t="n"/>
      <c r="M21" s="22" t="n"/>
      <c r="N21" s="18" t="n">
        <v>14.6</v>
      </c>
      <c r="O21" s="18" t="n"/>
      <c r="P21" s="18" t="n"/>
      <c r="Q21" s="18" t="n">
        <v>1</v>
      </c>
      <c r="R21" s="18">
        <f>+N21*Q21</f>
        <v/>
      </c>
      <c r="S21" s="9" t="n"/>
    </row>
    <row r="22" ht="15.6" customHeight="1" s="24">
      <c r="A22" s="8" t="n"/>
      <c r="B22" s="29" t="n"/>
      <c r="J22" s="30" t="n"/>
      <c r="K22" s="20" t="inlineStr">
        <is>
          <t>Area 6</t>
        </is>
      </c>
      <c r="L22" s="21" t="n"/>
      <c r="M22" s="22" t="n"/>
      <c r="N22" s="18" t="n">
        <v>15</v>
      </c>
      <c r="O22" s="18" t="n"/>
      <c r="P22" s="18" t="n"/>
      <c r="Q22" s="18" t="n">
        <v>1</v>
      </c>
      <c r="R22" s="18">
        <f>+N22*Q22</f>
        <v/>
      </c>
      <c r="S22" s="9" t="n"/>
    </row>
    <row r="23" ht="15.6" customHeight="1" s="24">
      <c r="A23" s="8" t="n"/>
      <c r="B23" s="29" t="n"/>
      <c r="J23" s="30" t="n"/>
      <c r="K23" s="20" t="inlineStr">
        <is>
          <t>Area 7</t>
        </is>
      </c>
      <c r="L23" s="21" t="n"/>
      <c r="M23" s="22" t="n"/>
      <c r="N23" s="18" t="n">
        <v>1.91</v>
      </c>
      <c r="O23" s="18" t="n"/>
      <c r="P23" s="18" t="n"/>
      <c r="Q23" s="18" t="n">
        <v>1</v>
      </c>
      <c r="R23" s="18">
        <f>+N23*Q23</f>
        <v/>
      </c>
      <c r="S23" s="9" t="n"/>
    </row>
    <row r="24" ht="15.6" customHeight="1" s="24">
      <c r="A24" s="8" t="n"/>
      <c r="B24" s="29" t="n"/>
      <c r="J24" s="30" t="n"/>
      <c r="K24" s="20" t="inlineStr">
        <is>
          <t>Area 8</t>
        </is>
      </c>
      <c r="L24" s="21" t="n"/>
      <c r="M24" s="22" t="n"/>
      <c r="N24" s="18" t="n">
        <v>1.91</v>
      </c>
      <c r="O24" s="18" t="n"/>
      <c r="P24" s="18" t="n"/>
      <c r="Q24" s="18" t="n">
        <v>1</v>
      </c>
      <c r="R24" s="18">
        <f>+N24*Q24</f>
        <v/>
      </c>
      <c r="S24" s="9" t="n"/>
    </row>
    <row r="25" ht="15.6" customHeight="1" s="24">
      <c r="A25" s="8" t="n"/>
      <c r="B25" s="29" t="n"/>
      <c r="J25" s="30" t="n"/>
      <c r="K25" s="20" t="inlineStr">
        <is>
          <t>Area 9</t>
        </is>
      </c>
      <c r="L25" s="21" t="n"/>
      <c r="M25" s="22" t="n"/>
      <c r="N25" s="18" t="n">
        <v>15.76</v>
      </c>
      <c r="O25" s="18" t="n"/>
      <c r="P25" s="18" t="n"/>
      <c r="Q25" s="18" t="n">
        <v>1</v>
      </c>
      <c r="R25" s="18">
        <f>+N25*Q25</f>
        <v/>
      </c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las 9 areas de adoquin se miden sobre el plano de adoquin/arquitectonico (zonas exteriores). Pegar pantallazo con las areas resaltadas.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2.1.1</t>
        </is>
      </c>
      <c r="K13" s="20" t="inlineStr">
        <is>
          <t>Excavacion a maquina conglomerado 0-2m (incl. retiro)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Excavacion masiva plataforma (sub-base 0.30 + placa 0.10)</t>
        </is>
      </c>
      <c r="L17" s="21" t="n"/>
      <c r="M17" s="22" t="n"/>
      <c r="N17" s="18" t="n">
        <v>9.85</v>
      </c>
      <c r="O17" s="18" t="n">
        <v>0.4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0.60 -&gt; 0.40 m. El detalle de la losa solo muestra sub-base 0.30 + placa 0.10. El recebo (2.1.4) NO va aqui: es relleno que va en otra parte (backfill sobre las vigas). Huella 9.85x21.95 aun por confirmar en DWG.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W6" sqref="W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2.1.2</t>
        </is>
      </c>
      <c r="K13" s="20" t="inlineStr">
        <is>
          <t>Relleno granular subbase B-400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Capa sub-base bajo placa e=0.30</t>
        </is>
      </c>
      <c r="L17" s="21" t="n"/>
      <c r="M17" s="22" t="n"/>
      <c r="N17" s="18" t="n">
        <v>9.85</v>
      </c>
      <c r="O17" s="18" t="n">
        <v>0.3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e=0.30 m. El detalle de losa de contrapiso dice 'SUB-BASE DE 30 cm' y 'Minimo 0.30m'. Antes estaba en 0.15.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2.1.3</t>
        </is>
      </c>
      <c r="K13" s="20" t="inlineStr">
        <is>
          <t>Excavacion manual material comun 0-2m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Zanjas vigas long. A,B (0.40x0.45, de -0.65 a -1.10)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Zanjas vigas transv. (0.40x0.45)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Fosos zapatas Z-1 (2.30x2.30) prof 0.90 (de -0.65 a -1.55)</t>
        </is>
      </c>
      <c r="L19" s="21" t="n"/>
      <c r="M19" s="22" t="n"/>
      <c r="N19" s="18" t="n">
        <v>2.3</v>
      </c>
      <c r="O19" s="18" t="n">
        <v>0.9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Fosos zapatas Z-2 (2.15x2.15) prof 0.90</t>
        </is>
      </c>
      <c r="L20" s="21" t="n"/>
      <c r="M20" s="22" t="n"/>
      <c r="N20" s="18" t="n">
        <v>2.15</v>
      </c>
      <c r="O20" s="18" t="n">
        <v>0.9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excavacion manual por debajo del nivel masivo (-0.65): zanjas de vigas 0.45 m de prof (altura de la viga) + fosos de zapatas 0.90 m hasta el desplante (-1.55). Estimacion sin descontar solapes viga-zapata (conservador).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K17" sqref="K17:M17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2.1.4</t>
        </is>
      </c>
      <c r="K13" s="20" t="inlineStr">
        <is>
          <t>Relleno material comun (recebo)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Relleno nivelacion bajo placa e=0.20</t>
        </is>
      </c>
      <c r="L17" s="21" t="n"/>
      <c r="M17" s="22" t="n"/>
      <c r="N17" s="18" t="n">
        <v>9.85</v>
      </c>
      <c r="O17" s="18" t="n">
        <v>0.2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2.1.6</t>
        </is>
      </c>
      <c r="K13" s="20" t="inlineStr">
        <is>
          <t>Geotextil NT 1600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Geotextil bajo placa</t>
        </is>
      </c>
      <c r="L17" s="21" t="n"/>
      <c r="M17" s="22" t="n"/>
      <c r="N17" s="18" t="n">
        <v>9.85</v>
      </c>
      <c r="O17" s="18" t="n">
        <v>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2.2.1</t>
        </is>
      </c>
      <c r="K13" s="20" t="inlineStr">
        <is>
          <t>Vigas de cimentacion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VC-A,VC-B (40x45)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VC-1..4 (luz libre)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2.2.2</t>
        </is>
      </c>
      <c r="K13" s="20" t="inlineStr">
        <is>
          <t>Concreto 1500psi solado e=0.05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Solado bajo vigas long.</t>
        </is>
      </c>
      <c r="L17" s="21" t="n"/>
      <c r="M17" s="22" t="n"/>
      <c r="N17" s="18" t="n">
        <v>0.5</v>
      </c>
      <c r="O17" s="18" t="n">
        <v>1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Solado bajo vigas transv.</t>
        </is>
      </c>
      <c r="L18" s="21" t="n"/>
      <c r="M18" s="22" t="n"/>
      <c r="N18" s="18" t="n">
        <v>0.5</v>
      </c>
      <c r="O18" s="18" t="n">
        <v>1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Solado bajo zapatas Z-1 (2.30x2.30)</t>
        </is>
      </c>
      <c r="L19" s="21" t="n"/>
      <c r="M19" s="22" t="n"/>
      <c r="N19" s="18" t="n">
        <v>2.3</v>
      </c>
      <c r="O19" s="18" t="n">
        <v>1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Solado bajo zapatas Z-2 (2.15x2.15)</t>
        </is>
      </c>
      <c r="L20" s="21" t="n"/>
      <c r="M20" s="22" t="n"/>
      <c r="N20" s="18" t="n">
        <v>2.15</v>
      </c>
      <c r="O20" s="18" t="n">
        <v>1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solado de limpieza e=0.05 tambien bajo las 8 zapatas (el detalle de zapata lo muestra). Medido por m2.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4.1.1</t>
        </is>
      </c>
      <c r="K13" s="20" t="inlineStr">
        <is>
          <t>Columnas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Columnas tipo 1 (0.40x0.40) h=4.75 - ejes 1A,1B,3'B,4A</t>
        </is>
      </c>
      <c r="L17" s="21" t="n"/>
      <c r="M17" s="22" t="n"/>
      <c r="N17" s="18" t="n">
        <v>0.4</v>
      </c>
      <c r="O17" s="18" t="n">
        <v>0.4</v>
      </c>
      <c r="P17" s="18" t="n">
        <v>4.75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Columnas tipo 2 (0.50x0.50) h=4.95 - ejes 2A,2B,3A,3B</t>
        </is>
      </c>
      <c r="L18" s="21" t="n"/>
      <c r="M18" s="22" t="n"/>
      <c r="N18" s="18" t="n">
        <v>0.5</v>
      </c>
      <c r="O18" s="18" t="n">
        <v>0.5</v>
      </c>
      <c r="P18" s="18" t="n">
        <v>4.95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8 columnas en 2 tipos. Alturas de -0.05 a +4.70 (T1=4.75) y a +4.90 (T2=4.95), leidas de los niveles del despiece. Vol total = 7.99 m3.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4.2.1</t>
        </is>
      </c>
      <c r="K13" s="20" t="inlineStr">
        <is>
          <t>Concreto 3000psi viga cubierta/cinta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(40x50)</t>
        </is>
      </c>
      <c r="L17" s="21" t="n"/>
      <c r="M17" s="22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(luz libre)</t>
        </is>
      </c>
      <c r="L18" s="21" t="n"/>
      <c r="M18" s="22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5.1.1</t>
        </is>
      </c>
      <c r="K13" s="20" t="inlineStr">
        <is>
          <t>Muros bloque hueco No.4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bruta muros (L=173.60 x H=2.90)</t>
        </is>
      </c>
      <c r="L17" s="21" t="n"/>
      <c r="M17" s="22" t="n"/>
      <c r="N17" s="18" t="n">
        <v>173.6</v>
      </c>
      <c r="O17" s="18" t="n">
        <v>1</v>
      </c>
      <c r="P17" s="18" t="n">
        <v>2.9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Descuento vanos 20%</t>
        </is>
      </c>
      <c r="L18" s="21" t="n"/>
      <c r="M18" s="22" t="n"/>
      <c r="N18" s="18" t="n">
        <v>173.6</v>
      </c>
      <c r="O18" s="18" t="n">
        <v>1</v>
      </c>
      <c r="P18" s="18" t="n">
        <v>2.9</v>
      </c>
      <c r="Q18" s="18" t="n">
        <v>-0.2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L=173.60 m es la suma de longitudes de todos los muros (medida sobre plano). Pegar pantallazo con la medicion. H=2.90 m = piso a viga de cubierta.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5.1.2</t>
        </is>
      </c>
      <c r="K13" s="20" t="inlineStr">
        <is>
          <t>Columneta de confinamiento No.5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ML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Columnetas c/3m (58 und x H=2.90)</t>
        </is>
      </c>
      <c r="L17" s="21" t="n"/>
      <c r="M17" s="22" t="n"/>
      <c r="N17" s="18" t="n">
        <v>1</v>
      </c>
      <c r="O17" s="18" t="n">
        <v>1</v>
      </c>
      <c r="P17" s="18" t="n">
        <v>2.9</v>
      </c>
      <c r="Q17" s="18" t="n">
        <v>58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58 columnetas = una cada ~3 m sobre los muros. Contar sobre el plano de mamposteria y pegar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5.1.4</t>
        </is>
      </c>
      <c r="K13" s="20" t="inlineStr">
        <is>
          <t>Panete liso impermeabilizado 1:4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Panete 65% del area de muro</t>
        </is>
      </c>
      <c r="L17" s="21" t="n"/>
      <c r="M17" s="22" t="n"/>
      <c r="N17" s="18" t="n">
        <v>402.75</v>
      </c>
      <c r="O17" s="18" t="n">
        <v>1</v>
      </c>
      <c r="P17" s="18" t="n">
        <v>0.65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2.3.1</t>
        </is>
      </c>
      <c r="K13" s="20" t="inlineStr">
        <is>
          <t>Acero figurado vigas de cimentacion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3#6+3#5 (kg)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864.6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c/0.20 (kg)</t>
        </is>
      </c>
      <c r="L18" s="21" t="n"/>
      <c r="M18" s="22" t="n"/>
      <c r="N18" s="18" t="n"/>
      <c r="O18" s="18" t="n"/>
      <c r="P18" s="18" t="n"/>
      <c r="Q18" s="18" t="n"/>
      <c r="R18" s="18" t="n">
        <v>319.6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1184.2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1302.6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4.7.1</t>
        </is>
      </c>
      <c r="K13" s="20" t="inlineStr">
        <is>
          <t>Acero figurado columnas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Tipo1 (4col x 6#6 L=5.85) + Tipo2 (4col x 4#6+4#7 L=5.95)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628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91.90000000000001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719.8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791.8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REVISAR: el refuerzo longitudinal difiere por tipo de columna (Tipo1: 6#6; Tipo2: 4#6+4#7). El peso exacto (kg) debe salir de la cartilla de hierros (DLNET). El valor mostrado es una estimacion con +10%.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4.8.1</t>
        </is>
      </c>
      <c r="K13" s="20" t="inlineStr">
        <is>
          <t>Acero figurado vigas de cubierta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2#6+2#7+2#6 (kg)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1143.3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c/0.15 (kg)</t>
        </is>
      </c>
      <c r="L18" s="21" t="n"/>
      <c r="M18" s="22" t="n"/>
      <c r="N18" s="18" t="n"/>
      <c r="O18" s="18" t="n"/>
      <c r="P18" s="18" t="n"/>
      <c r="Q18" s="18" t="n"/>
      <c r="R18" s="18" t="n">
        <v>454.6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1597.9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1757.7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5.2.1</t>
        </is>
      </c>
      <c r="K13" s="20" t="inlineStr">
        <is>
          <t>Acero mamposteria confinada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4#3 (kg)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376.8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105.1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481.9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530.1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2.2.3</t>
        </is>
      </c>
      <c r="K13" s="20" t="inlineStr">
        <is>
          <t>Zapatas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Zapatas Z-1 (2.30x2.30x0.40) - ejes 2A,3A,2B,3B</t>
        </is>
      </c>
      <c r="L17" s="21" t="n"/>
      <c r="M17" s="22" t="n"/>
      <c r="N17" s="18" t="n">
        <v>2.3</v>
      </c>
      <c r="O17" s="18" t="n">
        <v>0.4</v>
      </c>
      <c r="P17" s="18" t="n">
        <v>2.3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Zapatas Z-2 (2.15x2.15x0.40) - ejes 1A,4A,1B,4B</t>
        </is>
      </c>
      <c r="L18" s="21" t="n"/>
      <c r="M18" s="22" t="n"/>
      <c r="N18" s="18" t="n">
        <v>2.15</v>
      </c>
      <c r="O18" s="18" t="n">
        <v>0.4</v>
      </c>
      <c r="P18" s="18" t="n">
        <v>2.15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8 zapatas (4 Z-1 + 4 Z-2), H=0.40. Falta la linea correspondiente en el presupuesto (2.2.3). Concreto 3000 psi.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2.3.2</t>
        </is>
      </c>
      <c r="K13" s="20" t="inlineStr">
        <is>
          <t>Acero figurado zapatas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Z-1: 4 zap, #5@0.20 dos sentidos (est.)</t>
        </is>
      </c>
      <c r="L17" s="21" t="n"/>
      <c r="M17" s="22" t="n"/>
      <c r="N17" s="18" t="n"/>
      <c r="O17" s="18" t="n"/>
      <c r="P17" s="18" t="n"/>
      <c r="Q17" s="18" t="n">
        <v>1</v>
      </c>
      <c r="R17" s="18" t="n">
        <v>327.8</v>
      </c>
      <c r="S17" s="9" t="n"/>
    </row>
    <row r="18" ht="15.6" customHeight="1" s="24">
      <c r="A18" s="8" t="n"/>
      <c r="B18" s="29" t="n"/>
      <c r="J18" s="30" t="n"/>
      <c r="K18" s="20" t="inlineStr">
        <is>
          <t>Z-2: 4 zap, #5@0.20 dos sentidos (est.)</t>
        </is>
      </c>
      <c r="L18" s="21" t="n"/>
      <c r="M18" s="22" t="n"/>
      <c r="N18" s="18" t="n"/>
      <c r="O18" s="18" t="n"/>
      <c r="P18" s="18" t="n"/>
      <c r="Q18" s="18" t="n"/>
      <c r="R18" s="18" t="n">
        <v>280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607.8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668.6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 (ESTIMACION): #5 @0.20 en ambos sentidos, ambas zapatas. El peso exacto debe salir de la cartilla de hierros (DLNET). Falta linea en el presupuesto.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Felipe  Sánchez Cortés</dc:creator>
  <dcterms:created xmlns:dcterms="http://purl.org/dc/terms/" xmlns:xsi="http://www.w3.org/2001/XMLSchema-instance" xsi:type="dcterms:W3CDTF">2025-10-01T01:21:45Z</dcterms:created>
  <dcterms:modified xmlns:dcterms="http://purl.org/dc/terms/" xmlns:xsi="http://www.w3.org/2001/XMLSchema-instance" xsi:type="dcterms:W3CDTF">2026-07-07T04:48:28Z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0x010100C520D7DB58D1DD4A9D98E00F2F38DC39</vt:lpwstr>
  </property>
</Properties>
</file>