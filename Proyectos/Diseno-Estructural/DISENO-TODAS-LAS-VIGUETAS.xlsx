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Vigu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###"/>
    <numFmt numFmtId="165" formatCode="0.0"/>
    <numFmt numFmtId="166" formatCode="0.000"/>
    <numFmt numFmtId="167" formatCode="0.000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9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DA9BB"/>
      </left>
      <right style="thin">
        <color rgb="009DA9BB"/>
      </right>
      <top style="thin">
        <color rgb="009DA9BB"/>
      </top>
      <bottom style="thin">
        <color rgb="009DA9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164" fontId="3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4"/>
  <sheetViews>
    <sheetView workbookViewId="0">
      <pane xSplit="3" ySplit="20" topLeftCell="D2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>
      <c r="A1" s="1" t="inlineStr">
        <is>
          <t>DISENO DE TODAS LAS VIGUETAS (losa aligerada 1 direccion) - 62 vanos</t>
        </is>
      </c>
    </row>
    <row r="2">
      <c r="A2" s="2" t="inlineStr">
        <is>
          <t>Cada vano de las 6 lineas de vigueta se disena por gravedad (viga T) con coeficientes NSR-10 C.8.3.3, segun su luz y condicion de apoyo (1EC/2EC/V). Carga = gobernante (cubierta), que envuelve entrepiso y cubierta.</t>
        </is>
      </c>
    </row>
    <row r="3">
      <c r="A3" s="3" t="inlineStr">
        <is>
          <t>DATOS COMUNES (editables en azul):</t>
        </is>
      </c>
    </row>
    <row r="4">
      <c r="A4" s="3" t="inlineStr">
        <is>
          <t>f'c [MPa]</t>
        </is>
      </c>
      <c r="B4" s="4" t="n">
        <v>28</v>
      </c>
    </row>
    <row r="5">
      <c r="A5" s="3" t="inlineStr">
        <is>
          <t>fy [MPa]</t>
        </is>
      </c>
      <c r="B5" s="4" t="n">
        <v>420</v>
      </c>
    </row>
    <row r="6">
      <c r="A6" s="3" t="inlineStr">
        <is>
          <t>Peso concreto [kN/m3]</t>
        </is>
      </c>
      <c r="B6" s="4" t="n">
        <v>24</v>
      </c>
    </row>
    <row r="7">
      <c r="A7" s="3" t="inlineStr">
        <is>
          <t>bw [m]</t>
        </is>
      </c>
      <c r="B7" s="4" t="n">
        <v>0.15</v>
      </c>
    </row>
    <row r="8">
      <c r="A8" s="3" t="inlineStr">
        <is>
          <t>h [m]</t>
        </is>
      </c>
      <c r="B8" s="4" t="n">
        <v>0.34</v>
      </c>
    </row>
    <row r="9">
      <c r="A9" s="3" t="inlineStr">
        <is>
          <t>hf loseta [m]</t>
        </is>
      </c>
      <c r="B9" s="4" t="n">
        <v>0.06</v>
      </c>
    </row>
    <row r="10">
      <c r="A10" s="3" t="inlineStr">
        <is>
          <t>sep viguetas sv [m]</t>
        </is>
      </c>
      <c r="B10" s="4" t="n">
        <v>0.8</v>
      </c>
    </row>
    <row r="11">
      <c r="A11" s="3" t="inlineStr">
        <is>
          <t>recub [m]</t>
        </is>
      </c>
      <c r="B11" s="4" t="n">
        <v>0.03</v>
      </c>
    </row>
    <row r="12">
      <c r="A12" s="3" t="inlineStr">
        <is>
          <t>db #4 [mm]</t>
        </is>
      </c>
      <c r="B12" s="4" t="n">
        <v>12.7</v>
      </c>
    </row>
    <row r="13">
      <c r="A13" s="3" t="inlineStr">
        <is>
          <t>Ab #4 [mm2]</t>
        </is>
      </c>
      <c r="B13" s="4" t="n">
        <v>129</v>
      </c>
    </row>
    <row r="14">
      <c r="A14" s="3" t="inlineStr">
        <is>
          <t>wu entrepiso [kN/m]</t>
        </is>
      </c>
      <c r="B14" s="5" t="n">
        <v>9.061999999999999</v>
      </c>
    </row>
    <row r="15">
      <c r="A15" s="3" t="inlineStr">
        <is>
          <t>wu cubierta (gobierna) [kN/m]</t>
        </is>
      </c>
      <c r="B15" s="5" t="n">
        <v>10.601</v>
      </c>
    </row>
    <row r="16">
      <c r="A16" s="3" t="inlineStr">
        <is>
          <t>d [mm]</t>
        </is>
      </c>
      <c r="B16" s="5" t="n">
        <v>303.65</v>
      </c>
    </row>
    <row r="17">
      <c r="A17" s="3" t="inlineStr">
        <is>
          <t>As min [mm2]</t>
        </is>
      </c>
      <c r="B17" s="5" t="n">
        <v>151.8</v>
      </c>
    </row>
    <row r="18">
      <c r="A18" s="3" t="inlineStr">
        <is>
          <t>phi 1.1 Vc [kN]</t>
        </is>
      </c>
      <c r="B18" s="5" t="n">
        <v>33.8</v>
      </c>
    </row>
    <row r="20">
      <c r="A20" s="6" t="inlineStr">
        <is>
          <t>Linea</t>
        </is>
      </c>
      <c r="B20" s="6" t="inlineStr">
        <is>
          <t>Vano</t>
        </is>
      </c>
      <c r="C20" s="6" t="inlineStr">
        <is>
          <t>Tipo</t>
        </is>
      </c>
      <c r="D20" s="6" t="inlineStr">
        <is>
          <t>Ln [m]</t>
        </is>
      </c>
      <c r="E20" s="6" t="inlineStr">
        <is>
          <t>wu [kN/m]</t>
        </is>
      </c>
      <c r="F20" s="6" t="inlineStr">
        <is>
          <t>coef M-</t>
        </is>
      </c>
      <c r="G20" s="6" t="inlineStr">
        <is>
          <t>coef M+</t>
        </is>
      </c>
      <c r="H20" s="6" t="inlineStr">
        <is>
          <t>M- [kN.m]</t>
        </is>
      </c>
      <c r="I20" s="6" t="inlineStr">
        <is>
          <t>M+ [kN.m]</t>
        </is>
      </c>
      <c r="J20" s="6" t="inlineStr">
        <is>
          <t>Vu [kN]</t>
        </is>
      </c>
      <c r="K20" s="6" t="inlineStr">
        <is>
          <t>bf [mm]</t>
        </is>
      </c>
      <c r="L20" s="6" t="inlineStr">
        <is>
          <t>Rn+ [MPa]</t>
        </is>
      </c>
      <c r="M20" s="6" t="inlineStr">
        <is>
          <t>rho+</t>
        </is>
      </c>
      <c r="N20" s="6" t="inlineStr">
        <is>
          <t>As+ req</t>
        </is>
      </c>
      <c r="O20" s="6" t="inlineStr">
        <is>
          <t>As+ dise</t>
        </is>
      </c>
      <c r="P20" s="6" t="inlineStr">
        <is>
          <t>N#4 inf</t>
        </is>
      </c>
      <c r="Q20" s="6" t="inlineStr">
        <is>
          <t>a+ [mm]</t>
        </is>
      </c>
      <c r="R20" s="6" t="inlineStr">
        <is>
          <t>a&lt;=hf?</t>
        </is>
      </c>
      <c r="S20" s="6" t="inlineStr">
        <is>
          <t>Rn- [MPa]</t>
        </is>
      </c>
      <c r="T20" s="6" t="inlineStr">
        <is>
          <t>rho-</t>
        </is>
      </c>
      <c r="U20" s="6" t="inlineStr">
        <is>
          <t>As- req</t>
        </is>
      </c>
      <c r="V20" s="6" t="inlineStr">
        <is>
          <t>As- dise</t>
        </is>
      </c>
      <c r="W20" s="6" t="inlineStr">
        <is>
          <t>N#4 sup</t>
        </is>
      </c>
      <c r="X20" s="6" t="inlineStr">
        <is>
          <t>Estribos?</t>
        </is>
      </c>
      <c r="Y20" s="6" t="inlineStr">
        <is>
          <t>h_min [m]</t>
        </is>
      </c>
      <c r="Z20" s="6" t="inlineStr">
        <is>
          <t>Deflexion</t>
        </is>
      </c>
    </row>
    <row r="21">
      <c r="A21" s="7" t="inlineStr">
        <is>
          <t>VIGUETA 1</t>
        </is>
      </c>
      <c r="B21" s="8" t="n">
        <v>1</v>
      </c>
      <c r="C21" s="7" t="inlineStr">
        <is>
          <t>1EC</t>
        </is>
      </c>
      <c r="D21" s="9" t="n">
        <v>3.25</v>
      </c>
      <c r="E21" s="10">
        <f>$B$15</f>
        <v>10.60096</v>
      </c>
      <c r="F21" s="11">
        <f>IF(C21="1EC",10,IF(C21="2EC",11,2))</f>
        <v>10</v>
      </c>
      <c r="G21" s="11">
        <f>IF(C21="1EC",14,IF(C21="2EC",16,0))</f>
        <v>14</v>
      </c>
      <c r="H21" s="12">
        <f>E21*D21^2/F21</f>
        <v>11.197264</v>
      </c>
      <c r="I21" s="12">
        <f>IF(C21="V",0,E21*D21^2/G21)</f>
        <v>7.998045714</v>
      </c>
      <c r="J21" s="12">
        <f>IF(C21="V",E21*D21,IF(C21="1EC",1.15,1)*E21*D21/2)</f>
        <v>19.810544</v>
      </c>
      <c r="K21" s="11">
        <f>MIN(D21*1000/4,$B$7*1000+16*$B$9*1000,$B$10*1000)</f>
        <v>800</v>
      </c>
      <c r="L21" s="13">
        <f>I21*1000000/(0.9*K21*$B$16^2)</f>
        <v>0.1204771859</v>
      </c>
      <c r="M21" s="14">
        <f>(0.85*$B$4/$B$5)*(1-SQRT(1-2*L21/(0.85*$B$4)))</f>
        <v>0.0002875801693</v>
      </c>
      <c r="N21" s="11">
        <f>M21*K21*$B$16</f>
        <v>69.85897472</v>
      </c>
      <c r="O21" s="11">
        <f>MAX(N21,$B$17)</f>
        <v>151.825</v>
      </c>
      <c r="P21" s="15">
        <f>ROUNDUP(O21/$B$13,0)</f>
        <v>2</v>
      </c>
      <c r="Q21" s="12">
        <f>O21*$B$5/(0.85*$B$4*K21)</f>
        <v>3.349080882</v>
      </c>
      <c r="R21" s="16" t="str">
        <f>IF(Q21&lt;=$B$9*1000,"Si (T)","revisar")</f>
        <v>Si (T)</v>
      </c>
      <c r="S21" s="13">
        <f>H21*1000000/(0.9*$B$7*1000*$B$16^2)</f>
        <v>0.8995629881</v>
      </c>
      <c r="T21" s="14">
        <f>(0.85*$B$4/$B$5)*(1-SQRT(1-2*S21/(0.85*$B$4)))</f>
        <v>0.002183899739</v>
      </c>
      <c r="U21" s="11">
        <f>T21*$B$7*1000*$B$16</f>
        <v>99.47117335</v>
      </c>
      <c r="V21" s="11">
        <f>MAX(U21,$B$17)</f>
        <v>151.825</v>
      </c>
      <c r="W21" s="15">
        <f>ROUNDUP(V21/$B$13,0)</f>
        <v>2</v>
      </c>
      <c r="X21" s="16" t="str">
        <f>IF(J21&lt;=$B$18,"No requiere","Requiere")</f>
        <v>No requiere</v>
      </c>
      <c r="Y21" s="13">
        <f>D21/IF(C21="1EC",18.5,IF(C21="2EC",21,8))</f>
        <v>0.1756756757</v>
      </c>
      <c r="Z21" s="16" t="str">
        <f>IF($B$8&gt;=Y21,"CUMPLE","REVISAR")</f>
        <v>CUMPLE</v>
      </c>
    </row>
    <row r="22">
      <c r="A22" s="7" t="inlineStr">
        <is>
          <t>VIGUETA 1</t>
        </is>
      </c>
      <c r="B22" s="8" t="n">
        <v>2</v>
      </c>
      <c r="C22" s="7" t="inlineStr">
        <is>
          <t>2EC</t>
        </is>
      </c>
      <c r="D22" s="9" t="n">
        <v>2.2</v>
      </c>
      <c r="E22" s="10">
        <f>$B$15</f>
        <v>10.60096</v>
      </c>
      <c r="F22" s="11">
        <f>IF(C22="1EC",10,IF(C22="2EC",11,2))</f>
        <v>11</v>
      </c>
      <c r="G22" s="11">
        <f>IF(C22="1EC",14,IF(C22="2EC",16,0))</f>
        <v>16</v>
      </c>
      <c r="H22" s="12">
        <f>E22*D22^2/F22</f>
        <v>4.6644224</v>
      </c>
      <c r="I22" s="12">
        <f>IF(C22="V",0,E22*D22^2/G22)</f>
        <v>3.2067904</v>
      </c>
      <c r="J22" s="12">
        <f>IF(C22="V",E22*D22,IF(C22="1EC",1.15,1)*E22*D22/2)</f>
        <v>11.661056</v>
      </c>
      <c r="K22" s="11">
        <f>MIN(D22*1000/4,$B$7*1000+16*$B$9*1000,$B$10*1000)</f>
        <v>550</v>
      </c>
      <c r="L22" s="13">
        <f>I22*1000000/(0.9*K22*$B$16^2)</f>
        <v>0.07026172451</v>
      </c>
      <c r="M22" s="14">
        <f>(0.85*$B$4/$B$5)*(1-SQRT(1-2*L22/(0.85*$B$4)))</f>
        <v>0.0001675374862</v>
      </c>
      <c r="N22" s="11">
        <f>M22*K22*$B$16</f>
        <v>27.98001673</v>
      </c>
      <c r="O22" s="11">
        <f>MAX(N22,$B$17)</f>
        <v>151.825</v>
      </c>
      <c r="P22" s="15">
        <f>ROUNDUP(O22/$B$13,0)</f>
        <v>2</v>
      </c>
      <c r="Q22" s="12">
        <f>O22*$B$5/(0.85*$B$4*K22)</f>
        <v>4.871390374</v>
      </c>
      <c r="R22" s="16" t="str">
        <f>IF(Q22&lt;=$B$9*1000,"Si (T)","revisar")</f>
        <v>Si (T)</v>
      </c>
      <c r="S22" s="13">
        <f>H22*1000000/(0.9*$B$7*1000*$B$16^2)</f>
        <v>0.3747291974</v>
      </c>
      <c r="T22" s="14">
        <f>(0.85*$B$4/$B$5)*(1-SQRT(1-2*S22/(0.85*$B$4)))</f>
        <v>0.0008993490995</v>
      </c>
      <c r="U22" s="11">
        <f>T22*$B$7*1000*$B$16</f>
        <v>40.96310311</v>
      </c>
      <c r="V22" s="11">
        <f>MAX(U22,$B$17)</f>
        <v>151.825</v>
      </c>
      <c r="W22" s="15">
        <f>ROUNDUP(V22/$B$13,0)</f>
        <v>2</v>
      </c>
      <c r="X22" s="16" t="str">
        <f>IF(J22&lt;=$B$18,"No requiere","Requiere")</f>
        <v>No requiere</v>
      </c>
      <c r="Y22" s="13">
        <f>D22/IF(C22="1EC",18.5,IF(C22="2EC",21,8))</f>
        <v>0.1047619048</v>
      </c>
      <c r="Z22" s="16" t="str">
        <f>IF($B$8&gt;=Y22,"CUMPLE","REVISAR")</f>
        <v>CUMPLE</v>
      </c>
    </row>
    <row r="23">
      <c r="A23" s="7" t="inlineStr">
        <is>
          <t>VIGUETA 1</t>
        </is>
      </c>
      <c r="B23" s="8" t="n">
        <v>3</v>
      </c>
      <c r="C23" s="7" t="inlineStr">
        <is>
          <t>2EC</t>
        </is>
      </c>
      <c r="D23" s="9" t="n">
        <v>2.1</v>
      </c>
      <c r="E23" s="10">
        <f>$B$15</f>
        <v>10.60096</v>
      </c>
      <c r="F23" s="11">
        <f>IF(C23="1EC",10,IF(C23="2EC",11,2))</f>
        <v>11</v>
      </c>
      <c r="G23" s="11">
        <f>IF(C23="1EC",14,IF(C23="2EC",16,0))</f>
        <v>16</v>
      </c>
      <c r="H23" s="12">
        <f>E23*D23^2/F23</f>
        <v>4.250021236</v>
      </c>
      <c r="I23" s="12">
        <f>IF(C23="V",0,E23*D23^2/G23)</f>
        <v>2.9218896</v>
      </c>
      <c r="J23" s="12">
        <f>IF(C23="V",E23*D23,IF(C23="1EC",1.15,1)*E23*D23/2)</f>
        <v>11.131008</v>
      </c>
      <c r="K23" s="11">
        <f>MIN(D23*1000/4,$B$7*1000+16*$B$9*1000,$B$10*1000)</f>
        <v>525</v>
      </c>
      <c r="L23" s="13">
        <f>I23*1000000/(0.9*K23*$B$16^2)</f>
        <v>0.06706800976</v>
      </c>
      <c r="M23" s="14">
        <f>(0.85*$B$4/$B$5)*(1-SQRT(1-2*L23/(0.85*$B$4)))</f>
        <v>0.0001599113697</v>
      </c>
      <c r="N23" s="11">
        <f>M23*K23*$B$16</f>
        <v>25.49247089</v>
      </c>
      <c r="O23" s="11">
        <f>MAX(N23,$B$17)</f>
        <v>151.825</v>
      </c>
      <c r="P23" s="15">
        <f>ROUNDUP(O23/$B$13,0)</f>
        <v>2</v>
      </c>
      <c r="Q23" s="12">
        <f>O23*$B$5/(0.85*$B$4*K23)</f>
        <v>5.103361345</v>
      </c>
      <c r="R23" s="16" t="str">
        <f>IF(Q23&lt;=$B$9*1000,"Si (T)","revisar")</f>
        <v>Si (T)</v>
      </c>
      <c r="S23" s="13">
        <f>H23*1000000/(0.9*$B$7*1000*$B$16^2)</f>
        <v>0.3414371406</v>
      </c>
      <c r="T23" s="14">
        <f>(0.85*$B$4/$B$5)*(1-SQRT(1-2*S23/(0.85*$B$4)))</f>
        <v>0.0008188620588</v>
      </c>
      <c r="U23" s="11">
        <f>T23*$B$7*1000*$B$16</f>
        <v>37.29711962</v>
      </c>
      <c r="V23" s="11">
        <f>MAX(U23,$B$17)</f>
        <v>151.825</v>
      </c>
      <c r="W23" s="15">
        <f>ROUNDUP(V23/$B$13,0)</f>
        <v>2</v>
      </c>
      <c r="X23" s="16" t="str">
        <f>IF(J23&lt;=$B$18,"No requiere","Requiere")</f>
        <v>No requiere</v>
      </c>
      <c r="Y23" s="13">
        <f>D23/IF(C23="1EC",18.5,IF(C23="2EC",21,8))</f>
        <v>0.1</v>
      </c>
      <c r="Z23" s="16" t="str">
        <f>IF($B$8&gt;=Y23,"CUMPLE","REVISAR")</f>
        <v>CUMPLE</v>
      </c>
    </row>
    <row r="24">
      <c r="A24" s="7" t="inlineStr">
        <is>
          <t>VIGUETA 1</t>
        </is>
      </c>
      <c r="B24" s="8" t="n">
        <v>4</v>
      </c>
      <c r="C24" s="7" t="inlineStr">
        <is>
          <t>2EC</t>
        </is>
      </c>
      <c r="D24" s="9" t="n">
        <v>3.6</v>
      </c>
      <c r="E24" s="10">
        <f>$B$15</f>
        <v>10.60096</v>
      </c>
      <c r="F24" s="11">
        <f>IF(C24="1EC",10,IF(C24="2EC",11,2))</f>
        <v>11</v>
      </c>
      <c r="G24" s="11">
        <f>IF(C24="1EC",14,IF(C24="2EC",16,0))</f>
        <v>16</v>
      </c>
      <c r="H24" s="12">
        <f>E24*D24^2/F24</f>
        <v>12.48985833</v>
      </c>
      <c r="I24" s="12">
        <f>IF(C24="V",0,E24*D24^2/G24)</f>
        <v>8.5867776</v>
      </c>
      <c r="J24" s="12">
        <f>IF(C24="V",E24*D24,IF(C24="1EC",1.15,1)*E24*D24/2)</f>
        <v>19.081728</v>
      </c>
      <c r="K24" s="11">
        <f>MIN(D24*1000/4,$B$7*1000+16*$B$9*1000,$B$10*1000)</f>
        <v>800</v>
      </c>
      <c r="L24" s="13">
        <f>I24*1000000/(0.9*K24*$B$16^2)</f>
        <v>0.1293454474</v>
      </c>
      <c r="M24" s="14">
        <f>(0.85*$B$4/$B$5)*(1-SQRT(1-2*L24/(0.85*$B$4)))</f>
        <v>0.000308806777</v>
      </c>
      <c r="N24" s="11">
        <f>M24*K24*$B$16</f>
        <v>75.01534228</v>
      </c>
      <c r="O24" s="11">
        <f>MAX(N24,$B$17)</f>
        <v>151.825</v>
      </c>
      <c r="P24" s="15">
        <f>ROUNDUP(O24/$B$13,0)</f>
        <v>2</v>
      </c>
      <c r="Q24" s="12">
        <f>O24*$B$5/(0.85*$B$4*K24)</f>
        <v>3.349080882</v>
      </c>
      <c r="R24" s="16" t="str">
        <f>IF(Q24&lt;=$B$9*1000,"Si (T)","revisar")</f>
        <v>Si (T)</v>
      </c>
      <c r="S24" s="13">
        <f>H24*1000000/(0.9*$B$7*1000*$B$16^2)</f>
        <v>1.003407107</v>
      </c>
      <c r="T24" s="14">
        <f>(0.85*$B$4/$B$5)*(1-SQRT(1-2*S24/(0.85*$B$4)))</f>
        <v>0.002441668159</v>
      </c>
      <c r="U24" s="11">
        <f>T24*$B$7*1000*$B$16</f>
        <v>111.2118805</v>
      </c>
      <c r="V24" s="11">
        <f>MAX(U24,$B$17)</f>
        <v>151.825</v>
      </c>
      <c r="W24" s="15">
        <f>ROUNDUP(V24/$B$13,0)</f>
        <v>2</v>
      </c>
      <c r="X24" s="16" t="str">
        <f>IF(J24&lt;=$B$18,"No requiere","Requiere")</f>
        <v>No requiere</v>
      </c>
      <c r="Y24" s="13">
        <f>D24/IF(C24="1EC",18.5,IF(C24="2EC",21,8))</f>
        <v>0.1714285714</v>
      </c>
      <c r="Z24" s="16" t="str">
        <f>IF($B$8&gt;=Y24,"CUMPLE","REVISAR")</f>
        <v>CUMPLE</v>
      </c>
    </row>
    <row r="25">
      <c r="A25" s="7" t="inlineStr">
        <is>
          <t>VIGUETA 1</t>
        </is>
      </c>
      <c r="B25" s="8" t="n">
        <v>5</v>
      </c>
      <c r="C25" s="7" t="inlineStr">
        <is>
          <t>2EC</t>
        </is>
      </c>
      <c r="D25" s="9" t="n">
        <v>5.1</v>
      </c>
      <c r="E25" s="10">
        <f>$B$15</f>
        <v>10.60096</v>
      </c>
      <c r="F25" s="11">
        <f>IF(C25="1EC",10,IF(C25="2EC",11,2))</f>
        <v>11</v>
      </c>
      <c r="G25" s="11">
        <f>IF(C25="1EC",14,IF(C25="2EC",16,0))</f>
        <v>16</v>
      </c>
      <c r="H25" s="12">
        <f>E25*D25^2/F25</f>
        <v>25.06645178</v>
      </c>
      <c r="I25" s="12">
        <f>IF(C25="V",0,E25*D25^2/G25)</f>
        <v>17.2331856</v>
      </c>
      <c r="J25" s="12">
        <f>IF(C25="V",E25*D25,IF(C25="1EC",1.15,1)*E25*D25/2)</f>
        <v>27.032448</v>
      </c>
      <c r="K25" s="11">
        <f>MIN(D25*1000/4,$B$7*1000+16*$B$9*1000,$B$10*1000)</f>
        <v>800</v>
      </c>
      <c r="L25" s="13">
        <f>I25*1000000/(0.9*K25*$B$16^2)</f>
        <v>0.2595891271</v>
      </c>
      <c r="M25" s="14">
        <f>(0.85*$B$4/$B$5)*(1-SQRT(1-2*L25/(0.85*$B$4)))</f>
        <v>0.0006214772975</v>
      </c>
      <c r="N25" s="11">
        <f>M25*K25*$B$16</f>
        <v>150.9692651</v>
      </c>
      <c r="O25" s="11">
        <f>MAX(N25,$B$17)</f>
        <v>151.825</v>
      </c>
      <c r="P25" s="15">
        <f>ROUNDUP(O25/$B$13,0)</f>
        <v>2</v>
      </c>
      <c r="Q25" s="12">
        <f>O25*$B$5/(0.85*$B$4*K25)</f>
        <v>3.349080882</v>
      </c>
      <c r="R25" s="16" t="str">
        <f>IF(Q25&lt;=$B$9*1000,"Si (T)","revisar")</f>
        <v>Si (T)</v>
      </c>
      <c r="S25" s="13">
        <f>H25*1000000/(0.9*$B$7*1000*$B$16^2)</f>
        <v>2.013782319</v>
      </c>
      <c r="T25" s="14">
        <f>(0.85*$B$4/$B$5)*(1-SQRT(1-2*S25/(0.85*$B$4)))</f>
        <v>0.005016792195</v>
      </c>
      <c r="U25" s="11">
        <f>T25*$B$7*1000*$B$16</f>
        <v>228.5023425</v>
      </c>
      <c r="V25" s="11">
        <f>MAX(U25,$B$17)</f>
        <v>228.5023425</v>
      </c>
      <c r="W25" s="15">
        <f>ROUNDUP(V25/$B$13,0)</f>
        <v>2</v>
      </c>
      <c r="X25" s="16" t="str">
        <f>IF(J25&lt;=$B$18,"No requiere","Requiere")</f>
        <v>No requiere</v>
      </c>
      <c r="Y25" s="13">
        <f>D25/IF(C25="1EC",18.5,IF(C25="2EC",21,8))</f>
        <v>0.2428571429</v>
      </c>
      <c r="Z25" s="16" t="str">
        <f>IF($B$8&gt;=Y25,"CUMPLE","REVISAR")</f>
        <v>CUMPLE</v>
      </c>
    </row>
    <row r="26">
      <c r="A26" s="7" t="inlineStr">
        <is>
          <t>VIGUETA 1</t>
        </is>
      </c>
      <c r="B26" s="8" t="n">
        <v>6</v>
      </c>
      <c r="C26" s="7" t="inlineStr">
        <is>
          <t>2EC</t>
        </is>
      </c>
      <c r="D26" s="9" t="n">
        <v>3.6</v>
      </c>
      <c r="E26" s="10">
        <f>$B$15</f>
        <v>10.60096</v>
      </c>
      <c r="F26" s="11">
        <f>IF(C26="1EC",10,IF(C26="2EC",11,2))</f>
        <v>11</v>
      </c>
      <c r="G26" s="11">
        <f>IF(C26="1EC",14,IF(C26="2EC",16,0))</f>
        <v>16</v>
      </c>
      <c r="H26" s="12">
        <f>E26*D26^2/F26</f>
        <v>12.48985833</v>
      </c>
      <c r="I26" s="12">
        <f>IF(C26="V",0,E26*D26^2/G26)</f>
        <v>8.5867776</v>
      </c>
      <c r="J26" s="12">
        <f>IF(C26="V",E26*D26,IF(C26="1EC",1.15,1)*E26*D26/2)</f>
        <v>19.081728</v>
      </c>
      <c r="K26" s="11">
        <f>MIN(D26*1000/4,$B$7*1000+16*$B$9*1000,$B$10*1000)</f>
        <v>800</v>
      </c>
      <c r="L26" s="13">
        <f>I26*1000000/(0.9*K26*$B$16^2)</f>
        <v>0.1293454474</v>
      </c>
      <c r="M26" s="14">
        <f>(0.85*$B$4/$B$5)*(1-SQRT(1-2*L26/(0.85*$B$4)))</f>
        <v>0.000308806777</v>
      </c>
      <c r="N26" s="11">
        <f>M26*K26*$B$16</f>
        <v>75.01534228</v>
      </c>
      <c r="O26" s="11">
        <f>MAX(N26,$B$17)</f>
        <v>151.825</v>
      </c>
      <c r="P26" s="15">
        <f>ROUNDUP(O26/$B$13,0)</f>
        <v>2</v>
      </c>
      <c r="Q26" s="12">
        <f>O26*$B$5/(0.85*$B$4*K26)</f>
        <v>3.349080882</v>
      </c>
      <c r="R26" s="16" t="str">
        <f>IF(Q26&lt;=$B$9*1000,"Si (T)","revisar")</f>
        <v>Si (T)</v>
      </c>
      <c r="S26" s="13">
        <f>H26*1000000/(0.9*$B$7*1000*$B$16^2)</f>
        <v>1.003407107</v>
      </c>
      <c r="T26" s="14">
        <f>(0.85*$B$4/$B$5)*(1-SQRT(1-2*S26/(0.85*$B$4)))</f>
        <v>0.002441668159</v>
      </c>
      <c r="U26" s="11">
        <f>T26*$B$7*1000*$B$16</f>
        <v>111.2118805</v>
      </c>
      <c r="V26" s="11">
        <f>MAX(U26,$B$17)</f>
        <v>151.825</v>
      </c>
      <c r="W26" s="15">
        <f>ROUNDUP(V26/$B$13,0)</f>
        <v>2</v>
      </c>
      <c r="X26" s="16" t="str">
        <f>IF(J26&lt;=$B$18,"No requiere","Requiere")</f>
        <v>No requiere</v>
      </c>
      <c r="Y26" s="13">
        <f>D26/IF(C26="1EC",18.5,IF(C26="2EC",21,8))</f>
        <v>0.1714285714</v>
      </c>
      <c r="Z26" s="16" t="str">
        <f>IF($B$8&gt;=Y26,"CUMPLE","REVISAR")</f>
        <v>CUMPLE</v>
      </c>
    </row>
    <row r="27">
      <c r="A27" s="7" t="inlineStr">
        <is>
          <t>VIGUETA 1</t>
        </is>
      </c>
      <c r="B27" s="8" t="n">
        <v>7</v>
      </c>
      <c r="C27" s="7" t="inlineStr">
        <is>
          <t>2EC</t>
        </is>
      </c>
      <c r="D27" s="9" t="n">
        <v>2.1</v>
      </c>
      <c r="E27" s="10">
        <f>$B$15</f>
        <v>10.60096</v>
      </c>
      <c r="F27" s="11">
        <f>IF(C27="1EC",10,IF(C27="2EC",11,2))</f>
        <v>11</v>
      </c>
      <c r="G27" s="11">
        <f>IF(C27="1EC",14,IF(C27="2EC",16,0))</f>
        <v>16</v>
      </c>
      <c r="H27" s="12">
        <f>E27*D27^2/F27</f>
        <v>4.250021236</v>
      </c>
      <c r="I27" s="12">
        <f>IF(C27="V",0,E27*D27^2/G27)</f>
        <v>2.9218896</v>
      </c>
      <c r="J27" s="12">
        <f>IF(C27="V",E27*D27,IF(C27="1EC",1.15,1)*E27*D27/2)</f>
        <v>11.131008</v>
      </c>
      <c r="K27" s="11">
        <f>MIN(D27*1000/4,$B$7*1000+16*$B$9*1000,$B$10*1000)</f>
        <v>525</v>
      </c>
      <c r="L27" s="13">
        <f>I27*1000000/(0.9*K27*$B$16^2)</f>
        <v>0.06706800976</v>
      </c>
      <c r="M27" s="14">
        <f>(0.85*$B$4/$B$5)*(1-SQRT(1-2*L27/(0.85*$B$4)))</f>
        <v>0.0001599113697</v>
      </c>
      <c r="N27" s="11">
        <f>M27*K27*$B$16</f>
        <v>25.49247089</v>
      </c>
      <c r="O27" s="11">
        <f>MAX(N27,$B$17)</f>
        <v>151.825</v>
      </c>
      <c r="P27" s="15">
        <f>ROUNDUP(O27/$B$13,0)</f>
        <v>2</v>
      </c>
      <c r="Q27" s="12">
        <f>O27*$B$5/(0.85*$B$4*K27)</f>
        <v>5.103361345</v>
      </c>
      <c r="R27" s="16" t="str">
        <f>IF(Q27&lt;=$B$9*1000,"Si (T)","revisar")</f>
        <v>Si (T)</v>
      </c>
      <c r="S27" s="13">
        <f>H27*1000000/(0.9*$B$7*1000*$B$16^2)</f>
        <v>0.3414371406</v>
      </c>
      <c r="T27" s="14">
        <f>(0.85*$B$4/$B$5)*(1-SQRT(1-2*S27/(0.85*$B$4)))</f>
        <v>0.0008188620588</v>
      </c>
      <c r="U27" s="11">
        <f>T27*$B$7*1000*$B$16</f>
        <v>37.29711962</v>
      </c>
      <c r="V27" s="11">
        <f>MAX(U27,$B$17)</f>
        <v>151.825</v>
      </c>
      <c r="W27" s="15">
        <f>ROUNDUP(V27/$B$13,0)</f>
        <v>2</v>
      </c>
      <c r="X27" s="16" t="str">
        <f>IF(J27&lt;=$B$18,"No requiere","Requiere")</f>
        <v>No requiere</v>
      </c>
      <c r="Y27" s="13">
        <f>D27/IF(C27="1EC",18.5,IF(C27="2EC",21,8))</f>
        <v>0.1</v>
      </c>
      <c r="Z27" s="16" t="str">
        <f>IF($B$8&gt;=Y27,"CUMPLE","REVISAR")</f>
        <v>CUMPLE</v>
      </c>
    </row>
    <row r="28">
      <c r="A28" s="7" t="inlineStr">
        <is>
          <t>VIGUETA 1</t>
        </is>
      </c>
      <c r="B28" s="8" t="n">
        <v>8</v>
      </c>
      <c r="C28" s="7" t="inlineStr">
        <is>
          <t>2EC</t>
        </is>
      </c>
      <c r="D28" s="9" t="n">
        <v>2.2</v>
      </c>
      <c r="E28" s="10">
        <f>$B$15</f>
        <v>10.60096</v>
      </c>
      <c r="F28" s="11">
        <f>IF(C28="1EC",10,IF(C28="2EC",11,2))</f>
        <v>11</v>
      </c>
      <c r="G28" s="11">
        <f>IF(C28="1EC",14,IF(C28="2EC",16,0))</f>
        <v>16</v>
      </c>
      <c r="H28" s="12">
        <f>E28*D28^2/F28</f>
        <v>4.6644224</v>
      </c>
      <c r="I28" s="12">
        <f>IF(C28="V",0,E28*D28^2/G28)</f>
        <v>3.2067904</v>
      </c>
      <c r="J28" s="12">
        <f>IF(C28="V",E28*D28,IF(C28="1EC",1.15,1)*E28*D28/2)</f>
        <v>11.661056</v>
      </c>
      <c r="K28" s="11">
        <f>MIN(D28*1000/4,$B$7*1000+16*$B$9*1000,$B$10*1000)</f>
        <v>550</v>
      </c>
      <c r="L28" s="13">
        <f>I28*1000000/(0.9*K28*$B$16^2)</f>
        <v>0.07026172451</v>
      </c>
      <c r="M28" s="14">
        <f>(0.85*$B$4/$B$5)*(1-SQRT(1-2*L28/(0.85*$B$4)))</f>
        <v>0.0001675374862</v>
      </c>
      <c r="N28" s="11">
        <f>M28*K28*$B$16</f>
        <v>27.98001673</v>
      </c>
      <c r="O28" s="11">
        <f>MAX(N28,$B$17)</f>
        <v>151.825</v>
      </c>
      <c r="P28" s="15">
        <f>ROUNDUP(O28/$B$13,0)</f>
        <v>2</v>
      </c>
      <c r="Q28" s="12">
        <f>O28*$B$5/(0.85*$B$4*K28)</f>
        <v>4.871390374</v>
      </c>
      <c r="R28" s="16" t="str">
        <f>IF(Q28&lt;=$B$9*1000,"Si (T)","revisar")</f>
        <v>Si (T)</v>
      </c>
      <c r="S28" s="13">
        <f>H28*1000000/(0.9*$B$7*1000*$B$16^2)</f>
        <v>0.3747291974</v>
      </c>
      <c r="T28" s="14">
        <f>(0.85*$B$4/$B$5)*(1-SQRT(1-2*S28/(0.85*$B$4)))</f>
        <v>0.0008993490995</v>
      </c>
      <c r="U28" s="11">
        <f>T28*$B$7*1000*$B$16</f>
        <v>40.96310311</v>
      </c>
      <c r="V28" s="11">
        <f>MAX(U28,$B$17)</f>
        <v>151.825</v>
      </c>
      <c r="W28" s="15">
        <f>ROUNDUP(V28/$B$13,0)</f>
        <v>2</v>
      </c>
      <c r="X28" s="16" t="str">
        <f>IF(J28&lt;=$B$18,"No requiere","Requiere")</f>
        <v>No requiere</v>
      </c>
      <c r="Y28" s="13">
        <f>D28/IF(C28="1EC",18.5,IF(C28="2EC",21,8))</f>
        <v>0.1047619048</v>
      </c>
      <c r="Z28" s="16" t="str">
        <f>IF($B$8&gt;=Y28,"CUMPLE","REVISAR")</f>
        <v>CUMPLE</v>
      </c>
    </row>
    <row r="29">
      <c r="A29" s="7" t="inlineStr">
        <is>
          <t>VIGUETA 1</t>
        </is>
      </c>
      <c r="B29" s="8" t="n">
        <v>9</v>
      </c>
      <c r="C29" s="7" t="inlineStr">
        <is>
          <t>1EC</t>
        </is>
      </c>
      <c r="D29" s="9" t="n">
        <v>3.25</v>
      </c>
      <c r="E29" s="10">
        <f>$B$15</f>
        <v>10.60096</v>
      </c>
      <c r="F29" s="11">
        <f>IF(C29="1EC",10,IF(C29="2EC",11,2))</f>
        <v>10</v>
      </c>
      <c r="G29" s="11">
        <f>IF(C29="1EC",14,IF(C29="2EC",16,0))</f>
        <v>14</v>
      </c>
      <c r="H29" s="12">
        <f>E29*D29^2/F29</f>
        <v>11.197264</v>
      </c>
      <c r="I29" s="12">
        <f>IF(C29="V",0,E29*D29^2/G29)</f>
        <v>7.998045714</v>
      </c>
      <c r="J29" s="12">
        <f>IF(C29="V",E29*D29,IF(C29="1EC",1.15,1)*E29*D29/2)</f>
        <v>19.810544</v>
      </c>
      <c r="K29" s="11">
        <f>MIN(D29*1000/4,$B$7*1000+16*$B$9*1000,$B$10*1000)</f>
        <v>800</v>
      </c>
      <c r="L29" s="13">
        <f>I29*1000000/(0.9*K29*$B$16^2)</f>
        <v>0.1204771859</v>
      </c>
      <c r="M29" s="14">
        <f>(0.85*$B$4/$B$5)*(1-SQRT(1-2*L29/(0.85*$B$4)))</f>
        <v>0.0002875801693</v>
      </c>
      <c r="N29" s="11">
        <f>M29*K29*$B$16</f>
        <v>69.85897472</v>
      </c>
      <c r="O29" s="11">
        <f>MAX(N29,$B$17)</f>
        <v>151.825</v>
      </c>
      <c r="P29" s="15">
        <f>ROUNDUP(O29/$B$13,0)</f>
        <v>2</v>
      </c>
      <c r="Q29" s="12">
        <f>O29*$B$5/(0.85*$B$4*K29)</f>
        <v>3.349080882</v>
      </c>
      <c r="R29" s="16" t="str">
        <f>IF(Q29&lt;=$B$9*1000,"Si (T)","revisar")</f>
        <v>Si (T)</v>
      </c>
      <c r="S29" s="13">
        <f>H29*1000000/(0.9*$B$7*1000*$B$16^2)</f>
        <v>0.8995629881</v>
      </c>
      <c r="T29" s="14">
        <f>(0.85*$B$4/$B$5)*(1-SQRT(1-2*S29/(0.85*$B$4)))</f>
        <v>0.002183899739</v>
      </c>
      <c r="U29" s="11">
        <f>T29*$B$7*1000*$B$16</f>
        <v>99.47117335</v>
      </c>
      <c r="V29" s="11">
        <f>MAX(U29,$B$17)</f>
        <v>151.825</v>
      </c>
      <c r="W29" s="15">
        <f>ROUNDUP(V29/$B$13,0)</f>
        <v>2</v>
      </c>
      <c r="X29" s="16" t="str">
        <f>IF(J29&lt;=$B$18,"No requiere","Requiere")</f>
        <v>No requiere</v>
      </c>
      <c r="Y29" s="13">
        <f>D29/IF(C29="1EC",18.5,IF(C29="2EC",21,8))</f>
        <v>0.1756756757</v>
      </c>
      <c r="Z29" s="16" t="str">
        <f>IF($B$8&gt;=Y29,"CUMPLE","REVISAR")</f>
        <v>CUMPLE</v>
      </c>
    </row>
    <row r="30">
      <c r="A30" s="7" t="inlineStr">
        <is>
          <t>VIGUETA 2</t>
        </is>
      </c>
      <c r="B30" s="8" t="n">
        <v>1</v>
      </c>
      <c r="C30" s="7" t="inlineStr">
        <is>
          <t>1EC</t>
        </is>
      </c>
      <c r="D30" s="9" t="n">
        <v>2.2</v>
      </c>
      <c r="E30" s="10">
        <f>$B$15</f>
        <v>10.60096</v>
      </c>
      <c r="F30" s="11">
        <f>IF(C30="1EC",10,IF(C30="2EC",11,2))</f>
        <v>10</v>
      </c>
      <c r="G30" s="11">
        <f>IF(C30="1EC",14,IF(C30="2EC",16,0))</f>
        <v>14</v>
      </c>
      <c r="H30" s="12">
        <f>E30*D30^2/F30</f>
        <v>5.13086464</v>
      </c>
      <c r="I30" s="12">
        <f>IF(C30="V",0,E30*D30^2/G30)</f>
        <v>3.664903314</v>
      </c>
      <c r="J30" s="12">
        <f>IF(C30="V",E30*D30,IF(C30="1EC",1.15,1)*E30*D30/2)</f>
        <v>13.4102144</v>
      </c>
      <c r="K30" s="11">
        <f>MIN(D30*1000/4,$B$7*1000+16*$B$9*1000,$B$10*1000)</f>
        <v>550</v>
      </c>
      <c r="L30" s="13">
        <f>I30*1000000/(0.9*K30*$B$16^2)</f>
        <v>0.08029911373</v>
      </c>
      <c r="M30" s="14">
        <f>(0.85*$B$4/$B$5)*(1-SQRT(1-2*L30/(0.85*$B$4)))</f>
        <v>0.0001915119852</v>
      </c>
      <c r="N30" s="11">
        <f>M30*K30*$B$16</f>
        <v>31.98393787</v>
      </c>
      <c r="O30" s="11">
        <f>MAX(N30,$B$17)</f>
        <v>151.825</v>
      </c>
      <c r="P30" s="15">
        <f>ROUNDUP(O30/$B$13,0)</f>
        <v>2</v>
      </c>
      <c r="Q30" s="12">
        <f>O30*$B$5/(0.85*$B$4*K30)</f>
        <v>4.871390374</v>
      </c>
      <c r="R30" s="16" t="str">
        <f>IF(Q30&lt;=$B$9*1000,"Si (T)","revisar")</f>
        <v>Si (T)</v>
      </c>
      <c r="S30" s="13">
        <f>H30*1000000/(0.9*$B$7*1000*$B$16^2)</f>
        <v>0.4122021171</v>
      </c>
      <c r="T30" s="14">
        <f>(0.85*$B$4/$B$5)*(1-SQRT(1-2*S30/(0.85*$B$4)))</f>
        <v>0.0009900830036</v>
      </c>
      <c r="U30" s="11">
        <f>T30*$B$7*1000*$B$16</f>
        <v>45.09580561</v>
      </c>
      <c r="V30" s="11">
        <f>MAX(U30,$B$17)</f>
        <v>151.825</v>
      </c>
      <c r="W30" s="15">
        <f>ROUNDUP(V30/$B$13,0)</f>
        <v>2</v>
      </c>
      <c r="X30" s="16" t="str">
        <f>IF(J30&lt;=$B$18,"No requiere","Requiere")</f>
        <v>No requiere</v>
      </c>
      <c r="Y30" s="13">
        <f>D30/IF(C30="1EC",18.5,IF(C30="2EC",21,8))</f>
        <v>0.1189189189</v>
      </c>
      <c r="Z30" s="16" t="str">
        <f>IF($B$8&gt;=Y30,"CUMPLE","REVISAR")</f>
        <v>CUMPLE</v>
      </c>
    </row>
    <row r="31">
      <c r="A31" s="7" t="inlineStr">
        <is>
          <t>VIGUETA 2</t>
        </is>
      </c>
      <c r="B31" s="8" t="n">
        <v>2</v>
      </c>
      <c r="C31" s="7" t="inlineStr">
        <is>
          <t>2EC</t>
        </is>
      </c>
      <c r="D31" s="9" t="n">
        <v>3.25</v>
      </c>
      <c r="E31" s="10">
        <f>$B$15</f>
        <v>10.60096</v>
      </c>
      <c r="F31" s="11">
        <f>IF(C31="1EC",10,IF(C31="2EC",11,2))</f>
        <v>11</v>
      </c>
      <c r="G31" s="11">
        <f>IF(C31="1EC",14,IF(C31="2EC",16,0))</f>
        <v>16</v>
      </c>
      <c r="H31" s="12">
        <f>E31*D31^2/F31</f>
        <v>10.17933091</v>
      </c>
      <c r="I31" s="12">
        <f>IF(C31="V",0,E31*D31^2/G31)</f>
        <v>6.99829</v>
      </c>
      <c r="J31" s="12">
        <f>IF(C31="V",E31*D31,IF(C31="1EC",1.15,1)*E31*D31/2)</f>
        <v>17.22656</v>
      </c>
      <c r="K31" s="11">
        <f>MIN(D31*1000/4,$B$7*1000+16*$B$9*1000,$B$10*1000)</f>
        <v>800</v>
      </c>
      <c r="L31" s="13">
        <f>I31*1000000/(0.9*K31*$B$16^2)</f>
        <v>0.1054175377</v>
      </c>
      <c r="M31" s="14">
        <f>(0.85*$B$4/$B$5)*(1-SQRT(1-2*L31/(0.85*$B$4)))</f>
        <v>0.0002515524783</v>
      </c>
      <c r="N31" s="11">
        <f>M31*K31*$B$16</f>
        <v>61.10712803</v>
      </c>
      <c r="O31" s="11">
        <f>MAX(N31,$B$17)</f>
        <v>151.825</v>
      </c>
      <c r="P31" s="15">
        <f>ROUNDUP(O31/$B$13,0)</f>
        <v>2</v>
      </c>
      <c r="Q31" s="12">
        <f>O31*$B$5/(0.85*$B$4*K31)</f>
        <v>3.349080882</v>
      </c>
      <c r="R31" s="16" t="str">
        <f>IF(Q31&lt;=$B$9*1000,"Si (T)","revisar")</f>
        <v>Si (T)</v>
      </c>
      <c r="S31" s="13">
        <f>H31*1000000/(0.9*$B$7*1000*$B$16^2)</f>
        <v>0.8177845346</v>
      </c>
      <c r="T31" s="14">
        <f>(0.85*$B$4/$B$5)*(1-SQRT(1-2*S31/(0.85*$B$4)))</f>
        <v>0.001981759299</v>
      </c>
      <c r="U31" s="11">
        <f>T31*$B$7*1000*$B$16</f>
        <v>90.26418166</v>
      </c>
      <c r="V31" s="11">
        <f>MAX(U31,$B$17)</f>
        <v>151.825</v>
      </c>
      <c r="W31" s="15">
        <f>ROUNDUP(V31/$B$13,0)</f>
        <v>2</v>
      </c>
      <c r="X31" s="16" t="str">
        <f>IF(J31&lt;=$B$18,"No requiere","Requiere")</f>
        <v>No requiere</v>
      </c>
      <c r="Y31" s="13">
        <f>D31/IF(C31="1EC",18.5,IF(C31="2EC",21,8))</f>
        <v>0.1547619048</v>
      </c>
      <c r="Z31" s="16" t="str">
        <f>IF($B$8&gt;=Y31,"CUMPLE","REVISAR")</f>
        <v>CUMPLE</v>
      </c>
    </row>
    <row r="32">
      <c r="A32" s="7" t="inlineStr">
        <is>
          <t>VIGUETA 2</t>
        </is>
      </c>
      <c r="B32" s="8" t="n">
        <v>3</v>
      </c>
      <c r="C32" s="7" t="inlineStr">
        <is>
          <t>2EC</t>
        </is>
      </c>
      <c r="D32" s="9" t="n">
        <v>2.2</v>
      </c>
      <c r="E32" s="10">
        <f>$B$15</f>
        <v>10.60096</v>
      </c>
      <c r="F32" s="11">
        <f>IF(C32="1EC",10,IF(C32="2EC",11,2))</f>
        <v>11</v>
      </c>
      <c r="G32" s="11">
        <f>IF(C32="1EC",14,IF(C32="2EC",16,0))</f>
        <v>16</v>
      </c>
      <c r="H32" s="12">
        <f>E32*D32^2/F32</f>
        <v>4.6644224</v>
      </c>
      <c r="I32" s="12">
        <f>IF(C32="V",0,E32*D32^2/G32)</f>
        <v>3.2067904</v>
      </c>
      <c r="J32" s="12">
        <f>IF(C32="V",E32*D32,IF(C32="1EC",1.15,1)*E32*D32/2)</f>
        <v>11.661056</v>
      </c>
      <c r="K32" s="11">
        <f>MIN(D32*1000/4,$B$7*1000+16*$B$9*1000,$B$10*1000)</f>
        <v>550</v>
      </c>
      <c r="L32" s="13">
        <f>I32*1000000/(0.9*K32*$B$16^2)</f>
        <v>0.07026172451</v>
      </c>
      <c r="M32" s="14">
        <f>(0.85*$B$4/$B$5)*(1-SQRT(1-2*L32/(0.85*$B$4)))</f>
        <v>0.0001675374862</v>
      </c>
      <c r="N32" s="11">
        <f>M32*K32*$B$16</f>
        <v>27.98001673</v>
      </c>
      <c r="O32" s="11">
        <f>MAX(N32,$B$17)</f>
        <v>151.825</v>
      </c>
      <c r="P32" s="15">
        <f>ROUNDUP(O32/$B$13,0)</f>
        <v>2</v>
      </c>
      <c r="Q32" s="12">
        <f>O32*$B$5/(0.85*$B$4*K32)</f>
        <v>4.871390374</v>
      </c>
      <c r="R32" s="16" t="str">
        <f>IF(Q32&lt;=$B$9*1000,"Si (T)","revisar")</f>
        <v>Si (T)</v>
      </c>
      <c r="S32" s="13">
        <f>H32*1000000/(0.9*$B$7*1000*$B$16^2)</f>
        <v>0.3747291974</v>
      </c>
      <c r="T32" s="14">
        <f>(0.85*$B$4/$B$5)*(1-SQRT(1-2*S32/(0.85*$B$4)))</f>
        <v>0.0008993490995</v>
      </c>
      <c r="U32" s="11">
        <f>T32*$B$7*1000*$B$16</f>
        <v>40.96310311</v>
      </c>
      <c r="V32" s="11">
        <f>MAX(U32,$B$17)</f>
        <v>151.825</v>
      </c>
      <c r="W32" s="15">
        <f>ROUNDUP(V32/$B$13,0)</f>
        <v>2</v>
      </c>
      <c r="X32" s="16" t="str">
        <f>IF(J32&lt;=$B$18,"No requiere","Requiere")</f>
        <v>No requiere</v>
      </c>
      <c r="Y32" s="13">
        <f>D32/IF(C32="1EC",18.5,IF(C32="2EC",21,8))</f>
        <v>0.1047619048</v>
      </c>
      <c r="Z32" s="16" t="str">
        <f>IF($B$8&gt;=Y32,"CUMPLE","REVISAR")</f>
        <v>CUMPLE</v>
      </c>
    </row>
    <row r="33">
      <c r="A33" s="7" t="inlineStr">
        <is>
          <t>VIGUETA 2</t>
        </is>
      </c>
      <c r="B33" s="8" t="n">
        <v>4</v>
      </c>
      <c r="C33" s="7" t="inlineStr">
        <is>
          <t>2EC</t>
        </is>
      </c>
      <c r="D33" s="9" t="n">
        <v>2.1</v>
      </c>
      <c r="E33" s="10">
        <f>$B$15</f>
        <v>10.60096</v>
      </c>
      <c r="F33" s="11">
        <f>IF(C33="1EC",10,IF(C33="2EC",11,2))</f>
        <v>11</v>
      </c>
      <c r="G33" s="11">
        <f>IF(C33="1EC",14,IF(C33="2EC",16,0))</f>
        <v>16</v>
      </c>
      <c r="H33" s="12">
        <f>E33*D33^2/F33</f>
        <v>4.250021236</v>
      </c>
      <c r="I33" s="12">
        <f>IF(C33="V",0,E33*D33^2/G33)</f>
        <v>2.9218896</v>
      </c>
      <c r="J33" s="12">
        <f>IF(C33="V",E33*D33,IF(C33="1EC",1.15,1)*E33*D33/2)</f>
        <v>11.131008</v>
      </c>
      <c r="K33" s="11">
        <f>MIN(D33*1000/4,$B$7*1000+16*$B$9*1000,$B$10*1000)</f>
        <v>525</v>
      </c>
      <c r="L33" s="13">
        <f>I33*1000000/(0.9*K33*$B$16^2)</f>
        <v>0.06706800976</v>
      </c>
      <c r="M33" s="14">
        <f>(0.85*$B$4/$B$5)*(1-SQRT(1-2*L33/(0.85*$B$4)))</f>
        <v>0.0001599113697</v>
      </c>
      <c r="N33" s="11">
        <f>M33*K33*$B$16</f>
        <v>25.49247089</v>
      </c>
      <c r="O33" s="11">
        <f>MAX(N33,$B$17)</f>
        <v>151.825</v>
      </c>
      <c r="P33" s="15">
        <f>ROUNDUP(O33/$B$13,0)</f>
        <v>2</v>
      </c>
      <c r="Q33" s="12">
        <f>O33*$B$5/(0.85*$B$4*K33)</f>
        <v>5.103361345</v>
      </c>
      <c r="R33" s="16" t="str">
        <f>IF(Q33&lt;=$B$9*1000,"Si (T)","revisar")</f>
        <v>Si (T)</v>
      </c>
      <c r="S33" s="13">
        <f>H33*1000000/(0.9*$B$7*1000*$B$16^2)</f>
        <v>0.3414371406</v>
      </c>
      <c r="T33" s="14">
        <f>(0.85*$B$4/$B$5)*(1-SQRT(1-2*S33/(0.85*$B$4)))</f>
        <v>0.0008188620588</v>
      </c>
      <c r="U33" s="11">
        <f>T33*$B$7*1000*$B$16</f>
        <v>37.29711962</v>
      </c>
      <c r="V33" s="11">
        <f>MAX(U33,$B$17)</f>
        <v>151.825</v>
      </c>
      <c r="W33" s="15">
        <f>ROUNDUP(V33/$B$13,0)</f>
        <v>2</v>
      </c>
      <c r="X33" s="16" t="str">
        <f>IF(J33&lt;=$B$18,"No requiere","Requiere")</f>
        <v>No requiere</v>
      </c>
      <c r="Y33" s="13">
        <f>D33/IF(C33="1EC",18.5,IF(C33="2EC",21,8))</f>
        <v>0.1</v>
      </c>
      <c r="Z33" s="16" t="str">
        <f>IF($B$8&gt;=Y33,"CUMPLE","REVISAR")</f>
        <v>CUMPLE</v>
      </c>
    </row>
    <row r="34">
      <c r="A34" s="7" t="inlineStr">
        <is>
          <t>VIGUETA 2</t>
        </is>
      </c>
      <c r="B34" s="8" t="n">
        <v>5</v>
      </c>
      <c r="C34" s="7" t="inlineStr">
        <is>
          <t>2EC</t>
        </is>
      </c>
      <c r="D34" s="9" t="n">
        <v>3.6</v>
      </c>
      <c r="E34" s="10">
        <f>$B$15</f>
        <v>10.60096</v>
      </c>
      <c r="F34" s="11">
        <f>IF(C34="1EC",10,IF(C34="2EC",11,2))</f>
        <v>11</v>
      </c>
      <c r="G34" s="11">
        <f>IF(C34="1EC",14,IF(C34="2EC",16,0))</f>
        <v>16</v>
      </c>
      <c r="H34" s="12">
        <f>E34*D34^2/F34</f>
        <v>12.48985833</v>
      </c>
      <c r="I34" s="12">
        <f>IF(C34="V",0,E34*D34^2/G34)</f>
        <v>8.5867776</v>
      </c>
      <c r="J34" s="12">
        <f>IF(C34="V",E34*D34,IF(C34="1EC",1.15,1)*E34*D34/2)</f>
        <v>19.081728</v>
      </c>
      <c r="K34" s="11">
        <f>MIN(D34*1000/4,$B$7*1000+16*$B$9*1000,$B$10*1000)</f>
        <v>800</v>
      </c>
      <c r="L34" s="13">
        <f>I34*1000000/(0.9*K34*$B$16^2)</f>
        <v>0.1293454474</v>
      </c>
      <c r="M34" s="14">
        <f>(0.85*$B$4/$B$5)*(1-SQRT(1-2*L34/(0.85*$B$4)))</f>
        <v>0.000308806777</v>
      </c>
      <c r="N34" s="11">
        <f>M34*K34*$B$16</f>
        <v>75.01534228</v>
      </c>
      <c r="O34" s="11">
        <f>MAX(N34,$B$17)</f>
        <v>151.825</v>
      </c>
      <c r="P34" s="15">
        <f>ROUNDUP(O34/$B$13,0)</f>
        <v>2</v>
      </c>
      <c r="Q34" s="12">
        <f>O34*$B$5/(0.85*$B$4*K34)</f>
        <v>3.349080882</v>
      </c>
      <c r="R34" s="16" t="str">
        <f>IF(Q34&lt;=$B$9*1000,"Si (T)","revisar")</f>
        <v>Si (T)</v>
      </c>
      <c r="S34" s="13">
        <f>H34*1000000/(0.9*$B$7*1000*$B$16^2)</f>
        <v>1.003407107</v>
      </c>
      <c r="T34" s="14">
        <f>(0.85*$B$4/$B$5)*(1-SQRT(1-2*S34/(0.85*$B$4)))</f>
        <v>0.002441668159</v>
      </c>
      <c r="U34" s="11">
        <f>T34*$B$7*1000*$B$16</f>
        <v>111.2118805</v>
      </c>
      <c r="V34" s="11">
        <f>MAX(U34,$B$17)</f>
        <v>151.825</v>
      </c>
      <c r="W34" s="15">
        <f>ROUNDUP(V34/$B$13,0)</f>
        <v>2</v>
      </c>
      <c r="X34" s="16" t="str">
        <f>IF(J34&lt;=$B$18,"No requiere","Requiere")</f>
        <v>No requiere</v>
      </c>
      <c r="Y34" s="13">
        <f>D34/IF(C34="1EC",18.5,IF(C34="2EC",21,8))</f>
        <v>0.1714285714</v>
      </c>
      <c r="Z34" s="16" t="str">
        <f>IF($B$8&gt;=Y34,"CUMPLE","REVISAR")</f>
        <v>CUMPLE</v>
      </c>
    </row>
    <row r="35">
      <c r="A35" s="7" t="inlineStr">
        <is>
          <t>VIGUETA 2</t>
        </is>
      </c>
      <c r="B35" s="8" t="n">
        <v>6</v>
      </c>
      <c r="C35" s="7" t="inlineStr">
        <is>
          <t>2EC</t>
        </is>
      </c>
      <c r="D35" s="9" t="n">
        <v>5.1</v>
      </c>
      <c r="E35" s="10">
        <f>$B$15</f>
        <v>10.60096</v>
      </c>
      <c r="F35" s="11">
        <f>IF(C35="1EC",10,IF(C35="2EC",11,2))</f>
        <v>11</v>
      </c>
      <c r="G35" s="11">
        <f>IF(C35="1EC",14,IF(C35="2EC",16,0))</f>
        <v>16</v>
      </c>
      <c r="H35" s="12">
        <f>E35*D35^2/F35</f>
        <v>25.06645178</v>
      </c>
      <c r="I35" s="12">
        <f>IF(C35="V",0,E35*D35^2/G35)</f>
        <v>17.2331856</v>
      </c>
      <c r="J35" s="12">
        <f>IF(C35="V",E35*D35,IF(C35="1EC",1.15,1)*E35*D35/2)</f>
        <v>27.032448</v>
      </c>
      <c r="K35" s="11">
        <f>MIN(D35*1000/4,$B$7*1000+16*$B$9*1000,$B$10*1000)</f>
        <v>800</v>
      </c>
      <c r="L35" s="13">
        <f>I35*1000000/(0.9*K35*$B$16^2)</f>
        <v>0.2595891271</v>
      </c>
      <c r="M35" s="14">
        <f>(0.85*$B$4/$B$5)*(1-SQRT(1-2*L35/(0.85*$B$4)))</f>
        <v>0.0006214772975</v>
      </c>
      <c r="N35" s="11">
        <f>M35*K35*$B$16</f>
        <v>150.9692651</v>
      </c>
      <c r="O35" s="11">
        <f>MAX(N35,$B$17)</f>
        <v>151.825</v>
      </c>
      <c r="P35" s="15">
        <f>ROUNDUP(O35/$B$13,0)</f>
        <v>2</v>
      </c>
      <c r="Q35" s="12">
        <f>O35*$B$5/(0.85*$B$4*K35)</f>
        <v>3.349080882</v>
      </c>
      <c r="R35" s="16" t="str">
        <f>IF(Q35&lt;=$B$9*1000,"Si (T)","revisar")</f>
        <v>Si (T)</v>
      </c>
      <c r="S35" s="13">
        <f>H35*1000000/(0.9*$B$7*1000*$B$16^2)</f>
        <v>2.013782319</v>
      </c>
      <c r="T35" s="14">
        <f>(0.85*$B$4/$B$5)*(1-SQRT(1-2*S35/(0.85*$B$4)))</f>
        <v>0.005016792195</v>
      </c>
      <c r="U35" s="11">
        <f>T35*$B$7*1000*$B$16</f>
        <v>228.5023425</v>
      </c>
      <c r="V35" s="11">
        <f>MAX(U35,$B$17)</f>
        <v>228.5023425</v>
      </c>
      <c r="W35" s="15">
        <f>ROUNDUP(V35/$B$13,0)</f>
        <v>2</v>
      </c>
      <c r="X35" s="16" t="str">
        <f>IF(J35&lt;=$B$18,"No requiere","Requiere")</f>
        <v>No requiere</v>
      </c>
      <c r="Y35" s="13">
        <f>D35/IF(C35="1EC",18.5,IF(C35="2EC",21,8))</f>
        <v>0.2428571429</v>
      </c>
      <c r="Z35" s="16" t="str">
        <f>IF($B$8&gt;=Y35,"CUMPLE","REVISAR")</f>
        <v>CUMPLE</v>
      </c>
    </row>
    <row r="36">
      <c r="A36" s="7" t="inlineStr">
        <is>
          <t>VIGUETA 2</t>
        </is>
      </c>
      <c r="B36" s="8" t="n">
        <v>7</v>
      </c>
      <c r="C36" s="7" t="inlineStr">
        <is>
          <t>2EC</t>
        </is>
      </c>
      <c r="D36" s="9" t="n">
        <v>3.6</v>
      </c>
      <c r="E36" s="10">
        <f>$B$15</f>
        <v>10.60096</v>
      </c>
      <c r="F36" s="11">
        <f>IF(C36="1EC",10,IF(C36="2EC",11,2))</f>
        <v>11</v>
      </c>
      <c r="G36" s="11">
        <f>IF(C36="1EC",14,IF(C36="2EC",16,0))</f>
        <v>16</v>
      </c>
      <c r="H36" s="12">
        <f>E36*D36^2/F36</f>
        <v>12.48985833</v>
      </c>
      <c r="I36" s="12">
        <f>IF(C36="V",0,E36*D36^2/G36)</f>
        <v>8.5867776</v>
      </c>
      <c r="J36" s="12">
        <f>IF(C36="V",E36*D36,IF(C36="1EC",1.15,1)*E36*D36/2)</f>
        <v>19.081728</v>
      </c>
      <c r="K36" s="11">
        <f>MIN(D36*1000/4,$B$7*1000+16*$B$9*1000,$B$10*1000)</f>
        <v>800</v>
      </c>
      <c r="L36" s="13">
        <f>I36*1000000/(0.9*K36*$B$16^2)</f>
        <v>0.1293454474</v>
      </c>
      <c r="M36" s="14">
        <f>(0.85*$B$4/$B$5)*(1-SQRT(1-2*L36/(0.85*$B$4)))</f>
        <v>0.000308806777</v>
      </c>
      <c r="N36" s="11">
        <f>M36*K36*$B$16</f>
        <v>75.01534228</v>
      </c>
      <c r="O36" s="11">
        <f>MAX(N36,$B$17)</f>
        <v>151.825</v>
      </c>
      <c r="P36" s="15">
        <f>ROUNDUP(O36/$B$13,0)</f>
        <v>2</v>
      </c>
      <c r="Q36" s="12">
        <f>O36*$B$5/(0.85*$B$4*K36)</f>
        <v>3.349080882</v>
      </c>
      <c r="R36" s="16" t="str">
        <f>IF(Q36&lt;=$B$9*1000,"Si (T)","revisar")</f>
        <v>Si (T)</v>
      </c>
      <c r="S36" s="13">
        <f>H36*1000000/(0.9*$B$7*1000*$B$16^2)</f>
        <v>1.003407107</v>
      </c>
      <c r="T36" s="14">
        <f>(0.85*$B$4/$B$5)*(1-SQRT(1-2*S36/(0.85*$B$4)))</f>
        <v>0.002441668159</v>
      </c>
      <c r="U36" s="11">
        <f>T36*$B$7*1000*$B$16</f>
        <v>111.2118805</v>
      </c>
      <c r="V36" s="11">
        <f>MAX(U36,$B$17)</f>
        <v>151.825</v>
      </c>
      <c r="W36" s="15">
        <f>ROUNDUP(V36/$B$13,0)</f>
        <v>2</v>
      </c>
      <c r="X36" s="16" t="str">
        <f>IF(J36&lt;=$B$18,"No requiere","Requiere")</f>
        <v>No requiere</v>
      </c>
      <c r="Y36" s="13">
        <f>D36/IF(C36="1EC",18.5,IF(C36="2EC",21,8))</f>
        <v>0.1714285714</v>
      </c>
      <c r="Z36" s="16" t="str">
        <f>IF($B$8&gt;=Y36,"CUMPLE","REVISAR")</f>
        <v>CUMPLE</v>
      </c>
    </row>
    <row r="37">
      <c r="A37" s="7" t="inlineStr">
        <is>
          <t>VIGUETA 2</t>
        </is>
      </c>
      <c r="B37" s="8" t="n">
        <v>8</v>
      </c>
      <c r="C37" s="7" t="inlineStr">
        <is>
          <t>2EC</t>
        </is>
      </c>
      <c r="D37" s="9" t="n">
        <v>2.1</v>
      </c>
      <c r="E37" s="10">
        <f>$B$15</f>
        <v>10.60096</v>
      </c>
      <c r="F37" s="11">
        <f>IF(C37="1EC",10,IF(C37="2EC",11,2))</f>
        <v>11</v>
      </c>
      <c r="G37" s="11">
        <f>IF(C37="1EC",14,IF(C37="2EC",16,0))</f>
        <v>16</v>
      </c>
      <c r="H37" s="12">
        <f>E37*D37^2/F37</f>
        <v>4.250021236</v>
      </c>
      <c r="I37" s="12">
        <f>IF(C37="V",0,E37*D37^2/G37)</f>
        <v>2.9218896</v>
      </c>
      <c r="J37" s="12">
        <f>IF(C37="V",E37*D37,IF(C37="1EC",1.15,1)*E37*D37/2)</f>
        <v>11.131008</v>
      </c>
      <c r="K37" s="11">
        <f>MIN(D37*1000/4,$B$7*1000+16*$B$9*1000,$B$10*1000)</f>
        <v>525</v>
      </c>
      <c r="L37" s="13">
        <f>I37*1000000/(0.9*K37*$B$16^2)</f>
        <v>0.06706800976</v>
      </c>
      <c r="M37" s="14">
        <f>(0.85*$B$4/$B$5)*(1-SQRT(1-2*L37/(0.85*$B$4)))</f>
        <v>0.0001599113697</v>
      </c>
      <c r="N37" s="11">
        <f>M37*K37*$B$16</f>
        <v>25.49247089</v>
      </c>
      <c r="O37" s="11">
        <f>MAX(N37,$B$17)</f>
        <v>151.825</v>
      </c>
      <c r="P37" s="15">
        <f>ROUNDUP(O37/$B$13,0)</f>
        <v>2</v>
      </c>
      <c r="Q37" s="12">
        <f>O37*$B$5/(0.85*$B$4*K37)</f>
        <v>5.103361345</v>
      </c>
      <c r="R37" s="16" t="str">
        <f>IF(Q37&lt;=$B$9*1000,"Si (T)","revisar")</f>
        <v>Si (T)</v>
      </c>
      <c r="S37" s="13">
        <f>H37*1000000/(0.9*$B$7*1000*$B$16^2)</f>
        <v>0.3414371406</v>
      </c>
      <c r="T37" s="14">
        <f>(0.85*$B$4/$B$5)*(1-SQRT(1-2*S37/(0.85*$B$4)))</f>
        <v>0.0008188620588</v>
      </c>
      <c r="U37" s="11">
        <f>T37*$B$7*1000*$B$16</f>
        <v>37.29711962</v>
      </c>
      <c r="V37" s="11">
        <f>MAX(U37,$B$17)</f>
        <v>151.825</v>
      </c>
      <c r="W37" s="15">
        <f>ROUNDUP(V37/$B$13,0)</f>
        <v>2</v>
      </c>
      <c r="X37" s="16" t="str">
        <f>IF(J37&lt;=$B$18,"No requiere","Requiere")</f>
        <v>No requiere</v>
      </c>
      <c r="Y37" s="13">
        <f>D37/IF(C37="1EC",18.5,IF(C37="2EC",21,8))</f>
        <v>0.1</v>
      </c>
      <c r="Z37" s="16" t="str">
        <f>IF($B$8&gt;=Y37,"CUMPLE","REVISAR")</f>
        <v>CUMPLE</v>
      </c>
    </row>
    <row r="38">
      <c r="A38" s="7" t="inlineStr">
        <is>
          <t>VIGUETA 2</t>
        </is>
      </c>
      <c r="B38" s="8" t="n">
        <v>9</v>
      </c>
      <c r="C38" s="7" t="inlineStr">
        <is>
          <t>2EC</t>
        </is>
      </c>
      <c r="D38" s="9" t="n">
        <v>2.2</v>
      </c>
      <c r="E38" s="10">
        <f>$B$15</f>
        <v>10.60096</v>
      </c>
      <c r="F38" s="11">
        <f>IF(C38="1EC",10,IF(C38="2EC",11,2))</f>
        <v>11</v>
      </c>
      <c r="G38" s="11">
        <f>IF(C38="1EC",14,IF(C38="2EC",16,0))</f>
        <v>16</v>
      </c>
      <c r="H38" s="12">
        <f>E38*D38^2/F38</f>
        <v>4.6644224</v>
      </c>
      <c r="I38" s="12">
        <f>IF(C38="V",0,E38*D38^2/G38)</f>
        <v>3.2067904</v>
      </c>
      <c r="J38" s="12">
        <f>IF(C38="V",E38*D38,IF(C38="1EC",1.15,1)*E38*D38/2)</f>
        <v>11.661056</v>
      </c>
      <c r="K38" s="11">
        <f>MIN(D38*1000/4,$B$7*1000+16*$B$9*1000,$B$10*1000)</f>
        <v>550</v>
      </c>
      <c r="L38" s="13">
        <f>I38*1000000/(0.9*K38*$B$16^2)</f>
        <v>0.07026172451</v>
      </c>
      <c r="M38" s="14">
        <f>(0.85*$B$4/$B$5)*(1-SQRT(1-2*L38/(0.85*$B$4)))</f>
        <v>0.0001675374862</v>
      </c>
      <c r="N38" s="11">
        <f>M38*K38*$B$16</f>
        <v>27.98001673</v>
      </c>
      <c r="O38" s="11">
        <f>MAX(N38,$B$17)</f>
        <v>151.825</v>
      </c>
      <c r="P38" s="15">
        <f>ROUNDUP(O38/$B$13,0)</f>
        <v>2</v>
      </c>
      <c r="Q38" s="12">
        <f>O38*$B$5/(0.85*$B$4*K38)</f>
        <v>4.871390374</v>
      </c>
      <c r="R38" s="16" t="str">
        <f>IF(Q38&lt;=$B$9*1000,"Si (T)","revisar")</f>
        <v>Si (T)</v>
      </c>
      <c r="S38" s="13">
        <f>H38*1000000/(0.9*$B$7*1000*$B$16^2)</f>
        <v>0.3747291974</v>
      </c>
      <c r="T38" s="14">
        <f>(0.85*$B$4/$B$5)*(1-SQRT(1-2*S38/(0.85*$B$4)))</f>
        <v>0.0008993490995</v>
      </c>
      <c r="U38" s="11">
        <f>T38*$B$7*1000*$B$16</f>
        <v>40.96310311</v>
      </c>
      <c r="V38" s="11">
        <f>MAX(U38,$B$17)</f>
        <v>151.825</v>
      </c>
      <c r="W38" s="15">
        <f>ROUNDUP(V38/$B$13,0)</f>
        <v>2</v>
      </c>
      <c r="X38" s="16" t="str">
        <f>IF(J38&lt;=$B$18,"No requiere","Requiere")</f>
        <v>No requiere</v>
      </c>
      <c r="Y38" s="13">
        <f>D38/IF(C38="1EC",18.5,IF(C38="2EC",21,8))</f>
        <v>0.1047619048</v>
      </c>
      <c r="Z38" s="16" t="str">
        <f>IF($B$8&gt;=Y38,"CUMPLE","REVISAR")</f>
        <v>CUMPLE</v>
      </c>
    </row>
    <row r="39">
      <c r="A39" s="7" t="inlineStr">
        <is>
          <t>VIGUETA 2</t>
        </is>
      </c>
      <c r="B39" s="8" t="n">
        <v>10</v>
      </c>
      <c r="C39" s="7" t="inlineStr">
        <is>
          <t>2EC</t>
        </is>
      </c>
      <c r="D39" s="9" t="n">
        <v>3.25</v>
      </c>
      <c r="E39" s="10">
        <f>$B$15</f>
        <v>10.60096</v>
      </c>
      <c r="F39" s="11">
        <f>IF(C39="1EC",10,IF(C39="2EC",11,2))</f>
        <v>11</v>
      </c>
      <c r="G39" s="11">
        <f>IF(C39="1EC",14,IF(C39="2EC",16,0))</f>
        <v>16</v>
      </c>
      <c r="H39" s="12">
        <f>E39*D39^2/F39</f>
        <v>10.17933091</v>
      </c>
      <c r="I39" s="12">
        <f>IF(C39="V",0,E39*D39^2/G39)</f>
        <v>6.99829</v>
      </c>
      <c r="J39" s="12">
        <f>IF(C39="V",E39*D39,IF(C39="1EC",1.15,1)*E39*D39/2)</f>
        <v>17.22656</v>
      </c>
      <c r="K39" s="11">
        <f>MIN(D39*1000/4,$B$7*1000+16*$B$9*1000,$B$10*1000)</f>
        <v>800</v>
      </c>
      <c r="L39" s="13">
        <f>I39*1000000/(0.9*K39*$B$16^2)</f>
        <v>0.1054175377</v>
      </c>
      <c r="M39" s="14">
        <f>(0.85*$B$4/$B$5)*(1-SQRT(1-2*L39/(0.85*$B$4)))</f>
        <v>0.0002515524783</v>
      </c>
      <c r="N39" s="11">
        <f>M39*K39*$B$16</f>
        <v>61.10712803</v>
      </c>
      <c r="O39" s="11">
        <f>MAX(N39,$B$17)</f>
        <v>151.825</v>
      </c>
      <c r="P39" s="15">
        <f>ROUNDUP(O39/$B$13,0)</f>
        <v>2</v>
      </c>
      <c r="Q39" s="12">
        <f>O39*$B$5/(0.85*$B$4*K39)</f>
        <v>3.349080882</v>
      </c>
      <c r="R39" s="16" t="str">
        <f>IF(Q39&lt;=$B$9*1000,"Si (T)","revisar")</f>
        <v>Si (T)</v>
      </c>
      <c r="S39" s="13">
        <f>H39*1000000/(0.9*$B$7*1000*$B$16^2)</f>
        <v>0.8177845346</v>
      </c>
      <c r="T39" s="14">
        <f>(0.85*$B$4/$B$5)*(1-SQRT(1-2*S39/(0.85*$B$4)))</f>
        <v>0.001981759299</v>
      </c>
      <c r="U39" s="11">
        <f>T39*$B$7*1000*$B$16</f>
        <v>90.26418166</v>
      </c>
      <c r="V39" s="11">
        <f>MAX(U39,$B$17)</f>
        <v>151.825</v>
      </c>
      <c r="W39" s="15">
        <f>ROUNDUP(V39/$B$13,0)</f>
        <v>2</v>
      </c>
      <c r="X39" s="16" t="str">
        <f>IF(J39&lt;=$B$18,"No requiere","Requiere")</f>
        <v>No requiere</v>
      </c>
      <c r="Y39" s="13">
        <f>D39/IF(C39="1EC",18.5,IF(C39="2EC",21,8))</f>
        <v>0.1547619048</v>
      </c>
      <c r="Z39" s="16" t="str">
        <f>IF($B$8&gt;=Y39,"CUMPLE","REVISAR")</f>
        <v>CUMPLE</v>
      </c>
    </row>
    <row r="40">
      <c r="A40" s="7" t="inlineStr">
        <is>
          <t>VIGUETA 2</t>
        </is>
      </c>
      <c r="B40" s="8" t="n">
        <v>11</v>
      </c>
      <c r="C40" s="7" t="inlineStr">
        <is>
          <t>1EC</t>
        </is>
      </c>
      <c r="D40" s="9" t="n">
        <v>2.2</v>
      </c>
      <c r="E40" s="10">
        <f>$B$15</f>
        <v>10.60096</v>
      </c>
      <c r="F40" s="11">
        <f>IF(C40="1EC",10,IF(C40="2EC",11,2))</f>
        <v>10</v>
      </c>
      <c r="G40" s="11">
        <f>IF(C40="1EC",14,IF(C40="2EC",16,0))</f>
        <v>14</v>
      </c>
      <c r="H40" s="12">
        <f>E40*D40^2/F40</f>
        <v>5.13086464</v>
      </c>
      <c r="I40" s="12">
        <f>IF(C40="V",0,E40*D40^2/G40)</f>
        <v>3.664903314</v>
      </c>
      <c r="J40" s="12">
        <f>IF(C40="V",E40*D40,IF(C40="1EC",1.15,1)*E40*D40/2)</f>
        <v>13.4102144</v>
      </c>
      <c r="K40" s="11">
        <f>MIN(D40*1000/4,$B$7*1000+16*$B$9*1000,$B$10*1000)</f>
        <v>550</v>
      </c>
      <c r="L40" s="13">
        <f>I40*1000000/(0.9*K40*$B$16^2)</f>
        <v>0.08029911373</v>
      </c>
      <c r="M40" s="14">
        <f>(0.85*$B$4/$B$5)*(1-SQRT(1-2*L40/(0.85*$B$4)))</f>
        <v>0.0001915119852</v>
      </c>
      <c r="N40" s="11">
        <f>M40*K40*$B$16</f>
        <v>31.98393787</v>
      </c>
      <c r="O40" s="11">
        <f>MAX(N40,$B$17)</f>
        <v>151.825</v>
      </c>
      <c r="P40" s="15">
        <f>ROUNDUP(O40/$B$13,0)</f>
        <v>2</v>
      </c>
      <c r="Q40" s="12">
        <f>O40*$B$5/(0.85*$B$4*K40)</f>
        <v>4.871390374</v>
      </c>
      <c r="R40" s="16" t="str">
        <f>IF(Q40&lt;=$B$9*1000,"Si (T)","revisar")</f>
        <v>Si (T)</v>
      </c>
      <c r="S40" s="13">
        <f>H40*1000000/(0.9*$B$7*1000*$B$16^2)</f>
        <v>0.4122021171</v>
      </c>
      <c r="T40" s="14">
        <f>(0.85*$B$4/$B$5)*(1-SQRT(1-2*S40/(0.85*$B$4)))</f>
        <v>0.0009900830036</v>
      </c>
      <c r="U40" s="11">
        <f>T40*$B$7*1000*$B$16</f>
        <v>45.09580561</v>
      </c>
      <c r="V40" s="11">
        <f>MAX(U40,$B$17)</f>
        <v>151.825</v>
      </c>
      <c r="W40" s="15">
        <f>ROUNDUP(V40/$B$13,0)</f>
        <v>2</v>
      </c>
      <c r="X40" s="16" t="str">
        <f>IF(J40&lt;=$B$18,"No requiere","Requiere")</f>
        <v>No requiere</v>
      </c>
      <c r="Y40" s="13">
        <f>D40/IF(C40="1EC",18.5,IF(C40="2EC",21,8))</f>
        <v>0.1189189189</v>
      </c>
      <c r="Z40" s="16" t="str">
        <f>IF($B$8&gt;=Y40,"CUMPLE","REVISAR")</f>
        <v>CUMPLE</v>
      </c>
    </row>
    <row r="41">
      <c r="A41" s="7" t="inlineStr">
        <is>
          <t>VIGUETA 3</t>
        </is>
      </c>
      <c r="B41" s="8" t="n">
        <v>1</v>
      </c>
      <c r="C41" s="7" t="inlineStr">
        <is>
          <t>V</t>
        </is>
      </c>
      <c r="D41" s="9" t="n">
        <v>1.5</v>
      </c>
      <c r="E41" s="10">
        <f>$B$15</f>
        <v>10.60096</v>
      </c>
      <c r="F41" s="11">
        <f>IF(C41="1EC",10,IF(C41="2EC",11,2))</f>
        <v>2</v>
      </c>
      <c r="G41" s="11">
        <f>IF(C41="1EC",14,IF(C41="2EC",16,0))</f>
        <v>0</v>
      </c>
      <c r="H41" s="12">
        <f>E41*D41^2/F41</f>
        <v>11.92608</v>
      </c>
      <c r="I41" s="12">
        <f>IF(C41="V",0,E41*D41^2/G41)</f>
        <v>0</v>
      </c>
      <c r="J41" s="12">
        <f>IF(C41="V",E41*D41,IF(C41="1EC",1.15,1)*E41*D41/2)</f>
        <v>15.90144</v>
      </c>
      <c r="K41" s="11">
        <f>MIN(D41*1000/4,$B$7*1000+16*$B$9*1000,$B$10*1000)</f>
        <v>375</v>
      </c>
      <c r="L41" s="13">
        <f>I41*1000000/(0.9*K41*$B$16^2)</f>
        <v>0</v>
      </c>
      <c r="M41" s="14">
        <f>(0.85*$B$4/$B$5)*(1-SQRT(1-2*L41/(0.85*$B$4)))</f>
        <v>0</v>
      </c>
      <c r="N41" s="11">
        <f>M41*K41*$B$16</f>
        <v>0</v>
      </c>
      <c r="O41" s="11">
        <f>MAX(N41,$B$17)</f>
        <v>151.825</v>
      </c>
      <c r="P41" s="15">
        <f>ROUNDUP(O41/$B$13,0)</f>
        <v>2</v>
      </c>
      <c r="Q41" s="12">
        <f>O41*$B$5/(0.85*$B$4*K41)</f>
        <v>7.144705882</v>
      </c>
      <c r="R41" s="16" t="str">
        <f>IF(Q41&lt;=$B$9*1000,"Si (T)","revisar")</f>
        <v>Si (T)</v>
      </c>
      <c r="S41" s="13">
        <f>H41*1000000/(0.9*$B$7*1000*$B$16^2)</f>
        <v>0.9581144251</v>
      </c>
      <c r="T41" s="14">
        <f>(0.85*$B$4/$B$5)*(1-SQRT(1-2*S41/(0.85*$B$4)))</f>
        <v>0.002329089448</v>
      </c>
      <c r="U41" s="11">
        <f>T41*$B$7*1000*$B$16</f>
        <v>106.0842016</v>
      </c>
      <c r="V41" s="11">
        <f>MAX(U41,$B$17)</f>
        <v>151.825</v>
      </c>
      <c r="W41" s="15">
        <f>ROUNDUP(V41/$B$13,0)</f>
        <v>2</v>
      </c>
      <c r="X41" s="16" t="str">
        <f>IF(J41&lt;=$B$18,"No requiere","Requiere")</f>
        <v>No requiere</v>
      </c>
      <c r="Y41" s="13">
        <f>D41/IF(C41="1EC",18.5,IF(C41="2EC",21,8))</f>
        <v>0.1875</v>
      </c>
      <c r="Z41" s="16" t="str">
        <f>IF($B$8&gt;=Y41,"CUMPLE","REVISAR")</f>
        <v>CUMPLE</v>
      </c>
    </row>
    <row r="42">
      <c r="A42" s="7" t="inlineStr">
        <is>
          <t>VIGUETA 3</t>
        </is>
      </c>
      <c r="B42" s="8" t="n">
        <v>2</v>
      </c>
      <c r="C42" s="7" t="inlineStr">
        <is>
          <t>2EC</t>
        </is>
      </c>
      <c r="D42" s="9" t="n">
        <v>2.2</v>
      </c>
      <c r="E42" s="10">
        <f>$B$15</f>
        <v>10.60096</v>
      </c>
      <c r="F42" s="11">
        <f>IF(C42="1EC",10,IF(C42="2EC",11,2))</f>
        <v>11</v>
      </c>
      <c r="G42" s="11">
        <f>IF(C42="1EC",14,IF(C42="2EC",16,0))</f>
        <v>16</v>
      </c>
      <c r="H42" s="12">
        <f>E42*D42^2/F42</f>
        <v>4.6644224</v>
      </c>
      <c r="I42" s="12">
        <f>IF(C42="V",0,E42*D42^2/G42)</f>
        <v>3.2067904</v>
      </c>
      <c r="J42" s="12">
        <f>IF(C42="V",E42*D42,IF(C42="1EC",1.15,1)*E42*D42/2)</f>
        <v>11.661056</v>
      </c>
      <c r="K42" s="11">
        <f>MIN(D42*1000/4,$B$7*1000+16*$B$9*1000,$B$10*1000)</f>
        <v>550</v>
      </c>
      <c r="L42" s="13">
        <f>I42*1000000/(0.9*K42*$B$16^2)</f>
        <v>0.07026172451</v>
      </c>
      <c r="M42" s="14">
        <f>(0.85*$B$4/$B$5)*(1-SQRT(1-2*L42/(0.85*$B$4)))</f>
        <v>0.0001675374862</v>
      </c>
      <c r="N42" s="11">
        <f>M42*K42*$B$16</f>
        <v>27.98001673</v>
      </c>
      <c r="O42" s="11">
        <f>MAX(N42,$B$17)</f>
        <v>151.825</v>
      </c>
      <c r="P42" s="15">
        <f>ROUNDUP(O42/$B$13,0)</f>
        <v>2</v>
      </c>
      <c r="Q42" s="12">
        <f>O42*$B$5/(0.85*$B$4*K42)</f>
        <v>4.871390374</v>
      </c>
      <c r="R42" s="16" t="str">
        <f>IF(Q42&lt;=$B$9*1000,"Si (T)","revisar")</f>
        <v>Si (T)</v>
      </c>
      <c r="S42" s="13">
        <f>H42*1000000/(0.9*$B$7*1000*$B$16^2)</f>
        <v>0.3747291974</v>
      </c>
      <c r="T42" s="14">
        <f>(0.85*$B$4/$B$5)*(1-SQRT(1-2*S42/(0.85*$B$4)))</f>
        <v>0.0008993490995</v>
      </c>
      <c r="U42" s="11">
        <f>T42*$B$7*1000*$B$16</f>
        <v>40.96310311</v>
      </c>
      <c r="V42" s="11">
        <f>MAX(U42,$B$17)</f>
        <v>151.825</v>
      </c>
      <c r="W42" s="15">
        <f>ROUNDUP(V42/$B$13,0)</f>
        <v>2</v>
      </c>
      <c r="X42" s="16" t="str">
        <f>IF(J42&lt;=$B$18,"No requiere","Requiere")</f>
        <v>No requiere</v>
      </c>
      <c r="Y42" s="13">
        <f>D42/IF(C42="1EC",18.5,IF(C42="2EC",21,8))</f>
        <v>0.1047619048</v>
      </c>
      <c r="Z42" s="16" t="str">
        <f>IF($B$8&gt;=Y42,"CUMPLE","REVISAR")</f>
        <v>CUMPLE</v>
      </c>
    </row>
    <row r="43">
      <c r="A43" s="7" t="inlineStr">
        <is>
          <t>VIGUETA 3</t>
        </is>
      </c>
      <c r="B43" s="8" t="n">
        <v>3</v>
      </c>
      <c r="C43" s="7" t="inlineStr">
        <is>
          <t>2EC</t>
        </is>
      </c>
      <c r="D43" s="9" t="n">
        <v>3.25</v>
      </c>
      <c r="E43" s="10">
        <f>$B$15</f>
        <v>10.60096</v>
      </c>
      <c r="F43" s="11">
        <f>IF(C43="1EC",10,IF(C43="2EC",11,2))</f>
        <v>11</v>
      </c>
      <c r="G43" s="11">
        <f>IF(C43="1EC",14,IF(C43="2EC",16,0))</f>
        <v>16</v>
      </c>
      <c r="H43" s="12">
        <f>E43*D43^2/F43</f>
        <v>10.17933091</v>
      </c>
      <c r="I43" s="12">
        <f>IF(C43="V",0,E43*D43^2/G43)</f>
        <v>6.99829</v>
      </c>
      <c r="J43" s="12">
        <f>IF(C43="V",E43*D43,IF(C43="1EC",1.15,1)*E43*D43/2)</f>
        <v>17.22656</v>
      </c>
      <c r="K43" s="11">
        <f>MIN(D43*1000/4,$B$7*1000+16*$B$9*1000,$B$10*1000)</f>
        <v>800</v>
      </c>
      <c r="L43" s="13">
        <f>I43*1000000/(0.9*K43*$B$16^2)</f>
        <v>0.1054175377</v>
      </c>
      <c r="M43" s="14">
        <f>(0.85*$B$4/$B$5)*(1-SQRT(1-2*L43/(0.85*$B$4)))</f>
        <v>0.0002515524783</v>
      </c>
      <c r="N43" s="11">
        <f>M43*K43*$B$16</f>
        <v>61.10712803</v>
      </c>
      <c r="O43" s="11">
        <f>MAX(N43,$B$17)</f>
        <v>151.825</v>
      </c>
      <c r="P43" s="15">
        <f>ROUNDUP(O43/$B$13,0)</f>
        <v>2</v>
      </c>
      <c r="Q43" s="12">
        <f>O43*$B$5/(0.85*$B$4*K43)</f>
        <v>3.349080882</v>
      </c>
      <c r="R43" s="16" t="str">
        <f>IF(Q43&lt;=$B$9*1000,"Si (T)","revisar")</f>
        <v>Si (T)</v>
      </c>
      <c r="S43" s="13">
        <f>H43*1000000/(0.9*$B$7*1000*$B$16^2)</f>
        <v>0.8177845346</v>
      </c>
      <c r="T43" s="14">
        <f>(0.85*$B$4/$B$5)*(1-SQRT(1-2*S43/(0.85*$B$4)))</f>
        <v>0.001981759299</v>
      </c>
      <c r="U43" s="11">
        <f>T43*$B$7*1000*$B$16</f>
        <v>90.26418166</v>
      </c>
      <c r="V43" s="11">
        <f>MAX(U43,$B$17)</f>
        <v>151.825</v>
      </c>
      <c r="W43" s="15">
        <f>ROUNDUP(V43/$B$13,0)</f>
        <v>2</v>
      </c>
      <c r="X43" s="16" t="str">
        <f>IF(J43&lt;=$B$18,"No requiere","Requiere")</f>
        <v>No requiere</v>
      </c>
      <c r="Y43" s="13">
        <f>D43/IF(C43="1EC",18.5,IF(C43="2EC",21,8))</f>
        <v>0.1547619048</v>
      </c>
      <c r="Z43" s="16" t="str">
        <f>IF($B$8&gt;=Y43,"CUMPLE","REVISAR")</f>
        <v>CUMPLE</v>
      </c>
    </row>
    <row r="44">
      <c r="A44" s="7" t="inlineStr">
        <is>
          <t>VIGUETA 3</t>
        </is>
      </c>
      <c r="B44" s="8" t="n">
        <v>4</v>
      </c>
      <c r="C44" s="7" t="inlineStr">
        <is>
          <t>2EC</t>
        </is>
      </c>
      <c r="D44" s="9" t="n">
        <v>2.2</v>
      </c>
      <c r="E44" s="10">
        <f>$B$15</f>
        <v>10.60096</v>
      </c>
      <c r="F44" s="11">
        <f>IF(C44="1EC",10,IF(C44="2EC",11,2))</f>
        <v>11</v>
      </c>
      <c r="G44" s="11">
        <f>IF(C44="1EC",14,IF(C44="2EC",16,0))</f>
        <v>16</v>
      </c>
      <c r="H44" s="12">
        <f>E44*D44^2/F44</f>
        <v>4.6644224</v>
      </c>
      <c r="I44" s="12">
        <f>IF(C44="V",0,E44*D44^2/G44)</f>
        <v>3.2067904</v>
      </c>
      <c r="J44" s="12">
        <f>IF(C44="V",E44*D44,IF(C44="1EC",1.15,1)*E44*D44/2)</f>
        <v>11.661056</v>
      </c>
      <c r="K44" s="11">
        <f>MIN(D44*1000/4,$B$7*1000+16*$B$9*1000,$B$10*1000)</f>
        <v>550</v>
      </c>
      <c r="L44" s="13">
        <f>I44*1000000/(0.9*K44*$B$16^2)</f>
        <v>0.07026172451</v>
      </c>
      <c r="M44" s="14">
        <f>(0.85*$B$4/$B$5)*(1-SQRT(1-2*L44/(0.85*$B$4)))</f>
        <v>0.0001675374862</v>
      </c>
      <c r="N44" s="11">
        <f>M44*K44*$B$16</f>
        <v>27.98001673</v>
      </c>
      <c r="O44" s="11">
        <f>MAX(N44,$B$17)</f>
        <v>151.825</v>
      </c>
      <c r="P44" s="15">
        <f>ROUNDUP(O44/$B$13,0)</f>
        <v>2</v>
      </c>
      <c r="Q44" s="12">
        <f>O44*$B$5/(0.85*$B$4*K44)</f>
        <v>4.871390374</v>
      </c>
      <c r="R44" s="16" t="str">
        <f>IF(Q44&lt;=$B$9*1000,"Si (T)","revisar")</f>
        <v>Si (T)</v>
      </c>
      <c r="S44" s="13">
        <f>H44*1000000/(0.9*$B$7*1000*$B$16^2)</f>
        <v>0.3747291974</v>
      </c>
      <c r="T44" s="14">
        <f>(0.85*$B$4/$B$5)*(1-SQRT(1-2*S44/(0.85*$B$4)))</f>
        <v>0.0008993490995</v>
      </c>
      <c r="U44" s="11">
        <f>T44*$B$7*1000*$B$16</f>
        <v>40.96310311</v>
      </c>
      <c r="V44" s="11">
        <f>MAX(U44,$B$17)</f>
        <v>151.825</v>
      </c>
      <c r="W44" s="15">
        <f>ROUNDUP(V44/$B$13,0)</f>
        <v>2</v>
      </c>
      <c r="X44" s="16" t="str">
        <f>IF(J44&lt;=$B$18,"No requiere","Requiere")</f>
        <v>No requiere</v>
      </c>
      <c r="Y44" s="13">
        <f>D44/IF(C44="1EC",18.5,IF(C44="2EC",21,8))</f>
        <v>0.1047619048</v>
      </c>
      <c r="Z44" s="16" t="str">
        <f>IF($B$8&gt;=Y44,"CUMPLE","REVISAR")</f>
        <v>CUMPLE</v>
      </c>
    </row>
    <row r="45">
      <c r="A45" s="7" t="inlineStr">
        <is>
          <t>VIGUETA 3</t>
        </is>
      </c>
      <c r="B45" s="8" t="n">
        <v>5</v>
      </c>
      <c r="C45" s="7" t="inlineStr">
        <is>
          <t>2EC</t>
        </is>
      </c>
      <c r="D45" s="9" t="n">
        <v>2.1</v>
      </c>
      <c r="E45" s="10">
        <f>$B$15</f>
        <v>10.60096</v>
      </c>
      <c r="F45" s="11">
        <f>IF(C45="1EC",10,IF(C45="2EC",11,2))</f>
        <v>11</v>
      </c>
      <c r="G45" s="11">
        <f>IF(C45="1EC",14,IF(C45="2EC",16,0))</f>
        <v>16</v>
      </c>
      <c r="H45" s="12">
        <f>E45*D45^2/F45</f>
        <v>4.250021236</v>
      </c>
      <c r="I45" s="12">
        <f>IF(C45="V",0,E45*D45^2/G45)</f>
        <v>2.9218896</v>
      </c>
      <c r="J45" s="12">
        <f>IF(C45="V",E45*D45,IF(C45="1EC",1.15,1)*E45*D45/2)</f>
        <v>11.131008</v>
      </c>
      <c r="K45" s="11">
        <f>MIN(D45*1000/4,$B$7*1000+16*$B$9*1000,$B$10*1000)</f>
        <v>525</v>
      </c>
      <c r="L45" s="13">
        <f>I45*1000000/(0.9*K45*$B$16^2)</f>
        <v>0.06706800976</v>
      </c>
      <c r="M45" s="14">
        <f>(0.85*$B$4/$B$5)*(1-SQRT(1-2*L45/(0.85*$B$4)))</f>
        <v>0.0001599113697</v>
      </c>
      <c r="N45" s="11">
        <f>M45*K45*$B$16</f>
        <v>25.49247089</v>
      </c>
      <c r="O45" s="11">
        <f>MAX(N45,$B$17)</f>
        <v>151.825</v>
      </c>
      <c r="P45" s="15">
        <f>ROUNDUP(O45/$B$13,0)</f>
        <v>2</v>
      </c>
      <c r="Q45" s="12">
        <f>O45*$B$5/(0.85*$B$4*K45)</f>
        <v>5.103361345</v>
      </c>
      <c r="R45" s="16" t="str">
        <f>IF(Q45&lt;=$B$9*1000,"Si (T)","revisar")</f>
        <v>Si (T)</v>
      </c>
      <c r="S45" s="13">
        <f>H45*1000000/(0.9*$B$7*1000*$B$16^2)</f>
        <v>0.3414371406</v>
      </c>
      <c r="T45" s="14">
        <f>(0.85*$B$4/$B$5)*(1-SQRT(1-2*S45/(0.85*$B$4)))</f>
        <v>0.0008188620588</v>
      </c>
      <c r="U45" s="11">
        <f>T45*$B$7*1000*$B$16</f>
        <v>37.29711962</v>
      </c>
      <c r="V45" s="11">
        <f>MAX(U45,$B$17)</f>
        <v>151.825</v>
      </c>
      <c r="W45" s="15">
        <f>ROUNDUP(V45/$B$13,0)</f>
        <v>2</v>
      </c>
      <c r="X45" s="16" t="str">
        <f>IF(J45&lt;=$B$18,"No requiere","Requiere")</f>
        <v>No requiere</v>
      </c>
      <c r="Y45" s="13">
        <f>D45/IF(C45="1EC",18.5,IF(C45="2EC",21,8))</f>
        <v>0.1</v>
      </c>
      <c r="Z45" s="16" t="str">
        <f>IF($B$8&gt;=Y45,"CUMPLE","REVISAR")</f>
        <v>CUMPLE</v>
      </c>
    </row>
    <row r="46">
      <c r="A46" s="7" t="inlineStr">
        <is>
          <t>VIGUETA 3</t>
        </is>
      </c>
      <c r="B46" s="8" t="n">
        <v>6</v>
      </c>
      <c r="C46" s="7" t="inlineStr">
        <is>
          <t>2EC</t>
        </is>
      </c>
      <c r="D46" s="9" t="n">
        <v>3.6</v>
      </c>
      <c r="E46" s="10">
        <f>$B$15</f>
        <v>10.60096</v>
      </c>
      <c r="F46" s="11">
        <f>IF(C46="1EC",10,IF(C46="2EC",11,2))</f>
        <v>11</v>
      </c>
      <c r="G46" s="11">
        <f>IF(C46="1EC",14,IF(C46="2EC",16,0))</f>
        <v>16</v>
      </c>
      <c r="H46" s="12">
        <f>E46*D46^2/F46</f>
        <v>12.48985833</v>
      </c>
      <c r="I46" s="12">
        <f>IF(C46="V",0,E46*D46^2/G46)</f>
        <v>8.5867776</v>
      </c>
      <c r="J46" s="12">
        <f>IF(C46="V",E46*D46,IF(C46="1EC",1.15,1)*E46*D46/2)</f>
        <v>19.081728</v>
      </c>
      <c r="K46" s="11">
        <f>MIN(D46*1000/4,$B$7*1000+16*$B$9*1000,$B$10*1000)</f>
        <v>800</v>
      </c>
      <c r="L46" s="13">
        <f>I46*1000000/(0.9*K46*$B$16^2)</f>
        <v>0.1293454474</v>
      </c>
      <c r="M46" s="14">
        <f>(0.85*$B$4/$B$5)*(1-SQRT(1-2*L46/(0.85*$B$4)))</f>
        <v>0.000308806777</v>
      </c>
      <c r="N46" s="11">
        <f>M46*K46*$B$16</f>
        <v>75.01534228</v>
      </c>
      <c r="O46" s="11">
        <f>MAX(N46,$B$17)</f>
        <v>151.825</v>
      </c>
      <c r="P46" s="15">
        <f>ROUNDUP(O46/$B$13,0)</f>
        <v>2</v>
      </c>
      <c r="Q46" s="12">
        <f>O46*$B$5/(0.85*$B$4*K46)</f>
        <v>3.349080882</v>
      </c>
      <c r="R46" s="16" t="str">
        <f>IF(Q46&lt;=$B$9*1000,"Si (T)","revisar")</f>
        <v>Si (T)</v>
      </c>
      <c r="S46" s="13">
        <f>H46*1000000/(0.9*$B$7*1000*$B$16^2)</f>
        <v>1.003407107</v>
      </c>
      <c r="T46" s="14">
        <f>(0.85*$B$4/$B$5)*(1-SQRT(1-2*S46/(0.85*$B$4)))</f>
        <v>0.002441668159</v>
      </c>
      <c r="U46" s="11">
        <f>T46*$B$7*1000*$B$16</f>
        <v>111.2118805</v>
      </c>
      <c r="V46" s="11">
        <f>MAX(U46,$B$17)</f>
        <v>151.825</v>
      </c>
      <c r="W46" s="15">
        <f>ROUNDUP(V46/$B$13,0)</f>
        <v>2</v>
      </c>
      <c r="X46" s="16" t="str">
        <f>IF(J46&lt;=$B$18,"No requiere","Requiere")</f>
        <v>No requiere</v>
      </c>
      <c r="Y46" s="13">
        <f>D46/IF(C46="1EC",18.5,IF(C46="2EC",21,8))</f>
        <v>0.1714285714</v>
      </c>
      <c r="Z46" s="16" t="str">
        <f>IF($B$8&gt;=Y46,"CUMPLE","REVISAR")</f>
        <v>CUMPLE</v>
      </c>
    </row>
    <row r="47">
      <c r="A47" s="7" t="inlineStr">
        <is>
          <t>VIGUETA 3</t>
        </is>
      </c>
      <c r="B47" s="8" t="n">
        <v>7</v>
      </c>
      <c r="C47" s="7" t="inlineStr">
        <is>
          <t>2EC</t>
        </is>
      </c>
      <c r="D47" s="9" t="n">
        <v>5.1</v>
      </c>
      <c r="E47" s="10">
        <f>$B$15</f>
        <v>10.60096</v>
      </c>
      <c r="F47" s="11">
        <f>IF(C47="1EC",10,IF(C47="2EC",11,2))</f>
        <v>11</v>
      </c>
      <c r="G47" s="11">
        <f>IF(C47="1EC",14,IF(C47="2EC",16,0))</f>
        <v>16</v>
      </c>
      <c r="H47" s="12">
        <f>E47*D47^2/F47</f>
        <v>25.06645178</v>
      </c>
      <c r="I47" s="12">
        <f>IF(C47="V",0,E47*D47^2/G47)</f>
        <v>17.2331856</v>
      </c>
      <c r="J47" s="12">
        <f>IF(C47="V",E47*D47,IF(C47="1EC",1.15,1)*E47*D47/2)</f>
        <v>27.032448</v>
      </c>
      <c r="K47" s="11">
        <f>MIN(D47*1000/4,$B$7*1000+16*$B$9*1000,$B$10*1000)</f>
        <v>800</v>
      </c>
      <c r="L47" s="13">
        <f>I47*1000000/(0.9*K47*$B$16^2)</f>
        <v>0.2595891271</v>
      </c>
      <c r="M47" s="14">
        <f>(0.85*$B$4/$B$5)*(1-SQRT(1-2*L47/(0.85*$B$4)))</f>
        <v>0.0006214772975</v>
      </c>
      <c r="N47" s="11">
        <f>M47*K47*$B$16</f>
        <v>150.9692651</v>
      </c>
      <c r="O47" s="11">
        <f>MAX(N47,$B$17)</f>
        <v>151.825</v>
      </c>
      <c r="P47" s="15">
        <f>ROUNDUP(O47/$B$13,0)</f>
        <v>2</v>
      </c>
      <c r="Q47" s="12">
        <f>O47*$B$5/(0.85*$B$4*K47)</f>
        <v>3.349080882</v>
      </c>
      <c r="R47" s="16" t="str">
        <f>IF(Q47&lt;=$B$9*1000,"Si (T)","revisar")</f>
        <v>Si (T)</v>
      </c>
      <c r="S47" s="13">
        <f>H47*1000000/(0.9*$B$7*1000*$B$16^2)</f>
        <v>2.013782319</v>
      </c>
      <c r="T47" s="14">
        <f>(0.85*$B$4/$B$5)*(1-SQRT(1-2*S47/(0.85*$B$4)))</f>
        <v>0.005016792195</v>
      </c>
      <c r="U47" s="11">
        <f>T47*$B$7*1000*$B$16</f>
        <v>228.5023425</v>
      </c>
      <c r="V47" s="11">
        <f>MAX(U47,$B$17)</f>
        <v>228.5023425</v>
      </c>
      <c r="W47" s="15">
        <f>ROUNDUP(V47/$B$13,0)</f>
        <v>2</v>
      </c>
      <c r="X47" s="16" t="str">
        <f>IF(J47&lt;=$B$18,"No requiere","Requiere")</f>
        <v>No requiere</v>
      </c>
      <c r="Y47" s="13">
        <f>D47/IF(C47="1EC",18.5,IF(C47="2EC",21,8))</f>
        <v>0.2428571429</v>
      </c>
      <c r="Z47" s="16" t="str">
        <f>IF($B$8&gt;=Y47,"CUMPLE","REVISAR")</f>
        <v>CUMPLE</v>
      </c>
    </row>
    <row r="48">
      <c r="A48" s="7" t="inlineStr">
        <is>
          <t>VIGUETA 3</t>
        </is>
      </c>
      <c r="B48" s="8" t="n">
        <v>8</v>
      </c>
      <c r="C48" s="7" t="inlineStr">
        <is>
          <t>2EC</t>
        </is>
      </c>
      <c r="D48" s="9" t="n">
        <v>3.6</v>
      </c>
      <c r="E48" s="10">
        <f>$B$15</f>
        <v>10.60096</v>
      </c>
      <c r="F48" s="11">
        <f>IF(C48="1EC",10,IF(C48="2EC",11,2))</f>
        <v>11</v>
      </c>
      <c r="G48" s="11">
        <f>IF(C48="1EC",14,IF(C48="2EC",16,0))</f>
        <v>16</v>
      </c>
      <c r="H48" s="12">
        <f>E48*D48^2/F48</f>
        <v>12.48985833</v>
      </c>
      <c r="I48" s="12">
        <f>IF(C48="V",0,E48*D48^2/G48)</f>
        <v>8.5867776</v>
      </c>
      <c r="J48" s="12">
        <f>IF(C48="V",E48*D48,IF(C48="1EC",1.15,1)*E48*D48/2)</f>
        <v>19.081728</v>
      </c>
      <c r="K48" s="11">
        <f>MIN(D48*1000/4,$B$7*1000+16*$B$9*1000,$B$10*1000)</f>
        <v>800</v>
      </c>
      <c r="L48" s="13">
        <f>I48*1000000/(0.9*K48*$B$16^2)</f>
        <v>0.1293454474</v>
      </c>
      <c r="M48" s="14">
        <f>(0.85*$B$4/$B$5)*(1-SQRT(1-2*L48/(0.85*$B$4)))</f>
        <v>0.000308806777</v>
      </c>
      <c r="N48" s="11">
        <f>M48*K48*$B$16</f>
        <v>75.01534228</v>
      </c>
      <c r="O48" s="11">
        <f>MAX(N48,$B$17)</f>
        <v>151.825</v>
      </c>
      <c r="P48" s="15">
        <f>ROUNDUP(O48/$B$13,0)</f>
        <v>2</v>
      </c>
      <c r="Q48" s="12">
        <f>O48*$B$5/(0.85*$B$4*K48)</f>
        <v>3.349080882</v>
      </c>
      <c r="R48" s="16" t="str">
        <f>IF(Q48&lt;=$B$9*1000,"Si (T)","revisar")</f>
        <v>Si (T)</v>
      </c>
      <c r="S48" s="13">
        <f>H48*1000000/(0.9*$B$7*1000*$B$16^2)</f>
        <v>1.003407107</v>
      </c>
      <c r="T48" s="14">
        <f>(0.85*$B$4/$B$5)*(1-SQRT(1-2*S48/(0.85*$B$4)))</f>
        <v>0.002441668159</v>
      </c>
      <c r="U48" s="11">
        <f>T48*$B$7*1000*$B$16</f>
        <v>111.2118805</v>
      </c>
      <c r="V48" s="11">
        <f>MAX(U48,$B$17)</f>
        <v>151.825</v>
      </c>
      <c r="W48" s="15">
        <f>ROUNDUP(V48/$B$13,0)</f>
        <v>2</v>
      </c>
      <c r="X48" s="16" t="str">
        <f>IF(J48&lt;=$B$18,"No requiere","Requiere")</f>
        <v>No requiere</v>
      </c>
      <c r="Y48" s="13">
        <f>D48/IF(C48="1EC",18.5,IF(C48="2EC",21,8))</f>
        <v>0.1714285714</v>
      </c>
      <c r="Z48" s="16" t="str">
        <f>IF($B$8&gt;=Y48,"CUMPLE","REVISAR")</f>
        <v>CUMPLE</v>
      </c>
    </row>
    <row r="49">
      <c r="A49" s="7" t="inlineStr">
        <is>
          <t>VIGUETA 3</t>
        </is>
      </c>
      <c r="B49" s="8" t="n">
        <v>9</v>
      </c>
      <c r="C49" s="7" t="inlineStr">
        <is>
          <t>2EC</t>
        </is>
      </c>
      <c r="D49" s="9" t="n">
        <v>2.1</v>
      </c>
      <c r="E49" s="10">
        <f>$B$15</f>
        <v>10.60096</v>
      </c>
      <c r="F49" s="11">
        <f>IF(C49="1EC",10,IF(C49="2EC",11,2))</f>
        <v>11</v>
      </c>
      <c r="G49" s="11">
        <f>IF(C49="1EC",14,IF(C49="2EC",16,0))</f>
        <v>16</v>
      </c>
      <c r="H49" s="12">
        <f>E49*D49^2/F49</f>
        <v>4.250021236</v>
      </c>
      <c r="I49" s="12">
        <f>IF(C49="V",0,E49*D49^2/G49)</f>
        <v>2.9218896</v>
      </c>
      <c r="J49" s="12">
        <f>IF(C49="V",E49*D49,IF(C49="1EC",1.15,1)*E49*D49/2)</f>
        <v>11.131008</v>
      </c>
      <c r="K49" s="11">
        <f>MIN(D49*1000/4,$B$7*1000+16*$B$9*1000,$B$10*1000)</f>
        <v>525</v>
      </c>
      <c r="L49" s="13">
        <f>I49*1000000/(0.9*K49*$B$16^2)</f>
        <v>0.06706800976</v>
      </c>
      <c r="M49" s="14">
        <f>(0.85*$B$4/$B$5)*(1-SQRT(1-2*L49/(0.85*$B$4)))</f>
        <v>0.0001599113697</v>
      </c>
      <c r="N49" s="11">
        <f>M49*K49*$B$16</f>
        <v>25.49247089</v>
      </c>
      <c r="O49" s="11">
        <f>MAX(N49,$B$17)</f>
        <v>151.825</v>
      </c>
      <c r="P49" s="15">
        <f>ROUNDUP(O49/$B$13,0)</f>
        <v>2</v>
      </c>
      <c r="Q49" s="12">
        <f>O49*$B$5/(0.85*$B$4*K49)</f>
        <v>5.103361345</v>
      </c>
      <c r="R49" s="16" t="str">
        <f>IF(Q49&lt;=$B$9*1000,"Si (T)","revisar")</f>
        <v>Si (T)</v>
      </c>
      <c r="S49" s="13">
        <f>H49*1000000/(0.9*$B$7*1000*$B$16^2)</f>
        <v>0.3414371406</v>
      </c>
      <c r="T49" s="14">
        <f>(0.85*$B$4/$B$5)*(1-SQRT(1-2*S49/(0.85*$B$4)))</f>
        <v>0.0008188620588</v>
      </c>
      <c r="U49" s="11">
        <f>T49*$B$7*1000*$B$16</f>
        <v>37.29711962</v>
      </c>
      <c r="V49" s="11">
        <f>MAX(U49,$B$17)</f>
        <v>151.825</v>
      </c>
      <c r="W49" s="15">
        <f>ROUNDUP(V49/$B$13,0)</f>
        <v>2</v>
      </c>
      <c r="X49" s="16" t="str">
        <f>IF(J49&lt;=$B$18,"No requiere","Requiere")</f>
        <v>No requiere</v>
      </c>
      <c r="Y49" s="13">
        <f>D49/IF(C49="1EC",18.5,IF(C49="2EC",21,8))</f>
        <v>0.1</v>
      </c>
      <c r="Z49" s="16" t="str">
        <f>IF($B$8&gt;=Y49,"CUMPLE","REVISAR")</f>
        <v>CUMPLE</v>
      </c>
    </row>
    <row r="50">
      <c r="A50" s="7" t="inlineStr">
        <is>
          <t>VIGUETA 3</t>
        </is>
      </c>
      <c r="B50" s="8" t="n">
        <v>10</v>
      </c>
      <c r="C50" s="7" t="inlineStr">
        <is>
          <t>2EC</t>
        </is>
      </c>
      <c r="D50" s="9" t="n">
        <v>2.2</v>
      </c>
      <c r="E50" s="10">
        <f>$B$15</f>
        <v>10.60096</v>
      </c>
      <c r="F50" s="11">
        <f>IF(C50="1EC",10,IF(C50="2EC",11,2))</f>
        <v>11</v>
      </c>
      <c r="G50" s="11">
        <f>IF(C50="1EC",14,IF(C50="2EC",16,0))</f>
        <v>16</v>
      </c>
      <c r="H50" s="12">
        <f>E50*D50^2/F50</f>
        <v>4.6644224</v>
      </c>
      <c r="I50" s="12">
        <f>IF(C50="V",0,E50*D50^2/G50)</f>
        <v>3.2067904</v>
      </c>
      <c r="J50" s="12">
        <f>IF(C50="V",E50*D50,IF(C50="1EC",1.15,1)*E50*D50/2)</f>
        <v>11.661056</v>
      </c>
      <c r="K50" s="11">
        <f>MIN(D50*1000/4,$B$7*1000+16*$B$9*1000,$B$10*1000)</f>
        <v>550</v>
      </c>
      <c r="L50" s="13">
        <f>I50*1000000/(0.9*K50*$B$16^2)</f>
        <v>0.07026172451</v>
      </c>
      <c r="M50" s="14">
        <f>(0.85*$B$4/$B$5)*(1-SQRT(1-2*L50/(0.85*$B$4)))</f>
        <v>0.0001675374862</v>
      </c>
      <c r="N50" s="11">
        <f>M50*K50*$B$16</f>
        <v>27.98001673</v>
      </c>
      <c r="O50" s="11">
        <f>MAX(N50,$B$17)</f>
        <v>151.825</v>
      </c>
      <c r="P50" s="15">
        <f>ROUNDUP(O50/$B$13,0)</f>
        <v>2</v>
      </c>
      <c r="Q50" s="12">
        <f>O50*$B$5/(0.85*$B$4*K50)</f>
        <v>4.871390374</v>
      </c>
      <c r="R50" s="16" t="str">
        <f>IF(Q50&lt;=$B$9*1000,"Si (T)","revisar")</f>
        <v>Si (T)</v>
      </c>
      <c r="S50" s="13">
        <f>H50*1000000/(0.9*$B$7*1000*$B$16^2)</f>
        <v>0.3747291974</v>
      </c>
      <c r="T50" s="14">
        <f>(0.85*$B$4/$B$5)*(1-SQRT(1-2*S50/(0.85*$B$4)))</f>
        <v>0.0008993490995</v>
      </c>
      <c r="U50" s="11">
        <f>T50*$B$7*1000*$B$16</f>
        <v>40.96310311</v>
      </c>
      <c r="V50" s="11">
        <f>MAX(U50,$B$17)</f>
        <v>151.825</v>
      </c>
      <c r="W50" s="15">
        <f>ROUNDUP(V50/$B$13,0)</f>
        <v>2</v>
      </c>
      <c r="X50" s="16" t="str">
        <f>IF(J50&lt;=$B$18,"No requiere","Requiere")</f>
        <v>No requiere</v>
      </c>
      <c r="Y50" s="13">
        <f>D50/IF(C50="1EC",18.5,IF(C50="2EC",21,8))</f>
        <v>0.1047619048</v>
      </c>
      <c r="Z50" s="16" t="str">
        <f>IF($B$8&gt;=Y50,"CUMPLE","REVISAR")</f>
        <v>CUMPLE</v>
      </c>
    </row>
    <row r="51">
      <c r="A51" s="7" t="inlineStr">
        <is>
          <t>VIGUETA 3</t>
        </is>
      </c>
      <c r="B51" s="8" t="n">
        <v>11</v>
      </c>
      <c r="C51" s="7" t="inlineStr">
        <is>
          <t>2EC</t>
        </is>
      </c>
      <c r="D51" s="9" t="n">
        <v>3.25</v>
      </c>
      <c r="E51" s="10">
        <f>$B$15</f>
        <v>10.60096</v>
      </c>
      <c r="F51" s="11">
        <f>IF(C51="1EC",10,IF(C51="2EC",11,2))</f>
        <v>11</v>
      </c>
      <c r="G51" s="11">
        <f>IF(C51="1EC",14,IF(C51="2EC",16,0))</f>
        <v>16</v>
      </c>
      <c r="H51" s="12">
        <f>E51*D51^2/F51</f>
        <v>10.17933091</v>
      </c>
      <c r="I51" s="12">
        <f>IF(C51="V",0,E51*D51^2/G51)</f>
        <v>6.99829</v>
      </c>
      <c r="J51" s="12">
        <f>IF(C51="V",E51*D51,IF(C51="1EC",1.15,1)*E51*D51/2)</f>
        <v>17.22656</v>
      </c>
      <c r="K51" s="11">
        <f>MIN(D51*1000/4,$B$7*1000+16*$B$9*1000,$B$10*1000)</f>
        <v>800</v>
      </c>
      <c r="L51" s="13">
        <f>I51*1000000/(0.9*K51*$B$16^2)</f>
        <v>0.1054175377</v>
      </c>
      <c r="M51" s="14">
        <f>(0.85*$B$4/$B$5)*(1-SQRT(1-2*L51/(0.85*$B$4)))</f>
        <v>0.0002515524783</v>
      </c>
      <c r="N51" s="11">
        <f>M51*K51*$B$16</f>
        <v>61.10712803</v>
      </c>
      <c r="O51" s="11">
        <f>MAX(N51,$B$17)</f>
        <v>151.825</v>
      </c>
      <c r="P51" s="15">
        <f>ROUNDUP(O51/$B$13,0)</f>
        <v>2</v>
      </c>
      <c r="Q51" s="12">
        <f>O51*$B$5/(0.85*$B$4*K51)</f>
        <v>3.349080882</v>
      </c>
      <c r="R51" s="16" t="str">
        <f>IF(Q51&lt;=$B$9*1000,"Si (T)","revisar")</f>
        <v>Si (T)</v>
      </c>
      <c r="S51" s="13">
        <f>H51*1000000/(0.9*$B$7*1000*$B$16^2)</f>
        <v>0.8177845346</v>
      </c>
      <c r="T51" s="14">
        <f>(0.85*$B$4/$B$5)*(1-SQRT(1-2*S51/(0.85*$B$4)))</f>
        <v>0.001981759299</v>
      </c>
      <c r="U51" s="11">
        <f>T51*$B$7*1000*$B$16</f>
        <v>90.26418166</v>
      </c>
      <c r="V51" s="11">
        <f>MAX(U51,$B$17)</f>
        <v>151.825</v>
      </c>
      <c r="W51" s="15">
        <f>ROUNDUP(V51/$B$13,0)</f>
        <v>2</v>
      </c>
      <c r="X51" s="16" t="str">
        <f>IF(J51&lt;=$B$18,"No requiere","Requiere")</f>
        <v>No requiere</v>
      </c>
      <c r="Y51" s="13">
        <f>D51/IF(C51="1EC",18.5,IF(C51="2EC",21,8))</f>
        <v>0.1547619048</v>
      </c>
      <c r="Z51" s="16" t="str">
        <f>IF($B$8&gt;=Y51,"CUMPLE","REVISAR")</f>
        <v>CUMPLE</v>
      </c>
    </row>
    <row r="52">
      <c r="A52" s="7" t="inlineStr">
        <is>
          <t>VIGUETA 3</t>
        </is>
      </c>
      <c r="B52" s="8" t="n">
        <v>12</v>
      </c>
      <c r="C52" s="7" t="inlineStr">
        <is>
          <t>2EC</t>
        </is>
      </c>
      <c r="D52" s="9" t="n">
        <v>2.2</v>
      </c>
      <c r="E52" s="10">
        <f>$B$15</f>
        <v>10.60096</v>
      </c>
      <c r="F52" s="11">
        <f>IF(C52="1EC",10,IF(C52="2EC",11,2))</f>
        <v>11</v>
      </c>
      <c r="G52" s="11">
        <f>IF(C52="1EC",14,IF(C52="2EC",16,0))</f>
        <v>16</v>
      </c>
      <c r="H52" s="12">
        <f>E52*D52^2/F52</f>
        <v>4.6644224</v>
      </c>
      <c r="I52" s="12">
        <f>IF(C52="V",0,E52*D52^2/G52)</f>
        <v>3.2067904</v>
      </c>
      <c r="J52" s="12">
        <f>IF(C52="V",E52*D52,IF(C52="1EC",1.15,1)*E52*D52/2)</f>
        <v>11.661056</v>
      </c>
      <c r="K52" s="11">
        <f>MIN(D52*1000/4,$B$7*1000+16*$B$9*1000,$B$10*1000)</f>
        <v>550</v>
      </c>
      <c r="L52" s="13">
        <f>I52*1000000/(0.9*K52*$B$16^2)</f>
        <v>0.07026172451</v>
      </c>
      <c r="M52" s="14">
        <f>(0.85*$B$4/$B$5)*(1-SQRT(1-2*L52/(0.85*$B$4)))</f>
        <v>0.0001675374862</v>
      </c>
      <c r="N52" s="11">
        <f>M52*K52*$B$16</f>
        <v>27.98001673</v>
      </c>
      <c r="O52" s="11">
        <f>MAX(N52,$B$17)</f>
        <v>151.825</v>
      </c>
      <c r="P52" s="15">
        <f>ROUNDUP(O52/$B$13,0)</f>
        <v>2</v>
      </c>
      <c r="Q52" s="12">
        <f>O52*$B$5/(0.85*$B$4*K52)</f>
        <v>4.871390374</v>
      </c>
      <c r="R52" s="16" t="str">
        <f>IF(Q52&lt;=$B$9*1000,"Si (T)","revisar")</f>
        <v>Si (T)</v>
      </c>
      <c r="S52" s="13">
        <f>H52*1000000/(0.9*$B$7*1000*$B$16^2)</f>
        <v>0.3747291974</v>
      </c>
      <c r="T52" s="14">
        <f>(0.85*$B$4/$B$5)*(1-SQRT(1-2*S52/(0.85*$B$4)))</f>
        <v>0.0008993490995</v>
      </c>
      <c r="U52" s="11">
        <f>T52*$B$7*1000*$B$16</f>
        <v>40.96310311</v>
      </c>
      <c r="V52" s="11">
        <f>MAX(U52,$B$17)</f>
        <v>151.825</v>
      </c>
      <c r="W52" s="15">
        <f>ROUNDUP(V52/$B$13,0)</f>
        <v>2</v>
      </c>
      <c r="X52" s="16" t="str">
        <f>IF(J52&lt;=$B$18,"No requiere","Requiere")</f>
        <v>No requiere</v>
      </c>
      <c r="Y52" s="13">
        <f>D52/IF(C52="1EC",18.5,IF(C52="2EC",21,8))</f>
        <v>0.1047619048</v>
      </c>
      <c r="Z52" s="16" t="str">
        <f>IF($B$8&gt;=Y52,"CUMPLE","REVISAR")</f>
        <v>CUMPLE</v>
      </c>
    </row>
    <row r="53">
      <c r="A53" s="7" t="inlineStr">
        <is>
          <t>VIGUETA 3</t>
        </is>
      </c>
      <c r="B53" s="8" t="n">
        <v>13</v>
      </c>
      <c r="C53" s="7" t="inlineStr">
        <is>
          <t>V</t>
        </is>
      </c>
      <c r="D53" s="9" t="n">
        <v>1.5</v>
      </c>
      <c r="E53" s="10">
        <f>$B$15</f>
        <v>10.60096</v>
      </c>
      <c r="F53" s="11">
        <f>IF(C53="1EC",10,IF(C53="2EC",11,2))</f>
        <v>2</v>
      </c>
      <c r="G53" s="11">
        <f>IF(C53="1EC",14,IF(C53="2EC",16,0))</f>
        <v>0</v>
      </c>
      <c r="H53" s="12">
        <f>E53*D53^2/F53</f>
        <v>11.92608</v>
      </c>
      <c r="I53" s="12">
        <f>IF(C53="V",0,E53*D53^2/G53)</f>
        <v>0</v>
      </c>
      <c r="J53" s="12">
        <f>IF(C53="V",E53*D53,IF(C53="1EC",1.15,1)*E53*D53/2)</f>
        <v>15.90144</v>
      </c>
      <c r="K53" s="11">
        <f>MIN(D53*1000/4,$B$7*1000+16*$B$9*1000,$B$10*1000)</f>
        <v>375</v>
      </c>
      <c r="L53" s="13">
        <f>I53*1000000/(0.9*K53*$B$16^2)</f>
        <v>0</v>
      </c>
      <c r="M53" s="14">
        <f>(0.85*$B$4/$B$5)*(1-SQRT(1-2*L53/(0.85*$B$4)))</f>
        <v>0</v>
      </c>
      <c r="N53" s="11">
        <f>M53*K53*$B$16</f>
        <v>0</v>
      </c>
      <c r="O53" s="11">
        <f>MAX(N53,$B$17)</f>
        <v>151.825</v>
      </c>
      <c r="P53" s="15">
        <f>ROUNDUP(O53/$B$13,0)</f>
        <v>2</v>
      </c>
      <c r="Q53" s="12">
        <f>O53*$B$5/(0.85*$B$4*K53)</f>
        <v>7.144705882</v>
      </c>
      <c r="R53" s="16" t="str">
        <f>IF(Q53&lt;=$B$9*1000,"Si (T)","revisar")</f>
        <v>Si (T)</v>
      </c>
      <c r="S53" s="13">
        <f>H53*1000000/(0.9*$B$7*1000*$B$16^2)</f>
        <v>0.9581144251</v>
      </c>
      <c r="T53" s="14">
        <f>(0.85*$B$4/$B$5)*(1-SQRT(1-2*S53/(0.85*$B$4)))</f>
        <v>0.002329089448</v>
      </c>
      <c r="U53" s="11">
        <f>T53*$B$7*1000*$B$16</f>
        <v>106.0842016</v>
      </c>
      <c r="V53" s="11">
        <f>MAX(U53,$B$17)</f>
        <v>151.825</v>
      </c>
      <c r="W53" s="15">
        <f>ROUNDUP(V53/$B$13,0)</f>
        <v>2</v>
      </c>
      <c r="X53" s="16" t="str">
        <f>IF(J53&lt;=$B$18,"No requiere","Requiere")</f>
        <v>No requiere</v>
      </c>
      <c r="Y53" s="13">
        <f>D53/IF(C53="1EC",18.5,IF(C53="2EC",21,8))</f>
        <v>0.1875</v>
      </c>
      <c r="Z53" s="16" t="str">
        <f>IF($B$8&gt;=Y53,"CUMPLE","REVISAR")</f>
        <v>CUMPLE</v>
      </c>
    </row>
    <row r="54">
      <c r="A54" s="7" t="inlineStr">
        <is>
          <t>VIGUETA 4</t>
        </is>
      </c>
      <c r="B54" s="8" t="n">
        <v>1</v>
      </c>
      <c r="C54" s="7" t="inlineStr">
        <is>
          <t>1EC</t>
        </is>
      </c>
      <c r="D54" s="9" t="n">
        <v>3.25</v>
      </c>
      <c r="E54" s="10">
        <f>$B$15</f>
        <v>10.60096</v>
      </c>
      <c r="F54" s="11">
        <f>IF(C54="1EC",10,IF(C54="2EC",11,2))</f>
        <v>10</v>
      </c>
      <c r="G54" s="11">
        <f>IF(C54="1EC",14,IF(C54="2EC",16,0))</f>
        <v>14</v>
      </c>
      <c r="H54" s="12">
        <f>E54*D54^2/F54</f>
        <v>11.197264</v>
      </c>
      <c r="I54" s="12">
        <f>IF(C54="V",0,E54*D54^2/G54)</f>
        <v>7.998045714</v>
      </c>
      <c r="J54" s="12">
        <f>IF(C54="V",E54*D54,IF(C54="1EC",1.15,1)*E54*D54/2)</f>
        <v>19.810544</v>
      </c>
      <c r="K54" s="11">
        <f>MIN(D54*1000/4,$B$7*1000+16*$B$9*1000,$B$10*1000)</f>
        <v>800</v>
      </c>
      <c r="L54" s="13">
        <f>I54*1000000/(0.9*K54*$B$16^2)</f>
        <v>0.1204771859</v>
      </c>
      <c r="M54" s="14">
        <f>(0.85*$B$4/$B$5)*(1-SQRT(1-2*L54/(0.85*$B$4)))</f>
        <v>0.0002875801693</v>
      </c>
      <c r="N54" s="11">
        <f>M54*K54*$B$16</f>
        <v>69.85897472</v>
      </c>
      <c r="O54" s="11">
        <f>MAX(N54,$B$17)</f>
        <v>151.825</v>
      </c>
      <c r="P54" s="15">
        <f>ROUNDUP(O54/$B$13,0)</f>
        <v>2</v>
      </c>
      <c r="Q54" s="12">
        <f>O54*$B$5/(0.85*$B$4*K54)</f>
        <v>3.349080882</v>
      </c>
      <c r="R54" s="16" t="str">
        <f>IF(Q54&lt;=$B$9*1000,"Si (T)","revisar")</f>
        <v>Si (T)</v>
      </c>
      <c r="S54" s="13">
        <f>H54*1000000/(0.9*$B$7*1000*$B$16^2)</f>
        <v>0.8995629881</v>
      </c>
      <c r="T54" s="14">
        <f>(0.85*$B$4/$B$5)*(1-SQRT(1-2*S54/(0.85*$B$4)))</f>
        <v>0.002183899739</v>
      </c>
      <c r="U54" s="11">
        <f>T54*$B$7*1000*$B$16</f>
        <v>99.47117335</v>
      </c>
      <c r="V54" s="11">
        <f>MAX(U54,$B$17)</f>
        <v>151.825</v>
      </c>
      <c r="W54" s="15">
        <f>ROUNDUP(V54/$B$13,0)</f>
        <v>2</v>
      </c>
      <c r="X54" s="16" t="str">
        <f>IF(J54&lt;=$B$18,"No requiere","Requiere")</f>
        <v>No requiere</v>
      </c>
      <c r="Y54" s="13">
        <f>D54/IF(C54="1EC",18.5,IF(C54="2EC",21,8))</f>
        <v>0.1756756757</v>
      </c>
      <c r="Z54" s="16" t="str">
        <f>IF($B$8&gt;=Y54,"CUMPLE","REVISAR")</f>
        <v>CUMPLE</v>
      </c>
    </row>
    <row r="55">
      <c r="A55" s="7" t="inlineStr">
        <is>
          <t>VIGUETA 4</t>
        </is>
      </c>
      <c r="B55" s="8" t="n">
        <v>2</v>
      </c>
      <c r="C55" s="7" t="inlineStr">
        <is>
          <t>2EC</t>
        </is>
      </c>
      <c r="D55" s="9" t="n">
        <v>2.2</v>
      </c>
      <c r="E55" s="10">
        <f>$B$15</f>
        <v>10.60096</v>
      </c>
      <c r="F55" s="11">
        <f>IF(C55="1EC",10,IF(C55="2EC",11,2))</f>
        <v>11</v>
      </c>
      <c r="G55" s="11">
        <f>IF(C55="1EC",14,IF(C55="2EC",16,0))</f>
        <v>16</v>
      </c>
      <c r="H55" s="12">
        <f>E55*D55^2/F55</f>
        <v>4.6644224</v>
      </c>
      <c r="I55" s="12">
        <f>IF(C55="V",0,E55*D55^2/G55)</f>
        <v>3.2067904</v>
      </c>
      <c r="J55" s="12">
        <f>IF(C55="V",E55*D55,IF(C55="1EC",1.15,1)*E55*D55/2)</f>
        <v>11.661056</v>
      </c>
      <c r="K55" s="11">
        <f>MIN(D55*1000/4,$B$7*1000+16*$B$9*1000,$B$10*1000)</f>
        <v>550</v>
      </c>
      <c r="L55" s="13">
        <f>I55*1000000/(0.9*K55*$B$16^2)</f>
        <v>0.07026172451</v>
      </c>
      <c r="M55" s="14">
        <f>(0.85*$B$4/$B$5)*(1-SQRT(1-2*L55/(0.85*$B$4)))</f>
        <v>0.0001675374862</v>
      </c>
      <c r="N55" s="11">
        <f>M55*K55*$B$16</f>
        <v>27.98001673</v>
      </c>
      <c r="O55" s="11">
        <f>MAX(N55,$B$17)</f>
        <v>151.825</v>
      </c>
      <c r="P55" s="15">
        <f>ROUNDUP(O55/$B$13,0)</f>
        <v>2</v>
      </c>
      <c r="Q55" s="12">
        <f>O55*$B$5/(0.85*$B$4*K55)</f>
        <v>4.871390374</v>
      </c>
      <c r="R55" s="16" t="str">
        <f>IF(Q55&lt;=$B$9*1000,"Si (T)","revisar")</f>
        <v>Si (T)</v>
      </c>
      <c r="S55" s="13">
        <f>H55*1000000/(0.9*$B$7*1000*$B$16^2)</f>
        <v>0.3747291974</v>
      </c>
      <c r="T55" s="14">
        <f>(0.85*$B$4/$B$5)*(1-SQRT(1-2*S55/(0.85*$B$4)))</f>
        <v>0.0008993490995</v>
      </c>
      <c r="U55" s="11">
        <f>T55*$B$7*1000*$B$16</f>
        <v>40.96310311</v>
      </c>
      <c r="V55" s="11">
        <f>MAX(U55,$B$17)</f>
        <v>151.825</v>
      </c>
      <c r="W55" s="15">
        <f>ROUNDUP(V55/$B$13,0)</f>
        <v>2</v>
      </c>
      <c r="X55" s="16" t="str">
        <f>IF(J55&lt;=$B$18,"No requiere","Requiere")</f>
        <v>No requiere</v>
      </c>
      <c r="Y55" s="13">
        <f>D55/IF(C55="1EC",18.5,IF(C55="2EC",21,8))</f>
        <v>0.1047619048</v>
      </c>
      <c r="Z55" s="16" t="str">
        <f>IF($B$8&gt;=Y55,"CUMPLE","REVISAR")</f>
        <v>CUMPLE</v>
      </c>
    </row>
    <row r="56">
      <c r="A56" s="7" t="inlineStr">
        <is>
          <t>VIGUETA 4</t>
        </is>
      </c>
      <c r="B56" s="8" t="n">
        <v>3</v>
      </c>
      <c r="C56" s="7" t="inlineStr">
        <is>
          <t>2EC</t>
        </is>
      </c>
      <c r="D56" s="9" t="n">
        <v>2.1</v>
      </c>
      <c r="E56" s="10">
        <f>$B$15</f>
        <v>10.60096</v>
      </c>
      <c r="F56" s="11">
        <f>IF(C56="1EC",10,IF(C56="2EC",11,2))</f>
        <v>11</v>
      </c>
      <c r="G56" s="11">
        <f>IF(C56="1EC",14,IF(C56="2EC",16,0))</f>
        <v>16</v>
      </c>
      <c r="H56" s="12">
        <f>E56*D56^2/F56</f>
        <v>4.250021236</v>
      </c>
      <c r="I56" s="12">
        <f>IF(C56="V",0,E56*D56^2/G56)</f>
        <v>2.9218896</v>
      </c>
      <c r="J56" s="12">
        <f>IF(C56="V",E56*D56,IF(C56="1EC",1.15,1)*E56*D56/2)</f>
        <v>11.131008</v>
      </c>
      <c r="K56" s="11">
        <f>MIN(D56*1000/4,$B$7*1000+16*$B$9*1000,$B$10*1000)</f>
        <v>525</v>
      </c>
      <c r="L56" s="13">
        <f>I56*1000000/(0.9*K56*$B$16^2)</f>
        <v>0.06706800976</v>
      </c>
      <c r="M56" s="14">
        <f>(0.85*$B$4/$B$5)*(1-SQRT(1-2*L56/(0.85*$B$4)))</f>
        <v>0.0001599113697</v>
      </c>
      <c r="N56" s="11">
        <f>M56*K56*$B$16</f>
        <v>25.49247089</v>
      </c>
      <c r="O56" s="11">
        <f>MAX(N56,$B$17)</f>
        <v>151.825</v>
      </c>
      <c r="P56" s="15">
        <f>ROUNDUP(O56/$B$13,0)</f>
        <v>2</v>
      </c>
      <c r="Q56" s="12">
        <f>O56*$B$5/(0.85*$B$4*K56)</f>
        <v>5.103361345</v>
      </c>
      <c r="R56" s="16" t="str">
        <f>IF(Q56&lt;=$B$9*1000,"Si (T)","revisar")</f>
        <v>Si (T)</v>
      </c>
      <c r="S56" s="13">
        <f>H56*1000000/(0.9*$B$7*1000*$B$16^2)</f>
        <v>0.3414371406</v>
      </c>
      <c r="T56" s="14">
        <f>(0.85*$B$4/$B$5)*(1-SQRT(1-2*S56/(0.85*$B$4)))</f>
        <v>0.0008188620588</v>
      </c>
      <c r="U56" s="11">
        <f>T56*$B$7*1000*$B$16</f>
        <v>37.29711962</v>
      </c>
      <c r="V56" s="11">
        <f>MAX(U56,$B$17)</f>
        <v>151.825</v>
      </c>
      <c r="W56" s="15">
        <f>ROUNDUP(V56/$B$13,0)</f>
        <v>2</v>
      </c>
      <c r="X56" s="16" t="str">
        <f>IF(J56&lt;=$B$18,"No requiere","Requiere")</f>
        <v>No requiere</v>
      </c>
      <c r="Y56" s="13">
        <f>D56/IF(C56="1EC",18.5,IF(C56="2EC",21,8))</f>
        <v>0.1</v>
      </c>
      <c r="Z56" s="16" t="str">
        <f>IF($B$8&gt;=Y56,"CUMPLE","REVISAR")</f>
        <v>CUMPLE</v>
      </c>
    </row>
    <row r="57">
      <c r="A57" s="7" t="inlineStr">
        <is>
          <t>VIGUETA 4</t>
        </is>
      </c>
      <c r="B57" s="8" t="n">
        <v>4</v>
      </c>
      <c r="C57" s="7" t="inlineStr">
        <is>
          <t>1EC</t>
        </is>
      </c>
      <c r="D57" s="9" t="n">
        <v>3.6</v>
      </c>
      <c r="E57" s="10">
        <f>$B$15</f>
        <v>10.60096</v>
      </c>
      <c r="F57" s="11">
        <f>IF(C57="1EC",10,IF(C57="2EC",11,2))</f>
        <v>10</v>
      </c>
      <c r="G57" s="11">
        <f>IF(C57="1EC",14,IF(C57="2EC",16,0))</f>
        <v>14</v>
      </c>
      <c r="H57" s="12">
        <f>E57*D57^2/F57</f>
        <v>13.73884416</v>
      </c>
      <c r="I57" s="12">
        <f>IF(C57="V",0,E57*D57^2/G57)</f>
        <v>9.813460114</v>
      </c>
      <c r="J57" s="12">
        <f>IF(C57="V",E57*D57,IF(C57="1EC",1.15,1)*E57*D57/2)</f>
        <v>21.9439872</v>
      </c>
      <c r="K57" s="11">
        <f>MIN(D57*1000/4,$B$7*1000+16*$B$9*1000,$B$10*1000)</f>
        <v>800</v>
      </c>
      <c r="L57" s="13">
        <f>I57*1000000/(0.9*K57*$B$16^2)</f>
        <v>0.1478233685</v>
      </c>
      <c r="M57" s="14">
        <f>(0.85*$B$4/$B$5)*(1-SQRT(1-2*L57/(0.85*$B$4)))</f>
        <v>0.0003530602677</v>
      </c>
      <c r="N57" s="11">
        <f>M57*K57*$B$16</f>
        <v>85.76540023</v>
      </c>
      <c r="O57" s="11">
        <f>MAX(N57,$B$17)</f>
        <v>151.825</v>
      </c>
      <c r="P57" s="15">
        <f>ROUNDUP(O57/$B$13,0)</f>
        <v>2</v>
      </c>
      <c r="Q57" s="12">
        <f>O57*$B$5/(0.85*$B$4*K57)</f>
        <v>3.349080882</v>
      </c>
      <c r="R57" s="16" t="str">
        <f>IF(Q57&lt;=$B$9*1000,"Si (T)","revisar")</f>
        <v>Si (T)</v>
      </c>
      <c r="S57" s="13">
        <f>H57*1000000/(0.9*$B$7*1000*$B$16^2)</f>
        <v>1.103747818</v>
      </c>
      <c r="T57" s="14">
        <f>(0.85*$B$4/$B$5)*(1-SQRT(1-2*S57/(0.85*$B$4)))</f>
        <v>0.002691909619</v>
      </c>
      <c r="U57" s="11">
        <f>T57*$B$7*1000*$B$16</f>
        <v>122.6097534</v>
      </c>
      <c r="V57" s="11">
        <f>MAX(U57,$B$17)</f>
        <v>151.825</v>
      </c>
      <c r="W57" s="15">
        <f>ROUNDUP(V57/$B$13,0)</f>
        <v>2</v>
      </c>
      <c r="X57" s="16" t="str">
        <f>IF(J57&lt;=$B$18,"No requiere","Requiere")</f>
        <v>No requiere</v>
      </c>
      <c r="Y57" s="13">
        <f>D57/IF(C57="1EC",18.5,IF(C57="2EC",21,8))</f>
        <v>0.1945945946</v>
      </c>
      <c r="Z57" s="16" t="str">
        <f>IF($B$8&gt;=Y57,"CUMPLE","REVISAR")</f>
        <v>CUMPLE</v>
      </c>
    </row>
    <row r="58">
      <c r="A58" s="7" t="inlineStr">
        <is>
          <t>VIGUETA 5</t>
        </is>
      </c>
      <c r="B58" s="8" t="n">
        <v>1</v>
      </c>
      <c r="C58" s="7" t="inlineStr">
        <is>
          <t>1EC</t>
        </is>
      </c>
      <c r="D58" s="9" t="n">
        <v>2.2</v>
      </c>
      <c r="E58" s="10">
        <f>$B$15</f>
        <v>10.60096</v>
      </c>
      <c r="F58" s="11">
        <f>IF(C58="1EC",10,IF(C58="2EC",11,2))</f>
        <v>10</v>
      </c>
      <c r="G58" s="11">
        <f>IF(C58="1EC",14,IF(C58="2EC",16,0))</f>
        <v>14</v>
      </c>
      <c r="H58" s="12">
        <f>E58*D58^2/F58</f>
        <v>5.13086464</v>
      </c>
      <c r="I58" s="12">
        <f>IF(C58="V",0,E58*D58^2/G58)</f>
        <v>3.664903314</v>
      </c>
      <c r="J58" s="12">
        <f>IF(C58="V",E58*D58,IF(C58="1EC",1.15,1)*E58*D58/2)</f>
        <v>13.4102144</v>
      </c>
      <c r="K58" s="11">
        <f>MIN(D58*1000/4,$B$7*1000+16*$B$9*1000,$B$10*1000)</f>
        <v>550</v>
      </c>
      <c r="L58" s="13">
        <f>I58*1000000/(0.9*K58*$B$16^2)</f>
        <v>0.08029911373</v>
      </c>
      <c r="M58" s="14">
        <f>(0.85*$B$4/$B$5)*(1-SQRT(1-2*L58/(0.85*$B$4)))</f>
        <v>0.0001915119852</v>
      </c>
      <c r="N58" s="11">
        <f>M58*K58*$B$16</f>
        <v>31.98393787</v>
      </c>
      <c r="O58" s="11">
        <f>MAX(N58,$B$17)</f>
        <v>151.825</v>
      </c>
      <c r="P58" s="15">
        <f>ROUNDUP(O58/$B$13,0)</f>
        <v>2</v>
      </c>
      <c r="Q58" s="12">
        <f>O58*$B$5/(0.85*$B$4*K58)</f>
        <v>4.871390374</v>
      </c>
      <c r="R58" s="16" t="str">
        <f>IF(Q58&lt;=$B$9*1000,"Si (T)","revisar")</f>
        <v>Si (T)</v>
      </c>
      <c r="S58" s="13">
        <f>H58*1000000/(0.9*$B$7*1000*$B$16^2)</f>
        <v>0.4122021171</v>
      </c>
      <c r="T58" s="14">
        <f>(0.85*$B$4/$B$5)*(1-SQRT(1-2*S58/(0.85*$B$4)))</f>
        <v>0.0009900830036</v>
      </c>
      <c r="U58" s="11">
        <f>T58*$B$7*1000*$B$16</f>
        <v>45.09580561</v>
      </c>
      <c r="V58" s="11">
        <f>MAX(U58,$B$17)</f>
        <v>151.825</v>
      </c>
      <c r="W58" s="15">
        <f>ROUNDUP(V58/$B$13,0)</f>
        <v>2</v>
      </c>
      <c r="X58" s="16" t="str">
        <f>IF(J58&lt;=$B$18,"No requiere","Requiere")</f>
        <v>No requiere</v>
      </c>
      <c r="Y58" s="13">
        <f>D58/IF(C58="1EC",18.5,IF(C58="2EC",21,8))</f>
        <v>0.1189189189</v>
      </c>
      <c r="Z58" s="16" t="str">
        <f>IF($B$8&gt;=Y58,"CUMPLE","REVISAR")</f>
        <v>CUMPLE</v>
      </c>
    </row>
    <row r="59">
      <c r="A59" s="7" t="inlineStr">
        <is>
          <t>VIGUETA 5</t>
        </is>
      </c>
      <c r="B59" s="8" t="n">
        <v>2</v>
      </c>
      <c r="C59" s="7" t="inlineStr">
        <is>
          <t>2EC</t>
        </is>
      </c>
      <c r="D59" s="9" t="n">
        <v>3.25</v>
      </c>
      <c r="E59" s="10">
        <f>$B$15</f>
        <v>10.60096</v>
      </c>
      <c r="F59" s="11">
        <f>IF(C59="1EC",10,IF(C59="2EC",11,2))</f>
        <v>11</v>
      </c>
      <c r="G59" s="11">
        <f>IF(C59="1EC",14,IF(C59="2EC",16,0))</f>
        <v>16</v>
      </c>
      <c r="H59" s="12">
        <f>E59*D59^2/F59</f>
        <v>10.17933091</v>
      </c>
      <c r="I59" s="12">
        <f>IF(C59="V",0,E59*D59^2/G59)</f>
        <v>6.99829</v>
      </c>
      <c r="J59" s="12">
        <f>IF(C59="V",E59*D59,IF(C59="1EC",1.15,1)*E59*D59/2)</f>
        <v>17.22656</v>
      </c>
      <c r="K59" s="11">
        <f>MIN(D59*1000/4,$B$7*1000+16*$B$9*1000,$B$10*1000)</f>
        <v>800</v>
      </c>
      <c r="L59" s="13">
        <f>I59*1000000/(0.9*K59*$B$16^2)</f>
        <v>0.1054175377</v>
      </c>
      <c r="M59" s="14">
        <f>(0.85*$B$4/$B$5)*(1-SQRT(1-2*L59/(0.85*$B$4)))</f>
        <v>0.0002515524783</v>
      </c>
      <c r="N59" s="11">
        <f>M59*K59*$B$16</f>
        <v>61.10712803</v>
      </c>
      <c r="O59" s="11">
        <f>MAX(N59,$B$17)</f>
        <v>151.825</v>
      </c>
      <c r="P59" s="15">
        <f>ROUNDUP(O59/$B$13,0)</f>
        <v>2</v>
      </c>
      <c r="Q59" s="12">
        <f>O59*$B$5/(0.85*$B$4*K59)</f>
        <v>3.349080882</v>
      </c>
      <c r="R59" s="16" t="str">
        <f>IF(Q59&lt;=$B$9*1000,"Si (T)","revisar")</f>
        <v>Si (T)</v>
      </c>
      <c r="S59" s="13">
        <f>H59*1000000/(0.9*$B$7*1000*$B$16^2)</f>
        <v>0.8177845346</v>
      </c>
      <c r="T59" s="14">
        <f>(0.85*$B$4/$B$5)*(1-SQRT(1-2*S59/(0.85*$B$4)))</f>
        <v>0.001981759299</v>
      </c>
      <c r="U59" s="11">
        <f>T59*$B$7*1000*$B$16</f>
        <v>90.26418166</v>
      </c>
      <c r="V59" s="11">
        <f>MAX(U59,$B$17)</f>
        <v>151.825</v>
      </c>
      <c r="W59" s="15">
        <f>ROUNDUP(V59/$B$13,0)</f>
        <v>2</v>
      </c>
      <c r="X59" s="16" t="str">
        <f>IF(J59&lt;=$B$18,"No requiere","Requiere")</f>
        <v>No requiere</v>
      </c>
      <c r="Y59" s="13">
        <f>D59/IF(C59="1EC",18.5,IF(C59="2EC",21,8))</f>
        <v>0.1547619048</v>
      </c>
      <c r="Z59" s="16" t="str">
        <f>IF($B$8&gt;=Y59,"CUMPLE","REVISAR")</f>
        <v>CUMPLE</v>
      </c>
    </row>
    <row r="60">
      <c r="A60" s="7" t="inlineStr">
        <is>
          <t>VIGUETA 5</t>
        </is>
      </c>
      <c r="B60" s="8" t="n">
        <v>3</v>
      </c>
      <c r="C60" s="7" t="inlineStr">
        <is>
          <t>2EC</t>
        </is>
      </c>
      <c r="D60" s="9" t="n">
        <v>2.2</v>
      </c>
      <c r="E60" s="10">
        <f>$B$15</f>
        <v>10.60096</v>
      </c>
      <c r="F60" s="11">
        <f>IF(C60="1EC",10,IF(C60="2EC",11,2))</f>
        <v>11</v>
      </c>
      <c r="G60" s="11">
        <f>IF(C60="1EC",14,IF(C60="2EC",16,0))</f>
        <v>16</v>
      </c>
      <c r="H60" s="12">
        <f>E60*D60^2/F60</f>
        <v>4.6644224</v>
      </c>
      <c r="I60" s="12">
        <f>IF(C60="V",0,E60*D60^2/G60)</f>
        <v>3.2067904</v>
      </c>
      <c r="J60" s="12">
        <f>IF(C60="V",E60*D60,IF(C60="1EC",1.15,1)*E60*D60/2)</f>
        <v>11.661056</v>
      </c>
      <c r="K60" s="11">
        <f>MIN(D60*1000/4,$B$7*1000+16*$B$9*1000,$B$10*1000)</f>
        <v>550</v>
      </c>
      <c r="L60" s="13">
        <f>I60*1000000/(0.9*K60*$B$16^2)</f>
        <v>0.07026172451</v>
      </c>
      <c r="M60" s="14">
        <f>(0.85*$B$4/$B$5)*(1-SQRT(1-2*L60/(0.85*$B$4)))</f>
        <v>0.0001675374862</v>
      </c>
      <c r="N60" s="11">
        <f>M60*K60*$B$16</f>
        <v>27.98001673</v>
      </c>
      <c r="O60" s="11">
        <f>MAX(N60,$B$17)</f>
        <v>151.825</v>
      </c>
      <c r="P60" s="15">
        <f>ROUNDUP(O60/$B$13,0)</f>
        <v>2</v>
      </c>
      <c r="Q60" s="12">
        <f>O60*$B$5/(0.85*$B$4*K60)</f>
        <v>4.871390374</v>
      </c>
      <c r="R60" s="16" t="str">
        <f>IF(Q60&lt;=$B$9*1000,"Si (T)","revisar")</f>
        <v>Si (T)</v>
      </c>
      <c r="S60" s="13">
        <f>H60*1000000/(0.9*$B$7*1000*$B$16^2)</f>
        <v>0.3747291974</v>
      </c>
      <c r="T60" s="14">
        <f>(0.85*$B$4/$B$5)*(1-SQRT(1-2*S60/(0.85*$B$4)))</f>
        <v>0.0008993490995</v>
      </c>
      <c r="U60" s="11">
        <f>T60*$B$7*1000*$B$16</f>
        <v>40.96310311</v>
      </c>
      <c r="V60" s="11">
        <f>MAX(U60,$B$17)</f>
        <v>151.825</v>
      </c>
      <c r="W60" s="15">
        <f>ROUNDUP(V60/$B$13,0)</f>
        <v>2</v>
      </c>
      <c r="X60" s="16" t="str">
        <f>IF(J60&lt;=$B$18,"No requiere","Requiere")</f>
        <v>No requiere</v>
      </c>
      <c r="Y60" s="13">
        <f>D60/IF(C60="1EC",18.5,IF(C60="2EC",21,8))</f>
        <v>0.1047619048</v>
      </c>
      <c r="Z60" s="16" t="str">
        <f>IF($B$8&gt;=Y60,"CUMPLE","REVISAR")</f>
        <v>CUMPLE</v>
      </c>
    </row>
    <row r="61">
      <c r="A61" s="7" t="inlineStr">
        <is>
          <t>VIGUETA 5</t>
        </is>
      </c>
      <c r="B61" s="8" t="n">
        <v>4</v>
      </c>
      <c r="C61" s="7" t="inlineStr">
        <is>
          <t>2EC</t>
        </is>
      </c>
      <c r="D61" s="9" t="n">
        <v>2.1</v>
      </c>
      <c r="E61" s="10">
        <f>$B$15</f>
        <v>10.60096</v>
      </c>
      <c r="F61" s="11">
        <f>IF(C61="1EC",10,IF(C61="2EC",11,2))</f>
        <v>11</v>
      </c>
      <c r="G61" s="11">
        <f>IF(C61="1EC",14,IF(C61="2EC",16,0))</f>
        <v>16</v>
      </c>
      <c r="H61" s="12">
        <f>E61*D61^2/F61</f>
        <v>4.250021236</v>
      </c>
      <c r="I61" s="12">
        <f>IF(C61="V",0,E61*D61^2/G61)</f>
        <v>2.9218896</v>
      </c>
      <c r="J61" s="12">
        <f>IF(C61="V",E61*D61,IF(C61="1EC",1.15,1)*E61*D61/2)</f>
        <v>11.131008</v>
      </c>
      <c r="K61" s="11">
        <f>MIN(D61*1000/4,$B$7*1000+16*$B$9*1000,$B$10*1000)</f>
        <v>525</v>
      </c>
      <c r="L61" s="13">
        <f>I61*1000000/(0.9*K61*$B$16^2)</f>
        <v>0.06706800976</v>
      </c>
      <c r="M61" s="14">
        <f>(0.85*$B$4/$B$5)*(1-SQRT(1-2*L61/(0.85*$B$4)))</f>
        <v>0.0001599113697</v>
      </c>
      <c r="N61" s="11">
        <f>M61*K61*$B$16</f>
        <v>25.49247089</v>
      </c>
      <c r="O61" s="11">
        <f>MAX(N61,$B$17)</f>
        <v>151.825</v>
      </c>
      <c r="P61" s="15">
        <f>ROUNDUP(O61/$B$13,0)</f>
        <v>2</v>
      </c>
      <c r="Q61" s="12">
        <f>O61*$B$5/(0.85*$B$4*K61)</f>
        <v>5.103361345</v>
      </c>
      <c r="R61" s="16" t="str">
        <f>IF(Q61&lt;=$B$9*1000,"Si (T)","revisar")</f>
        <v>Si (T)</v>
      </c>
      <c r="S61" s="13">
        <f>H61*1000000/(0.9*$B$7*1000*$B$16^2)</f>
        <v>0.3414371406</v>
      </c>
      <c r="T61" s="14">
        <f>(0.85*$B$4/$B$5)*(1-SQRT(1-2*S61/(0.85*$B$4)))</f>
        <v>0.0008188620588</v>
      </c>
      <c r="U61" s="11">
        <f>T61*$B$7*1000*$B$16</f>
        <v>37.29711962</v>
      </c>
      <c r="V61" s="11">
        <f>MAX(U61,$B$17)</f>
        <v>151.825</v>
      </c>
      <c r="W61" s="15">
        <f>ROUNDUP(V61/$B$13,0)</f>
        <v>2</v>
      </c>
      <c r="X61" s="16" t="str">
        <f>IF(J61&lt;=$B$18,"No requiere","Requiere")</f>
        <v>No requiere</v>
      </c>
      <c r="Y61" s="13">
        <f>D61/IF(C61="1EC",18.5,IF(C61="2EC",21,8))</f>
        <v>0.1</v>
      </c>
      <c r="Z61" s="16" t="str">
        <f>IF($B$8&gt;=Y61,"CUMPLE","REVISAR")</f>
        <v>CUMPLE</v>
      </c>
    </row>
    <row r="62">
      <c r="A62" s="7" t="inlineStr">
        <is>
          <t>VIGUETA 5</t>
        </is>
      </c>
      <c r="B62" s="8" t="n">
        <v>5</v>
      </c>
      <c r="C62" s="7" t="inlineStr">
        <is>
          <t>2EC</t>
        </is>
      </c>
      <c r="D62" s="9" t="n">
        <v>3.8</v>
      </c>
      <c r="E62" s="10">
        <f>$B$15</f>
        <v>10.60096</v>
      </c>
      <c r="F62" s="11">
        <f>IF(C62="1EC",10,IF(C62="2EC",11,2))</f>
        <v>11</v>
      </c>
      <c r="G62" s="11">
        <f>IF(C62="1EC",14,IF(C62="2EC",16,0))</f>
        <v>16</v>
      </c>
      <c r="H62" s="12">
        <f>E62*D62^2/F62</f>
        <v>13.91616931</v>
      </c>
      <c r="I62" s="12">
        <f>IF(C62="V",0,E62*D62^2/G62)</f>
        <v>9.5673664</v>
      </c>
      <c r="J62" s="12">
        <f>IF(C62="V",E62*D62,IF(C62="1EC",1.15,1)*E62*D62/2)</f>
        <v>20.141824</v>
      </c>
      <c r="K62" s="11">
        <f>MIN(D62*1000/4,$B$7*1000+16*$B$9*1000,$B$10*1000)</f>
        <v>800</v>
      </c>
      <c r="L62" s="13">
        <f>I62*1000000/(0.9*K62*$B$16^2)</f>
        <v>0.1441163781</v>
      </c>
      <c r="M62" s="14">
        <f>(0.85*$B$4/$B$5)*(1-SQRT(1-2*L62/(0.85*$B$4)))</f>
        <v>0.0003441794645</v>
      </c>
      <c r="N62" s="11">
        <f>M62*K62*$B$16</f>
        <v>83.60807552</v>
      </c>
      <c r="O62" s="11">
        <f>MAX(N62,$B$17)</f>
        <v>151.825</v>
      </c>
      <c r="P62" s="15">
        <f>ROUNDUP(O62/$B$13,0)</f>
        <v>2</v>
      </c>
      <c r="Q62" s="12">
        <f>O62*$B$5/(0.85*$B$4*K62)</f>
        <v>3.349080882</v>
      </c>
      <c r="R62" s="16" t="str">
        <f>IF(Q62&lt;=$B$9*1000,"Si (T)","revisar")</f>
        <v>Si (T)</v>
      </c>
      <c r="S62" s="13">
        <f>H62*1000000/(0.9*$B$7*1000*$B$16^2)</f>
        <v>1.117993721</v>
      </c>
      <c r="T62" s="14">
        <f>(0.85*$B$4/$B$5)*(1-SQRT(1-2*S62/(0.85*$B$4)))</f>
        <v>0.002727531841</v>
      </c>
      <c r="U62" s="11">
        <f>T62*$B$7*1000*$B$16</f>
        <v>124.2322565</v>
      </c>
      <c r="V62" s="11">
        <f>MAX(U62,$B$17)</f>
        <v>151.825</v>
      </c>
      <c r="W62" s="15">
        <f>ROUNDUP(V62/$B$13,0)</f>
        <v>2</v>
      </c>
      <c r="X62" s="16" t="str">
        <f>IF(J62&lt;=$B$18,"No requiere","Requiere")</f>
        <v>No requiere</v>
      </c>
      <c r="Y62" s="13">
        <f>D62/IF(C62="1EC",18.5,IF(C62="2EC",21,8))</f>
        <v>0.180952381</v>
      </c>
      <c r="Z62" s="16" t="str">
        <f>IF($B$8&gt;=Y62,"CUMPLE","REVISAR")</f>
        <v>CUMPLE</v>
      </c>
    </row>
    <row r="63">
      <c r="A63" s="7" t="inlineStr">
        <is>
          <t>VIGUETA 5</t>
        </is>
      </c>
      <c r="B63" s="8" t="n">
        <v>6</v>
      </c>
      <c r="C63" s="7" t="inlineStr">
        <is>
          <t>2EC</t>
        </is>
      </c>
      <c r="D63" s="9" t="n">
        <v>2.4</v>
      </c>
      <c r="E63" s="10">
        <f>$B$15</f>
        <v>10.60096</v>
      </c>
      <c r="F63" s="11">
        <f>IF(C63="1EC",10,IF(C63="2EC",11,2))</f>
        <v>11</v>
      </c>
      <c r="G63" s="11">
        <f>IF(C63="1EC",14,IF(C63="2EC",16,0))</f>
        <v>16</v>
      </c>
      <c r="H63" s="12">
        <f>E63*D63^2/F63</f>
        <v>5.551048145</v>
      </c>
      <c r="I63" s="12">
        <f>IF(C63="V",0,E63*D63^2/G63)</f>
        <v>3.8163456</v>
      </c>
      <c r="J63" s="12">
        <f>IF(C63="V",E63*D63,IF(C63="1EC",1.15,1)*E63*D63/2)</f>
        <v>12.721152</v>
      </c>
      <c r="K63" s="11">
        <f>MIN(D63*1000/4,$B$7*1000+16*$B$9*1000,$B$10*1000)</f>
        <v>600</v>
      </c>
      <c r="L63" s="13">
        <f>I63*1000000/(0.9*K63*$B$16^2)</f>
        <v>0.07664915401</v>
      </c>
      <c r="M63" s="14">
        <f>(0.85*$B$4/$B$5)*(1-SQRT(1-2*L63/(0.85*$B$4)))</f>
        <v>0.0001827928082</v>
      </c>
      <c r="N63" s="11">
        <f>M63*K63*$B$16</f>
        <v>33.30302172</v>
      </c>
      <c r="O63" s="11">
        <f>MAX(N63,$B$17)</f>
        <v>151.825</v>
      </c>
      <c r="P63" s="15">
        <f>ROUNDUP(O63/$B$13,0)</f>
        <v>2</v>
      </c>
      <c r="Q63" s="12">
        <f>O63*$B$5/(0.85*$B$4*K63)</f>
        <v>4.465441176</v>
      </c>
      <c r="R63" s="16" t="str">
        <f>IF(Q63&lt;=$B$9*1000,"Si (T)","revisar")</f>
        <v>Si (T)</v>
      </c>
      <c r="S63" s="13">
        <f>H63*1000000/(0.9*$B$7*1000*$B$16^2)</f>
        <v>0.4459587142</v>
      </c>
      <c r="T63" s="14">
        <f>(0.85*$B$4/$B$5)*(1-SQRT(1-2*S63/(0.85*$B$4)))</f>
        <v>0.001071945286</v>
      </c>
      <c r="U63" s="11">
        <f>T63*$B$7*1000*$B$16</f>
        <v>48.82442793</v>
      </c>
      <c r="V63" s="11">
        <f>MAX(U63,$B$17)</f>
        <v>151.825</v>
      </c>
      <c r="W63" s="15">
        <f>ROUNDUP(V63/$B$13,0)</f>
        <v>2</v>
      </c>
      <c r="X63" s="16" t="str">
        <f>IF(J63&lt;=$B$18,"No requiere","Requiere")</f>
        <v>No requiere</v>
      </c>
      <c r="Y63" s="13">
        <f>D63/IF(C63="1EC",18.5,IF(C63="2EC",21,8))</f>
        <v>0.1142857143</v>
      </c>
      <c r="Z63" s="16" t="str">
        <f>IF($B$8&gt;=Y63,"CUMPLE","REVISAR")</f>
        <v>CUMPLE</v>
      </c>
    </row>
    <row r="64">
      <c r="A64" s="7" t="inlineStr">
        <is>
          <t>VIGUETA 5</t>
        </is>
      </c>
      <c r="B64" s="8" t="n">
        <v>7</v>
      </c>
      <c r="C64" s="7" t="inlineStr">
        <is>
          <t>2EC</t>
        </is>
      </c>
      <c r="D64" s="9" t="n">
        <v>2.3</v>
      </c>
      <c r="E64" s="10">
        <f>$B$15</f>
        <v>10.60096</v>
      </c>
      <c r="F64" s="11">
        <f>IF(C64="1EC",10,IF(C64="2EC",11,2))</f>
        <v>11</v>
      </c>
      <c r="G64" s="11">
        <f>IF(C64="1EC",14,IF(C64="2EC",16,0))</f>
        <v>16</v>
      </c>
      <c r="H64" s="12">
        <f>E64*D64^2/F64</f>
        <v>5.098098036</v>
      </c>
      <c r="I64" s="12">
        <f>IF(C64="V",0,E64*D64^2/G64)</f>
        <v>3.5049424</v>
      </c>
      <c r="J64" s="12">
        <f>IF(C64="V",E64*D64,IF(C64="1EC",1.15,1)*E64*D64/2)</f>
        <v>12.191104</v>
      </c>
      <c r="K64" s="11">
        <f>MIN(D64*1000/4,$B$7*1000+16*$B$9*1000,$B$10*1000)</f>
        <v>575</v>
      </c>
      <c r="L64" s="13">
        <f>I64*1000000/(0.9*K64*$B$16^2)</f>
        <v>0.07345543926</v>
      </c>
      <c r="M64" s="14">
        <f>(0.85*$B$4/$B$5)*(1-SQRT(1-2*L64/(0.85*$B$4)))</f>
        <v>0.0001751646323</v>
      </c>
      <c r="N64" s="11">
        <f>M64*K64*$B$16</f>
        <v>30.58352584</v>
      </c>
      <c r="O64" s="11">
        <f>MAX(N64,$B$17)</f>
        <v>151.825</v>
      </c>
      <c r="P64" s="15">
        <f>ROUNDUP(O64/$B$13,0)</f>
        <v>2</v>
      </c>
      <c r="Q64" s="12">
        <f>O64*$B$5/(0.85*$B$4*K64)</f>
        <v>4.659590793</v>
      </c>
      <c r="R64" s="16" t="str">
        <f>IF(Q64&lt;=$B$9*1000,"Si (T)","revisar")</f>
        <v>Si (T)</v>
      </c>
      <c r="S64" s="13">
        <f>H64*1000000/(0.9*$B$7*1000*$B$16^2)</f>
        <v>0.4095697219</v>
      </c>
      <c r="T64" s="14">
        <f>(0.85*$B$4/$B$5)*(1-SQRT(1-2*S64/(0.85*$B$4)))</f>
        <v>0.000983704306</v>
      </c>
      <c r="U64" s="11">
        <f>T64*$B$7*1000*$B$16</f>
        <v>44.80527188</v>
      </c>
      <c r="V64" s="11">
        <f>MAX(U64,$B$17)</f>
        <v>151.825</v>
      </c>
      <c r="W64" s="15">
        <f>ROUNDUP(V64/$B$13,0)</f>
        <v>2</v>
      </c>
      <c r="X64" s="16" t="str">
        <f>IF(J64&lt;=$B$18,"No requiere","Requiere")</f>
        <v>No requiere</v>
      </c>
      <c r="Y64" s="13">
        <f>D64/IF(C64="1EC",18.5,IF(C64="2EC",21,8))</f>
        <v>0.1095238095</v>
      </c>
      <c r="Z64" s="16" t="str">
        <f>IF($B$8&gt;=Y64,"CUMPLE","REVISAR")</f>
        <v>CUMPLE</v>
      </c>
    </row>
    <row r="65">
      <c r="A65" s="7" t="inlineStr">
        <is>
          <t>VIGUETA 5</t>
        </is>
      </c>
      <c r="B65" s="8" t="n">
        <v>8</v>
      </c>
      <c r="C65" s="7" t="inlineStr">
        <is>
          <t>2EC</t>
        </is>
      </c>
      <c r="D65" s="9" t="n">
        <v>3.8</v>
      </c>
      <c r="E65" s="10">
        <f>$B$15</f>
        <v>10.60096</v>
      </c>
      <c r="F65" s="11">
        <f>IF(C65="1EC",10,IF(C65="2EC",11,2))</f>
        <v>11</v>
      </c>
      <c r="G65" s="11">
        <f>IF(C65="1EC",14,IF(C65="2EC",16,0))</f>
        <v>16</v>
      </c>
      <c r="H65" s="12">
        <f>E65*D65^2/F65</f>
        <v>13.91616931</v>
      </c>
      <c r="I65" s="12">
        <f>IF(C65="V",0,E65*D65^2/G65)</f>
        <v>9.5673664</v>
      </c>
      <c r="J65" s="12">
        <f>IF(C65="V",E65*D65,IF(C65="1EC",1.15,1)*E65*D65/2)</f>
        <v>20.141824</v>
      </c>
      <c r="K65" s="11">
        <f>MIN(D65*1000/4,$B$7*1000+16*$B$9*1000,$B$10*1000)</f>
        <v>800</v>
      </c>
      <c r="L65" s="13">
        <f>I65*1000000/(0.9*K65*$B$16^2)</f>
        <v>0.1441163781</v>
      </c>
      <c r="M65" s="14">
        <f>(0.85*$B$4/$B$5)*(1-SQRT(1-2*L65/(0.85*$B$4)))</f>
        <v>0.0003441794645</v>
      </c>
      <c r="N65" s="11">
        <f>M65*K65*$B$16</f>
        <v>83.60807552</v>
      </c>
      <c r="O65" s="11">
        <f>MAX(N65,$B$17)</f>
        <v>151.825</v>
      </c>
      <c r="P65" s="15">
        <f>ROUNDUP(O65/$B$13,0)</f>
        <v>2</v>
      </c>
      <c r="Q65" s="12">
        <f>O65*$B$5/(0.85*$B$4*K65)</f>
        <v>3.349080882</v>
      </c>
      <c r="R65" s="16" t="str">
        <f>IF(Q65&lt;=$B$9*1000,"Si (T)","revisar")</f>
        <v>Si (T)</v>
      </c>
      <c r="S65" s="13">
        <f>H65*1000000/(0.9*$B$7*1000*$B$16^2)</f>
        <v>1.117993721</v>
      </c>
      <c r="T65" s="14">
        <f>(0.85*$B$4/$B$5)*(1-SQRT(1-2*S65/(0.85*$B$4)))</f>
        <v>0.002727531841</v>
      </c>
      <c r="U65" s="11">
        <f>T65*$B$7*1000*$B$16</f>
        <v>124.2322565</v>
      </c>
      <c r="V65" s="11">
        <f>MAX(U65,$B$17)</f>
        <v>151.825</v>
      </c>
      <c r="W65" s="15">
        <f>ROUNDUP(V65/$B$13,0)</f>
        <v>2</v>
      </c>
      <c r="X65" s="16" t="str">
        <f>IF(J65&lt;=$B$18,"No requiere","Requiere")</f>
        <v>No requiere</v>
      </c>
      <c r="Y65" s="13">
        <f>D65/IF(C65="1EC",18.5,IF(C65="2EC",21,8))</f>
        <v>0.180952381</v>
      </c>
      <c r="Z65" s="16" t="str">
        <f>IF($B$8&gt;=Y65,"CUMPLE","REVISAR")</f>
        <v>CUMPLE</v>
      </c>
    </row>
    <row r="66">
      <c r="A66" s="7" t="inlineStr">
        <is>
          <t>VIGUETA 5</t>
        </is>
      </c>
      <c r="B66" s="8" t="n">
        <v>9</v>
      </c>
      <c r="C66" s="7" t="inlineStr">
        <is>
          <t>2EC</t>
        </is>
      </c>
      <c r="D66" s="9" t="n">
        <v>2.1</v>
      </c>
      <c r="E66" s="10">
        <f>$B$15</f>
        <v>10.60096</v>
      </c>
      <c r="F66" s="11">
        <f>IF(C66="1EC",10,IF(C66="2EC",11,2))</f>
        <v>11</v>
      </c>
      <c r="G66" s="11">
        <f>IF(C66="1EC",14,IF(C66="2EC",16,0))</f>
        <v>16</v>
      </c>
      <c r="H66" s="12">
        <f>E66*D66^2/F66</f>
        <v>4.250021236</v>
      </c>
      <c r="I66" s="12">
        <f>IF(C66="V",0,E66*D66^2/G66)</f>
        <v>2.9218896</v>
      </c>
      <c r="J66" s="12">
        <f>IF(C66="V",E66*D66,IF(C66="1EC",1.15,1)*E66*D66/2)</f>
        <v>11.131008</v>
      </c>
      <c r="K66" s="11">
        <f>MIN(D66*1000/4,$B$7*1000+16*$B$9*1000,$B$10*1000)</f>
        <v>525</v>
      </c>
      <c r="L66" s="13">
        <f>I66*1000000/(0.9*K66*$B$16^2)</f>
        <v>0.06706800976</v>
      </c>
      <c r="M66" s="14">
        <f>(0.85*$B$4/$B$5)*(1-SQRT(1-2*L66/(0.85*$B$4)))</f>
        <v>0.0001599113697</v>
      </c>
      <c r="N66" s="11">
        <f>M66*K66*$B$16</f>
        <v>25.49247089</v>
      </c>
      <c r="O66" s="11">
        <f>MAX(N66,$B$17)</f>
        <v>151.825</v>
      </c>
      <c r="P66" s="15">
        <f>ROUNDUP(O66/$B$13,0)</f>
        <v>2</v>
      </c>
      <c r="Q66" s="12">
        <f>O66*$B$5/(0.85*$B$4*K66)</f>
        <v>5.103361345</v>
      </c>
      <c r="R66" s="16" t="str">
        <f>IF(Q66&lt;=$B$9*1000,"Si (T)","revisar")</f>
        <v>Si (T)</v>
      </c>
      <c r="S66" s="13">
        <f>H66*1000000/(0.9*$B$7*1000*$B$16^2)</f>
        <v>0.3414371406</v>
      </c>
      <c r="T66" s="14">
        <f>(0.85*$B$4/$B$5)*(1-SQRT(1-2*S66/(0.85*$B$4)))</f>
        <v>0.0008188620588</v>
      </c>
      <c r="U66" s="11">
        <f>T66*$B$7*1000*$B$16</f>
        <v>37.29711962</v>
      </c>
      <c r="V66" s="11">
        <f>MAX(U66,$B$17)</f>
        <v>151.825</v>
      </c>
      <c r="W66" s="15">
        <f>ROUNDUP(V66/$B$13,0)</f>
        <v>2</v>
      </c>
      <c r="X66" s="16" t="str">
        <f>IF(J66&lt;=$B$18,"No requiere","Requiere")</f>
        <v>No requiere</v>
      </c>
      <c r="Y66" s="13">
        <f>D66/IF(C66="1EC",18.5,IF(C66="2EC",21,8))</f>
        <v>0.1</v>
      </c>
      <c r="Z66" s="16" t="str">
        <f>IF($B$8&gt;=Y66,"CUMPLE","REVISAR")</f>
        <v>CUMPLE</v>
      </c>
    </row>
    <row r="67">
      <c r="A67" s="7" t="inlineStr">
        <is>
          <t>VIGUETA 5</t>
        </is>
      </c>
      <c r="B67" s="8" t="n">
        <v>10</v>
      </c>
      <c r="C67" s="7" t="inlineStr">
        <is>
          <t>2EC</t>
        </is>
      </c>
      <c r="D67" s="9" t="n">
        <v>2.2</v>
      </c>
      <c r="E67" s="10">
        <f>$B$15</f>
        <v>10.60096</v>
      </c>
      <c r="F67" s="11">
        <f>IF(C67="1EC",10,IF(C67="2EC",11,2))</f>
        <v>11</v>
      </c>
      <c r="G67" s="11">
        <f>IF(C67="1EC",14,IF(C67="2EC",16,0))</f>
        <v>16</v>
      </c>
      <c r="H67" s="12">
        <f>E67*D67^2/F67</f>
        <v>4.6644224</v>
      </c>
      <c r="I67" s="12">
        <f>IF(C67="V",0,E67*D67^2/G67)</f>
        <v>3.2067904</v>
      </c>
      <c r="J67" s="12">
        <f>IF(C67="V",E67*D67,IF(C67="1EC",1.15,1)*E67*D67/2)</f>
        <v>11.661056</v>
      </c>
      <c r="K67" s="11">
        <f>MIN(D67*1000/4,$B$7*1000+16*$B$9*1000,$B$10*1000)</f>
        <v>550</v>
      </c>
      <c r="L67" s="13">
        <f>I67*1000000/(0.9*K67*$B$16^2)</f>
        <v>0.07026172451</v>
      </c>
      <c r="M67" s="14">
        <f>(0.85*$B$4/$B$5)*(1-SQRT(1-2*L67/(0.85*$B$4)))</f>
        <v>0.0001675374862</v>
      </c>
      <c r="N67" s="11">
        <f>M67*K67*$B$16</f>
        <v>27.98001673</v>
      </c>
      <c r="O67" s="11">
        <f>MAX(N67,$B$17)</f>
        <v>151.825</v>
      </c>
      <c r="P67" s="15">
        <f>ROUNDUP(O67/$B$13,0)</f>
        <v>2</v>
      </c>
      <c r="Q67" s="12">
        <f>O67*$B$5/(0.85*$B$4*K67)</f>
        <v>4.871390374</v>
      </c>
      <c r="R67" s="16" t="str">
        <f>IF(Q67&lt;=$B$9*1000,"Si (T)","revisar")</f>
        <v>Si (T)</v>
      </c>
      <c r="S67" s="13">
        <f>H67*1000000/(0.9*$B$7*1000*$B$16^2)</f>
        <v>0.3747291974</v>
      </c>
      <c r="T67" s="14">
        <f>(0.85*$B$4/$B$5)*(1-SQRT(1-2*S67/(0.85*$B$4)))</f>
        <v>0.0008993490995</v>
      </c>
      <c r="U67" s="11">
        <f>T67*$B$7*1000*$B$16</f>
        <v>40.96310311</v>
      </c>
      <c r="V67" s="11">
        <f>MAX(U67,$B$17)</f>
        <v>151.825</v>
      </c>
      <c r="W67" s="15">
        <f>ROUNDUP(V67/$B$13,0)</f>
        <v>2</v>
      </c>
      <c r="X67" s="16" t="str">
        <f>IF(J67&lt;=$B$18,"No requiere","Requiere")</f>
        <v>No requiere</v>
      </c>
      <c r="Y67" s="13">
        <f>D67/IF(C67="1EC",18.5,IF(C67="2EC",21,8))</f>
        <v>0.1047619048</v>
      </c>
      <c r="Z67" s="16" t="str">
        <f>IF($B$8&gt;=Y67,"CUMPLE","REVISAR")</f>
        <v>CUMPLE</v>
      </c>
    </row>
    <row r="68">
      <c r="A68" s="7" t="inlineStr">
        <is>
          <t>VIGUETA 5</t>
        </is>
      </c>
      <c r="B68" s="8" t="n">
        <v>11</v>
      </c>
      <c r="C68" s="7" t="inlineStr">
        <is>
          <t>2EC</t>
        </is>
      </c>
      <c r="D68" s="9" t="n">
        <v>3.25</v>
      </c>
      <c r="E68" s="10">
        <f>$B$15</f>
        <v>10.60096</v>
      </c>
      <c r="F68" s="11">
        <f>IF(C68="1EC",10,IF(C68="2EC",11,2))</f>
        <v>11</v>
      </c>
      <c r="G68" s="11">
        <f>IF(C68="1EC",14,IF(C68="2EC",16,0))</f>
        <v>16</v>
      </c>
      <c r="H68" s="12">
        <f>E68*D68^2/F68</f>
        <v>10.17933091</v>
      </c>
      <c r="I68" s="12">
        <f>IF(C68="V",0,E68*D68^2/G68)</f>
        <v>6.99829</v>
      </c>
      <c r="J68" s="12">
        <f>IF(C68="V",E68*D68,IF(C68="1EC",1.15,1)*E68*D68/2)</f>
        <v>17.22656</v>
      </c>
      <c r="K68" s="11">
        <f>MIN(D68*1000/4,$B$7*1000+16*$B$9*1000,$B$10*1000)</f>
        <v>800</v>
      </c>
      <c r="L68" s="13">
        <f>I68*1000000/(0.9*K68*$B$16^2)</f>
        <v>0.1054175377</v>
      </c>
      <c r="M68" s="14">
        <f>(0.85*$B$4/$B$5)*(1-SQRT(1-2*L68/(0.85*$B$4)))</f>
        <v>0.0002515524783</v>
      </c>
      <c r="N68" s="11">
        <f>M68*K68*$B$16</f>
        <v>61.10712803</v>
      </c>
      <c r="O68" s="11">
        <f>MAX(N68,$B$17)</f>
        <v>151.825</v>
      </c>
      <c r="P68" s="15">
        <f>ROUNDUP(O68/$B$13,0)</f>
        <v>2</v>
      </c>
      <c r="Q68" s="12">
        <f>O68*$B$5/(0.85*$B$4*K68)</f>
        <v>3.349080882</v>
      </c>
      <c r="R68" s="16" t="str">
        <f>IF(Q68&lt;=$B$9*1000,"Si (T)","revisar")</f>
        <v>Si (T)</v>
      </c>
      <c r="S68" s="13">
        <f>H68*1000000/(0.9*$B$7*1000*$B$16^2)</f>
        <v>0.8177845346</v>
      </c>
      <c r="T68" s="14">
        <f>(0.85*$B$4/$B$5)*(1-SQRT(1-2*S68/(0.85*$B$4)))</f>
        <v>0.001981759299</v>
      </c>
      <c r="U68" s="11">
        <f>T68*$B$7*1000*$B$16</f>
        <v>90.26418166</v>
      </c>
      <c r="V68" s="11">
        <f>MAX(U68,$B$17)</f>
        <v>151.825</v>
      </c>
      <c r="W68" s="15">
        <f>ROUNDUP(V68/$B$13,0)</f>
        <v>2</v>
      </c>
      <c r="X68" s="16" t="str">
        <f>IF(J68&lt;=$B$18,"No requiere","Requiere")</f>
        <v>No requiere</v>
      </c>
      <c r="Y68" s="13">
        <f>D68/IF(C68="1EC",18.5,IF(C68="2EC",21,8))</f>
        <v>0.1547619048</v>
      </c>
      <c r="Z68" s="16" t="str">
        <f>IF($B$8&gt;=Y68,"CUMPLE","REVISAR")</f>
        <v>CUMPLE</v>
      </c>
    </row>
    <row r="69">
      <c r="A69" s="7" t="inlineStr">
        <is>
          <t>VIGUETA 5</t>
        </is>
      </c>
      <c r="B69" s="8" t="n">
        <v>12</v>
      </c>
      <c r="C69" s="7" t="inlineStr">
        <is>
          <t>1EC</t>
        </is>
      </c>
      <c r="D69" s="9" t="n">
        <v>2.2</v>
      </c>
      <c r="E69" s="10">
        <f>$B$15</f>
        <v>10.60096</v>
      </c>
      <c r="F69" s="11">
        <f>IF(C69="1EC",10,IF(C69="2EC",11,2))</f>
        <v>10</v>
      </c>
      <c r="G69" s="11">
        <f>IF(C69="1EC",14,IF(C69="2EC",16,0))</f>
        <v>14</v>
      </c>
      <c r="H69" s="12">
        <f>E69*D69^2/F69</f>
        <v>5.13086464</v>
      </c>
      <c r="I69" s="12">
        <f>IF(C69="V",0,E69*D69^2/G69)</f>
        <v>3.664903314</v>
      </c>
      <c r="J69" s="12">
        <f>IF(C69="V",E69*D69,IF(C69="1EC",1.15,1)*E69*D69/2)</f>
        <v>13.4102144</v>
      </c>
      <c r="K69" s="11">
        <f>MIN(D69*1000/4,$B$7*1000+16*$B$9*1000,$B$10*1000)</f>
        <v>550</v>
      </c>
      <c r="L69" s="13">
        <f>I69*1000000/(0.9*K69*$B$16^2)</f>
        <v>0.08029911373</v>
      </c>
      <c r="M69" s="14">
        <f>(0.85*$B$4/$B$5)*(1-SQRT(1-2*L69/(0.85*$B$4)))</f>
        <v>0.0001915119852</v>
      </c>
      <c r="N69" s="11">
        <f>M69*K69*$B$16</f>
        <v>31.98393787</v>
      </c>
      <c r="O69" s="11">
        <f>MAX(N69,$B$17)</f>
        <v>151.825</v>
      </c>
      <c r="P69" s="15">
        <f>ROUNDUP(O69/$B$13,0)</f>
        <v>2</v>
      </c>
      <c r="Q69" s="12">
        <f>O69*$B$5/(0.85*$B$4*K69)</f>
        <v>4.871390374</v>
      </c>
      <c r="R69" s="16" t="str">
        <f>IF(Q69&lt;=$B$9*1000,"Si (T)","revisar")</f>
        <v>Si (T)</v>
      </c>
      <c r="S69" s="13">
        <f>H69*1000000/(0.9*$B$7*1000*$B$16^2)</f>
        <v>0.4122021171</v>
      </c>
      <c r="T69" s="14">
        <f>(0.85*$B$4/$B$5)*(1-SQRT(1-2*S69/(0.85*$B$4)))</f>
        <v>0.0009900830036</v>
      </c>
      <c r="U69" s="11">
        <f>T69*$B$7*1000*$B$16</f>
        <v>45.09580561</v>
      </c>
      <c r="V69" s="11">
        <f>MAX(U69,$B$17)</f>
        <v>151.825</v>
      </c>
      <c r="W69" s="15">
        <f>ROUNDUP(V69/$B$13,0)</f>
        <v>2</v>
      </c>
      <c r="X69" s="16" t="str">
        <f>IF(J69&lt;=$B$18,"No requiere","Requiere")</f>
        <v>No requiere</v>
      </c>
      <c r="Y69" s="13">
        <f>D69/IF(C69="1EC",18.5,IF(C69="2EC",21,8))</f>
        <v>0.1189189189</v>
      </c>
      <c r="Z69" s="16" t="str">
        <f>IF($B$8&gt;=Y69,"CUMPLE","REVISAR")</f>
        <v>CUMPLE</v>
      </c>
    </row>
    <row r="70">
      <c r="A70" s="7" t="inlineStr">
        <is>
          <t>VIGUETA 6</t>
        </is>
      </c>
      <c r="B70" s="8" t="n">
        <v>1</v>
      </c>
      <c r="C70" s="7" t="inlineStr">
        <is>
          <t>V</t>
        </is>
      </c>
      <c r="D70" s="9" t="n">
        <v>1.5</v>
      </c>
      <c r="E70" s="10">
        <f>$B$15</f>
        <v>10.60096</v>
      </c>
      <c r="F70" s="11">
        <f>IF(C70="1EC",10,IF(C70="2EC",11,2))</f>
        <v>2</v>
      </c>
      <c r="G70" s="11">
        <f>IF(C70="1EC",14,IF(C70="2EC",16,0))</f>
        <v>0</v>
      </c>
      <c r="H70" s="12">
        <f>E70*D70^2/F70</f>
        <v>11.92608</v>
      </c>
      <c r="I70" s="12">
        <f>IF(C70="V",0,E70*D70^2/G70)</f>
        <v>0</v>
      </c>
      <c r="J70" s="12">
        <f>IF(C70="V",E70*D70,IF(C70="1EC",1.15,1)*E70*D70/2)</f>
        <v>15.90144</v>
      </c>
      <c r="K70" s="11">
        <f>MIN(D70*1000/4,$B$7*1000+16*$B$9*1000,$B$10*1000)</f>
        <v>375</v>
      </c>
      <c r="L70" s="13">
        <f>I70*1000000/(0.9*K70*$B$16^2)</f>
        <v>0</v>
      </c>
      <c r="M70" s="14">
        <f>(0.85*$B$4/$B$5)*(1-SQRT(1-2*L70/(0.85*$B$4)))</f>
        <v>0</v>
      </c>
      <c r="N70" s="11">
        <f>M70*K70*$B$16</f>
        <v>0</v>
      </c>
      <c r="O70" s="11">
        <f>MAX(N70,$B$17)</f>
        <v>151.825</v>
      </c>
      <c r="P70" s="15">
        <f>ROUNDUP(O70/$B$13,0)</f>
        <v>2</v>
      </c>
      <c r="Q70" s="12">
        <f>O70*$B$5/(0.85*$B$4*K70)</f>
        <v>7.144705882</v>
      </c>
      <c r="R70" s="16" t="str">
        <f>IF(Q70&lt;=$B$9*1000,"Si (T)","revisar")</f>
        <v>Si (T)</v>
      </c>
      <c r="S70" s="13">
        <f>H70*1000000/(0.9*$B$7*1000*$B$16^2)</f>
        <v>0.9581144251</v>
      </c>
      <c r="T70" s="14">
        <f>(0.85*$B$4/$B$5)*(1-SQRT(1-2*S70/(0.85*$B$4)))</f>
        <v>0.002329089448</v>
      </c>
      <c r="U70" s="11">
        <f>T70*$B$7*1000*$B$16</f>
        <v>106.0842016</v>
      </c>
      <c r="V70" s="11">
        <f>MAX(U70,$B$17)</f>
        <v>151.825</v>
      </c>
      <c r="W70" s="15">
        <f>ROUNDUP(V70/$B$13,0)</f>
        <v>2</v>
      </c>
      <c r="X70" s="16" t="str">
        <f>IF(J70&lt;=$B$18,"No requiere","Requiere")</f>
        <v>No requiere</v>
      </c>
      <c r="Y70" s="13">
        <f>D70/IF(C70="1EC",18.5,IF(C70="2EC",21,8))</f>
        <v>0.1875</v>
      </c>
      <c r="Z70" s="16" t="str">
        <f>IF($B$8&gt;=Y70,"CUMPLE","REVISAR")</f>
        <v>CUMPLE</v>
      </c>
    </row>
    <row r="71">
      <c r="A71" s="7" t="inlineStr">
        <is>
          <t>VIGUETA 6</t>
        </is>
      </c>
      <c r="B71" s="8" t="n">
        <v>2</v>
      </c>
      <c r="C71" s="7" t="inlineStr">
        <is>
          <t>2EC</t>
        </is>
      </c>
      <c r="D71" s="9" t="n">
        <v>4.8</v>
      </c>
      <c r="E71" s="10">
        <f>$B$15</f>
        <v>10.60096</v>
      </c>
      <c r="F71" s="11">
        <f>IF(C71="1EC",10,IF(C71="2EC",11,2))</f>
        <v>11</v>
      </c>
      <c r="G71" s="11">
        <f>IF(C71="1EC",14,IF(C71="2EC",16,0))</f>
        <v>16</v>
      </c>
      <c r="H71" s="12">
        <f>E71*D71^2/F71</f>
        <v>22.20419258</v>
      </c>
      <c r="I71" s="12">
        <f>IF(C71="V",0,E71*D71^2/G71)</f>
        <v>15.2653824</v>
      </c>
      <c r="J71" s="12">
        <f>IF(C71="V",E71*D71,IF(C71="1EC",1.15,1)*E71*D71/2)</f>
        <v>25.442304</v>
      </c>
      <c r="K71" s="11">
        <f>MIN(D71*1000/4,$B$7*1000+16*$B$9*1000,$B$10*1000)</f>
        <v>800</v>
      </c>
      <c r="L71" s="13">
        <f>I71*1000000/(0.9*K71*$B$16^2)</f>
        <v>0.229947462</v>
      </c>
      <c r="M71" s="14">
        <f>(0.85*$B$4/$B$5)*(1-SQRT(1-2*L71/(0.85*$B$4)))</f>
        <v>0.0005501646734</v>
      </c>
      <c r="N71" s="11">
        <f>M71*K71*$B$16</f>
        <v>133.6460025</v>
      </c>
      <c r="O71" s="11">
        <f>MAX(N71,$B$17)</f>
        <v>151.825</v>
      </c>
      <c r="P71" s="15">
        <f>ROUNDUP(O71/$B$13,0)</f>
        <v>2</v>
      </c>
      <c r="Q71" s="12">
        <f>O71*$B$5/(0.85*$B$4*K71)</f>
        <v>3.349080882</v>
      </c>
      <c r="R71" s="16" t="str">
        <f>IF(Q71&lt;=$B$9*1000,"Si (T)","revisar")</f>
        <v>Si (T)</v>
      </c>
      <c r="S71" s="13">
        <f>H71*1000000/(0.9*$B$7*1000*$B$16^2)</f>
        <v>1.783834857</v>
      </c>
      <c r="T71" s="14">
        <f>(0.85*$B$4/$B$5)*(1-SQRT(1-2*S71/(0.85*$B$4)))</f>
        <v>0.004419572507</v>
      </c>
      <c r="U71" s="11">
        <f>T71*$B$7*1000*$B$16</f>
        <v>201.3004788</v>
      </c>
      <c r="V71" s="11">
        <f>MAX(U71,$B$17)</f>
        <v>201.3004788</v>
      </c>
      <c r="W71" s="15">
        <f>ROUNDUP(V71/$B$13,0)</f>
        <v>2</v>
      </c>
      <c r="X71" s="16" t="str">
        <f>IF(J71&lt;=$B$18,"No requiere","Requiere")</f>
        <v>No requiere</v>
      </c>
      <c r="Y71" s="13">
        <f>D71/IF(C71="1EC",18.5,IF(C71="2EC",21,8))</f>
        <v>0.2285714286</v>
      </c>
      <c r="Z71" s="16" t="str">
        <f>IF($B$8&gt;=Y71,"CUMPLE","REVISAR")</f>
        <v>CUMPLE</v>
      </c>
    </row>
    <row r="72">
      <c r="A72" s="7" t="inlineStr">
        <is>
          <t>VIGUETA 6</t>
        </is>
      </c>
      <c r="B72" s="8" t="n">
        <v>3</v>
      </c>
      <c r="C72" s="7" t="inlineStr">
        <is>
          <t>2EC</t>
        </is>
      </c>
      <c r="D72" s="9" t="n">
        <v>5.15</v>
      </c>
      <c r="E72" s="10">
        <f>$B$15</f>
        <v>10.60096</v>
      </c>
      <c r="F72" s="11">
        <f>IF(C72="1EC",10,IF(C72="2EC",11,2))</f>
        <v>11</v>
      </c>
      <c r="G72" s="11">
        <f>IF(C72="1EC",14,IF(C72="2EC",16,0))</f>
        <v>16</v>
      </c>
      <c r="H72" s="12">
        <f>E72*D72^2/F72</f>
        <v>25.56036015</v>
      </c>
      <c r="I72" s="12">
        <f>IF(C72="V",0,E72*D72^2/G72)</f>
        <v>17.5727476</v>
      </c>
      <c r="J72" s="12">
        <f>IF(C72="V",E72*D72,IF(C72="1EC",1.15,1)*E72*D72/2)</f>
        <v>27.297472</v>
      </c>
      <c r="K72" s="11">
        <f>MIN(D72*1000/4,$B$7*1000+16*$B$9*1000,$B$10*1000)</f>
        <v>800</v>
      </c>
      <c r="L72" s="13">
        <f>I72*1000000/(0.9*K72*$B$16^2)</f>
        <v>0.2647040608</v>
      </c>
      <c r="M72" s="14">
        <f>(0.85*$B$4/$B$5)*(1-SQRT(1-2*L72/(0.85*$B$4)))</f>
        <v>0.0006337921089</v>
      </c>
      <c r="N72" s="11">
        <f>M72*K72*$B$16</f>
        <v>153.9607791</v>
      </c>
      <c r="O72" s="11">
        <f>MAX(N72,$B$17)</f>
        <v>153.9607791</v>
      </c>
      <c r="P72" s="15">
        <f>ROUNDUP(O72/$B$13,0)</f>
        <v>2</v>
      </c>
      <c r="Q72" s="12">
        <f>O72*$B$5/(0.85*$B$4*K72)</f>
        <v>3.396193657</v>
      </c>
      <c r="R72" s="16" t="str">
        <f>IF(Q72&lt;=$B$9*1000,"Si (T)","revisar")</f>
        <v>Si (T)</v>
      </c>
      <c r="S72" s="13">
        <f>H72*1000000/(0.9*$B$7*1000*$B$16^2)</f>
        <v>2.053461805</v>
      </c>
      <c r="T72" s="14">
        <f>(0.85*$B$4/$B$5)*(1-SQRT(1-2*S72/(0.85*$B$4)))</f>
        <v>0.005120547802</v>
      </c>
      <c r="U72" s="11">
        <f>T72*$B$7*1000*$B$16</f>
        <v>233.228151</v>
      </c>
      <c r="V72" s="11">
        <f>MAX(U72,$B$17)</f>
        <v>233.228151</v>
      </c>
      <c r="W72" s="15">
        <f>ROUNDUP(V72/$B$13,0)</f>
        <v>2</v>
      </c>
      <c r="X72" s="16" t="str">
        <f>IF(J72&lt;=$B$18,"No requiere","Requiere")</f>
        <v>No requiere</v>
      </c>
      <c r="Y72" s="13">
        <f>D72/IF(C72="1EC",18.5,IF(C72="2EC",21,8))</f>
        <v>0.2452380952</v>
      </c>
      <c r="Z72" s="16" t="str">
        <f>IF($B$8&gt;=Y72,"CUMPLE","REVISAR")</f>
        <v>CUMPLE</v>
      </c>
    </row>
    <row r="73">
      <c r="A73" s="7" t="inlineStr">
        <is>
          <t>VIGUETA 6</t>
        </is>
      </c>
      <c r="B73" s="8" t="n">
        <v>4</v>
      </c>
      <c r="C73" s="7" t="inlineStr">
        <is>
          <t>2EC</t>
        </is>
      </c>
      <c r="D73" s="9" t="n">
        <v>2.1</v>
      </c>
      <c r="E73" s="10">
        <f>$B$15</f>
        <v>10.60096</v>
      </c>
      <c r="F73" s="11">
        <f>IF(C73="1EC",10,IF(C73="2EC",11,2))</f>
        <v>11</v>
      </c>
      <c r="G73" s="11">
        <f>IF(C73="1EC",14,IF(C73="2EC",16,0))</f>
        <v>16</v>
      </c>
      <c r="H73" s="12">
        <f>E73*D73^2/F73</f>
        <v>4.250021236</v>
      </c>
      <c r="I73" s="12">
        <f>IF(C73="V",0,E73*D73^2/G73)</f>
        <v>2.9218896</v>
      </c>
      <c r="J73" s="12">
        <f>IF(C73="V",E73*D73,IF(C73="1EC",1.15,1)*E73*D73/2)</f>
        <v>11.131008</v>
      </c>
      <c r="K73" s="11">
        <f>MIN(D73*1000/4,$B$7*1000+16*$B$9*1000,$B$10*1000)</f>
        <v>525</v>
      </c>
      <c r="L73" s="13">
        <f>I73*1000000/(0.9*K73*$B$16^2)</f>
        <v>0.06706800976</v>
      </c>
      <c r="M73" s="14">
        <f>(0.85*$B$4/$B$5)*(1-SQRT(1-2*L73/(0.85*$B$4)))</f>
        <v>0.0001599113697</v>
      </c>
      <c r="N73" s="11">
        <f>M73*K73*$B$16</f>
        <v>25.49247089</v>
      </c>
      <c r="O73" s="11">
        <f>MAX(N73,$B$17)</f>
        <v>151.825</v>
      </c>
      <c r="P73" s="15">
        <f>ROUNDUP(O73/$B$13,0)</f>
        <v>2</v>
      </c>
      <c r="Q73" s="12">
        <f>O73*$B$5/(0.85*$B$4*K73)</f>
        <v>5.103361345</v>
      </c>
      <c r="R73" s="16" t="str">
        <f>IF(Q73&lt;=$B$9*1000,"Si (T)","revisar")</f>
        <v>Si (T)</v>
      </c>
      <c r="S73" s="13">
        <f>H73*1000000/(0.9*$B$7*1000*$B$16^2)</f>
        <v>0.3414371406</v>
      </c>
      <c r="T73" s="14">
        <f>(0.85*$B$4/$B$5)*(1-SQRT(1-2*S73/(0.85*$B$4)))</f>
        <v>0.0008188620588</v>
      </c>
      <c r="U73" s="11">
        <f>T73*$B$7*1000*$B$16</f>
        <v>37.29711962</v>
      </c>
      <c r="V73" s="11">
        <f>MAX(U73,$B$17)</f>
        <v>151.825</v>
      </c>
      <c r="W73" s="15">
        <f>ROUNDUP(V73/$B$13,0)</f>
        <v>2</v>
      </c>
      <c r="X73" s="16" t="str">
        <f>IF(J73&lt;=$B$18,"No requiere","Requiere")</f>
        <v>No requiere</v>
      </c>
      <c r="Y73" s="13">
        <f>D73/IF(C73="1EC",18.5,IF(C73="2EC",21,8))</f>
        <v>0.1</v>
      </c>
      <c r="Z73" s="16" t="str">
        <f>IF($B$8&gt;=Y73,"CUMPLE","REVISAR")</f>
        <v>CUMPLE</v>
      </c>
    </row>
    <row r="74">
      <c r="A74" s="7" t="inlineStr">
        <is>
          <t>VIGUETA 6</t>
        </is>
      </c>
      <c r="B74" s="8" t="n">
        <v>5</v>
      </c>
      <c r="C74" s="7" t="inlineStr">
        <is>
          <t>2EC</t>
        </is>
      </c>
      <c r="D74" s="9" t="n">
        <v>3.6</v>
      </c>
      <c r="E74" s="10">
        <f>$B$15</f>
        <v>10.60096</v>
      </c>
      <c r="F74" s="11">
        <f>IF(C74="1EC",10,IF(C74="2EC",11,2))</f>
        <v>11</v>
      </c>
      <c r="G74" s="11">
        <f>IF(C74="1EC",14,IF(C74="2EC",16,0))</f>
        <v>16</v>
      </c>
      <c r="H74" s="12">
        <f>E74*D74^2/F74</f>
        <v>12.48985833</v>
      </c>
      <c r="I74" s="12">
        <f>IF(C74="V",0,E74*D74^2/G74)</f>
        <v>8.5867776</v>
      </c>
      <c r="J74" s="12">
        <f>IF(C74="V",E74*D74,IF(C74="1EC",1.15,1)*E74*D74/2)</f>
        <v>19.081728</v>
      </c>
      <c r="K74" s="11">
        <f>MIN(D74*1000/4,$B$7*1000+16*$B$9*1000,$B$10*1000)</f>
        <v>800</v>
      </c>
      <c r="L74" s="13">
        <f>I74*1000000/(0.9*K74*$B$16^2)</f>
        <v>0.1293454474</v>
      </c>
      <c r="M74" s="14">
        <f>(0.85*$B$4/$B$5)*(1-SQRT(1-2*L74/(0.85*$B$4)))</f>
        <v>0.000308806777</v>
      </c>
      <c r="N74" s="11">
        <f>M74*K74*$B$16</f>
        <v>75.01534228</v>
      </c>
      <c r="O74" s="11">
        <f>MAX(N74,$B$17)</f>
        <v>151.825</v>
      </c>
      <c r="P74" s="15">
        <f>ROUNDUP(O74/$B$13,0)</f>
        <v>2</v>
      </c>
      <c r="Q74" s="12">
        <f>O74*$B$5/(0.85*$B$4*K74)</f>
        <v>3.349080882</v>
      </c>
      <c r="R74" s="16" t="str">
        <f>IF(Q74&lt;=$B$9*1000,"Si (T)","revisar")</f>
        <v>Si (T)</v>
      </c>
      <c r="S74" s="13">
        <f>H74*1000000/(0.9*$B$7*1000*$B$16^2)</f>
        <v>1.003407107</v>
      </c>
      <c r="T74" s="14">
        <f>(0.85*$B$4/$B$5)*(1-SQRT(1-2*S74/(0.85*$B$4)))</f>
        <v>0.002441668159</v>
      </c>
      <c r="U74" s="11">
        <f>T74*$B$7*1000*$B$16</f>
        <v>111.2118805</v>
      </c>
      <c r="V74" s="11">
        <f>MAX(U74,$B$17)</f>
        <v>151.825</v>
      </c>
      <c r="W74" s="15">
        <f>ROUNDUP(V74/$B$13,0)</f>
        <v>2</v>
      </c>
      <c r="X74" s="16" t="str">
        <f>IF(J74&lt;=$B$18,"No requiere","Requiere")</f>
        <v>No requiere</v>
      </c>
      <c r="Y74" s="13">
        <f>D74/IF(C74="1EC",18.5,IF(C74="2EC",21,8))</f>
        <v>0.1714285714</v>
      </c>
      <c r="Z74" s="16" t="str">
        <f>IF($B$8&gt;=Y74,"CUMPLE","REVISAR")</f>
        <v>CUMPLE</v>
      </c>
    </row>
    <row r="75">
      <c r="A75" s="7" t="inlineStr">
        <is>
          <t>VIGUETA 6</t>
        </is>
      </c>
      <c r="B75" s="8" t="n">
        <v>6</v>
      </c>
      <c r="C75" s="7" t="inlineStr">
        <is>
          <t>2EC</t>
        </is>
      </c>
      <c r="D75" s="9" t="n">
        <v>5.1</v>
      </c>
      <c r="E75" s="10">
        <f>$B$15</f>
        <v>10.60096</v>
      </c>
      <c r="F75" s="11">
        <f>IF(C75="1EC",10,IF(C75="2EC",11,2))</f>
        <v>11</v>
      </c>
      <c r="G75" s="11">
        <f>IF(C75="1EC",14,IF(C75="2EC",16,0))</f>
        <v>16</v>
      </c>
      <c r="H75" s="12">
        <f>E75*D75^2/F75</f>
        <v>25.06645178</v>
      </c>
      <c r="I75" s="12">
        <f>IF(C75="V",0,E75*D75^2/G75)</f>
        <v>17.2331856</v>
      </c>
      <c r="J75" s="12">
        <f>IF(C75="V",E75*D75,IF(C75="1EC",1.15,1)*E75*D75/2)</f>
        <v>27.032448</v>
      </c>
      <c r="K75" s="11">
        <f>MIN(D75*1000/4,$B$7*1000+16*$B$9*1000,$B$10*1000)</f>
        <v>800</v>
      </c>
      <c r="L75" s="13">
        <f>I75*1000000/(0.9*K75*$B$16^2)</f>
        <v>0.2595891271</v>
      </c>
      <c r="M75" s="14">
        <f>(0.85*$B$4/$B$5)*(1-SQRT(1-2*L75/(0.85*$B$4)))</f>
        <v>0.0006214772975</v>
      </c>
      <c r="N75" s="11">
        <f>M75*K75*$B$16</f>
        <v>150.9692651</v>
      </c>
      <c r="O75" s="11">
        <f>MAX(N75,$B$17)</f>
        <v>151.825</v>
      </c>
      <c r="P75" s="15">
        <f>ROUNDUP(O75/$B$13,0)</f>
        <v>2</v>
      </c>
      <c r="Q75" s="12">
        <f>O75*$B$5/(0.85*$B$4*K75)</f>
        <v>3.349080882</v>
      </c>
      <c r="R75" s="16" t="str">
        <f>IF(Q75&lt;=$B$9*1000,"Si (T)","revisar")</f>
        <v>Si (T)</v>
      </c>
      <c r="S75" s="13">
        <f>H75*1000000/(0.9*$B$7*1000*$B$16^2)</f>
        <v>2.013782319</v>
      </c>
      <c r="T75" s="14">
        <f>(0.85*$B$4/$B$5)*(1-SQRT(1-2*S75/(0.85*$B$4)))</f>
        <v>0.005016792195</v>
      </c>
      <c r="U75" s="11">
        <f>T75*$B$7*1000*$B$16</f>
        <v>228.5023425</v>
      </c>
      <c r="V75" s="11">
        <f>MAX(U75,$B$17)</f>
        <v>228.5023425</v>
      </c>
      <c r="W75" s="15">
        <f>ROUNDUP(V75/$B$13,0)</f>
        <v>2</v>
      </c>
      <c r="X75" s="16" t="str">
        <f>IF(J75&lt;=$B$18,"No requiere","Requiere")</f>
        <v>No requiere</v>
      </c>
      <c r="Y75" s="13">
        <f>D75/IF(C75="1EC",18.5,IF(C75="2EC",21,8))</f>
        <v>0.2428571429</v>
      </c>
      <c r="Z75" s="16" t="str">
        <f>IF($B$8&gt;=Y75,"CUMPLE","REVISAR")</f>
        <v>CUMPLE</v>
      </c>
    </row>
    <row r="76">
      <c r="A76" s="7" t="inlineStr">
        <is>
          <t>VIGUETA 6</t>
        </is>
      </c>
      <c r="B76" s="8" t="n">
        <v>7</v>
      </c>
      <c r="C76" s="7" t="inlineStr">
        <is>
          <t>2EC</t>
        </is>
      </c>
      <c r="D76" s="9" t="n">
        <v>3.6</v>
      </c>
      <c r="E76" s="10">
        <f>$B$15</f>
        <v>10.60096</v>
      </c>
      <c r="F76" s="11">
        <f>IF(C76="1EC",10,IF(C76="2EC",11,2))</f>
        <v>11</v>
      </c>
      <c r="G76" s="11">
        <f>IF(C76="1EC",14,IF(C76="2EC",16,0))</f>
        <v>16</v>
      </c>
      <c r="H76" s="12">
        <f>E76*D76^2/F76</f>
        <v>12.48985833</v>
      </c>
      <c r="I76" s="12">
        <f>IF(C76="V",0,E76*D76^2/G76)</f>
        <v>8.5867776</v>
      </c>
      <c r="J76" s="12">
        <f>IF(C76="V",E76*D76,IF(C76="1EC",1.15,1)*E76*D76/2)</f>
        <v>19.081728</v>
      </c>
      <c r="K76" s="11">
        <f>MIN(D76*1000/4,$B$7*1000+16*$B$9*1000,$B$10*1000)</f>
        <v>800</v>
      </c>
      <c r="L76" s="13">
        <f>I76*1000000/(0.9*K76*$B$16^2)</f>
        <v>0.1293454474</v>
      </c>
      <c r="M76" s="14">
        <f>(0.85*$B$4/$B$5)*(1-SQRT(1-2*L76/(0.85*$B$4)))</f>
        <v>0.000308806777</v>
      </c>
      <c r="N76" s="11">
        <f>M76*K76*$B$16</f>
        <v>75.01534228</v>
      </c>
      <c r="O76" s="11">
        <f>MAX(N76,$B$17)</f>
        <v>151.825</v>
      </c>
      <c r="P76" s="15">
        <f>ROUNDUP(O76/$B$13,0)</f>
        <v>2</v>
      </c>
      <c r="Q76" s="12">
        <f>O76*$B$5/(0.85*$B$4*K76)</f>
        <v>3.349080882</v>
      </c>
      <c r="R76" s="16" t="str">
        <f>IF(Q76&lt;=$B$9*1000,"Si (T)","revisar")</f>
        <v>Si (T)</v>
      </c>
      <c r="S76" s="13">
        <f>H76*1000000/(0.9*$B$7*1000*$B$16^2)</f>
        <v>1.003407107</v>
      </c>
      <c r="T76" s="14">
        <f>(0.85*$B$4/$B$5)*(1-SQRT(1-2*S76/(0.85*$B$4)))</f>
        <v>0.002441668159</v>
      </c>
      <c r="U76" s="11">
        <f>T76*$B$7*1000*$B$16</f>
        <v>111.2118805</v>
      </c>
      <c r="V76" s="11">
        <f>MAX(U76,$B$17)</f>
        <v>151.825</v>
      </c>
      <c r="W76" s="15">
        <f>ROUNDUP(V76/$B$13,0)</f>
        <v>2</v>
      </c>
      <c r="X76" s="16" t="str">
        <f>IF(J76&lt;=$B$18,"No requiere","Requiere")</f>
        <v>No requiere</v>
      </c>
      <c r="Y76" s="13">
        <f>D76/IF(C76="1EC",18.5,IF(C76="2EC",21,8))</f>
        <v>0.1714285714</v>
      </c>
      <c r="Z76" s="16" t="str">
        <f>IF($B$8&gt;=Y76,"CUMPLE","REVISAR")</f>
        <v>CUMPLE</v>
      </c>
    </row>
    <row r="77">
      <c r="A77" s="7" t="inlineStr">
        <is>
          <t>VIGUETA 6</t>
        </is>
      </c>
      <c r="B77" s="8" t="n">
        <v>8</v>
      </c>
      <c r="C77" s="7" t="inlineStr">
        <is>
          <t>2EC</t>
        </is>
      </c>
      <c r="D77" s="9" t="n">
        <v>2.1</v>
      </c>
      <c r="E77" s="10">
        <f>$B$15</f>
        <v>10.60096</v>
      </c>
      <c r="F77" s="11">
        <f>IF(C77="1EC",10,IF(C77="2EC",11,2))</f>
        <v>11</v>
      </c>
      <c r="G77" s="11">
        <f>IF(C77="1EC",14,IF(C77="2EC",16,0))</f>
        <v>16</v>
      </c>
      <c r="H77" s="12">
        <f>E77*D77^2/F77</f>
        <v>4.250021236</v>
      </c>
      <c r="I77" s="12">
        <f>IF(C77="V",0,E77*D77^2/G77)</f>
        <v>2.9218896</v>
      </c>
      <c r="J77" s="12">
        <f>IF(C77="V",E77*D77,IF(C77="1EC",1.15,1)*E77*D77/2)</f>
        <v>11.131008</v>
      </c>
      <c r="K77" s="11">
        <f>MIN(D77*1000/4,$B$7*1000+16*$B$9*1000,$B$10*1000)</f>
        <v>525</v>
      </c>
      <c r="L77" s="13">
        <f>I77*1000000/(0.9*K77*$B$16^2)</f>
        <v>0.06706800976</v>
      </c>
      <c r="M77" s="14">
        <f>(0.85*$B$4/$B$5)*(1-SQRT(1-2*L77/(0.85*$B$4)))</f>
        <v>0.0001599113697</v>
      </c>
      <c r="N77" s="11">
        <f>M77*K77*$B$16</f>
        <v>25.49247089</v>
      </c>
      <c r="O77" s="11">
        <f>MAX(N77,$B$17)</f>
        <v>151.825</v>
      </c>
      <c r="P77" s="15">
        <f>ROUNDUP(O77/$B$13,0)</f>
        <v>2</v>
      </c>
      <c r="Q77" s="12">
        <f>O77*$B$5/(0.85*$B$4*K77)</f>
        <v>5.103361345</v>
      </c>
      <c r="R77" s="16" t="str">
        <f>IF(Q77&lt;=$B$9*1000,"Si (T)","revisar")</f>
        <v>Si (T)</v>
      </c>
      <c r="S77" s="13">
        <f>H77*1000000/(0.9*$B$7*1000*$B$16^2)</f>
        <v>0.3414371406</v>
      </c>
      <c r="T77" s="14">
        <f>(0.85*$B$4/$B$5)*(1-SQRT(1-2*S77/(0.85*$B$4)))</f>
        <v>0.0008188620588</v>
      </c>
      <c r="U77" s="11">
        <f>T77*$B$7*1000*$B$16</f>
        <v>37.29711962</v>
      </c>
      <c r="V77" s="11">
        <f>MAX(U77,$B$17)</f>
        <v>151.825</v>
      </c>
      <c r="W77" s="15">
        <f>ROUNDUP(V77/$B$13,0)</f>
        <v>2</v>
      </c>
      <c r="X77" s="16" t="str">
        <f>IF(J77&lt;=$B$18,"No requiere","Requiere")</f>
        <v>No requiere</v>
      </c>
      <c r="Y77" s="13">
        <f>D77/IF(C77="1EC",18.5,IF(C77="2EC",21,8))</f>
        <v>0.1</v>
      </c>
      <c r="Z77" s="16" t="str">
        <f>IF($B$8&gt;=Y77,"CUMPLE","REVISAR")</f>
        <v>CUMPLE</v>
      </c>
    </row>
    <row r="78">
      <c r="A78" s="7" t="inlineStr">
        <is>
          <t>VIGUETA 6</t>
        </is>
      </c>
      <c r="B78" s="8" t="n">
        <v>9</v>
      </c>
      <c r="C78" s="7" t="inlineStr">
        <is>
          <t>2EC</t>
        </is>
      </c>
      <c r="D78" s="9" t="n">
        <v>3.8</v>
      </c>
      <c r="E78" s="10">
        <f>$B$15</f>
        <v>10.60096</v>
      </c>
      <c r="F78" s="11">
        <f>IF(C78="1EC",10,IF(C78="2EC",11,2))</f>
        <v>11</v>
      </c>
      <c r="G78" s="11">
        <f>IF(C78="1EC",14,IF(C78="2EC",16,0))</f>
        <v>16</v>
      </c>
      <c r="H78" s="12">
        <f>E78*D78^2/F78</f>
        <v>13.91616931</v>
      </c>
      <c r="I78" s="12">
        <f>IF(C78="V",0,E78*D78^2/G78)</f>
        <v>9.5673664</v>
      </c>
      <c r="J78" s="12">
        <f>IF(C78="V",E78*D78,IF(C78="1EC",1.15,1)*E78*D78/2)</f>
        <v>20.141824</v>
      </c>
      <c r="K78" s="11">
        <f>MIN(D78*1000/4,$B$7*1000+16*$B$9*1000,$B$10*1000)</f>
        <v>800</v>
      </c>
      <c r="L78" s="13">
        <f>I78*1000000/(0.9*K78*$B$16^2)</f>
        <v>0.1441163781</v>
      </c>
      <c r="M78" s="14">
        <f>(0.85*$B$4/$B$5)*(1-SQRT(1-2*L78/(0.85*$B$4)))</f>
        <v>0.0003441794645</v>
      </c>
      <c r="N78" s="11">
        <f>M78*K78*$B$16</f>
        <v>83.60807552</v>
      </c>
      <c r="O78" s="11">
        <f>MAX(N78,$B$17)</f>
        <v>151.825</v>
      </c>
      <c r="P78" s="15">
        <f>ROUNDUP(O78/$B$13,0)</f>
        <v>2</v>
      </c>
      <c r="Q78" s="12">
        <f>O78*$B$5/(0.85*$B$4*K78)</f>
        <v>3.349080882</v>
      </c>
      <c r="R78" s="16" t="str">
        <f>IF(Q78&lt;=$B$9*1000,"Si (T)","revisar")</f>
        <v>Si (T)</v>
      </c>
      <c r="S78" s="13">
        <f>H78*1000000/(0.9*$B$7*1000*$B$16^2)</f>
        <v>1.117993721</v>
      </c>
      <c r="T78" s="14">
        <f>(0.85*$B$4/$B$5)*(1-SQRT(1-2*S78/(0.85*$B$4)))</f>
        <v>0.002727531841</v>
      </c>
      <c r="U78" s="11">
        <f>T78*$B$7*1000*$B$16</f>
        <v>124.2322565</v>
      </c>
      <c r="V78" s="11">
        <f>MAX(U78,$B$17)</f>
        <v>151.825</v>
      </c>
      <c r="W78" s="15">
        <f>ROUNDUP(V78/$B$13,0)</f>
        <v>2</v>
      </c>
      <c r="X78" s="16" t="str">
        <f>IF(J78&lt;=$B$18,"No requiere","Requiere")</f>
        <v>No requiere</v>
      </c>
      <c r="Y78" s="13">
        <f>D78/IF(C78="1EC",18.5,IF(C78="2EC",21,8))</f>
        <v>0.180952381</v>
      </c>
      <c r="Z78" s="16" t="str">
        <f>IF($B$8&gt;=Y78,"CUMPLE","REVISAR")</f>
        <v>CUMPLE</v>
      </c>
    </row>
    <row r="79">
      <c r="A79" s="7" t="inlineStr">
        <is>
          <t>VIGUETA 6</t>
        </is>
      </c>
      <c r="B79" s="8" t="n">
        <v>10</v>
      </c>
      <c r="C79" s="7" t="inlineStr">
        <is>
          <t>2EC</t>
        </is>
      </c>
      <c r="D79" s="9" t="n">
        <v>2.1</v>
      </c>
      <c r="E79" s="10">
        <f>$B$15</f>
        <v>10.60096</v>
      </c>
      <c r="F79" s="11">
        <f>IF(C79="1EC",10,IF(C79="2EC",11,2))</f>
        <v>11</v>
      </c>
      <c r="G79" s="11">
        <f>IF(C79="1EC",14,IF(C79="2EC",16,0))</f>
        <v>16</v>
      </c>
      <c r="H79" s="12">
        <f>E79*D79^2/F79</f>
        <v>4.250021236</v>
      </c>
      <c r="I79" s="12">
        <f>IF(C79="V",0,E79*D79^2/G79)</f>
        <v>2.9218896</v>
      </c>
      <c r="J79" s="12">
        <f>IF(C79="V",E79*D79,IF(C79="1EC",1.15,1)*E79*D79/2)</f>
        <v>11.131008</v>
      </c>
      <c r="K79" s="11">
        <f>MIN(D79*1000/4,$B$7*1000+16*$B$9*1000,$B$10*1000)</f>
        <v>525</v>
      </c>
      <c r="L79" s="13">
        <f>I79*1000000/(0.9*K79*$B$16^2)</f>
        <v>0.06706800976</v>
      </c>
      <c r="M79" s="14">
        <f>(0.85*$B$4/$B$5)*(1-SQRT(1-2*L79/(0.85*$B$4)))</f>
        <v>0.0001599113697</v>
      </c>
      <c r="N79" s="11">
        <f>M79*K79*$B$16</f>
        <v>25.49247089</v>
      </c>
      <c r="O79" s="11">
        <f>MAX(N79,$B$17)</f>
        <v>151.825</v>
      </c>
      <c r="P79" s="15">
        <f>ROUNDUP(O79/$B$13,0)</f>
        <v>2</v>
      </c>
      <c r="Q79" s="12">
        <f>O79*$B$5/(0.85*$B$4*K79)</f>
        <v>5.103361345</v>
      </c>
      <c r="R79" s="16" t="str">
        <f>IF(Q79&lt;=$B$9*1000,"Si (T)","revisar")</f>
        <v>Si (T)</v>
      </c>
      <c r="S79" s="13">
        <f>H79*1000000/(0.9*$B$7*1000*$B$16^2)</f>
        <v>0.3414371406</v>
      </c>
      <c r="T79" s="14">
        <f>(0.85*$B$4/$B$5)*(1-SQRT(1-2*S79/(0.85*$B$4)))</f>
        <v>0.0008188620588</v>
      </c>
      <c r="U79" s="11">
        <f>T79*$B$7*1000*$B$16</f>
        <v>37.29711962</v>
      </c>
      <c r="V79" s="11">
        <f>MAX(U79,$B$17)</f>
        <v>151.825</v>
      </c>
      <c r="W79" s="15">
        <f>ROUNDUP(V79/$B$13,0)</f>
        <v>2</v>
      </c>
      <c r="X79" s="16" t="str">
        <f>IF(J79&lt;=$B$18,"No requiere","Requiere")</f>
        <v>No requiere</v>
      </c>
      <c r="Y79" s="13">
        <f>D79/IF(C79="1EC",18.5,IF(C79="2EC",21,8))</f>
        <v>0.1</v>
      </c>
      <c r="Z79" s="16" t="str">
        <f>IF($B$8&gt;=Y79,"CUMPLE","REVISAR")</f>
        <v>CUMPLE</v>
      </c>
    </row>
    <row r="80">
      <c r="A80" s="7" t="inlineStr">
        <is>
          <t>VIGUETA 6</t>
        </is>
      </c>
      <c r="B80" s="8" t="n">
        <v>11</v>
      </c>
      <c r="C80" s="7" t="inlineStr">
        <is>
          <t>2EC</t>
        </is>
      </c>
      <c r="D80" s="9" t="n">
        <v>5.15</v>
      </c>
      <c r="E80" s="10">
        <f>$B$15</f>
        <v>10.60096</v>
      </c>
      <c r="F80" s="11">
        <f>IF(C80="1EC",10,IF(C80="2EC",11,2))</f>
        <v>11</v>
      </c>
      <c r="G80" s="11">
        <f>IF(C80="1EC",14,IF(C80="2EC",16,0))</f>
        <v>16</v>
      </c>
      <c r="H80" s="12">
        <f>E80*D80^2/F80</f>
        <v>25.56036015</v>
      </c>
      <c r="I80" s="12">
        <f>IF(C80="V",0,E80*D80^2/G80)</f>
        <v>17.5727476</v>
      </c>
      <c r="J80" s="12">
        <f>IF(C80="V",E80*D80,IF(C80="1EC",1.15,1)*E80*D80/2)</f>
        <v>27.297472</v>
      </c>
      <c r="K80" s="11">
        <f>MIN(D80*1000/4,$B$7*1000+16*$B$9*1000,$B$10*1000)</f>
        <v>800</v>
      </c>
      <c r="L80" s="13">
        <f>I80*1000000/(0.9*K80*$B$16^2)</f>
        <v>0.2647040608</v>
      </c>
      <c r="M80" s="14">
        <f>(0.85*$B$4/$B$5)*(1-SQRT(1-2*L80/(0.85*$B$4)))</f>
        <v>0.0006337921089</v>
      </c>
      <c r="N80" s="11">
        <f>M80*K80*$B$16</f>
        <v>153.9607791</v>
      </c>
      <c r="O80" s="11">
        <f>MAX(N80,$B$17)</f>
        <v>153.9607791</v>
      </c>
      <c r="P80" s="15">
        <f>ROUNDUP(O80/$B$13,0)</f>
        <v>2</v>
      </c>
      <c r="Q80" s="12">
        <f>O80*$B$5/(0.85*$B$4*K80)</f>
        <v>3.396193657</v>
      </c>
      <c r="R80" s="16" t="str">
        <f>IF(Q80&lt;=$B$9*1000,"Si (T)","revisar")</f>
        <v>Si (T)</v>
      </c>
      <c r="S80" s="13">
        <f>H80*1000000/(0.9*$B$7*1000*$B$16^2)</f>
        <v>2.053461805</v>
      </c>
      <c r="T80" s="14">
        <f>(0.85*$B$4/$B$5)*(1-SQRT(1-2*S80/(0.85*$B$4)))</f>
        <v>0.005120547802</v>
      </c>
      <c r="U80" s="11">
        <f>T80*$B$7*1000*$B$16</f>
        <v>233.228151</v>
      </c>
      <c r="V80" s="11">
        <f>MAX(U80,$B$17)</f>
        <v>233.228151</v>
      </c>
      <c r="W80" s="15">
        <f>ROUNDUP(V80/$B$13,0)</f>
        <v>2</v>
      </c>
      <c r="X80" s="16" t="str">
        <f>IF(J80&lt;=$B$18,"No requiere","Requiere")</f>
        <v>No requiere</v>
      </c>
      <c r="Y80" s="13">
        <f>D80/IF(C80="1EC",18.5,IF(C80="2EC",21,8))</f>
        <v>0.2452380952</v>
      </c>
      <c r="Z80" s="16" t="str">
        <f>IF($B$8&gt;=Y80,"CUMPLE","REVISAR")</f>
        <v>CUMPLE</v>
      </c>
    </row>
    <row r="81">
      <c r="A81" s="7" t="inlineStr">
        <is>
          <t>VIGUETA 6</t>
        </is>
      </c>
      <c r="B81" s="8" t="n">
        <v>12</v>
      </c>
      <c r="C81" s="7" t="inlineStr">
        <is>
          <t>2EC</t>
        </is>
      </c>
      <c r="D81" s="9" t="n">
        <v>4.8</v>
      </c>
      <c r="E81" s="10">
        <f>$B$15</f>
        <v>10.60096</v>
      </c>
      <c r="F81" s="11">
        <f>IF(C81="1EC",10,IF(C81="2EC",11,2))</f>
        <v>11</v>
      </c>
      <c r="G81" s="11">
        <f>IF(C81="1EC",14,IF(C81="2EC",16,0))</f>
        <v>16</v>
      </c>
      <c r="H81" s="12">
        <f>E81*D81^2/F81</f>
        <v>22.20419258</v>
      </c>
      <c r="I81" s="12">
        <f>IF(C81="V",0,E81*D81^2/G81)</f>
        <v>15.2653824</v>
      </c>
      <c r="J81" s="12">
        <f>IF(C81="V",E81*D81,IF(C81="1EC",1.15,1)*E81*D81/2)</f>
        <v>25.442304</v>
      </c>
      <c r="K81" s="11">
        <f>MIN(D81*1000/4,$B$7*1000+16*$B$9*1000,$B$10*1000)</f>
        <v>800</v>
      </c>
      <c r="L81" s="13">
        <f>I81*1000000/(0.9*K81*$B$16^2)</f>
        <v>0.229947462</v>
      </c>
      <c r="M81" s="14">
        <f>(0.85*$B$4/$B$5)*(1-SQRT(1-2*L81/(0.85*$B$4)))</f>
        <v>0.0005501646734</v>
      </c>
      <c r="N81" s="11">
        <f>M81*K81*$B$16</f>
        <v>133.6460025</v>
      </c>
      <c r="O81" s="11">
        <f>MAX(N81,$B$17)</f>
        <v>151.825</v>
      </c>
      <c r="P81" s="15">
        <f>ROUNDUP(O81/$B$13,0)</f>
        <v>2</v>
      </c>
      <c r="Q81" s="12">
        <f>O81*$B$5/(0.85*$B$4*K81)</f>
        <v>3.349080882</v>
      </c>
      <c r="R81" s="16" t="str">
        <f>IF(Q81&lt;=$B$9*1000,"Si (T)","revisar")</f>
        <v>Si (T)</v>
      </c>
      <c r="S81" s="13">
        <f>H81*1000000/(0.9*$B$7*1000*$B$16^2)</f>
        <v>1.783834857</v>
      </c>
      <c r="T81" s="14">
        <f>(0.85*$B$4/$B$5)*(1-SQRT(1-2*S81/(0.85*$B$4)))</f>
        <v>0.004419572507</v>
      </c>
      <c r="U81" s="11">
        <f>T81*$B$7*1000*$B$16</f>
        <v>201.3004788</v>
      </c>
      <c r="V81" s="11">
        <f>MAX(U81,$B$17)</f>
        <v>201.3004788</v>
      </c>
      <c r="W81" s="15">
        <f>ROUNDUP(V81/$B$13,0)</f>
        <v>2</v>
      </c>
      <c r="X81" s="16" t="str">
        <f>IF(J81&lt;=$B$18,"No requiere","Requiere")</f>
        <v>No requiere</v>
      </c>
      <c r="Y81" s="13">
        <f>D81/IF(C81="1EC",18.5,IF(C81="2EC",21,8))</f>
        <v>0.2285714286</v>
      </c>
      <c r="Z81" s="16" t="str">
        <f>IF($B$8&gt;=Y81,"CUMPLE","REVISAR")</f>
        <v>CUMPLE</v>
      </c>
    </row>
    <row r="82">
      <c r="A82" s="7" t="inlineStr">
        <is>
          <t>VIGUETA 6</t>
        </is>
      </c>
      <c r="B82" s="8" t="n">
        <v>13</v>
      </c>
      <c r="C82" s="7" t="inlineStr">
        <is>
          <t>V</t>
        </is>
      </c>
      <c r="D82" s="9" t="n">
        <v>1.5</v>
      </c>
      <c r="E82" s="10">
        <f>$B$15</f>
        <v>10.60096</v>
      </c>
      <c r="F82" s="11">
        <f>IF(C82="1EC",10,IF(C82="2EC",11,2))</f>
        <v>2</v>
      </c>
      <c r="G82" s="11">
        <f>IF(C82="1EC",14,IF(C82="2EC",16,0))</f>
        <v>0</v>
      </c>
      <c r="H82" s="12">
        <f>E82*D82^2/F82</f>
        <v>11.92608</v>
      </c>
      <c r="I82" s="12">
        <f>IF(C82="V",0,E82*D82^2/G82)</f>
        <v>0</v>
      </c>
      <c r="J82" s="12">
        <f>IF(C82="V",E82*D82,IF(C82="1EC",1.15,1)*E82*D82/2)</f>
        <v>15.90144</v>
      </c>
      <c r="K82" s="11">
        <f>MIN(D82*1000/4,$B$7*1000+16*$B$9*1000,$B$10*1000)</f>
        <v>375</v>
      </c>
      <c r="L82" s="13">
        <f>I82*1000000/(0.9*K82*$B$16^2)</f>
        <v>0</v>
      </c>
      <c r="M82" s="14">
        <f>(0.85*$B$4/$B$5)*(1-SQRT(1-2*L82/(0.85*$B$4)))</f>
        <v>0</v>
      </c>
      <c r="N82" s="11">
        <f>M82*K82*$B$16</f>
        <v>0</v>
      </c>
      <c r="O82" s="11">
        <f>MAX(N82,$B$17)</f>
        <v>151.825</v>
      </c>
      <c r="P82" s="15">
        <f>ROUNDUP(O82/$B$13,0)</f>
        <v>2</v>
      </c>
      <c r="Q82" s="12">
        <f>O82*$B$5/(0.85*$B$4*K82)</f>
        <v>7.144705882</v>
      </c>
      <c r="R82" s="16" t="str">
        <f>IF(Q82&lt;=$B$9*1000,"Si (T)","revisar")</f>
        <v>Si (T)</v>
      </c>
      <c r="S82" s="13">
        <f>H82*1000000/(0.9*$B$7*1000*$B$16^2)</f>
        <v>0.9581144251</v>
      </c>
      <c r="T82" s="14">
        <f>(0.85*$B$4/$B$5)*(1-SQRT(1-2*S82/(0.85*$B$4)))</f>
        <v>0.002329089448</v>
      </c>
      <c r="U82" s="11">
        <f>T82*$B$7*1000*$B$16</f>
        <v>106.0842016</v>
      </c>
      <c r="V82" s="11">
        <f>MAX(U82,$B$17)</f>
        <v>151.825</v>
      </c>
      <c r="W82" s="15">
        <f>ROUNDUP(V82/$B$13,0)</f>
        <v>2</v>
      </c>
      <c r="X82" s="16" t="str">
        <f>IF(J82&lt;=$B$18,"No requiere","Requiere")</f>
        <v>No requiere</v>
      </c>
      <c r="Y82" s="13">
        <f>D82/IF(C82="1EC",18.5,IF(C82="2EC",21,8))</f>
        <v>0.1875</v>
      </c>
      <c r="Z82" s="16" t="str">
        <f>IF($B$8&gt;=Y82,"CUMPLE","REVISAR")</f>
        <v>CUMPLE</v>
      </c>
    </row>
    <row r="84">
      <c r="A84" s="2" t="inlineStr">
        <is>
          <t>Resultado: los 62 vanos requieren solo acero minimo (2 Nº4 inf + 2 Nº4 sup) y no requieren estribos (Vu &lt;= phi 1.1 Vc = 33.8 kN). La loseta lleva malla de retraccion y temperatura. Carga usada = cubierta (gobierna).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2026-07-15T23:16:50Z</dcterms:created>
  <dcterms:modified xmlns:dcterms="http://purl.org/dc/terms/" xmlns:xsi="http://www.w3.org/2001/XMLSchema-instance" xsi:type="dcterms:W3CDTF">2026-07-15T23:16:50Z</dcterms:modified>
</cp:coreProperties>
</file>