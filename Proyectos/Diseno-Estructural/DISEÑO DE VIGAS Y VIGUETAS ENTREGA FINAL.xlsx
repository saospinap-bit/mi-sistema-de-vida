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2E9E6C58-DC6A-4474-BFF4-6218B6D4BB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rregularidades" sheetId="2" r:id="rId1"/>
    <sheet name="Conteo y Momentos" sheetId="10" r:id="rId2"/>
    <sheet name="Cuadro Vigas-Riostras" sheetId="3" r:id="rId3"/>
    <sheet name="Cuadro Viguetas" sheetId="4" r:id="rId4"/>
    <sheet name="Diseno Vigas de Carga" sheetId="5" r:id="rId5"/>
    <sheet name="Diseno Vigas de Rigidez" sheetId="6" r:id="rId6"/>
    <sheet name="Diseno Viguetas Entrepiso" sheetId="7" r:id="rId7"/>
    <sheet name="Diseno Viguetas Cubierta" sheetId="8" r:id="rId8"/>
    <sheet name="Despiece y Longitud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0" l="1"/>
  <c r="D21" i="10"/>
  <c r="I26" i="9"/>
  <c r="H26" i="9"/>
  <c r="G26" i="9"/>
  <c r="F26" i="9"/>
  <c r="I25" i="9"/>
  <c r="H25" i="9"/>
  <c r="G25" i="9"/>
  <c r="F25" i="9"/>
  <c r="I24" i="9"/>
  <c r="H24" i="9"/>
  <c r="G24" i="9"/>
  <c r="F24" i="9"/>
  <c r="E17" i="9"/>
  <c r="G17" i="9" s="1"/>
  <c r="I12" i="9"/>
  <c r="H12" i="9"/>
  <c r="G12" i="9"/>
  <c r="F12" i="9"/>
  <c r="E18" i="9" s="1"/>
  <c r="G18" i="9" s="1"/>
  <c r="E12" i="9"/>
  <c r="D12" i="9"/>
  <c r="I11" i="9"/>
  <c r="H11" i="9"/>
  <c r="G11" i="9"/>
  <c r="F11" i="9"/>
  <c r="E11" i="9"/>
  <c r="D11" i="9"/>
  <c r="I10" i="9"/>
  <c r="H10" i="9"/>
  <c r="G10" i="9"/>
  <c r="F10" i="9"/>
  <c r="E10" i="9"/>
  <c r="D10" i="9"/>
  <c r="F45" i="8"/>
  <c r="E45" i="8"/>
  <c r="D45" i="8"/>
  <c r="C45" i="8"/>
  <c r="D40" i="8"/>
  <c r="E28" i="8"/>
  <c r="F26" i="8"/>
  <c r="F38" i="8" s="1"/>
  <c r="F39" i="8" s="1"/>
  <c r="F40" i="8" s="1"/>
  <c r="E26" i="8"/>
  <c r="E38" i="8" s="1"/>
  <c r="E39" i="8" s="1"/>
  <c r="E40" i="8" s="1"/>
  <c r="D26" i="8"/>
  <c r="D38" i="8" s="1"/>
  <c r="D39" i="8" s="1"/>
  <c r="C26" i="8"/>
  <c r="C38" i="8" s="1"/>
  <c r="C39" i="8" s="1"/>
  <c r="C40" i="8" s="1"/>
  <c r="F25" i="8"/>
  <c r="E25" i="8"/>
  <c r="D25" i="8"/>
  <c r="C25" i="8"/>
  <c r="C17" i="8"/>
  <c r="D28" i="8" s="1"/>
  <c r="C16" i="8"/>
  <c r="F45" i="7"/>
  <c r="E45" i="7"/>
  <c r="D45" i="7"/>
  <c r="C45" i="7"/>
  <c r="C28" i="7"/>
  <c r="F27" i="7"/>
  <c r="E27" i="7"/>
  <c r="F26" i="7"/>
  <c r="F38" i="7" s="1"/>
  <c r="F39" i="7" s="1"/>
  <c r="F40" i="7" s="1"/>
  <c r="F41" i="7" s="1"/>
  <c r="F42" i="7" s="1"/>
  <c r="F25" i="7"/>
  <c r="E25" i="7"/>
  <c r="D25" i="7"/>
  <c r="C25" i="7"/>
  <c r="C17" i="7"/>
  <c r="E26" i="7" s="1"/>
  <c r="E38" i="7" s="1"/>
  <c r="E39" i="7" s="1"/>
  <c r="E40" i="7" s="1"/>
  <c r="E41" i="7" s="1"/>
  <c r="E42" i="7" s="1"/>
  <c r="C16" i="7"/>
  <c r="C18" i="7" s="1"/>
  <c r="D60" i="6"/>
  <c r="C60" i="6"/>
  <c r="F59" i="6"/>
  <c r="E59" i="6"/>
  <c r="D59" i="6"/>
  <c r="C59" i="6"/>
  <c r="C21" i="6"/>
  <c r="F62" i="6" s="1"/>
  <c r="C20" i="6"/>
  <c r="F60" i="6" s="1"/>
  <c r="C15" i="6"/>
  <c r="C17" i="6" s="1"/>
  <c r="E62" i="5"/>
  <c r="D60" i="5"/>
  <c r="C60" i="5"/>
  <c r="E59" i="5"/>
  <c r="D59" i="5"/>
  <c r="C59" i="5"/>
  <c r="D40" i="5"/>
  <c r="D41" i="5" s="1"/>
  <c r="D42" i="5" s="1"/>
  <c r="D43" i="5" s="1"/>
  <c r="D44" i="5" s="1"/>
  <c r="D45" i="5" s="1"/>
  <c r="C40" i="5"/>
  <c r="C41" i="5" s="1"/>
  <c r="C42" i="5" s="1"/>
  <c r="C43" i="5" s="1"/>
  <c r="C44" i="5" s="1"/>
  <c r="C45" i="5" s="1"/>
  <c r="D31" i="5"/>
  <c r="D32" i="5" s="1"/>
  <c r="D33" i="5" s="1"/>
  <c r="D34" i="5" s="1"/>
  <c r="D35" i="5" s="1"/>
  <c r="C31" i="5"/>
  <c r="C32" i="5" s="1"/>
  <c r="C33" i="5" s="1"/>
  <c r="C34" i="5" s="1"/>
  <c r="C35" i="5" s="1"/>
  <c r="E30" i="5"/>
  <c r="E31" i="5" s="1"/>
  <c r="E32" i="5" s="1"/>
  <c r="E33" i="5" s="1"/>
  <c r="E34" i="5" s="1"/>
  <c r="E35" i="5" s="1"/>
  <c r="D30" i="5"/>
  <c r="C30" i="5"/>
  <c r="C21" i="5"/>
  <c r="C20" i="5"/>
  <c r="E60" i="5" s="1"/>
  <c r="C15" i="5"/>
  <c r="C16" i="5" s="1"/>
  <c r="I24" i="4"/>
  <c r="E24" i="4"/>
  <c r="H24" i="4" s="1"/>
  <c r="N24" i="4" s="1"/>
  <c r="D24" i="4"/>
  <c r="I23" i="4"/>
  <c r="H23" i="4"/>
  <c r="N23" i="4" s="1"/>
  <c r="E23" i="4"/>
  <c r="F23" i="4" s="1"/>
  <c r="L23" i="4" s="1"/>
  <c r="M23" i="4" s="1"/>
  <c r="D23" i="4"/>
  <c r="G23" i="4" s="1"/>
  <c r="J23" i="4" s="1"/>
  <c r="K23" i="4" s="1"/>
  <c r="L22" i="4"/>
  <c r="M22" i="4" s="1"/>
  <c r="J22" i="4"/>
  <c r="K22" i="4" s="1"/>
  <c r="I22" i="4"/>
  <c r="H22" i="4"/>
  <c r="N22" i="4" s="1"/>
  <c r="G22" i="4"/>
  <c r="F22" i="4"/>
  <c r="E22" i="4"/>
  <c r="D22" i="4"/>
  <c r="I21" i="4"/>
  <c r="H21" i="4"/>
  <c r="N21" i="4" s="1"/>
  <c r="G21" i="4"/>
  <c r="J21" i="4" s="1"/>
  <c r="K21" i="4" s="1"/>
  <c r="F21" i="4"/>
  <c r="L21" i="4" s="1"/>
  <c r="M21" i="4" s="1"/>
  <c r="E21" i="4"/>
  <c r="D21" i="4"/>
  <c r="I16" i="4"/>
  <c r="H16" i="4"/>
  <c r="N16" i="4" s="1"/>
  <c r="G16" i="4"/>
  <c r="J16" i="4" s="1"/>
  <c r="K16" i="4" s="1"/>
  <c r="F16" i="4"/>
  <c r="L16" i="4" s="1"/>
  <c r="M16" i="4" s="1"/>
  <c r="E16" i="4"/>
  <c r="D16" i="4"/>
  <c r="I15" i="4"/>
  <c r="H15" i="4"/>
  <c r="N15" i="4" s="1"/>
  <c r="G15" i="4"/>
  <c r="J15" i="4" s="1"/>
  <c r="K15" i="4" s="1"/>
  <c r="E15" i="4"/>
  <c r="F15" i="4" s="1"/>
  <c r="L15" i="4" s="1"/>
  <c r="M15" i="4" s="1"/>
  <c r="D15" i="4"/>
  <c r="E14" i="4"/>
  <c r="H14" i="4" s="1"/>
  <c r="N14" i="4" s="1"/>
  <c r="D14" i="4"/>
  <c r="I14" i="4" s="1"/>
  <c r="E13" i="4"/>
  <c r="H13" i="4" s="1"/>
  <c r="N13" i="4" s="1"/>
  <c r="D13" i="4"/>
  <c r="I13" i="4" s="1"/>
  <c r="F7" i="4"/>
  <c r="C7" i="4"/>
  <c r="I20" i="3"/>
  <c r="O19" i="3"/>
  <c r="N19" i="3"/>
  <c r="M19" i="3"/>
  <c r="L19" i="3"/>
  <c r="K19" i="3"/>
  <c r="J19" i="3"/>
  <c r="I19" i="3"/>
  <c r="I18" i="3"/>
  <c r="N17" i="3"/>
  <c r="I17" i="3"/>
  <c r="L17" i="3" s="1"/>
  <c r="M17" i="3" s="1"/>
  <c r="I13" i="3"/>
  <c r="N13" i="3" s="1"/>
  <c r="I12" i="3"/>
  <c r="N12" i="3" s="1"/>
  <c r="N11" i="3"/>
  <c r="L11" i="3"/>
  <c r="M11" i="3" s="1"/>
  <c r="J11" i="3"/>
  <c r="O11" i="3" s="1"/>
  <c r="I11" i="3"/>
  <c r="H72" i="2"/>
  <c r="E72" i="2"/>
  <c r="H71" i="2"/>
  <c r="E71" i="2"/>
  <c r="H70" i="2"/>
  <c r="E70" i="2"/>
  <c r="H69" i="2"/>
  <c r="E69" i="2"/>
  <c r="H68" i="2"/>
  <c r="E68" i="2"/>
  <c r="D18" i="2" s="1"/>
  <c r="H63" i="2"/>
  <c r="D63" i="2"/>
  <c r="E62" i="2"/>
  <c r="D62" i="2"/>
  <c r="H62" i="2" s="1"/>
  <c r="E61" i="2"/>
  <c r="D61" i="2"/>
  <c r="H61" i="2" s="1"/>
  <c r="E60" i="2"/>
  <c r="H60" i="2" s="1"/>
  <c r="D28" i="2" s="1"/>
  <c r="D56" i="2"/>
  <c r="F56" i="2" s="1"/>
  <c r="G55" i="2" s="1"/>
  <c r="F55" i="2"/>
  <c r="D55" i="2"/>
  <c r="D54" i="2"/>
  <c r="F54" i="2" s="1"/>
  <c r="G54" i="2" s="1"/>
  <c r="D53" i="2"/>
  <c r="F53" i="2" s="1"/>
  <c r="G53" i="2" s="1"/>
  <c r="F52" i="2"/>
  <c r="G52" i="2" s="1"/>
  <c r="D27" i="2" s="1"/>
  <c r="D52" i="2"/>
  <c r="C44" i="2"/>
  <c r="C36" i="2"/>
  <c r="G20" i="2"/>
  <c r="F20" i="2"/>
  <c r="E20" i="2"/>
  <c r="D20" i="2"/>
  <c r="G19" i="2"/>
  <c r="F19" i="2"/>
  <c r="D19" i="2"/>
  <c r="E36" i="5" l="1"/>
  <c r="E54" i="5"/>
  <c r="E37" i="5"/>
  <c r="C36" i="5"/>
  <c r="C37" i="5"/>
  <c r="C54" i="5"/>
  <c r="G27" i="2"/>
  <c r="F27" i="2"/>
  <c r="G18" i="2"/>
  <c r="G23" i="2" s="1"/>
  <c r="F18" i="2"/>
  <c r="D46" i="5"/>
  <c r="D47" i="5" s="1"/>
  <c r="D48" i="5" s="1"/>
  <c r="D55" i="5"/>
  <c r="D36" i="5"/>
  <c r="D37" i="5" s="1"/>
  <c r="D38" i="5" s="1"/>
  <c r="D54" i="5"/>
  <c r="C46" i="5"/>
  <c r="C55" i="5"/>
  <c r="C47" i="5"/>
  <c r="C48" i="5" s="1"/>
  <c r="E41" i="8"/>
  <c r="E42" i="8" s="1"/>
  <c r="F28" i="2"/>
  <c r="G28" i="2"/>
  <c r="C41" i="8"/>
  <c r="C42" i="8" s="1"/>
  <c r="L13" i="3"/>
  <c r="M13" i="3" s="1"/>
  <c r="J13" i="3"/>
  <c r="G13" i="4"/>
  <c r="J13" i="4" s="1"/>
  <c r="K13" i="4" s="1"/>
  <c r="C19" i="7"/>
  <c r="C20" i="7" s="1"/>
  <c r="K11" i="3"/>
  <c r="F30" i="7"/>
  <c r="F31" i="7" s="1"/>
  <c r="F32" i="7" s="1"/>
  <c r="F13" i="4"/>
  <c r="L13" i="4" s="1"/>
  <c r="M13" i="4" s="1"/>
  <c r="F14" i="4"/>
  <c r="L14" i="4" s="1"/>
  <c r="M14" i="4" s="1"/>
  <c r="G14" i="4"/>
  <c r="J14" i="4" s="1"/>
  <c r="K14" i="4" s="1"/>
  <c r="N20" i="3"/>
  <c r="L20" i="3"/>
  <c r="M20" i="3" s="1"/>
  <c r="J20" i="3"/>
  <c r="C16" i="6"/>
  <c r="D62" i="5"/>
  <c r="C62" i="5"/>
  <c r="E30" i="7"/>
  <c r="E31" i="7" s="1"/>
  <c r="E32" i="7" s="1"/>
  <c r="C19" i="8"/>
  <c r="C20" i="8" s="1"/>
  <c r="E44" i="8" s="1"/>
  <c r="C18" i="8"/>
  <c r="F41" i="8" s="1"/>
  <c r="F42" i="8" s="1"/>
  <c r="F40" i="6"/>
  <c r="F41" i="6" s="1"/>
  <c r="F42" i="6" s="1"/>
  <c r="F43" i="6" s="1"/>
  <c r="F44" i="6" s="1"/>
  <c r="F45" i="6" s="1"/>
  <c r="F30" i="6"/>
  <c r="F31" i="6" s="1"/>
  <c r="F32" i="6" s="1"/>
  <c r="F33" i="6" s="1"/>
  <c r="F34" i="6" s="1"/>
  <c r="F35" i="6" s="1"/>
  <c r="C40" i="6"/>
  <c r="C41" i="6" s="1"/>
  <c r="C42" i="6" s="1"/>
  <c r="C43" i="6" s="1"/>
  <c r="C44" i="6" s="1"/>
  <c r="C45" i="6" s="1"/>
  <c r="C30" i="6"/>
  <c r="C31" i="6" s="1"/>
  <c r="C32" i="6" s="1"/>
  <c r="C33" i="6" s="1"/>
  <c r="C34" i="6" s="1"/>
  <c r="C35" i="6" s="1"/>
  <c r="E40" i="6"/>
  <c r="E41" i="6" s="1"/>
  <c r="E42" i="6" s="1"/>
  <c r="E43" i="6" s="1"/>
  <c r="E44" i="6" s="1"/>
  <c r="E45" i="6" s="1"/>
  <c r="E30" i="6"/>
  <c r="E31" i="6" s="1"/>
  <c r="E32" i="6" s="1"/>
  <c r="E33" i="6" s="1"/>
  <c r="E34" i="6" s="1"/>
  <c r="E35" i="6" s="1"/>
  <c r="D40" i="6"/>
  <c r="D41" i="6" s="1"/>
  <c r="D42" i="6" s="1"/>
  <c r="D43" i="6" s="1"/>
  <c r="D44" i="6" s="1"/>
  <c r="D45" i="6" s="1"/>
  <c r="D30" i="6"/>
  <c r="D31" i="6" s="1"/>
  <c r="D32" i="6" s="1"/>
  <c r="D33" i="6" s="1"/>
  <c r="D34" i="6" s="1"/>
  <c r="D35" i="6" s="1"/>
  <c r="L18" i="3"/>
  <c r="M18" i="3" s="1"/>
  <c r="N18" i="3"/>
  <c r="C18" i="6"/>
  <c r="E20" i="9"/>
  <c r="G20" i="9" s="1"/>
  <c r="E19" i="9"/>
  <c r="G19" i="9" s="1"/>
  <c r="J18" i="3"/>
  <c r="C19" i="6"/>
  <c r="C44" i="7"/>
  <c r="C27" i="7"/>
  <c r="C30" i="7" s="1"/>
  <c r="C31" i="7" s="1"/>
  <c r="C32" i="7" s="1"/>
  <c r="F28" i="8"/>
  <c r="D27" i="7"/>
  <c r="D30" i="7" s="1"/>
  <c r="D31" i="7" s="1"/>
  <c r="D32" i="7" s="1"/>
  <c r="E60" i="6"/>
  <c r="C17" i="5"/>
  <c r="C62" i="6"/>
  <c r="F28" i="7"/>
  <c r="F44" i="7" s="1"/>
  <c r="E27" i="8"/>
  <c r="E30" i="8" s="1"/>
  <c r="E31" i="8" s="1"/>
  <c r="E32" i="8" s="1"/>
  <c r="L12" i="3"/>
  <c r="M12" i="3" s="1"/>
  <c r="J17" i="3"/>
  <c r="F24" i="4"/>
  <c r="L24" i="4" s="1"/>
  <c r="M24" i="4" s="1"/>
  <c r="C18" i="5"/>
  <c r="D62" i="6"/>
  <c r="C26" i="7"/>
  <c r="C38" i="7" s="1"/>
  <c r="C39" i="7" s="1"/>
  <c r="C40" i="7" s="1"/>
  <c r="C41" i="7" s="1"/>
  <c r="C42" i="7" s="1"/>
  <c r="F27" i="8"/>
  <c r="F30" i="8" s="1"/>
  <c r="F31" i="8" s="1"/>
  <c r="F32" i="8" s="1"/>
  <c r="C27" i="8"/>
  <c r="C30" i="8" s="1"/>
  <c r="C31" i="8" s="1"/>
  <c r="C32" i="8" s="1"/>
  <c r="J12" i="3"/>
  <c r="D27" i="8"/>
  <c r="D30" i="8" s="1"/>
  <c r="D31" i="8" s="1"/>
  <c r="D32" i="8" s="1"/>
  <c r="G24" i="4"/>
  <c r="J24" i="4" s="1"/>
  <c r="K24" i="4" s="1"/>
  <c r="C19" i="5"/>
  <c r="E62" i="6"/>
  <c r="D26" i="7"/>
  <c r="D38" i="7" s="1"/>
  <c r="D39" i="7" s="1"/>
  <c r="D40" i="7" s="1"/>
  <c r="D41" i="7" s="1"/>
  <c r="D42" i="7" s="1"/>
  <c r="C28" i="8"/>
  <c r="C44" i="8" s="1"/>
  <c r="E40" i="5"/>
  <c r="E41" i="5" s="1"/>
  <c r="E42" i="5" s="1"/>
  <c r="E43" i="5" s="1"/>
  <c r="E44" i="5" s="1"/>
  <c r="E45" i="5" s="1"/>
  <c r="D28" i="7"/>
  <c r="D44" i="7" s="1"/>
  <c r="E28" i="7"/>
  <c r="E44" i="7" s="1"/>
  <c r="O18" i="3" l="1"/>
  <c r="K18" i="3"/>
  <c r="D41" i="8"/>
  <c r="D42" i="8" s="1"/>
  <c r="G32" i="2"/>
  <c r="C46" i="2" s="1"/>
  <c r="C50" i="5"/>
  <c r="E50" i="5"/>
  <c r="D50" i="5"/>
  <c r="E35" i="8"/>
  <c r="E36" i="8" s="1"/>
  <c r="E33" i="8"/>
  <c r="E34" i="8" s="1"/>
  <c r="F35" i="7"/>
  <c r="F36" i="7" s="1"/>
  <c r="F33" i="7"/>
  <c r="F34" i="7" s="1"/>
  <c r="C56" i="5"/>
  <c r="C57" i="5" s="1"/>
  <c r="E55" i="5"/>
  <c r="E46" i="5"/>
  <c r="E47" i="5"/>
  <c r="E48" i="5" s="1"/>
  <c r="K17" i="3"/>
  <c r="O17" i="3"/>
  <c r="F46" i="6"/>
  <c r="F47" i="6"/>
  <c r="F48" i="6" s="1"/>
  <c r="F55" i="6"/>
  <c r="K12" i="3"/>
  <c r="O12" i="3"/>
  <c r="E33" i="7"/>
  <c r="E34" i="7" s="1"/>
  <c r="E35" i="7"/>
  <c r="E36" i="7" s="1"/>
  <c r="D56" i="5"/>
  <c r="D57" i="5" s="1"/>
  <c r="C38" i="5"/>
  <c r="C35" i="8"/>
  <c r="C36" i="8" s="1"/>
  <c r="C33" i="8"/>
  <c r="C34" i="8" s="1"/>
  <c r="E46" i="6"/>
  <c r="E55" i="6"/>
  <c r="E47" i="6"/>
  <c r="E48" i="6" s="1"/>
  <c r="F54" i="6"/>
  <c r="F56" i="6" s="1"/>
  <c r="F57" i="6" s="1"/>
  <c r="F36" i="6"/>
  <c r="F37" i="6"/>
  <c r="F38" i="6" s="1"/>
  <c r="F35" i="8"/>
  <c r="F36" i="8" s="1"/>
  <c r="F33" i="8"/>
  <c r="F34" i="8" s="1"/>
  <c r="D33" i="7"/>
  <c r="D34" i="7" s="1"/>
  <c r="D35" i="7"/>
  <c r="D36" i="7" s="1"/>
  <c r="D54" i="6"/>
  <c r="D56" i="6" s="1"/>
  <c r="D57" i="6" s="1"/>
  <c r="D36" i="6"/>
  <c r="D37" i="6" s="1"/>
  <c r="D38" i="6" s="1"/>
  <c r="E38" i="5"/>
  <c r="C46" i="6"/>
  <c r="C47" i="6"/>
  <c r="C48" i="6" s="1"/>
  <c r="C55" i="6"/>
  <c r="D35" i="8"/>
  <c r="D36" i="8" s="1"/>
  <c r="D33" i="8"/>
  <c r="D34" i="8" s="1"/>
  <c r="F44" i="8"/>
  <c r="D46" i="6"/>
  <c r="D55" i="6"/>
  <c r="D47" i="6"/>
  <c r="D48" i="6" s="1"/>
  <c r="O13" i="3"/>
  <c r="K13" i="3"/>
  <c r="D44" i="8"/>
  <c r="E56" i="5"/>
  <c r="E57" i="5" s="1"/>
  <c r="C54" i="6"/>
  <c r="C36" i="6"/>
  <c r="C37" i="6"/>
  <c r="C38" i="6" s="1"/>
  <c r="F50" i="6"/>
  <c r="E50" i="6"/>
  <c r="D50" i="6"/>
  <c r="C50" i="6"/>
  <c r="C33" i="7"/>
  <c r="C34" i="7" s="1"/>
  <c r="C35" i="7"/>
  <c r="C36" i="7" s="1"/>
  <c r="E54" i="6"/>
  <c r="E56" i="6" s="1"/>
  <c r="E57" i="6" s="1"/>
  <c r="E36" i="6"/>
  <c r="E37" i="6"/>
  <c r="E38" i="6" s="1"/>
  <c r="O20" i="3"/>
  <c r="K20" i="3"/>
  <c r="F52" i="6" l="1"/>
  <c r="F51" i="6"/>
  <c r="D51" i="5"/>
  <c r="D52" i="5"/>
  <c r="E52" i="6"/>
  <c r="E51" i="6"/>
  <c r="C56" i="6"/>
  <c r="C57" i="6" s="1"/>
  <c r="E52" i="5"/>
  <c r="E51" i="5"/>
  <c r="C51" i="5"/>
  <c r="C52" i="5"/>
  <c r="C51" i="6"/>
  <c r="C52" i="6"/>
  <c r="D51" i="6"/>
  <c r="D52" i="6"/>
</calcChain>
</file>

<file path=xl/sharedStrings.xml><?xml version="1.0" encoding="utf-8"?>
<sst xmlns="http://schemas.openxmlformats.org/spreadsheetml/2006/main" count="580" uniqueCount="330">
  <si>
    <t>ANALISIS DE IRREGULARIDADES Y COEFICIENTE R  (NSR-10, A.3)</t>
  </si>
  <si>
    <t>1. Sistema estructural y parametros sismicos</t>
  </si>
  <si>
    <t>Sistema: PORTICOS RESISTENTES A MOMENTOS DE CONCRETO REFORZADO con capacidad MODERADA de disipacion de energia (DMO), en las dos direcciones, que resisten cargas gravitacionales y sismicas (NSR-10 Tabla A.3-3). Componentes: columnas (C1ESQ, C2BOR, C3INT, C4DIAG), vigas de carga VC 40x30, vigas de rigidez VR 40x35, entrepiso en losa aligerada en una direccion (vigueta h=0.34 + caseton + loseta 0.06 m). Materiales: f'c=28 MPa, fy=420 MPa. Localizacion: Santa Marta (amenaza sismica intermedia).</t>
  </si>
  <si>
    <t>Aa / Av</t>
  </si>
  <si>
    <t>Suelo / Fa / Fv</t>
  </si>
  <si>
    <t>C</t>
  </si>
  <si>
    <t>Coef. importancia I</t>
  </si>
  <si>
    <t>R0 (Tabla A.3-3, DMO)</t>
  </si>
  <si>
    <t>Portico de concreto: DES R0=7.0 - DMO R0=5.0 - DMI R0=2.5.</t>
  </si>
  <si>
    <t>Omega0 sobrerresistencia</t>
  </si>
  <si>
    <t>Para diseno de elementos por capacidad.</t>
  </si>
  <si>
    <t>2. Irregularidades en PLANTA  -&gt;  phi_p</t>
  </si>
  <si>
    <t>Tipo (A.3-6)</t>
  </si>
  <si>
    <t>Parametro</t>
  </si>
  <si>
    <t>Valor</t>
  </si>
  <si>
    <t>Limite</t>
  </si>
  <si>
    <t>Irregular?</t>
  </si>
  <si>
    <t>Coef.</t>
  </si>
  <si>
    <t>Observacion</t>
  </si>
  <si>
    <t>1aP/1bP Torsional</t>
  </si>
  <si>
    <t>dmax/dprom</t>
  </si>
  <si>
    <t>1.20 / 1.40</t>
  </si>
  <si>
    <t>Verificado con los 183 nudos del diafragma por piso (Tabla C).</t>
  </si>
  <si>
    <t>2P Retrocesos esquinas</t>
  </si>
  <si>
    <t>px ; py</t>
  </si>
  <si>
    <t>0.15</t>
  </si>
  <si>
    <t>3P Discontinuidad diafragma</t>
  </si>
  <si>
    <t>Area abierta</t>
  </si>
  <si>
    <t>4P Desplaz. fuera del plano</t>
  </si>
  <si>
    <t>No aplica</t>
  </si>
  <si>
    <t>-</t>
  </si>
  <si>
    <t>No</t>
  </si>
  <si>
    <t>5P Sistemas no paralelos</t>
  </si>
  <si>
    <t>phi_p = MINIMO</t>
  </si>
  <si>
    <t>3. Irregularidades en ALTURA  -&gt;  phi_a</t>
  </si>
  <si>
    <t>Tipo (A.3-7)</t>
  </si>
  <si>
    <t>1aA/1bA Piso flexible</t>
  </si>
  <si>
    <t>ki/ki+1 min</t>
  </si>
  <si>
    <t>0.70 / 0.60</t>
  </si>
  <si>
    <t>2A Masa</t>
  </si>
  <si>
    <t>mi/mi+-1 max</t>
  </si>
  <si>
    <t>1.50</t>
  </si>
  <si>
    <t>3A Geometrica vertical</t>
  </si>
  <si>
    <t>dim i/i+1</t>
  </si>
  <si>
    <t>1.30</t>
  </si>
  <si>
    <t>4A Desplaz. en el plano</t>
  </si>
  <si>
    <t>5aA/5bA Piso debil</t>
  </si>
  <si>
    <t>resist i/i+1</t>
  </si>
  <si>
    <t>0.80 / 0.65</t>
  </si>
  <si>
    <t>phi_a = MINIMO</t>
  </si>
  <si>
    <t>4. Ausencia de redundancia  -&gt;  phi_r  (A.3.3.8)</t>
  </si>
  <si>
    <t>Lineas de resistencia / dir.</t>
  </si>
  <si>
    <t>&gt;= 2 vanos</t>
  </si>
  <si>
    <t>Redundante?</t>
  </si>
  <si>
    <t>Si</t>
  </si>
  <si>
    <t>phi_r</t>
  </si>
  <si>
    <t>5. Coeficiente de disipacion  R = R0 x phi_a x phi_p x phi_r</t>
  </si>
  <si>
    <t>Lx planta [m]</t>
  </si>
  <si>
    <t>Ly planta [m]</t>
  </si>
  <si>
    <t>Proy. retroceso X [m]</t>
  </si>
  <si>
    <t>Proy. retroceso Y [m]</t>
  </si>
  <si>
    <t>Area planta [m2]</t>
  </si>
  <si>
    <t>Area abierta diafragma [m2]</t>
  </si>
  <si>
    <t>R = R0 x phi_a x phi_p x phi_r</t>
  </si>
  <si>
    <t>CONCLUSION: estructura REGULAR en planta y altura. Torsion dmax/dprom = 1.02(X) y 1.01(Y) &lt; 1.20; masa 1.32 &lt; 1.50; rigidez creciente hacia la base; diafragma &lt; 50% area; retrocesos &lt; 15%. Por tanto phi_p = phi_a = phi_r = 1.0 y R = 5.0. Las solicitaciones sismicas de DISENO de los elementos = (analisis elastico)/R; las derivas se verifican con las fuerzas sin reducir (A.6).</t>
  </si>
  <si>
    <t>Tabla auxiliar A - Rigidez de piso  ki = Vi/Di</t>
  </si>
  <si>
    <t>Piso</t>
  </si>
  <si>
    <t>Fx [kN]</t>
  </si>
  <si>
    <t>Vi [kN]</t>
  </si>
  <si>
    <t>Di Sx [m]</t>
  </si>
  <si>
    <t>ki [kN/m]</t>
  </si>
  <si>
    <t>ki/ki+1</t>
  </si>
  <si>
    <t>Tabla auxiliar B - Masa por piso</t>
  </si>
  <si>
    <t>Peso mi [kN]</t>
  </si>
  <si>
    <t>mi/mi-1</t>
  </si>
  <si>
    <t>mi/mi+1</t>
  </si>
  <si>
    <t>max ratio</t>
  </si>
  <si>
    <t>Cubierta</t>
  </si>
  <si>
    <t>Tabla auxiliar C - Torsion  A = dmax/dprom (valores reales del modelo)</t>
  </si>
  <si>
    <t>dmax Sx</t>
  </si>
  <si>
    <t>dmin Sx</t>
  </si>
  <si>
    <t>Ax</t>
  </si>
  <si>
    <t>dmax Sy</t>
  </si>
  <si>
    <t>dmin Sy</t>
  </si>
  <si>
    <t>Ay</t>
  </si>
  <si>
    <t>CUADRO DE VIGAS Y RIOSTRAS POR TIPOS  (NSR-10/ACI - sismo / R=5)</t>
  </si>
  <si>
    <t>Materiales y refuerzo (comunes)</t>
  </si>
  <si>
    <t>f'c [MPa]</t>
  </si>
  <si>
    <t>fy [MPa]</t>
  </si>
  <si>
    <t>recubr [m]</t>
  </si>
  <si>
    <t>Diam barra</t>
  </si>
  <si>
    <t>#5  Area-&gt;</t>
  </si>
  <si>
    <t>mm2</t>
  </si>
  <si>
    <t>Diam estribo</t>
  </si>
  <si>
    <t>#3  Av [mm2]</t>
  </si>
  <si>
    <t>Las vigas se agrupan por nivel de solicitacion en TIPOS; cada tipo se disena para su M- maximo de grupo. d, As y N de barras se calculan automaticamente. Celdas azules = entrada (envolvente del modelo SAP).</t>
  </si>
  <si>
    <t>VIGAS DE CARGA - VC 40x30</t>
  </si>
  <si>
    <t>Tipo</t>
  </si>
  <si>
    <t>N vigas</t>
  </si>
  <si>
    <t>b [m]</t>
  </si>
  <si>
    <t>h [m]</t>
  </si>
  <si>
    <t>M- [kN.m]</t>
  </si>
  <si>
    <t>M+ [kN.m]</t>
  </si>
  <si>
    <t>Vu [kN]</t>
  </si>
  <si>
    <t>d [mm]</t>
  </si>
  <si>
    <t>As- [mm2]</t>
  </si>
  <si>
    <t>N #5</t>
  </si>
  <si>
    <t>As+ [mm2]</t>
  </si>
  <si>
    <t>s estribo [mm]</t>
  </si>
  <si>
    <t>rho- check</t>
  </si>
  <si>
    <t>VC-1</t>
  </si>
  <si>
    <t>VC-2</t>
  </si>
  <si>
    <t>VC-3</t>
  </si>
  <si>
    <t>RIOSTRAS / VIGAS DE RIGIDEZ - VR 40x35</t>
  </si>
  <si>
    <t>VR-1</t>
  </si>
  <si>
    <t>VR-2</t>
  </si>
  <si>
    <t>VR-3</t>
  </si>
  <si>
    <t>VR-4</t>
  </si>
  <si>
    <t>Notas</t>
  </si>
  <si>
    <t>Cada tipo agrupa las vigas con M- hasta el valor indicado. El N de barras es para flexion; en apoyos se coloca As- (bastones Ln/4+ld) y en el centro As+ corrido. Estribos #3 @ s en zona de confinamiento (2h desde la cara del nudo) y @ d/2 en el resto. Torsion y cortante por capacidad: ver hojas 'Diseno Vigas' y 'Diseno Riostras' (calculo detallado del tipo critico VC-3 y VR-4).</t>
  </si>
  <si>
    <t>CUADRO DE VIGUETAS POR TIPO DE LUZ  (losa aligerada, viga T, gravedad)</t>
  </si>
  <si>
    <t>Geometria y materiales (comunes)</t>
  </si>
  <si>
    <t>bw [m]</t>
  </si>
  <si>
    <t>hf [m]</t>
  </si>
  <si>
    <t>sv [m]</t>
  </si>
  <si>
    <t>#4 Area</t>
  </si>
  <si>
    <t>ancho apoyo [m]</t>
  </si>
  <si>
    <t>As min [mm2]</t>
  </si>
  <si>
    <t>Vigueta continua: M- = wu Ln2/10 (apoyo), M+ = wu Ln2/14 (centro), Vu = 1.15 wu Ln/2.  Ln = L_ejes - ancho apoyo.</t>
  </si>
  <si>
    <t>VIGUETAS DE ENTREPISO  (carga viva recreativa)</t>
  </si>
  <si>
    <t>wD [kN/m2]</t>
  </si>
  <si>
    <t>wL [kN/m2]</t>
  </si>
  <si>
    <t>L ejes [m]</t>
  </si>
  <si>
    <t>Ln [m]</t>
  </si>
  <si>
    <t>wu [kN/m]</t>
  </si>
  <si>
    <t>bf [mm]</t>
  </si>
  <si>
    <t>N #4+</t>
  </si>
  <si>
    <t>N #4-</t>
  </si>
  <si>
    <t>Estribos?</t>
  </si>
  <si>
    <t>VT-1</t>
  </si>
  <si>
    <t>VT-2</t>
  </si>
  <si>
    <t>VT-3</t>
  </si>
  <si>
    <t>VT-4</t>
  </si>
  <si>
    <t>VIGUETAS DE CUBIERTA  (terraza social, L=5 kN/m2 - GOBIERNA)</t>
  </si>
  <si>
    <t>Despiece</t>
  </si>
  <si>
    <t>Todas las viguetas: refuerzo inferior As(+) corrido + refuerzo superior As(-) sobre apoyos (bastones Ln/4 + ld). Como las solicitaciones son bajas, casi todas requieren el As minimo (2 #4). Sin estribos (Vu &lt;= phi 1.1 Vc). Loseta con malla de retraccion Ø6 @ 250 mm (As=0.0018*b*hf). f'c=28 MPa, fy=420 MPa.</t>
  </si>
  <si>
    <t>DISENO DE VIGAS DE CARGA  VC 40x30  (grupos en columnas)</t>
  </si>
  <si>
    <t>DATOS COMUNES DE LA SECCION</t>
  </si>
  <si>
    <t>fy = fyt [MPa]</t>
  </si>
  <si>
    <t>recubrimiento [m]</t>
  </si>
  <si>
    <t>Diam estribo [mm]</t>
  </si>
  <si>
    <t>Diam barra long. [mm]</t>
  </si>
  <si>
    <t>Area barra [mm2]</t>
  </si>
  <si>
    <t>Area 2 ramas Av [mm2]</t>
  </si>
  <si>
    <t>d = h - r - est - bl/2 [mm]</t>
  </si>
  <si>
    <t>As minimo [mm2]</t>
  </si>
  <si>
    <t>As maximo (rho=0.025) [mm2]</t>
  </si>
  <si>
    <t>Vc [kN]</t>
  </si>
  <si>
    <t>Vs max [kN]</t>
  </si>
  <si>
    <t>T umbral [kN.m]</t>
  </si>
  <si>
    <t>h min = Ln/18.5 [m]</t>
  </si>
  <si>
    <t>Parametro  \  GRUPO</t>
  </si>
  <si>
    <t>SOLICITACIONES (envolvente SAP, sismo / R=5)</t>
  </si>
  <si>
    <t>Mu (-) [kN.m]</t>
  </si>
  <si>
    <t>Mu (+) [kN.m]</t>
  </si>
  <si>
    <t>Tu [kN.m]</t>
  </si>
  <si>
    <t>FLEXION - MOMENTO NEGATIVO (acero superior)</t>
  </si>
  <si>
    <t>Rn(-) = Mu/(phi b d2)</t>
  </si>
  <si>
    <t>rho(-)</t>
  </si>
  <si>
    <t>As(-) requerido [mm2]</t>
  </si>
  <si>
    <t>As(-) diseno [mm2]</t>
  </si>
  <si>
    <t>N barras (-)</t>
  </si>
  <si>
    <t>As(-) colocado [mm2]</t>
  </si>
  <si>
    <t>a(-) [mm]</t>
  </si>
  <si>
    <t>phiMn(-) [kN.m]</t>
  </si>
  <si>
    <t>CHECK flexion (-)</t>
  </si>
  <si>
    <t>FLEXION - MOMENTO POSITIVO (acero inferior)</t>
  </si>
  <si>
    <t>Rn(+)</t>
  </si>
  <si>
    <t>rho(+)</t>
  </si>
  <si>
    <t>As(+) requerido [mm2]</t>
  </si>
  <si>
    <t>As(+) diseno [mm2]</t>
  </si>
  <si>
    <t>N barras (+)</t>
  </si>
  <si>
    <t>As(+) colocado [mm2]</t>
  </si>
  <si>
    <t>a(+) [mm]</t>
  </si>
  <si>
    <t>phiMn(+) [kN.m]</t>
  </si>
  <si>
    <t>CHECK flexion (+)</t>
  </si>
  <si>
    <t>CORTANTE (phi=0.75)</t>
  </si>
  <si>
    <t>Vs requerido [kN]</t>
  </si>
  <si>
    <t>Separacion estribo [mm]</t>
  </si>
  <si>
    <t>CHECK cortante</t>
  </si>
  <si>
    <t>CORTANTE POR CAPACIDAD (DMO)</t>
  </si>
  <si>
    <t>Mpr(-) [kN.m]</t>
  </si>
  <si>
    <t>Mpr(+) [kN.m]</t>
  </si>
  <si>
    <t>Ve = (Mpr-+Mpr+)/Ln [kN]</t>
  </si>
  <si>
    <t>V diseno = max(Vu,Ve) [kN]</t>
  </si>
  <si>
    <t>TORSION (phi=0.75)</t>
  </si>
  <si>
    <t>Requiere torsion?</t>
  </si>
  <si>
    <t>At/s [mm2/mm]</t>
  </si>
  <si>
    <t>DEFLEXION (C.9.5)</t>
  </si>
  <si>
    <t>CHECK (h &gt;= Ln/18.5)</t>
  </si>
  <si>
    <t>DISENO DE VIGAS DE RIGIDEZ / RIOSTRAS  VR 40x35  (grupos en columnas)</t>
  </si>
  <si>
    <t>DISENO DE VIGUETAS DE ENTREPISO  (grupos de luz en columnas)</t>
  </si>
  <si>
    <t>DATOS COMUNES</t>
  </si>
  <si>
    <t>hf loseta [m]</t>
  </si>
  <si>
    <t>Diam barra [mm]</t>
  </si>
  <si>
    <t>wu = (1.2D+1.6L) sv [kN/m]</t>
  </si>
  <si>
    <t>phi 1.1 Vc [kN]</t>
  </si>
  <si>
    <t>Parametro  \  GRUPO (luz)</t>
  </si>
  <si>
    <t>SOLICITACIONES (gravedad, vigueta continua)</t>
  </si>
  <si>
    <t>bf = min(Ln/4;bw+16hf;sv) [mm]</t>
  </si>
  <si>
    <t>Mu(-) = wu Ln2/10 [kN.m]</t>
  </si>
  <si>
    <t>Mu(+) = wu Ln2/14 [kN.m]</t>
  </si>
  <si>
    <t>Vu = 1.15 wu Ln/2 [kN]</t>
  </si>
  <si>
    <t>FLEXION POSITIVA - viga T (loseta a compresion)</t>
  </si>
  <si>
    <t>Rn(+) = Mu+/(phi bf d2)</t>
  </si>
  <si>
    <t>As(+) [mm2]</t>
  </si>
  <si>
    <t>a &lt;= hf ? (viga T)</t>
  </si>
  <si>
    <t>N barras(+) #4</t>
  </si>
  <si>
    <t>FLEXION NEGATIVA - nervio (rectangular bw)</t>
  </si>
  <si>
    <t>Rn(-) = Mu-/(phi bw d2)</t>
  </si>
  <si>
    <t>As(-) [mm2]</t>
  </si>
  <si>
    <t>N barras(-) #4</t>
  </si>
  <si>
    <t>CORTANTE Y DEFLEXION</t>
  </si>
  <si>
    <t>Vu &lt;= phi 1.1 Vc ?</t>
  </si>
  <si>
    <t>CHECK deflexion (h&gt;=Ln/18.5)</t>
  </si>
  <si>
    <t>DISENO DE VIGUETAS DE CUBIERTA  (terraza social L=5)</t>
  </si>
  <si>
    <t>DESPIECE: LONGITUDES DE DESARROLLO, GANCHOS Y ESTRIBOS  (NSR-10 C.7 y C.12)</t>
  </si>
  <si>
    <t>1. Parametros</t>
  </si>
  <si>
    <t>recubrimiento [mm]</t>
  </si>
  <si>
    <t>ldh = 0.24 (fy/raiz f'c) db  (minimo 8db y 150 mm).  ld recto: C.12.2 (caso favorable).  Gancho 90: extension 12db.  Gancho 135 (estribo): extension 6db &gt;= 75 mm.  Diametro de doblado: 6db.</t>
  </si>
  <si>
    <t>2. Longitudes por diametro de barra [mm]</t>
  </si>
  <si>
    <t>Barra</t>
  </si>
  <si>
    <t>db</t>
  </si>
  <si>
    <t>ld recto inf.</t>
  </si>
  <si>
    <t>ld recto sup.</t>
  </si>
  <si>
    <t>ldh (gancho)</t>
  </si>
  <si>
    <t>Gancho 90 (12db)</t>
  </si>
  <si>
    <t>Gancho 135 estribo</t>
  </si>
  <si>
    <t>Diam. doblado (6db)</t>
  </si>
  <si>
    <t>Nº 3</t>
  </si>
  <si>
    <t>Nº 4</t>
  </si>
  <si>
    <t>Nº 5</t>
  </si>
  <si>
    <t>3. Longitud de corte de cada barra</t>
  </si>
  <si>
    <t>Barras SUPERIORES (negativo, apoyos): L = Ln/4 + ldh.   Barras INFERIORES (positivo, centro): L = Ln + 2 ldh.   (metodo del grupo, NSR-10 C.12).</t>
  </si>
  <si>
    <t>Posicion</t>
  </si>
  <si>
    <t>Luz libre Ln [m]</t>
  </si>
  <si>
    <t>ldh [mm]</t>
  </si>
  <si>
    <t>Formula</t>
  </si>
  <si>
    <t>Longitud [m]</t>
  </si>
  <si>
    <t>Viga superior (apoyos)</t>
  </si>
  <si>
    <t>Ln/4 + ldh</t>
  </si>
  <si>
    <t>Viga inferior (centro)</t>
  </si>
  <si>
    <t>Ln + 2 ldh</t>
  </si>
  <si>
    <t>Vigueta superior (apoyos)</t>
  </si>
  <si>
    <t>Vigueta inferior (centro)</t>
  </si>
  <si>
    <t>4. Estribos (Nº 3) y zonas de confinamiento (DMO C.21.3.4)</t>
  </si>
  <si>
    <t>Elemento</t>
  </si>
  <si>
    <t>b [mm]</t>
  </si>
  <si>
    <t>h [mm]</t>
  </si>
  <si>
    <t>Zona confin. 2h [mm]</t>
  </si>
  <si>
    <t>s confin. (d/4) [mm]</t>
  </si>
  <si>
    <t>s centro (d/2) [mm]</t>
  </si>
  <si>
    <t>Long. estribo [mm]</t>
  </si>
  <si>
    <t>Viga de carga VC</t>
  </si>
  <si>
    <t>Riostra VR</t>
  </si>
  <si>
    <t>Vigueta</t>
  </si>
  <si>
    <t>Estribos Nº 3 de dos ramas, con ganchos sismicos a 135 grados. En la zona de confinamiento (2h desde la cara de cada apoyo) se separan d/4; en el resto, d/2. La longitud del estribo incluye el perimetro interior mas los dos ganchos a 135 grados.</t>
  </si>
  <si>
    <t>6. Las derivas (estabilidad lateral) se verifican con la fuerza sismica SIN reducir; el diseño de elementos usa E/R, conforme a la NSR-10.</t>
  </si>
  <si>
    <t>5. Los elementos se agruparon por nivel de momento negativo, segun los cortes indicados en cada tabla; cada tipo se diseña con el mayor momento de su grupo (columna 'diseno').</t>
  </si>
  <si>
    <t>4. Para cada elemento se tomo la envolvente (M- mas negativo, M+ mas positivo, |V| y |T| maximos) sobre todas sus estaciones y combinaciones reducidas.</t>
  </si>
  <si>
    <t>3. Reduccion del sismo por R=5: en cada estacion del elemento, la parte de gravedad es el promedio del par (ej. (C3+C4)/2) y el sismo es la semidiferencia ((C3-C4)/2). El momento de diseno usa gravedad + sismo/R.</t>
  </si>
  <si>
    <t>2. Combinaciones: C1=1.4D; C2=1.2D+1.6L; C3/C4=1.2D+1.0L +/- Ex; C5/C6=1.2D+1.0L +/- Ey; C7/C8=0.9D +/- Ex; C9/C10=0.9D +/- Ey.</t>
  </si>
  <si>
    <t>1. Las fuerzas se tomaron de la tabla 'Element Forces - Frames' del SAP, en las 10 combinaciones de diseno (COMB1 a COMB10).</t>
  </si>
  <si>
    <t>E.  METODOLOGIA (como se obtuvieron los momentos)</t>
  </si>
  <si>
    <t>No requiere</t>
  </si>
  <si>
    <t>2 Nº4 inf / 2 Nº4 sup</t>
  </si>
  <si>
    <t>4.80</t>
  </si>
  <si>
    <t>5.15</t>
  </si>
  <si>
    <t>4.45</t>
  </si>
  <si>
    <t>3.25</t>
  </si>
  <si>
    <t>3.60</t>
  </si>
  <si>
    <t>1.85</t>
  </si>
  <si>
    <t>2.20</t>
  </si>
  <si>
    <t>Estribos</t>
  </si>
  <si>
    <t>Refuerzo</t>
  </si>
  <si>
    <t>Mu+ (kN.m)</t>
  </si>
  <si>
    <t>Mu- (kN.m)</t>
  </si>
  <si>
    <t>Luz de calculo (m)</t>
  </si>
  <si>
    <t>Luz entre ejes (m)</t>
  </si>
  <si>
    <t>D.  VIGUETAS (losa aligerada en una direccion) - agrupacion por luz (diseno por gravedad)</t>
  </si>
  <si>
    <t>TOTAL</t>
  </si>
  <si>
    <t>200 a 250</t>
  </si>
  <si>
    <t>140 a 200</t>
  </si>
  <si>
    <t>100 a 140</t>
  </si>
  <si>
    <t>&lt;= 100</t>
  </si>
  <si>
    <t>Tu (kN.m)</t>
  </si>
  <si>
    <t>Vu (kN)</t>
  </si>
  <si>
    <t>Mu+ diseno (kN.m)</t>
  </si>
  <si>
    <t>Mu- diseno (kN.m)</t>
  </si>
  <si>
    <t>N. de vigas</t>
  </si>
  <si>
    <t>Corte de Mu- (kN.m)</t>
  </si>
  <si>
    <t>C.  RIOSTRAS / VIGAS DE RIGIDEZ (VR 0.35x0.40) - agrupacion por nivel de momento</t>
  </si>
  <si>
    <t>120 a 142</t>
  </si>
  <si>
    <t>80 a 120</t>
  </si>
  <si>
    <t>&lt;= 80</t>
  </si>
  <si>
    <t>B.  VIGAS DE CARGA (VC 0.30x0.40) - agrupacion por nivel de momento</t>
  </si>
  <si>
    <t>Nota: las VIGUETAS no se modelan en el SAP (son parte de la losa aligerada en una direccion). Se disenan por gravedad, agrupadas por luz (ver Tabla D).</t>
  </si>
  <si>
    <t>Elementos tipo frame en el modelo</t>
  </si>
  <si>
    <t>ver memoria</t>
  </si>
  <si>
    <t>Columna diagonal</t>
  </si>
  <si>
    <t>C4DIAG</t>
  </si>
  <si>
    <t>Columna interior</t>
  </si>
  <si>
    <t>C3INT</t>
  </si>
  <si>
    <t>Columna de borde</t>
  </si>
  <si>
    <t>C2BOR</t>
  </si>
  <si>
    <t>Columna esquinera</t>
  </si>
  <si>
    <t>C1ESQ</t>
  </si>
  <si>
    <t>0.35 x 0.40</t>
  </si>
  <si>
    <t>Viga de rigidez / riostra</t>
  </si>
  <si>
    <t>VR40x35</t>
  </si>
  <si>
    <t>0.30 x 0.40</t>
  </si>
  <si>
    <t>Viga de carga</t>
  </si>
  <si>
    <t>VC40x30</t>
  </si>
  <si>
    <t>Cantidad</t>
  </si>
  <si>
    <t>Dimension (m)</t>
  </si>
  <si>
    <t>Elemento estructural</t>
  </si>
  <si>
    <t>Seccion SAP</t>
  </si>
  <si>
    <t>A.  CONTEO DE ELEMENTOS POR SECCION (hoja 'Frame Section Assignments' del SAP)</t>
  </si>
  <si>
    <t>Recalculado automaticamente desde el modelo SAP2000 (archivo 'momentos .xlsx'). NSR-10, sistema DMO, R=5.</t>
  </si>
  <si>
    <t>CONTEO DE ELEMENTOS Y MOMENTOS DE DISENO  -  Grupo 6 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</si>
</sst>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Aptos Narrow"/>
    </font>
    <font>
      <b/>
      <sz val="12"/>
      <name val="Aptos Narrow"/>
    </font>
    <font>
      <sz val="11"/>
      <name val="Aptos Narrow"/>
    </font>
    <font>
      <b/>
      <sz val="11"/>
      <name val="Aptos Narrow"/>
    </font>
    <font>
      <i/>
      <sz val="9"/>
      <name val="Aptos Narrow"/>
    </font>
    <font>
      <b/>
      <sz val="13"/>
      <name val="Aptos Narrow"/>
    </font>
    <font>
      <sz val="10"/>
      <name val="Aptos Narrow"/>
    </font>
    <font>
      <b/>
      <sz val="10"/>
      <name val="Aptos Narrow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i/>
      <sz val="9"/>
      <color rgb="FF555555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8EAADB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404040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2E75B6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8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5" xfId="0" applyBorder="1"/>
    <xf numFmtId="0" fontId="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9" borderId="12" xfId="0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 wrapText="1"/>
    </xf>
    <xf numFmtId="0" fontId="10" fillId="12" borderId="1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10" borderId="12" xfId="0" applyFont="1" applyFill="1" applyBorder="1" applyAlignment="1">
      <alignment horizontal="left" vertical="center" wrapText="1"/>
    </xf>
    <xf numFmtId="0" fontId="10" fillId="11" borderId="1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B2:J72"/>
  <sheetViews>
    <sheetView showGridLines="0" zoomScale="110" workbookViewId="0">
      <pane ySplit="2" topLeftCell="A38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0" customWidth="1"/>
    <col min="3" max="3" width="13" customWidth="1"/>
    <col min="4" max="4" width="9" customWidth="1"/>
    <col min="5" max="6" width="13" customWidth="1"/>
    <col min="7" max="7" width="12" customWidth="1"/>
    <col min="8" max="8" width="13" customWidth="1"/>
    <col min="9" max="9" width="11" customWidth="1"/>
    <col min="10" max="10" width="46" customWidth="1"/>
  </cols>
  <sheetData>
    <row r="2" spans="2:10" x14ac:dyDescent="0.25">
      <c r="B2" s="48" t="s">
        <v>0</v>
      </c>
      <c r="C2" s="33"/>
      <c r="D2" s="33"/>
      <c r="E2" s="33"/>
      <c r="F2" s="33"/>
      <c r="G2" s="33"/>
      <c r="H2" s="33"/>
      <c r="I2" s="33"/>
      <c r="J2" s="33"/>
    </row>
    <row r="4" spans="2:10" ht="31.5" x14ac:dyDescent="0.25">
      <c r="B4" s="1" t="s">
        <v>1</v>
      </c>
    </row>
    <row r="5" spans="2:10" ht="72" customHeight="1" x14ac:dyDescent="0.25">
      <c r="B5" s="45" t="s">
        <v>2</v>
      </c>
      <c r="C5" s="40"/>
      <c r="D5" s="40"/>
      <c r="E5" s="40"/>
      <c r="F5" s="40"/>
      <c r="G5" s="40"/>
      <c r="H5" s="40"/>
      <c r="I5" s="40"/>
      <c r="J5" s="41"/>
    </row>
    <row r="6" spans="2:10" x14ac:dyDescent="0.25">
      <c r="B6" s="46"/>
      <c r="C6" s="33"/>
      <c r="D6" s="33"/>
      <c r="E6" s="33"/>
      <c r="F6" s="33"/>
      <c r="G6" s="33"/>
      <c r="H6" s="33"/>
      <c r="I6" s="33"/>
      <c r="J6" s="47"/>
    </row>
    <row r="7" spans="2:10" x14ac:dyDescent="0.25">
      <c r="B7" s="46"/>
      <c r="C7" s="33"/>
      <c r="D7" s="33"/>
      <c r="E7" s="33"/>
      <c r="F7" s="33"/>
      <c r="G7" s="33"/>
      <c r="H7" s="33"/>
      <c r="I7" s="33"/>
      <c r="J7" s="47"/>
    </row>
    <row r="8" spans="2:10" x14ac:dyDescent="0.25">
      <c r="B8" s="42"/>
      <c r="C8" s="43"/>
      <c r="D8" s="43"/>
      <c r="E8" s="43"/>
      <c r="F8" s="43"/>
      <c r="G8" s="43"/>
      <c r="H8" s="43"/>
      <c r="I8" s="43"/>
      <c r="J8" s="44"/>
    </row>
    <row r="10" spans="2:10" x14ac:dyDescent="0.25">
      <c r="B10" s="2" t="s">
        <v>3</v>
      </c>
      <c r="C10" s="3">
        <v>0.15</v>
      </c>
      <c r="D10" s="3">
        <v>0.1</v>
      </c>
    </row>
    <row r="11" spans="2:10" x14ac:dyDescent="0.25">
      <c r="B11" s="2" t="s">
        <v>4</v>
      </c>
      <c r="C11" s="3" t="s">
        <v>5</v>
      </c>
      <c r="D11" s="3">
        <v>1.2</v>
      </c>
      <c r="E11" s="3">
        <v>1.7</v>
      </c>
    </row>
    <row r="12" spans="2:10" x14ac:dyDescent="0.25">
      <c r="B12" s="2" t="s">
        <v>6</v>
      </c>
      <c r="C12" s="3">
        <v>1</v>
      </c>
    </row>
    <row r="13" spans="2:10" x14ac:dyDescent="0.25">
      <c r="B13" s="4" t="s">
        <v>7</v>
      </c>
      <c r="C13" s="3">
        <v>5</v>
      </c>
      <c r="J13" s="5" t="s">
        <v>8</v>
      </c>
    </row>
    <row r="14" spans="2:10" x14ac:dyDescent="0.25">
      <c r="B14" s="4" t="s">
        <v>9</v>
      </c>
      <c r="C14" s="3">
        <v>3</v>
      </c>
      <c r="J14" s="5" t="s">
        <v>10</v>
      </c>
    </row>
    <row r="16" spans="2:10" ht="15.75" x14ac:dyDescent="0.25">
      <c r="B16" s="1" t="s">
        <v>11</v>
      </c>
    </row>
    <row r="17" spans="2:10" x14ac:dyDescent="0.25">
      <c r="B17" s="6" t="s">
        <v>12</v>
      </c>
      <c r="C17" s="6" t="s">
        <v>13</v>
      </c>
      <c r="D17" s="6" t="s">
        <v>14</v>
      </c>
      <c r="E17" s="6" t="s">
        <v>15</v>
      </c>
      <c r="F17" s="6" t="s">
        <v>16</v>
      </c>
      <c r="G17" s="6" t="s">
        <v>17</v>
      </c>
      <c r="J17" s="6" t="s">
        <v>18</v>
      </c>
    </row>
    <row r="18" spans="2:10" x14ac:dyDescent="0.25">
      <c r="B18" s="2" t="s">
        <v>19</v>
      </c>
      <c r="C18" s="7" t="s">
        <v>20</v>
      </c>
      <c r="D18" s="7">
        <f>MAX(E68:E72,H68:H72)</f>
        <v>1.0235718836270971</v>
      </c>
      <c r="E18" s="7" t="s">
        <v>21</v>
      </c>
      <c r="F18" s="7" t="str">
        <f>IF(D18&gt;1.4,"Extrema",IF(D18&gt;1.2,"Si","No"))</f>
        <v>No</v>
      </c>
      <c r="G18" s="8">
        <f>IF(D18&gt;1.4,0.8,IF(D18&gt;1.2,0.9,1))</f>
        <v>1</v>
      </c>
      <c r="J18" s="5" t="s">
        <v>22</v>
      </c>
    </row>
    <row r="19" spans="2:10" x14ac:dyDescent="0.25">
      <c r="B19" s="2" t="s">
        <v>23</v>
      </c>
      <c r="C19" s="7" t="s">
        <v>24</v>
      </c>
      <c r="D19" s="7">
        <f>MAX(C42/C40,C43/C41)</f>
        <v>0.1657285803627267</v>
      </c>
      <c r="E19" s="7" t="s">
        <v>25</v>
      </c>
      <c r="F19" s="7" t="str">
        <f>IF(AND(C42/C40&gt;0.15,C43/C41&gt;0.15),"Si","No")</f>
        <v>No</v>
      </c>
      <c r="G19" s="8">
        <f>IF(AND(C42/C40&gt;0.15,C43/C41&gt;0.15),0.9,1)</f>
        <v>1</v>
      </c>
    </row>
    <row r="20" spans="2:10" x14ac:dyDescent="0.25">
      <c r="B20" s="2" t="s">
        <v>26</v>
      </c>
      <c r="C20" s="7" t="s">
        <v>27</v>
      </c>
      <c r="D20" s="7">
        <f>C45</f>
        <v>27.03</v>
      </c>
      <c r="E20" s="7">
        <f>0.5*C40*C41</f>
        <v>292.61700000000002</v>
      </c>
      <c r="F20" s="7" t="str">
        <f>IF(C45&gt;0.5*C40*C41,"Si","No")</f>
        <v>No</v>
      </c>
      <c r="G20" s="8">
        <f>IF(C45&gt;0.5*C40*C41,0.9,1)</f>
        <v>1</v>
      </c>
    </row>
    <row r="21" spans="2:10" x14ac:dyDescent="0.25">
      <c r="B21" s="2" t="s">
        <v>28</v>
      </c>
      <c r="C21" s="7" t="s">
        <v>29</v>
      </c>
      <c r="D21" s="7" t="s">
        <v>30</v>
      </c>
      <c r="E21" s="7" t="s">
        <v>30</v>
      </c>
      <c r="F21" s="7" t="s">
        <v>31</v>
      </c>
      <c r="G21" s="8">
        <v>1</v>
      </c>
    </row>
    <row r="22" spans="2:10" x14ac:dyDescent="0.25">
      <c r="B22" s="2" t="s">
        <v>32</v>
      </c>
      <c r="C22" s="7" t="s">
        <v>29</v>
      </c>
      <c r="D22" s="7" t="s">
        <v>30</v>
      </c>
      <c r="E22" s="7" t="s">
        <v>30</v>
      </c>
      <c r="F22" s="7" t="s">
        <v>31</v>
      </c>
      <c r="G22" s="8">
        <v>1</v>
      </c>
    </row>
    <row r="23" spans="2:10" x14ac:dyDescent="0.25">
      <c r="B23" s="4" t="s">
        <v>33</v>
      </c>
      <c r="G23" s="9">
        <f>MIN(G18:G22)</f>
        <v>1</v>
      </c>
    </row>
    <row r="25" spans="2:10" ht="15.75" x14ac:dyDescent="0.25">
      <c r="B25" s="1" t="s">
        <v>34</v>
      </c>
    </row>
    <row r="26" spans="2:10" x14ac:dyDescent="0.25">
      <c r="B26" s="6" t="s">
        <v>35</v>
      </c>
      <c r="C26" s="6" t="s">
        <v>13</v>
      </c>
      <c r="D26" s="6" t="s">
        <v>14</v>
      </c>
      <c r="E26" s="6" t="s">
        <v>15</v>
      </c>
      <c r="F26" s="6" t="s">
        <v>16</v>
      </c>
      <c r="G26" s="6" t="s">
        <v>17</v>
      </c>
      <c r="J26" s="6" t="s">
        <v>18</v>
      </c>
    </row>
    <row r="27" spans="2:10" x14ac:dyDescent="0.25">
      <c r="B27" s="2" t="s">
        <v>36</v>
      </c>
      <c r="C27" s="7" t="s">
        <v>37</v>
      </c>
      <c r="D27" s="7">
        <f>MIN(G52:G55)</f>
        <v>1.0649361056690603</v>
      </c>
      <c r="E27" s="7" t="s">
        <v>38</v>
      </c>
      <c r="F27" s="7" t="str">
        <f>IF(D27&lt;0.6,"Extrema",IF(D27&lt;0.7,"Si","No"))</f>
        <v>No</v>
      </c>
      <c r="G27" s="8">
        <f>IF(D27&lt;0.6,0.8,IF(D27&lt;0.7,0.9,1))</f>
        <v>1</v>
      </c>
    </row>
    <row r="28" spans="2:10" ht="30" x14ac:dyDescent="0.25">
      <c r="B28" s="2" t="s">
        <v>39</v>
      </c>
      <c r="C28" s="7" t="s">
        <v>40</v>
      </c>
      <c r="D28" s="7">
        <f>MAX(H60:H63)</f>
        <v>1.3233260169558085</v>
      </c>
      <c r="E28" s="7" t="s">
        <v>41</v>
      </c>
      <c r="F28" s="7" t="str">
        <f>IF(D28&gt;1.5,"Si","No")</f>
        <v>No</v>
      </c>
      <c r="G28" s="8">
        <f>IF(D28&gt;1.5,0.9,1)</f>
        <v>1</v>
      </c>
    </row>
    <row r="29" spans="2:10" x14ac:dyDescent="0.25">
      <c r="B29" s="2" t="s">
        <v>42</v>
      </c>
      <c r="C29" s="7" t="s">
        <v>43</v>
      </c>
      <c r="D29" s="7">
        <v>1</v>
      </c>
      <c r="E29" s="7" t="s">
        <v>44</v>
      </c>
      <c r="F29" s="7" t="s">
        <v>31</v>
      </c>
      <c r="G29" s="8">
        <v>1</v>
      </c>
    </row>
    <row r="30" spans="2:10" x14ac:dyDescent="0.25">
      <c r="B30" s="2" t="s">
        <v>45</v>
      </c>
      <c r="C30" s="7" t="s">
        <v>29</v>
      </c>
      <c r="D30" s="7" t="s">
        <v>30</v>
      </c>
      <c r="E30" s="7" t="s">
        <v>30</v>
      </c>
      <c r="F30" s="7" t="s">
        <v>31</v>
      </c>
      <c r="G30" s="8">
        <v>1</v>
      </c>
    </row>
    <row r="31" spans="2:10" x14ac:dyDescent="0.25">
      <c r="B31" s="2" t="s">
        <v>46</v>
      </c>
      <c r="C31" s="7" t="s">
        <v>47</v>
      </c>
      <c r="D31" s="7">
        <v>1</v>
      </c>
      <c r="E31" s="7" t="s">
        <v>48</v>
      </c>
      <c r="F31" s="7" t="s">
        <v>31</v>
      </c>
      <c r="G31" s="8">
        <v>1</v>
      </c>
    </row>
    <row r="32" spans="2:10" x14ac:dyDescent="0.25">
      <c r="B32" s="4" t="s">
        <v>49</v>
      </c>
      <c r="G32" s="9">
        <f>MIN(G27:G31)</f>
        <v>1</v>
      </c>
    </row>
    <row r="34" spans="2:10" ht="31.5" x14ac:dyDescent="0.25">
      <c r="B34" s="1" t="s">
        <v>50</v>
      </c>
    </row>
    <row r="35" spans="2:10" ht="30" x14ac:dyDescent="0.25">
      <c r="B35" s="2" t="s">
        <v>51</v>
      </c>
      <c r="C35" s="7" t="s">
        <v>52</v>
      </c>
      <c r="D35" s="2" t="s">
        <v>53</v>
      </c>
      <c r="E35" s="3" t="s">
        <v>54</v>
      </c>
    </row>
    <row r="36" spans="2:10" x14ac:dyDescent="0.25">
      <c r="B36" s="4" t="s">
        <v>55</v>
      </c>
      <c r="C36" s="9">
        <f>IF(E35="Si",1,0.75)</f>
        <v>1</v>
      </c>
    </row>
    <row r="38" spans="2:10" ht="31.5" x14ac:dyDescent="0.25">
      <c r="B38" s="1" t="s">
        <v>56</v>
      </c>
    </row>
    <row r="40" spans="2:10" x14ac:dyDescent="0.25">
      <c r="B40" s="2" t="s">
        <v>57</v>
      </c>
      <c r="C40" s="3">
        <v>36.6</v>
      </c>
    </row>
    <row r="41" spans="2:10" x14ac:dyDescent="0.25">
      <c r="B41" s="2" t="s">
        <v>58</v>
      </c>
      <c r="C41" s="3">
        <v>15.99</v>
      </c>
    </row>
    <row r="42" spans="2:10" x14ac:dyDescent="0.25">
      <c r="B42" s="2" t="s">
        <v>59</v>
      </c>
      <c r="C42" s="3">
        <v>5.0999999999999996</v>
      </c>
    </row>
    <row r="43" spans="2:10" x14ac:dyDescent="0.25">
      <c r="B43" s="2" t="s">
        <v>60</v>
      </c>
      <c r="C43" s="3">
        <v>2.65</v>
      </c>
    </row>
    <row r="44" spans="2:10" x14ac:dyDescent="0.25">
      <c r="B44" s="2" t="s">
        <v>61</v>
      </c>
      <c r="C44" s="7">
        <f>C40*C41</f>
        <v>585.23400000000004</v>
      </c>
    </row>
    <row r="45" spans="2:10" x14ac:dyDescent="0.25">
      <c r="B45" s="2" t="s">
        <v>62</v>
      </c>
      <c r="C45" s="3">
        <v>27.03</v>
      </c>
    </row>
    <row r="46" spans="2:10" ht="17.25" x14ac:dyDescent="0.25">
      <c r="B46" s="4" t="s">
        <v>63</v>
      </c>
      <c r="C46" s="10">
        <f>C13*G32*G23*C36</f>
        <v>5</v>
      </c>
    </row>
    <row r="47" spans="2:10" ht="57.95" customHeight="1" x14ac:dyDescent="0.25">
      <c r="B47" s="39" t="s">
        <v>64</v>
      </c>
      <c r="C47" s="40"/>
      <c r="D47" s="40"/>
      <c r="E47" s="40"/>
      <c r="F47" s="40"/>
      <c r="G47" s="40"/>
      <c r="H47" s="40"/>
      <c r="I47" s="40"/>
      <c r="J47" s="41"/>
    </row>
    <row r="48" spans="2:10" x14ac:dyDescent="0.25">
      <c r="B48" s="42"/>
      <c r="C48" s="43"/>
      <c r="D48" s="43"/>
      <c r="E48" s="43"/>
      <c r="F48" s="43"/>
      <c r="G48" s="43"/>
      <c r="H48" s="43"/>
      <c r="I48" s="43"/>
      <c r="J48" s="44"/>
    </row>
    <row r="50" spans="2:8" ht="31.5" x14ac:dyDescent="0.25">
      <c r="B50" s="1" t="s">
        <v>65</v>
      </c>
    </row>
    <row r="51" spans="2:8" x14ac:dyDescent="0.25">
      <c r="B51" s="6" t="s">
        <v>66</v>
      </c>
      <c r="C51" s="6" t="s">
        <v>67</v>
      </c>
      <c r="D51" s="6" t="s">
        <v>68</v>
      </c>
      <c r="E51" s="6" t="s">
        <v>69</v>
      </c>
      <c r="F51" s="6" t="s">
        <v>70</v>
      </c>
      <c r="G51" s="6" t="s">
        <v>71</v>
      </c>
    </row>
    <row r="52" spans="2:8" x14ac:dyDescent="0.25">
      <c r="B52" s="7">
        <v>1</v>
      </c>
      <c r="C52" s="7">
        <v>991.55</v>
      </c>
      <c r="D52" s="7">
        <f>SUM(C52:C56)</f>
        <v>15128.720000000001</v>
      </c>
      <c r="E52" s="7">
        <v>2.1999999999999999E-2</v>
      </c>
      <c r="F52" s="7">
        <f>D52/E52</f>
        <v>687669.09090909106</v>
      </c>
      <c r="G52" s="7">
        <f>F52/F53</f>
        <v>1.4106361907201825</v>
      </c>
    </row>
    <row r="53" spans="2:8" x14ac:dyDescent="0.25">
      <c r="B53" s="7">
        <v>2</v>
      </c>
      <c r="C53" s="7">
        <v>2477.8000000000002</v>
      </c>
      <c r="D53" s="7">
        <f>SUM(C53:C56)</f>
        <v>14137.17</v>
      </c>
      <c r="E53" s="7">
        <v>2.9000000000000001E-2</v>
      </c>
      <c r="F53" s="7">
        <f>D53/E53</f>
        <v>487488.62068965513</v>
      </c>
      <c r="G53" s="7">
        <f>F53/F54</f>
        <v>1.0870831046558289</v>
      </c>
    </row>
    <row r="54" spans="2:8" x14ac:dyDescent="0.25">
      <c r="B54" s="7">
        <v>3</v>
      </c>
      <c r="C54" s="7">
        <v>3658.6</v>
      </c>
      <c r="D54" s="7">
        <f>SUM(C54:C56)</f>
        <v>11659.37</v>
      </c>
      <c r="E54" s="7">
        <v>2.5999999999999999E-2</v>
      </c>
      <c r="F54" s="7">
        <f>D54/E54</f>
        <v>448437.30769230775</v>
      </c>
      <c r="G54" s="7">
        <f>F54/F55</f>
        <v>1.0649361056690603</v>
      </c>
    </row>
    <row r="55" spans="2:8" x14ac:dyDescent="0.25">
      <c r="B55" s="7">
        <v>4</v>
      </c>
      <c r="C55" s="7">
        <v>4849.66</v>
      </c>
      <c r="D55" s="7">
        <f>SUM(C55:C56)</f>
        <v>8000.77</v>
      </c>
      <c r="E55" s="7">
        <v>1.9E-2</v>
      </c>
      <c r="F55" s="7">
        <f>D55/E55</f>
        <v>421093.15789473685</v>
      </c>
      <c r="G55" s="7">
        <f>F55/F56</f>
        <v>1.870865888695195</v>
      </c>
    </row>
    <row r="56" spans="2:8" x14ac:dyDescent="0.25">
      <c r="B56" s="7">
        <v>5</v>
      </c>
      <c r="C56" s="7">
        <v>3151.11</v>
      </c>
      <c r="D56" s="7">
        <f>SUM(C56:C56)</f>
        <v>3151.11</v>
      </c>
      <c r="E56" s="7">
        <v>1.4E-2</v>
      </c>
      <c r="F56" s="7">
        <f>D56/E56</f>
        <v>225079.28571428571</v>
      </c>
      <c r="G56" s="7" t="s">
        <v>30</v>
      </c>
    </row>
    <row r="58" spans="2:8" ht="15.75" x14ac:dyDescent="0.25">
      <c r="B58" s="1" t="s">
        <v>72</v>
      </c>
    </row>
    <row r="59" spans="2:8" x14ac:dyDescent="0.25">
      <c r="B59" s="6" t="s">
        <v>66</v>
      </c>
      <c r="C59" s="6" t="s">
        <v>73</v>
      </c>
      <c r="D59" s="6" t="s">
        <v>74</v>
      </c>
      <c r="E59" s="6" t="s">
        <v>75</v>
      </c>
      <c r="H59" s="6" t="s">
        <v>76</v>
      </c>
    </row>
    <row r="60" spans="2:8" x14ac:dyDescent="0.25">
      <c r="B60" s="7">
        <v>1</v>
      </c>
      <c r="C60" s="7">
        <v>7257.69</v>
      </c>
      <c r="D60" s="7" t="s">
        <v>30</v>
      </c>
      <c r="E60" s="7">
        <f>C60/C61</f>
        <v>0.75567168421611586</v>
      </c>
      <c r="H60" s="7">
        <f>E60</f>
        <v>0.75567168421611586</v>
      </c>
    </row>
    <row r="61" spans="2:8" x14ac:dyDescent="0.25">
      <c r="B61" s="7">
        <v>2</v>
      </c>
      <c r="C61" s="7">
        <v>9604.2900000000009</v>
      </c>
      <c r="D61" s="7">
        <f>C61/C60</f>
        <v>1.3233260169558085</v>
      </c>
      <c r="E61" s="7">
        <f>C61/C62</f>
        <v>1</v>
      </c>
      <c r="H61" s="7">
        <f>MAX(D61,E61)</f>
        <v>1.3233260169558085</v>
      </c>
    </row>
    <row r="62" spans="2:8" x14ac:dyDescent="0.25">
      <c r="B62" s="7">
        <v>3</v>
      </c>
      <c r="C62" s="7">
        <v>9604.2900000000009</v>
      </c>
      <c r="D62" s="7">
        <f>C62/C61</f>
        <v>1</v>
      </c>
      <c r="E62" s="7">
        <f>C62/C63</f>
        <v>1</v>
      </c>
      <c r="H62" s="7">
        <f>MAX(D62,E62)</f>
        <v>1</v>
      </c>
    </row>
    <row r="63" spans="2:8" x14ac:dyDescent="0.25">
      <c r="B63" s="7">
        <v>4</v>
      </c>
      <c r="C63" s="7">
        <v>9604.2900000000009</v>
      </c>
      <c r="D63" s="7">
        <f>C63/C62</f>
        <v>1</v>
      </c>
      <c r="E63" s="7" t="s">
        <v>30</v>
      </c>
      <c r="H63" s="7">
        <f>D63</f>
        <v>1</v>
      </c>
    </row>
    <row r="64" spans="2:8" x14ac:dyDescent="0.25">
      <c r="B64" s="7" t="s">
        <v>77</v>
      </c>
      <c r="C64" s="7">
        <v>5003.58</v>
      </c>
    </row>
    <row r="66" spans="2:8" ht="31.5" x14ac:dyDescent="0.25">
      <c r="B66" s="1" t="s">
        <v>78</v>
      </c>
    </row>
    <row r="67" spans="2:8" x14ac:dyDescent="0.25">
      <c r="B67" s="6" t="s">
        <v>66</v>
      </c>
      <c r="C67" s="6" t="s">
        <v>79</v>
      </c>
      <c r="D67" s="6" t="s">
        <v>80</v>
      </c>
      <c r="E67" s="6" t="s">
        <v>81</v>
      </c>
      <c r="F67" s="6" t="s">
        <v>82</v>
      </c>
      <c r="G67" s="6" t="s">
        <v>83</v>
      </c>
      <c r="H67" s="6" t="s">
        <v>84</v>
      </c>
    </row>
    <row r="68" spans="2:8" x14ac:dyDescent="0.25">
      <c r="B68" s="7">
        <v>1</v>
      </c>
      <c r="C68" s="7">
        <v>2.41E-2</v>
      </c>
      <c r="D68" s="7">
        <v>2.299E-2</v>
      </c>
      <c r="E68" s="7">
        <f>C68/((C68+D68)/2)</f>
        <v>1.0235718836270971</v>
      </c>
      <c r="F68" s="7">
        <v>2.0969999999999999E-2</v>
      </c>
      <c r="G68" s="7">
        <v>2.0420000000000001E-2</v>
      </c>
      <c r="H68" s="7">
        <f>F68/((F68+G68)/2)</f>
        <v>1.0132882338729161</v>
      </c>
    </row>
    <row r="69" spans="2:8" x14ac:dyDescent="0.25">
      <c r="B69" s="7">
        <v>2</v>
      </c>
      <c r="C69" s="7">
        <v>5.4679999999999999E-2</v>
      </c>
      <c r="D69" s="7">
        <v>5.2240000000000002E-2</v>
      </c>
      <c r="E69" s="7">
        <f>C69/((C69+D69)/2)</f>
        <v>1.0228208005985784</v>
      </c>
      <c r="F69" s="7">
        <v>4.3380000000000002E-2</v>
      </c>
      <c r="G69" s="7">
        <v>4.2169999999999999E-2</v>
      </c>
      <c r="H69" s="7">
        <f>F69/((F69+G69)/2)</f>
        <v>1.0141437755698421</v>
      </c>
    </row>
    <row r="70" spans="2:8" x14ac:dyDescent="0.25">
      <c r="B70" s="7">
        <v>3</v>
      </c>
      <c r="C70" s="7">
        <v>8.1979999999999997E-2</v>
      </c>
      <c r="D70" s="7">
        <v>7.8399999999999997E-2</v>
      </c>
      <c r="E70" s="7">
        <f>C70/((C70+D70)/2)</f>
        <v>1.0223219852849483</v>
      </c>
      <c r="F70" s="7">
        <v>6.25E-2</v>
      </c>
      <c r="G70" s="7">
        <v>6.0729999999999999E-2</v>
      </c>
      <c r="H70" s="7">
        <f>F70/((F70+G70)/2)</f>
        <v>1.0143633855392356</v>
      </c>
    </row>
    <row r="71" spans="2:8" x14ac:dyDescent="0.25">
      <c r="B71" s="7">
        <v>4</v>
      </c>
      <c r="C71" s="7">
        <v>0.1017</v>
      </c>
      <c r="D71" s="7">
        <v>9.7320000000000004E-2</v>
      </c>
      <c r="E71" s="7">
        <f>C71/((C71+D71)/2)</f>
        <v>1.0220078384082001</v>
      </c>
      <c r="F71" s="7">
        <v>7.5920000000000001E-2</v>
      </c>
      <c r="G71" s="7">
        <v>7.3749999999999996E-2</v>
      </c>
      <c r="H71" s="7">
        <f>F71/((F71+G71)/2)</f>
        <v>1.0144985635063808</v>
      </c>
    </row>
    <row r="72" spans="2:8" x14ac:dyDescent="0.25">
      <c r="B72" s="7">
        <v>5</v>
      </c>
      <c r="C72" s="7">
        <v>0.11287999999999999</v>
      </c>
      <c r="D72" s="7">
        <v>0.10807</v>
      </c>
      <c r="E72" s="7">
        <f>C72/((C72+D72)/2)</f>
        <v>1.0217696311382667</v>
      </c>
      <c r="F72" s="7">
        <v>8.2780000000000006E-2</v>
      </c>
      <c r="G72" s="7">
        <v>8.0409999999999995E-2</v>
      </c>
      <c r="H72" s="7">
        <f>F72/((F72+G72)/2)</f>
        <v>1.0145229487100926</v>
      </c>
    </row>
  </sheetData>
  <mergeCells count="3">
    <mergeCell ref="B47:J48"/>
    <mergeCell ref="B5:J8"/>
    <mergeCell ref="B2:J2"/>
  </mergeCells>
  <printOptions horizontalCentered="1"/>
  <pageMargins left="0.4" right="0.4" top="0.7" bottom="0.7" header="0.3" footer="0.3"/>
  <pageSetup fitToHeight="0" orientation="landscape"/>
  <headerFooter>
    <oddHeader>&amp;L&amp;"Aptos Narrow"&amp;8 EDIFICIO RESIDENCIAL SANTA MARTA&amp;R&amp;"Aptos Narrow"&amp;8 SSS Construcciones y Consultorias SAS</oddHeader>
    <oddFooter>&amp;C&amp;8 Pagina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5709-A19C-44B3-BBD1-F352C3065E94}">
  <sheetPr>
    <tabColor rgb="FF1F4E78"/>
  </sheetPr>
  <dimension ref="B2:H44"/>
  <sheetViews>
    <sheetView showGridLines="0" topLeftCell="A14" workbookViewId="0">
      <selection activeCell="I10" sqref="I10"/>
    </sheetView>
  </sheetViews>
  <sheetFormatPr baseColWidth="10" defaultColWidth="9.140625" defaultRowHeight="15" x14ac:dyDescent="0.25"/>
  <cols>
    <col min="1" max="1" width="2" customWidth="1"/>
    <col min="2" max="2" width="14" customWidth="1"/>
    <col min="3" max="3" width="20" customWidth="1"/>
    <col min="4" max="4" width="18" customWidth="1"/>
    <col min="5" max="8" width="16" customWidth="1"/>
  </cols>
  <sheetData>
    <row r="2" spans="2:8" ht="24" customHeight="1" x14ac:dyDescent="0.25">
      <c r="B2" s="51" t="s">
        <v>329</v>
      </c>
      <c r="C2" s="33"/>
      <c r="D2" s="33"/>
      <c r="E2" s="33"/>
      <c r="F2" s="33"/>
      <c r="G2" s="33"/>
      <c r="H2" s="33"/>
    </row>
    <row r="3" spans="2:8" x14ac:dyDescent="0.25">
      <c r="B3" s="53" t="s">
        <v>328</v>
      </c>
      <c r="C3" s="33"/>
      <c r="D3" s="33"/>
      <c r="E3" s="33"/>
      <c r="F3" s="33"/>
      <c r="G3" s="33"/>
      <c r="H3" s="33"/>
    </row>
    <row r="5" spans="2:8" x14ac:dyDescent="0.25">
      <c r="B5" s="50" t="s">
        <v>327</v>
      </c>
      <c r="C5" s="33"/>
      <c r="D5" s="33"/>
      <c r="E5" s="33"/>
      <c r="F5" s="33"/>
      <c r="G5" s="33"/>
      <c r="H5" s="33"/>
    </row>
    <row r="6" spans="2:8" x14ac:dyDescent="0.25">
      <c r="B6" s="31" t="s">
        <v>326</v>
      </c>
      <c r="C6" s="31" t="s">
        <v>325</v>
      </c>
      <c r="D6" s="31" t="s">
        <v>324</v>
      </c>
      <c r="E6" s="31" t="s">
        <v>323</v>
      </c>
    </row>
    <row r="7" spans="2:8" x14ac:dyDescent="0.25">
      <c r="B7" s="27" t="s">
        <v>322</v>
      </c>
      <c r="C7" s="25" t="s">
        <v>321</v>
      </c>
      <c r="D7" s="26" t="s">
        <v>320</v>
      </c>
      <c r="E7" s="26">
        <v>280</v>
      </c>
    </row>
    <row r="8" spans="2:8" x14ac:dyDescent="0.25">
      <c r="B8" s="27" t="s">
        <v>319</v>
      </c>
      <c r="C8" s="25" t="s">
        <v>318</v>
      </c>
      <c r="D8" s="26" t="s">
        <v>317</v>
      </c>
      <c r="E8" s="26">
        <v>312</v>
      </c>
    </row>
    <row r="9" spans="2:8" x14ac:dyDescent="0.25">
      <c r="B9" s="27" t="s">
        <v>316</v>
      </c>
      <c r="C9" s="25" t="s">
        <v>315</v>
      </c>
      <c r="D9" s="26" t="s">
        <v>308</v>
      </c>
      <c r="E9" s="26">
        <v>40</v>
      </c>
    </row>
    <row r="10" spans="2:8" x14ac:dyDescent="0.25">
      <c r="B10" s="27" t="s">
        <v>314</v>
      </c>
      <c r="C10" s="25" t="s">
        <v>313</v>
      </c>
      <c r="D10" s="26" t="s">
        <v>308</v>
      </c>
      <c r="E10" s="26">
        <v>130</v>
      </c>
    </row>
    <row r="11" spans="2:8" x14ac:dyDescent="0.25">
      <c r="B11" s="27" t="s">
        <v>312</v>
      </c>
      <c r="C11" s="25" t="s">
        <v>311</v>
      </c>
      <c r="D11" s="26" t="s">
        <v>308</v>
      </c>
      <c r="E11" s="26">
        <v>110</v>
      </c>
    </row>
    <row r="12" spans="2:8" x14ac:dyDescent="0.25">
      <c r="B12" s="27" t="s">
        <v>310</v>
      </c>
      <c r="C12" s="25" t="s">
        <v>309</v>
      </c>
      <c r="D12" s="26" t="s">
        <v>308</v>
      </c>
      <c r="E12" s="26">
        <v>20</v>
      </c>
    </row>
    <row r="13" spans="2:8" ht="25.5" x14ac:dyDescent="0.25">
      <c r="B13" s="27" t="s">
        <v>290</v>
      </c>
      <c r="C13" s="25" t="s">
        <v>307</v>
      </c>
      <c r="D13" s="26" t="s">
        <v>30</v>
      </c>
      <c r="E13" s="27">
        <v>892</v>
      </c>
    </row>
    <row r="14" spans="2:8" x14ac:dyDescent="0.25">
      <c r="B14" s="53" t="s">
        <v>306</v>
      </c>
      <c r="C14" s="33"/>
      <c r="D14" s="33"/>
      <c r="E14" s="33"/>
      <c r="F14" s="33"/>
      <c r="G14" s="33"/>
      <c r="H14" s="33"/>
    </row>
    <row r="16" spans="2:8" x14ac:dyDescent="0.25">
      <c r="B16" s="52" t="s">
        <v>305</v>
      </c>
      <c r="C16" s="33"/>
      <c r="D16" s="33"/>
      <c r="E16" s="33"/>
      <c r="F16" s="33"/>
      <c r="G16" s="33"/>
      <c r="H16" s="33"/>
    </row>
    <row r="17" spans="2:8" x14ac:dyDescent="0.25">
      <c r="B17" s="30" t="s">
        <v>97</v>
      </c>
      <c r="C17" s="30" t="s">
        <v>300</v>
      </c>
      <c r="D17" s="30" t="s">
        <v>299</v>
      </c>
      <c r="E17" s="30" t="s">
        <v>298</v>
      </c>
      <c r="F17" s="30" t="s">
        <v>297</v>
      </c>
      <c r="G17" s="30" t="s">
        <v>296</v>
      </c>
      <c r="H17" s="30" t="s">
        <v>295</v>
      </c>
    </row>
    <row r="18" spans="2:8" x14ac:dyDescent="0.25">
      <c r="B18" s="27" t="s">
        <v>110</v>
      </c>
      <c r="C18" s="26" t="s">
        <v>304</v>
      </c>
      <c r="D18" s="26">
        <v>148</v>
      </c>
      <c r="E18" s="26">
        <v>77</v>
      </c>
      <c r="F18" s="26">
        <v>58</v>
      </c>
      <c r="G18" s="26">
        <v>70</v>
      </c>
      <c r="H18" s="26">
        <v>13.3</v>
      </c>
    </row>
    <row r="19" spans="2:8" x14ac:dyDescent="0.25">
      <c r="B19" s="27" t="s">
        <v>111</v>
      </c>
      <c r="C19" s="26" t="s">
        <v>303</v>
      </c>
      <c r="D19" s="26">
        <v>120</v>
      </c>
      <c r="E19" s="26">
        <v>118</v>
      </c>
      <c r="F19" s="26">
        <v>101</v>
      </c>
      <c r="G19" s="26">
        <v>86</v>
      </c>
      <c r="H19" s="26">
        <v>11.5</v>
      </c>
    </row>
    <row r="20" spans="2:8" x14ac:dyDescent="0.25">
      <c r="B20" s="27" t="s">
        <v>112</v>
      </c>
      <c r="C20" s="26" t="s">
        <v>302</v>
      </c>
      <c r="D20" s="26">
        <v>12</v>
      </c>
      <c r="E20" s="26">
        <v>142</v>
      </c>
      <c r="F20" s="26">
        <v>79</v>
      </c>
      <c r="G20" s="26">
        <v>108</v>
      </c>
      <c r="H20" s="26">
        <v>19.899999999999999</v>
      </c>
    </row>
    <row r="21" spans="2:8" x14ac:dyDescent="0.25">
      <c r="B21" s="27" t="s">
        <v>290</v>
      </c>
      <c r="C21" s="26" t="s">
        <v>30</v>
      </c>
      <c r="D21" s="27">
        <f>SUM(D18:D20)</f>
        <v>280</v>
      </c>
      <c r="E21" s="26"/>
      <c r="F21" s="26"/>
      <c r="G21" s="26"/>
      <c r="H21" s="26"/>
    </row>
    <row r="23" spans="2:8" x14ac:dyDescent="0.25">
      <c r="B23" s="55" t="s">
        <v>301</v>
      </c>
      <c r="C23" s="33"/>
      <c r="D23" s="33"/>
      <c r="E23" s="33"/>
      <c r="F23" s="33"/>
      <c r="G23" s="33"/>
      <c r="H23" s="33"/>
    </row>
    <row r="24" spans="2:8" x14ac:dyDescent="0.25">
      <c r="B24" s="29" t="s">
        <v>97</v>
      </c>
      <c r="C24" s="29" t="s">
        <v>300</v>
      </c>
      <c r="D24" s="29" t="s">
        <v>299</v>
      </c>
      <c r="E24" s="29" t="s">
        <v>298</v>
      </c>
      <c r="F24" s="29" t="s">
        <v>297</v>
      </c>
      <c r="G24" s="29" t="s">
        <v>296</v>
      </c>
      <c r="H24" s="29" t="s">
        <v>295</v>
      </c>
    </row>
    <row r="25" spans="2:8" x14ac:dyDescent="0.25">
      <c r="B25" s="27" t="s">
        <v>114</v>
      </c>
      <c r="C25" s="26" t="s">
        <v>294</v>
      </c>
      <c r="D25" s="26">
        <v>170</v>
      </c>
      <c r="E25" s="26">
        <v>100</v>
      </c>
      <c r="F25" s="26">
        <v>74</v>
      </c>
      <c r="G25" s="26">
        <v>104</v>
      </c>
      <c r="H25" s="26">
        <v>26.1</v>
      </c>
    </row>
    <row r="26" spans="2:8" x14ac:dyDescent="0.25">
      <c r="B26" s="27" t="s">
        <v>115</v>
      </c>
      <c r="C26" s="26" t="s">
        <v>293</v>
      </c>
      <c r="D26" s="26">
        <v>120</v>
      </c>
      <c r="E26" s="26">
        <v>135</v>
      </c>
      <c r="F26" s="26">
        <v>98</v>
      </c>
      <c r="G26" s="26">
        <v>133</v>
      </c>
      <c r="H26" s="26">
        <v>12.7</v>
      </c>
    </row>
    <row r="27" spans="2:8" x14ac:dyDescent="0.25">
      <c r="B27" s="27" t="s">
        <v>116</v>
      </c>
      <c r="C27" s="26" t="s">
        <v>292</v>
      </c>
      <c r="D27" s="26">
        <v>6</v>
      </c>
      <c r="E27" s="26">
        <v>186</v>
      </c>
      <c r="F27" s="26">
        <v>138</v>
      </c>
      <c r="G27" s="26">
        <v>189</v>
      </c>
      <c r="H27" s="26">
        <v>1.7</v>
      </c>
    </row>
    <row r="28" spans="2:8" x14ac:dyDescent="0.25">
      <c r="B28" s="27" t="s">
        <v>117</v>
      </c>
      <c r="C28" s="26" t="s">
        <v>291</v>
      </c>
      <c r="D28" s="26">
        <v>16</v>
      </c>
      <c r="E28" s="26">
        <v>250</v>
      </c>
      <c r="F28" s="26">
        <v>134</v>
      </c>
      <c r="G28" s="26">
        <v>202</v>
      </c>
      <c r="H28" s="26">
        <v>6</v>
      </c>
    </row>
    <row r="29" spans="2:8" x14ac:dyDescent="0.25">
      <c r="B29" s="27" t="s">
        <v>290</v>
      </c>
      <c r="C29" s="26" t="s">
        <v>30</v>
      </c>
      <c r="D29" s="27">
        <f>SUM(D25:D28)</f>
        <v>312</v>
      </c>
      <c r="E29" s="26"/>
      <c r="F29" s="26"/>
      <c r="G29" s="26"/>
      <c r="H29" s="26"/>
    </row>
    <row r="31" spans="2:8" x14ac:dyDescent="0.25">
      <c r="B31" s="54" t="s">
        <v>289</v>
      </c>
      <c r="C31" s="33"/>
      <c r="D31" s="33"/>
      <c r="E31" s="33"/>
      <c r="F31" s="33"/>
      <c r="G31" s="33"/>
      <c r="H31" s="33"/>
    </row>
    <row r="32" spans="2:8" x14ac:dyDescent="0.25">
      <c r="B32" s="28" t="s">
        <v>97</v>
      </c>
      <c r="C32" s="28" t="s">
        <v>288</v>
      </c>
      <c r="D32" s="28" t="s">
        <v>287</v>
      </c>
      <c r="E32" s="28" t="s">
        <v>286</v>
      </c>
      <c r="F32" s="28" t="s">
        <v>285</v>
      </c>
      <c r="G32" s="28" t="s">
        <v>284</v>
      </c>
      <c r="H32" s="28" t="s">
        <v>283</v>
      </c>
    </row>
    <row r="33" spans="2:8" ht="25.5" x14ac:dyDescent="0.25">
      <c r="B33" s="27" t="s">
        <v>139</v>
      </c>
      <c r="C33" s="26" t="s">
        <v>282</v>
      </c>
      <c r="D33" s="26" t="s">
        <v>281</v>
      </c>
      <c r="E33" s="26">
        <v>3.6</v>
      </c>
      <c r="F33" s="26">
        <v>2.6</v>
      </c>
      <c r="G33" s="25" t="s">
        <v>275</v>
      </c>
      <c r="H33" s="25" t="s">
        <v>274</v>
      </c>
    </row>
    <row r="34" spans="2:8" ht="25.5" x14ac:dyDescent="0.25">
      <c r="B34" s="27" t="s">
        <v>140</v>
      </c>
      <c r="C34" s="26" t="s">
        <v>280</v>
      </c>
      <c r="D34" s="26" t="s">
        <v>279</v>
      </c>
      <c r="E34" s="26">
        <v>11.2</v>
      </c>
      <c r="F34" s="26">
        <v>8</v>
      </c>
      <c r="G34" s="25" t="s">
        <v>275</v>
      </c>
      <c r="H34" s="25" t="s">
        <v>274</v>
      </c>
    </row>
    <row r="35" spans="2:8" ht="25.5" x14ac:dyDescent="0.25">
      <c r="B35" s="27" t="s">
        <v>141</v>
      </c>
      <c r="C35" s="26" t="s">
        <v>276</v>
      </c>
      <c r="D35" s="26" t="s">
        <v>278</v>
      </c>
      <c r="E35" s="26">
        <v>21</v>
      </c>
      <c r="F35" s="26">
        <v>15</v>
      </c>
      <c r="G35" s="25" t="s">
        <v>275</v>
      </c>
      <c r="H35" s="25" t="s">
        <v>274</v>
      </c>
    </row>
    <row r="36" spans="2:8" ht="25.5" x14ac:dyDescent="0.25">
      <c r="B36" s="27" t="s">
        <v>142</v>
      </c>
      <c r="C36" s="26" t="s">
        <v>277</v>
      </c>
      <c r="D36" s="26" t="s">
        <v>276</v>
      </c>
      <c r="E36" s="26">
        <v>24.4</v>
      </c>
      <c r="F36" s="26">
        <v>17.399999999999999</v>
      </c>
      <c r="G36" s="25" t="s">
        <v>275</v>
      </c>
      <c r="H36" s="25" t="s">
        <v>274</v>
      </c>
    </row>
    <row r="38" spans="2:8" x14ac:dyDescent="0.25">
      <c r="B38" s="50" t="s">
        <v>273</v>
      </c>
      <c r="C38" s="33"/>
      <c r="D38" s="33"/>
      <c r="E38" s="33"/>
      <c r="F38" s="33"/>
      <c r="G38" s="33"/>
      <c r="H38" s="33"/>
    </row>
    <row r="39" spans="2:8" ht="27.95" customHeight="1" x14ac:dyDescent="0.25">
      <c r="B39" s="49" t="s">
        <v>272</v>
      </c>
      <c r="C39" s="33"/>
      <c r="D39" s="33"/>
      <c r="E39" s="33"/>
      <c r="F39" s="33"/>
      <c r="G39" s="33"/>
      <c r="H39" s="33"/>
    </row>
    <row r="40" spans="2:8" ht="27.95" customHeight="1" x14ac:dyDescent="0.25">
      <c r="B40" s="49" t="s">
        <v>271</v>
      </c>
      <c r="C40" s="33"/>
      <c r="D40" s="33"/>
      <c r="E40" s="33"/>
      <c r="F40" s="33"/>
      <c r="G40" s="33"/>
      <c r="H40" s="33"/>
    </row>
    <row r="41" spans="2:8" ht="27.95" customHeight="1" x14ac:dyDescent="0.25">
      <c r="B41" s="49" t="s">
        <v>270</v>
      </c>
      <c r="C41" s="33"/>
      <c r="D41" s="33"/>
      <c r="E41" s="33"/>
      <c r="F41" s="33"/>
      <c r="G41" s="33"/>
      <c r="H41" s="33"/>
    </row>
    <row r="42" spans="2:8" ht="27.95" customHeight="1" x14ac:dyDescent="0.25">
      <c r="B42" s="49" t="s">
        <v>269</v>
      </c>
      <c r="C42" s="33"/>
      <c r="D42" s="33"/>
      <c r="E42" s="33"/>
      <c r="F42" s="33"/>
      <c r="G42" s="33"/>
      <c r="H42" s="33"/>
    </row>
    <row r="43" spans="2:8" ht="27.95" customHeight="1" x14ac:dyDescent="0.25">
      <c r="B43" s="49" t="s">
        <v>268</v>
      </c>
      <c r="C43" s="33"/>
      <c r="D43" s="33"/>
      <c r="E43" s="33"/>
      <c r="F43" s="33"/>
      <c r="G43" s="33"/>
      <c r="H43" s="33"/>
    </row>
    <row r="44" spans="2:8" ht="27.95" customHeight="1" x14ac:dyDescent="0.25">
      <c r="B44" s="49" t="s">
        <v>267</v>
      </c>
      <c r="C44" s="33"/>
      <c r="D44" s="33"/>
      <c r="E44" s="33"/>
      <c r="F44" s="33"/>
      <c r="G44" s="33"/>
      <c r="H44" s="33"/>
    </row>
  </sheetData>
  <mergeCells count="14">
    <mergeCell ref="B44:H44"/>
    <mergeCell ref="B43:H43"/>
    <mergeCell ref="B39:H39"/>
    <mergeCell ref="B38:H38"/>
    <mergeCell ref="B2:H2"/>
    <mergeCell ref="B16:H16"/>
    <mergeCell ref="B42:H42"/>
    <mergeCell ref="B3:H3"/>
    <mergeCell ref="B5:H5"/>
    <mergeCell ref="B31:H31"/>
    <mergeCell ref="B23:H23"/>
    <mergeCell ref="B14:H14"/>
    <mergeCell ref="B40:H40"/>
    <mergeCell ref="B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B2:O25"/>
  <sheetViews>
    <sheetView showGridLines="0" tabSelected="1" zoomScale="110" workbookViewId="0">
      <pane ySplit="2" topLeftCell="A3" activePane="bottomLeft" state="frozen"/>
      <selection pane="bottomLeft" activeCell="R10" sqref="R10"/>
    </sheetView>
  </sheetViews>
  <sheetFormatPr baseColWidth="10" defaultColWidth="9.140625" defaultRowHeight="15" x14ac:dyDescent="0.25"/>
  <cols>
    <col min="1" max="1" width="2" customWidth="1"/>
    <col min="2" max="2" width="7" customWidth="1"/>
    <col min="3" max="3" width="8" customWidth="1"/>
    <col min="4" max="5" width="7" customWidth="1"/>
    <col min="6" max="7" width="10" customWidth="1"/>
    <col min="8" max="9" width="9" customWidth="1"/>
    <col min="10" max="10" width="10" customWidth="1"/>
    <col min="11" max="11" width="8" customWidth="1"/>
    <col min="12" max="12" width="10" customWidth="1"/>
    <col min="13" max="13" width="8" customWidth="1"/>
    <col min="14" max="15" width="11" customWidth="1"/>
  </cols>
  <sheetData>
    <row r="2" spans="2:15" x14ac:dyDescent="0.25">
      <c r="B2" s="38" t="s">
        <v>85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4" spans="2:15" x14ac:dyDescent="0.25">
      <c r="B4" s="37" t="s">
        <v>86</v>
      </c>
      <c r="C4" s="35"/>
      <c r="D4" s="35"/>
      <c r="E4" s="36"/>
    </row>
    <row r="5" spans="2:15" ht="27" x14ac:dyDescent="0.25">
      <c r="B5" s="12" t="s">
        <v>87</v>
      </c>
      <c r="C5" s="13">
        <v>28</v>
      </c>
      <c r="D5" s="12" t="s">
        <v>88</v>
      </c>
      <c r="E5" s="13">
        <v>420</v>
      </c>
      <c r="F5" s="12" t="s">
        <v>89</v>
      </c>
      <c r="G5" s="13">
        <v>0.04</v>
      </c>
      <c r="H5" s="12" t="s">
        <v>90</v>
      </c>
      <c r="I5" s="13">
        <v>15.9</v>
      </c>
      <c r="J5" s="12" t="s">
        <v>91</v>
      </c>
      <c r="K5" s="13">
        <v>199</v>
      </c>
      <c r="L5" s="12" t="s">
        <v>92</v>
      </c>
    </row>
    <row r="6" spans="2:15" ht="27" x14ac:dyDescent="0.25">
      <c r="B6" s="12" t="s">
        <v>93</v>
      </c>
      <c r="C6" s="13">
        <v>9.5</v>
      </c>
      <c r="D6" s="12" t="s">
        <v>94</v>
      </c>
      <c r="F6" s="13">
        <v>142</v>
      </c>
    </row>
    <row r="7" spans="2:15" ht="27.95" customHeight="1" x14ac:dyDescent="0.25">
      <c r="B7" s="32" t="s">
        <v>95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9" spans="2:15" x14ac:dyDescent="0.25">
      <c r="B9" s="34" t="s">
        <v>96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</row>
    <row r="10" spans="2:15" ht="27" x14ac:dyDescent="0.25">
      <c r="B10" s="14" t="s">
        <v>97</v>
      </c>
      <c r="C10" s="14" t="s">
        <v>98</v>
      </c>
      <c r="D10" s="14" t="s">
        <v>99</v>
      </c>
      <c r="E10" s="14" t="s">
        <v>100</v>
      </c>
      <c r="F10" s="14" t="s">
        <v>101</v>
      </c>
      <c r="G10" s="14" t="s">
        <v>102</v>
      </c>
      <c r="H10" s="14" t="s">
        <v>103</v>
      </c>
      <c r="I10" s="14" t="s">
        <v>104</v>
      </c>
      <c r="J10" s="14" t="s">
        <v>105</v>
      </c>
      <c r="K10" s="14" t="s">
        <v>106</v>
      </c>
      <c r="L10" s="14" t="s">
        <v>107</v>
      </c>
      <c r="M10" s="14" t="s">
        <v>106</v>
      </c>
      <c r="N10" s="14" t="s">
        <v>108</v>
      </c>
      <c r="O10" s="14" t="s">
        <v>109</v>
      </c>
    </row>
    <row r="11" spans="2:15" x14ac:dyDescent="0.25">
      <c r="B11" s="15" t="s">
        <v>110</v>
      </c>
      <c r="C11" s="16">
        <v>148</v>
      </c>
      <c r="D11" s="13">
        <v>0.3</v>
      </c>
      <c r="E11" s="13">
        <v>0.4</v>
      </c>
      <c r="F11" s="13">
        <v>77</v>
      </c>
      <c r="G11" s="13">
        <v>58</v>
      </c>
      <c r="H11" s="13">
        <v>70</v>
      </c>
      <c r="I11" s="16">
        <f>E11*1000-$G$5*1000-$C$6-$I$5/2</f>
        <v>342.55</v>
      </c>
      <c r="J11" s="17">
        <f>MAX((0.85*$C$5/$E$5)*(1-SQRT(1-2*(F11*1000000/(0.9*(D11*1000)*I11^2))/(0.85*$C$5)))*(D11*1000)*I11,MAX(0.25*SQRT($C$5)/$E$5,1.4/$E$5)*(D11*1000)*I11)</f>
        <v>628.59502054485029</v>
      </c>
      <c r="K11" s="18">
        <f>ROUNDUP(J11/$K$5,0)</f>
        <v>4</v>
      </c>
      <c r="L11" s="17">
        <f>MAX((0.85*$C$5/$E$5)*(1-SQRT(1-2*(G11*1000000/(0.9*(D11*1000)*I11^2))/(0.85*$C$5)))*(D11*1000)*I11,MAX(0.25*SQRT($C$5)/$E$5,1.4/$E$5)*(D11*1000)*I11)</f>
        <v>466.62768074834946</v>
      </c>
      <c r="M11" s="18">
        <f>ROUNDUP(L11/$K$5,0)</f>
        <v>3</v>
      </c>
      <c r="N11" s="16">
        <f>MIN(I11/4,6*$I$5,150)</f>
        <v>85.637500000000003</v>
      </c>
      <c r="O11" s="16" t="str">
        <f>IF(J11/((D11*1000)*I11)&lt;=0.025,"OK","REVISAR")</f>
        <v>OK</v>
      </c>
    </row>
    <row r="12" spans="2:15" x14ac:dyDescent="0.25">
      <c r="B12" s="15" t="s">
        <v>111</v>
      </c>
      <c r="C12" s="16">
        <v>120</v>
      </c>
      <c r="D12" s="13">
        <v>0.3</v>
      </c>
      <c r="E12" s="13">
        <v>0.4</v>
      </c>
      <c r="F12" s="13">
        <v>118</v>
      </c>
      <c r="G12" s="13">
        <v>101</v>
      </c>
      <c r="H12" s="13">
        <v>86</v>
      </c>
      <c r="I12" s="16">
        <f>E12*1000-$G$5*1000-$C$6-$I$5/2</f>
        <v>342.55</v>
      </c>
      <c r="J12" s="17">
        <f>MAX((0.85*$C$5/$E$5)*(1-SQRT(1-2*(F12*1000000/(0.9*(D12*1000)*I12^2))/(0.85*$C$5)))*(D12*1000)*I12,MAX(0.25*SQRT($C$5)/$E$5,1.4/$E$5)*(D12*1000)*I12)</f>
        <v>996.58621784291358</v>
      </c>
      <c r="K12" s="18">
        <f>ROUNDUP(J12/$K$5,0)</f>
        <v>6</v>
      </c>
      <c r="L12" s="17">
        <f>MAX((0.85*$C$5/$E$5)*(1-SQRT(1-2*(G12*1000000/(0.9*(D12*1000)*I12^2))/(0.85*$C$5)))*(D12*1000)*I12,MAX(0.25*SQRT($C$5)/$E$5,1.4/$E$5)*(D12*1000)*I12)</f>
        <v>840.70520653499602</v>
      </c>
      <c r="M12" s="18">
        <f>ROUNDUP(L12/$K$5,0)</f>
        <v>5</v>
      </c>
      <c r="N12" s="16">
        <f>MIN(I12/4,6*$I$5,150)</f>
        <v>85.637500000000003</v>
      </c>
      <c r="O12" s="16" t="str">
        <f>IF(J12/((D12*1000)*I12)&lt;=0.025,"OK","REVISAR")</f>
        <v>OK</v>
      </c>
    </row>
    <row r="13" spans="2:15" x14ac:dyDescent="0.25">
      <c r="B13" s="15" t="s">
        <v>112</v>
      </c>
      <c r="C13" s="16">
        <v>12</v>
      </c>
      <c r="D13" s="13">
        <v>0.3</v>
      </c>
      <c r="E13" s="13">
        <v>0.4</v>
      </c>
      <c r="F13" s="13">
        <v>142</v>
      </c>
      <c r="G13" s="13">
        <v>79</v>
      </c>
      <c r="H13" s="13">
        <v>108</v>
      </c>
      <c r="I13" s="16">
        <f>E13*1000-$G$5*1000-$C$6-$I$5/2</f>
        <v>342.55</v>
      </c>
      <c r="J13" s="17">
        <f>MAX((0.85*$C$5/$E$5)*(1-SQRT(1-2*(F13*1000000/(0.9*(D13*1000)*I13^2))/(0.85*$C$5)))*(D13*1000)*I13,MAX(0.25*SQRT($C$5)/$E$5,1.4/$E$5)*(D13*1000)*I13)</f>
        <v>1225.6420438534567</v>
      </c>
      <c r="K13" s="18">
        <f>ROUNDUP(J13/$K$5,0)</f>
        <v>7</v>
      </c>
      <c r="L13" s="17">
        <f>MAX((0.85*$C$5/$E$5)*(1-SQRT(1-2*(G13*1000000/(0.9*(D13*1000)*I13^2))/(0.85*$C$5)))*(D13*1000)*I13,MAX(0.25*SQRT($C$5)/$E$5,1.4/$E$5)*(D13*1000)*I13)</f>
        <v>645.93895617897692</v>
      </c>
      <c r="M13" s="18">
        <f>ROUNDUP(L13/$K$5,0)</f>
        <v>4</v>
      </c>
      <c r="N13" s="16">
        <f>MIN(I13/4,6*$I$5,150)</f>
        <v>85.637500000000003</v>
      </c>
      <c r="O13" s="16" t="str">
        <f>IF(J13/((D13*1000)*I13)&lt;=0.025,"OK","REVISAR")</f>
        <v>OK</v>
      </c>
    </row>
    <row r="15" spans="2:15" x14ac:dyDescent="0.25">
      <c r="B15" s="34" t="s">
        <v>113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</row>
    <row r="16" spans="2:15" ht="27" x14ac:dyDescent="0.25">
      <c r="B16" s="14" t="s">
        <v>97</v>
      </c>
      <c r="C16" s="14" t="s">
        <v>98</v>
      </c>
      <c r="D16" s="14" t="s">
        <v>99</v>
      </c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 t="s">
        <v>105</v>
      </c>
      <c r="K16" s="14" t="s">
        <v>106</v>
      </c>
      <c r="L16" s="14" t="s">
        <v>107</v>
      </c>
      <c r="M16" s="14" t="s">
        <v>106</v>
      </c>
      <c r="N16" s="14" t="s">
        <v>108</v>
      </c>
      <c r="O16" s="14" t="s">
        <v>109</v>
      </c>
    </row>
    <row r="17" spans="2:15" x14ac:dyDescent="0.25">
      <c r="B17" s="15" t="s">
        <v>114</v>
      </c>
      <c r="C17" s="16">
        <v>170</v>
      </c>
      <c r="D17" s="13">
        <v>0.35</v>
      </c>
      <c r="E17" s="13">
        <v>0.4</v>
      </c>
      <c r="F17" s="13">
        <v>100</v>
      </c>
      <c r="G17" s="13">
        <v>74</v>
      </c>
      <c r="H17" s="13">
        <v>104</v>
      </c>
      <c r="I17" s="16">
        <f>E17*1000-$G$5*1000-$C$6-$I$5/2</f>
        <v>342.55</v>
      </c>
      <c r="J17" s="17">
        <f>MAX((0.85*$C$5/$E$5)*(1-SQRT(1-2*(F17*1000000/(0.9*(D17*1000)*I17^2))/(0.85*$C$5)))*(D17*1000)*I17,MAX(0.25*SQRT($C$5)/$E$5,1.4/$E$5)*(D17*1000)*I17)</f>
        <v>822.02728283992246</v>
      </c>
      <c r="K17" s="18">
        <f>ROUNDUP(J17/$K$5,0)</f>
        <v>5</v>
      </c>
      <c r="L17" s="17">
        <f>MAX((0.85*$C$5/$E$5)*(1-SQRT(1-2*(G17*1000000/(0.9*(D17*1000)*I17^2))/(0.85*$C$5)))*(D17*1000)*I17,MAX(0.25*SQRT($C$5)/$E$5,1.4/$E$5)*(D17*1000)*I17)</f>
        <v>597.80001092880332</v>
      </c>
      <c r="M17" s="18">
        <f>ROUNDUP(L17/$K$5,0)</f>
        <v>4</v>
      </c>
      <c r="N17" s="16">
        <f>MIN(I17/4,6*$I$5,150)</f>
        <v>85.637500000000003</v>
      </c>
      <c r="O17" s="16" t="str">
        <f>IF(J17/((D17*1000)*I17)&lt;=0.025,"OK","REVISAR")</f>
        <v>OK</v>
      </c>
    </row>
    <row r="18" spans="2:15" x14ac:dyDescent="0.25">
      <c r="B18" s="15" t="s">
        <v>115</v>
      </c>
      <c r="C18" s="16">
        <v>120</v>
      </c>
      <c r="D18" s="13">
        <v>0.35</v>
      </c>
      <c r="E18" s="13">
        <v>0.4</v>
      </c>
      <c r="F18" s="13">
        <v>135</v>
      </c>
      <c r="G18" s="13">
        <v>98</v>
      </c>
      <c r="H18" s="13">
        <v>133</v>
      </c>
      <c r="I18" s="16">
        <f>E18*1000-$G$5*1000-$C$6-$I$5/2</f>
        <v>342.55</v>
      </c>
      <c r="J18" s="17">
        <f>MAX((0.85*$C$5/$E$5)*(1-SQRT(1-2*(F18*1000000/(0.9*(D18*1000)*I18^2))/(0.85*$C$5)))*(D18*1000)*I18,MAX(0.25*SQRT($C$5)/$E$5,1.4/$E$5)*(D18*1000)*I18)</f>
        <v>1137.8917337228406</v>
      </c>
      <c r="K18" s="18">
        <f>ROUNDUP(J18/$K$5,0)</f>
        <v>6</v>
      </c>
      <c r="L18" s="17">
        <f>MAX((0.85*$C$5/$E$5)*(1-SQRT(1-2*(G18*1000000/(0.9*(D18*1000)*I18^2))/(0.85*$C$5)))*(D18*1000)*I18,MAX(0.25*SQRT($C$5)/$E$5,1.4/$E$5)*(D18*1000)*I18)</f>
        <v>804.48099639600616</v>
      </c>
      <c r="M18" s="18">
        <f>ROUNDUP(L18/$K$5,0)</f>
        <v>5</v>
      </c>
      <c r="N18" s="16">
        <f>MIN(I18/4,6*$I$5,150)</f>
        <v>85.637500000000003</v>
      </c>
      <c r="O18" s="16" t="str">
        <f>IF(J18/((D18*1000)*I18)&lt;=0.025,"OK","REVISAR")</f>
        <v>OK</v>
      </c>
    </row>
    <row r="19" spans="2:15" x14ac:dyDescent="0.25">
      <c r="B19" s="15" t="s">
        <v>116</v>
      </c>
      <c r="C19" s="16">
        <v>6</v>
      </c>
      <c r="D19" s="13">
        <v>0.35</v>
      </c>
      <c r="E19" s="13">
        <v>0.4</v>
      </c>
      <c r="F19" s="13">
        <v>186</v>
      </c>
      <c r="G19" s="13">
        <v>138</v>
      </c>
      <c r="H19" s="13">
        <v>189</v>
      </c>
      <c r="I19" s="16">
        <f>E19*1000-$G$5*1000-$C$6-$I$5/2</f>
        <v>342.55</v>
      </c>
      <c r="J19" s="17">
        <f>MAX((0.85*$C$5/$E$5)*(1-SQRT(1-2*(F19*1000000/(0.9*(D19*1000)*I19^2))/(0.85*$C$5)))*(D19*1000)*I19,MAX(0.25*SQRT($C$5)/$E$5,1.4/$E$5)*(D19*1000)*I19)</f>
        <v>1632.6418295362671</v>
      </c>
      <c r="K19" s="18">
        <f>ROUNDUP(J19/$K$5,0)</f>
        <v>9</v>
      </c>
      <c r="L19" s="17">
        <f>MAX((0.85*$C$5/$E$5)*(1-SQRT(1-2*(G19*1000000/(0.9*(D19*1000)*I19^2))/(0.85*$C$5)))*(D19*1000)*I19,MAX(0.25*SQRT($C$5)/$E$5,1.4/$E$5)*(D19*1000)*I19)</f>
        <v>1165.7906230988872</v>
      </c>
      <c r="M19" s="18">
        <f>ROUNDUP(L19/$K$5,0)</f>
        <v>6</v>
      </c>
      <c r="N19" s="16">
        <f>MIN(I19/4,6*$I$5,150)</f>
        <v>85.637500000000003</v>
      </c>
      <c r="O19" s="16" t="str">
        <f>IF(J19/((D19*1000)*I19)&lt;=0.025,"OK","REVISAR")</f>
        <v>OK</v>
      </c>
    </row>
    <row r="20" spans="2:15" x14ac:dyDescent="0.25">
      <c r="B20" s="15" t="s">
        <v>117</v>
      </c>
      <c r="C20" s="16">
        <v>14</v>
      </c>
      <c r="D20" s="13">
        <v>0.35</v>
      </c>
      <c r="E20" s="13">
        <v>0.4</v>
      </c>
      <c r="F20" s="13">
        <v>243</v>
      </c>
      <c r="G20" s="13">
        <v>134</v>
      </c>
      <c r="H20" s="13">
        <v>202</v>
      </c>
      <c r="I20" s="16">
        <f>E20*1000-$G$5*1000-$C$6-$I$5/2</f>
        <v>342.55</v>
      </c>
      <c r="J20" s="17">
        <f>MAX((0.85*$C$5/$E$5)*(1-SQRT(1-2*(F20*1000000/(0.9*(D20*1000)*I20^2))/(0.85*$C$5)))*(D20*1000)*I20,MAX(0.25*SQRT($C$5)/$E$5,1.4/$E$5)*(D20*1000)*I20)</f>
        <v>2248.8901329587616</v>
      </c>
      <c r="K20" s="18">
        <f>ROUNDUP(J20/$K$5,0)</f>
        <v>12</v>
      </c>
      <c r="L20" s="17">
        <f>MAX((0.85*$C$5/$E$5)*(1-SQRT(1-2*(G20*1000000/(0.9*(D20*1000)*I20^2))/(0.85*$C$5)))*(D20*1000)*I20,MAX(0.25*SQRT($C$5)/$E$5,1.4/$E$5)*(D20*1000)*I20)</f>
        <v>1128.6226347410386</v>
      </c>
      <c r="M20" s="18">
        <f>ROUNDUP(L20/$K$5,0)</f>
        <v>6</v>
      </c>
      <c r="N20" s="16">
        <f>MIN(I20/4,6*$I$5,150)</f>
        <v>85.637500000000003</v>
      </c>
      <c r="O20" s="16" t="str">
        <f>IF(J20/((D20*1000)*I20)&lt;=0.025,"OK","REVISAR")</f>
        <v>OK</v>
      </c>
    </row>
    <row r="22" spans="2:15" x14ac:dyDescent="0.25">
      <c r="B22" s="4" t="s">
        <v>118</v>
      </c>
    </row>
    <row r="23" spans="2:15" ht="45.95" customHeight="1" x14ac:dyDescent="0.25">
      <c r="B23" s="32" t="s">
        <v>119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2:15" x14ac:dyDescent="0.25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2:15" x14ac:dyDescent="0.2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</sheetData>
  <mergeCells count="6">
    <mergeCell ref="B23:O25"/>
    <mergeCell ref="B9:O9"/>
    <mergeCell ref="B4:E4"/>
    <mergeCell ref="B2:O2"/>
    <mergeCell ref="B15:O15"/>
    <mergeCell ref="B7:O7"/>
  </mergeCells>
  <printOptions horizontalCentered="1"/>
  <pageMargins left="0.4" right="0.4" top="0.7" bottom="0.7" header="0.3" footer="0.3"/>
  <pageSetup fitToHeight="0" orientation="landscape"/>
  <headerFooter>
    <oddHeader>&amp;L&amp;"Aptos Narrow"&amp;8 EDIFICIO RESIDENCIAL SANTA MARTA&amp;R&amp;"Aptos Narrow"&amp;8 SSS Construcciones y Consultorias SAS</oddHeader>
    <oddFooter>&amp;C&amp;8 Pagina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B2:N29"/>
  <sheetViews>
    <sheetView showGridLines="0" zoomScale="110" workbookViewId="0">
      <pane ySplit="2" topLeftCell="A15" activePane="bottomLeft" state="frozen"/>
      <selection pane="bottomLeft" activeCell="M39" sqref="M39"/>
    </sheetView>
  </sheetViews>
  <sheetFormatPr baseColWidth="10" defaultColWidth="9.140625" defaultRowHeight="15" x14ac:dyDescent="0.25"/>
  <cols>
    <col min="1" max="1" width="2" customWidth="1"/>
    <col min="2" max="2" width="7" customWidth="1"/>
    <col min="3" max="3" width="9" customWidth="1"/>
    <col min="4" max="5" width="8" customWidth="1"/>
    <col min="6" max="7" width="9" customWidth="1"/>
    <col min="8" max="8" width="8" customWidth="1"/>
    <col min="9" max="9" width="9" customWidth="1"/>
    <col min="10" max="10" width="10" customWidth="1"/>
    <col min="11" max="11" width="7" customWidth="1"/>
    <col min="12" max="12" width="10" customWidth="1"/>
    <col min="13" max="13" width="7" customWidth="1"/>
    <col min="14" max="14" width="11" customWidth="1"/>
  </cols>
  <sheetData>
    <row r="2" spans="2:14" x14ac:dyDescent="0.25">
      <c r="B2" s="38" t="s">
        <v>120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2:14" ht="19.5" customHeight="1" x14ac:dyDescent="0.25">
      <c r="B4" s="56" t="s">
        <v>121</v>
      </c>
      <c r="C4" s="57"/>
      <c r="D4" s="57"/>
      <c r="E4" s="57"/>
      <c r="F4" s="57"/>
      <c r="G4" s="57"/>
      <c r="H4" s="57"/>
      <c r="I4" s="57"/>
      <c r="J4" s="57"/>
      <c r="K4" s="57"/>
    </row>
    <row r="5" spans="2:14" ht="27" x14ac:dyDescent="0.25">
      <c r="B5" s="12" t="s">
        <v>87</v>
      </c>
      <c r="C5" s="13">
        <v>28</v>
      </c>
      <c r="D5" s="12" t="s">
        <v>88</v>
      </c>
      <c r="E5" s="13">
        <v>420</v>
      </c>
      <c r="F5" s="12" t="s">
        <v>122</v>
      </c>
      <c r="G5" s="13">
        <v>0.15</v>
      </c>
      <c r="H5" s="12" t="s">
        <v>100</v>
      </c>
      <c r="I5" s="13">
        <v>0.34</v>
      </c>
      <c r="J5" s="12" t="s">
        <v>123</v>
      </c>
      <c r="K5" s="13">
        <v>0.06</v>
      </c>
    </row>
    <row r="6" spans="2:14" ht="27" x14ac:dyDescent="0.25">
      <c r="B6" s="12" t="s">
        <v>124</v>
      </c>
      <c r="C6" s="13">
        <v>0.8</v>
      </c>
      <c r="D6" s="12" t="s">
        <v>89</v>
      </c>
      <c r="E6" s="13">
        <v>0.03</v>
      </c>
      <c r="F6" s="12" t="s">
        <v>90</v>
      </c>
      <c r="G6" s="13">
        <v>12.7</v>
      </c>
      <c r="H6" s="12" t="s">
        <v>125</v>
      </c>
      <c r="I6" s="13">
        <v>129</v>
      </c>
      <c r="J6" s="12" t="s">
        <v>126</v>
      </c>
      <c r="K6" s="13">
        <v>0.35</v>
      </c>
    </row>
    <row r="7" spans="2:14" ht="27" x14ac:dyDescent="0.25">
      <c r="B7" s="11" t="s">
        <v>104</v>
      </c>
      <c r="C7" s="19">
        <f>I5*1000-E6*1000-G6/2</f>
        <v>303.64999999999998</v>
      </c>
      <c r="D7" s="11" t="s">
        <v>127</v>
      </c>
      <c r="F7" s="19">
        <f>MAX(0.25*SQRT(C5)/E5,1.4/E5)*G5*1000*C7</f>
        <v>151.82499999999996</v>
      </c>
    </row>
    <row r="8" spans="2:14" x14ac:dyDescent="0.25">
      <c r="B8" s="32" t="s">
        <v>128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10" spans="2:14" x14ac:dyDescent="0.25">
      <c r="B10" s="34" t="s">
        <v>129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 ht="40.5" x14ac:dyDescent="0.25">
      <c r="B11" s="12" t="s">
        <v>130</v>
      </c>
      <c r="C11" s="13">
        <v>7.04</v>
      </c>
      <c r="D11" s="12" t="s">
        <v>131</v>
      </c>
      <c r="E11" s="13">
        <v>1.8</v>
      </c>
    </row>
    <row r="12" spans="2:14" ht="27" x14ac:dyDescent="0.25">
      <c r="B12" s="14" t="s">
        <v>97</v>
      </c>
      <c r="C12" s="14" t="s">
        <v>132</v>
      </c>
      <c r="D12" s="14" t="s">
        <v>133</v>
      </c>
      <c r="E12" s="14" t="s">
        <v>134</v>
      </c>
      <c r="F12" s="14" t="s">
        <v>101</v>
      </c>
      <c r="G12" s="14" t="s">
        <v>102</v>
      </c>
      <c r="H12" s="14" t="s">
        <v>103</v>
      </c>
      <c r="I12" s="14" t="s">
        <v>135</v>
      </c>
      <c r="J12" s="14" t="s">
        <v>107</v>
      </c>
      <c r="K12" s="14" t="s">
        <v>136</v>
      </c>
      <c r="L12" s="14" t="s">
        <v>105</v>
      </c>
      <c r="M12" s="14" t="s">
        <v>137</v>
      </c>
      <c r="N12" s="14" t="s">
        <v>138</v>
      </c>
    </row>
    <row r="13" spans="2:14" x14ac:dyDescent="0.25">
      <c r="B13" s="15" t="s">
        <v>139</v>
      </c>
      <c r="C13" s="13">
        <v>2.2000000000000002</v>
      </c>
      <c r="D13" s="16">
        <f>C13-$K$6</f>
        <v>1.85</v>
      </c>
      <c r="E13" s="16">
        <f>(1.2*C11+1.6*E11)*$C$6</f>
        <v>9.062400000000002</v>
      </c>
      <c r="F13" s="16">
        <f>E13*D13^2/10</f>
        <v>3.101606400000001</v>
      </c>
      <c r="G13" s="16">
        <f>E13*D13^2/14</f>
        <v>2.2154331428571434</v>
      </c>
      <c r="H13" s="16">
        <f>1.15*E13*D13/2</f>
        <v>9.6401280000000007</v>
      </c>
      <c r="I13" s="16">
        <f>MIN(D13*1000/4,($G$5*1000)+16*$K$5*1000,$C$6*1000)</f>
        <v>462.5</v>
      </c>
      <c r="J13" s="17">
        <f>MAX((0.85*$C$5/$E$5)*(1-SQRT(1-2*(G13*1000000/(0.9*I13*$C$7^2))/(0.85*$C$5)))*I13*$C$7,$F$7)</f>
        <v>151.82499999999996</v>
      </c>
      <c r="K13" s="18">
        <f>ROUNDUP(J13/$I$6,0)</f>
        <v>2</v>
      </c>
      <c r="L13" s="17">
        <f>MAX((0.85*$C$5/$E$5)*(1-SQRT(1-2*(F13*1000000/(0.9*($G$5*1000)*$C$7^2))/(0.85*$C$5)))*($G$5*1000)*$C$7,$F$7)</f>
        <v>151.82499999999996</v>
      </c>
      <c r="M13" s="18">
        <f>ROUNDUP(L13/$I$6,0)</f>
        <v>2</v>
      </c>
      <c r="N13" s="16" t="str">
        <f>IF(H13&lt;=0.75*1.1*(0.17*SQRT($C$5)*($G$5*1000)*$C$7/1000),"No","Si")</f>
        <v>No</v>
      </c>
    </row>
    <row r="14" spans="2:14" x14ac:dyDescent="0.25">
      <c r="B14" s="15" t="s">
        <v>140</v>
      </c>
      <c r="C14" s="13">
        <v>3.6</v>
      </c>
      <c r="D14" s="16">
        <f>C14-$K$6</f>
        <v>3.25</v>
      </c>
      <c r="E14" s="16">
        <f>(1.2*C11+1.6*E11)*$C$6</f>
        <v>9.062400000000002</v>
      </c>
      <c r="F14" s="16">
        <f>E14*D14^2/10</f>
        <v>9.572160000000002</v>
      </c>
      <c r="G14" s="16">
        <f>E14*D14^2/14</f>
        <v>6.8372571428571449</v>
      </c>
      <c r="H14" s="16">
        <f>1.15*E14*D14/2</f>
        <v>16.935360000000003</v>
      </c>
      <c r="I14" s="16">
        <f>MIN(D14*1000/4,($G$5*1000)+16*$K$5*1000,$C$6*1000)</f>
        <v>800</v>
      </c>
      <c r="J14" s="17">
        <f>MAX((0.85*$C$5/$E$5)*(1-SQRT(1-2*(G14*1000000/(0.9*I14*$C$7^2))/(0.85*$C$5)))*I14*$C$7,$F$7)</f>
        <v>151.82499999999996</v>
      </c>
      <c r="K14" s="18">
        <f>ROUNDUP(J14/$I$6,0)</f>
        <v>2</v>
      </c>
      <c r="L14" s="17">
        <f>MAX((0.85*$C$5/$E$5)*(1-SQRT(1-2*(F14*1000000/(0.9*($G$5*1000)*$C$7^2))/(0.85*$C$5)))*($G$5*1000)*$C$7,$F$7)</f>
        <v>151.82499999999996</v>
      </c>
      <c r="M14" s="18">
        <f>ROUNDUP(L14/$I$6,0)</f>
        <v>2</v>
      </c>
      <c r="N14" s="16" t="str">
        <f>IF(H14&lt;=0.75*1.1*(0.17*SQRT($C$5)*($G$5*1000)*$C$7/1000),"No","Si")</f>
        <v>No</v>
      </c>
    </row>
    <row r="15" spans="2:14" x14ac:dyDescent="0.25">
      <c r="B15" s="15" t="s">
        <v>141</v>
      </c>
      <c r="C15" s="13">
        <v>4.8</v>
      </c>
      <c r="D15" s="16">
        <f>C15-$K$6</f>
        <v>4.45</v>
      </c>
      <c r="E15" s="16">
        <f>(1.2*C11+1.6*E11)*$C$6</f>
        <v>9.062400000000002</v>
      </c>
      <c r="F15" s="16">
        <f>E15*D15^2/10</f>
        <v>17.945817600000005</v>
      </c>
      <c r="G15" s="16">
        <f>E15*D15^2/14</f>
        <v>12.818441142857148</v>
      </c>
      <c r="H15" s="16">
        <f>1.15*E15*D15/2</f>
        <v>23.188416000000004</v>
      </c>
      <c r="I15" s="16">
        <f>MIN(D15*1000/4,($G$5*1000)+16*$K$5*1000,$C$6*1000)</f>
        <v>800</v>
      </c>
      <c r="J15" s="17">
        <f>MAX((0.85*$C$5/$E$5)*(1-SQRT(1-2*(G15*1000000/(0.9*I15*$C$7^2))/(0.85*$C$5)))*I15*$C$7,$F$7)</f>
        <v>151.82499999999996</v>
      </c>
      <c r="K15" s="18">
        <f>ROUNDUP(J15/$I$6,0)</f>
        <v>2</v>
      </c>
      <c r="L15" s="17">
        <f>MAX((0.85*$C$5/$E$5)*(1-SQRT(1-2*(F15*1000000/(0.9*($G$5*1000)*$C$7^2))/(0.85*$C$5)))*($G$5*1000)*$C$7,$F$7)</f>
        <v>161.3963062322218</v>
      </c>
      <c r="M15" s="18">
        <f>ROUNDUP(L15/$I$6,0)</f>
        <v>2</v>
      </c>
      <c r="N15" s="16" t="str">
        <f>IF(H15&lt;=0.75*1.1*(0.17*SQRT($C$5)*($G$5*1000)*$C$7/1000),"No","Si")</f>
        <v>No</v>
      </c>
    </row>
    <row r="16" spans="2:14" x14ac:dyDescent="0.25">
      <c r="B16" s="15" t="s">
        <v>142</v>
      </c>
      <c r="C16" s="13">
        <v>5.15</v>
      </c>
      <c r="D16" s="16">
        <f>C16-$K$6</f>
        <v>4.8000000000000007</v>
      </c>
      <c r="E16" s="16">
        <f>(1.2*C11+1.6*E11)*$C$6</f>
        <v>9.062400000000002</v>
      </c>
      <c r="F16" s="16">
        <f>E16*D16^2/10</f>
        <v>20.87976960000001</v>
      </c>
      <c r="G16" s="16">
        <f>E16*D16^2/14</f>
        <v>14.914121142857152</v>
      </c>
      <c r="H16" s="16">
        <f>1.15*E16*D16/2</f>
        <v>25.012224000000007</v>
      </c>
      <c r="I16" s="16">
        <f>MIN(D16*1000/4,($G$5*1000)+16*$K$5*1000,$C$6*1000)</f>
        <v>800</v>
      </c>
      <c r="J16" s="17">
        <f>MAX((0.85*$C$5/$E$5)*(1-SQRT(1-2*(G16*1000000/(0.9*I16*$C$7^2))/(0.85*$C$5)))*I16*$C$7,$F$7)</f>
        <v>151.82499999999996</v>
      </c>
      <c r="K16" s="18">
        <f>ROUNDUP(J16/$I$6,0)</f>
        <v>2</v>
      </c>
      <c r="L16" s="17">
        <f>MAX((0.85*$C$5/$E$5)*(1-SQRT(1-2*(F16*1000000/(0.9*($G$5*1000)*$C$7^2))/(0.85*$C$5)))*($G$5*1000)*$C$7,$F$7)</f>
        <v>188.81832132816294</v>
      </c>
      <c r="M16" s="18">
        <f>ROUNDUP(L16/$I$6,0)</f>
        <v>2</v>
      </c>
      <c r="N16" s="16" t="str">
        <f>IF(H16&lt;=0.75*1.1*(0.17*SQRT($C$5)*($G$5*1000)*$C$7/1000),"No","Si")</f>
        <v>No</v>
      </c>
    </row>
    <row r="18" spans="2:14" x14ac:dyDescent="0.25">
      <c r="B18" s="34" t="s">
        <v>143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/>
    </row>
    <row r="19" spans="2:14" ht="40.5" x14ac:dyDescent="0.25">
      <c r="B19" s="12" t="s">
        <v>130</v>
      </c>
      <c r="C19" s="13">
        <v>4.3760000000000003</v>
      </c>
      <c r="D19" s="12" t="s">
        <v>131</v>
      </c>
      <c r="E19" s="13">
        <v>5</v>
      </c>
    </row>
    <row r="20" spans="2:14" ht="27" x14ac:dyDescent="0.25">
      <c r="B20" s="14" t="s">
        <v>97</v>
      </c>
      <c r="C20" s="14" t="s">
        <v>132</v>
      </c>
      <c r="D20" s="14" t="s">
        <v>133</v>
      </c>
      <c r="E20" s="14" t="s">
        <v>134</v>
      </c>
      <c r="F20" s="14" t="s">
        <v>101</v>
      </c>
      <c r="G20" s="14" t="s">
        <v>102</v>
      </c>
      <c r="H20" s="14" t="s">
        <v>103</v>
      </c>
      <c r="I20" s="14" t="s">
        <v>135</v>
      </c>
      <c r="J20" s="14" t="s">
        <v>107</v>
      </c>
      <c r="K20" s="14" t="s">
        <v>136</v>
      </c>
      <c r="L20" s="14" t="s">
        <v>105</v>
      </c>
      <c r="M20" s="14" t="s">
        <v>137</v>
      </c>
      <c r="N20" s="14" t="s">
        <v>138</v>
      </c>
    </row>
    <row r="21" spans="2:14" x14ac:dyDescent="0.25">
      <c r="B21" s="15" t="s">
        <v>139</v>
      </c>
      <c r="C21" s="13">
        <v>2.2000000000000002</v>
      </c>
      <c r="D21" s="16">
        <f>C21-$K$6</f>
        <v>1.85</v>
      </c>
      <c r="E21" s="16">
        <f>(1.2*C19+1.6*E19)*$C$6</f>
        <v>10.600960000000001</v>
      </c>
      <c r="F21" s="16">
        <f>E21*D21^2/10</f>
        <v>3.6281785600000007</v>
      </c>
      <c r="G21" s="16">
        <f>E21*D21^2/14</f>
        <v>2.5915561142857149</v>
      </c>
      <c r="H21" s="16">
        <f>1.15*E21*D21/2</f>
        <v>11.276771200000001</v>
      </c>
      <c r="I21" s="16">
        <f>MIN(D21*1000/4,($G$5*1000)+16*$K$5*1000,$C$6*1000)</f>
        <v>462.5</v>
      </c>
      <c r="J21" s="17">
        <f>MAX((0.85*$C$5/$E$5)*(1-SQRT(1-2*(G21*1000000/(0.9*I21*$C$7^2))/(0.85*$C$5)))*I21*$C$7,$F$7)</f>
        <v>151.82499999999996</v>
      </c>
      <c r="K21" s="18">
        <f>ROUNDUP(J21/$I$6,0)</f>
        <v>2</v>
      </c>
      <c r="L21" s="17">
        <f>MAX((0.85*$C$5/$E$5)*(1-SQRT(1-2*(F21*1000000/(0.9*($G$5*1000)*$C$7^2))/(0.85*$C$5)))*($G$5*1000)*$C$7,$F$7)</f>
        <v>151.82499999999996</v>
      </c>
      <c r="M21" s="18">
        <f>ROUNDUP(L21/$I$6,0)</f>
        <v>2</v>
      </c>
      <c r="N21" s="16" t="str">
        <f>IF(H21&lt;=0.75*1.1*(0.17*SQRT($C$5)*($G$5*1000)*$C$7/1000),"No","Si")</f>
        <v>No</v>
      </c>
    </row>
    <row r="22" spans="2:14" x14ac:dyDescent="0.25">
      <c r="B22" s="15" t="s">
        <v>140</v>
      </c>
      <c r="C22" s="13">
        <v>3.6</v>
      </c>
      <c r="D22" s="16">
        <f>C22-$K$6</f>
        <v>3.25</v>
      </c>
      <c r="E22" s="16">
        <f>(1.2*C19+1.6*E19)*$C$6</f>
        <v>10.600960000000001</v>
      </c>
      <c r="F22" s="16">
        <f>E22*D22^2/10</f>
        <v>11.197264000000001</v>
      </c>
      <c r="G22" s="16">
        <f>E22*D22^2/14</f>
        <v>7.9980457142857153</v>
      </c>
      <c r="H22" s="16">
        <f>1.15*E22*D22/2</f>
        <v>19.810544</v>
      </c>
      <c r="I22" s="16">
        <f>MIN(D22*1000/4,($G$5*1000)+16*$K$5*1000,$C$6*1000)</f>
        <v>800</v>
      </c>
      <c r="J22" s="17">
        <f>MAX((0.85*$C$5/$E$5)*(1-SQRT(1-2*(G22*1000000/(0.9*I22*$C$7^2))/(0.85*$C$5)))*I22*$C$7,$F$7)</f>
        <v>151.82499999999996</v>
      </c>
      <c r="K22" s="18">
        <f>ROUNDUP(J22/$I$6,0)</f>
        <v>2</v>
      </c>
      <c r="L22" s="17">
        <f>MAX((0.85*$C$5/$E$5)*(1-SQRT(1-2*(F22*1000000/(0.9*($G$5*1000)*$C$7^2))/(0.85*$C$5)))*($G$5*1000)*$C$7,$F$7)</f>
        <v>151.82499999999996</v>
      </c>
      <c r="M22" s="18">
        <f>ROUNDUP(L22/$I$6,0)</f>
        <v>2</v>
      </c>
      <c r="N22" s="16" t="str">
        <f>IF(H22&lt;=0.75*1.1*(0.17*SQRT($C$5)*($G$5*1000)*$C$7/1000),"No","Si")</f>
        <v>No</v>
      </c>
    </row>
    <row r="23" spans="2:14" x14ac:dyDescent="0.25">
      <c r="B23" s="15" t="s">
        <v>141</v>
      </c>
      <c r="C23" s="13">
        <v>4.8</v>
      </c>
      <c r="D23" s="16">
        <f>C23-$K$6</f>
        <v>4.45</v>
      </c>
      <c r="E23" s="16">
        <f>(1.2*C19+1.6*E19)*$C$6</f>
        <v>10.600960000000001</v>
      </c>
      <c r="F23" s="16">
        <f>E23*D23^2/10</f>
        <v>20.992551040000002</v>
      </c>
      <c r="G23" s="16">
        <f>E23*D23^2/14</f>
        <v>14.994679314285717</v>
      </c>
      <c r="H23" s="16">
        <f>1.15*E23*D23/2</f>
        <v>27.1252064</v>
      </c>
      <c r="I23" s="16">
        <f>MIN(D23*1000/4,($G$5*1000)+16*$K$5*1000,$C$6*1000)</f>
        <v>800</v>
      </c>
      <c r="J23" s="17">
        <f>MAX((0.85*$C$5/$E$5)*(1-SQRT(1-2*(G23*1000000/(0.9*I23*$C$7^2))/(0.85*$C$5)))*I23*$C$7,$F$7)</f>
        <v>151.82499999999996</v>
      </c>
      <c r="K23" s="18">
        <f>ROUNDUP(J23/$I$6,0)</f>
        <v>2</v>
      </c>
      <c r="L23" s="17">
        <f>MAX((0.85*$C$5/$E$5)*(1-SQRT(1-2*(F23*1000000/(0.9*($G$5*1000)*$C$7^2))/(0.85*$C$5)))*($G$5*1000)*$C$7,$F$7)</f>
        <v>189.87870327992658</v>
      </c>
      <c r="M23" s="18">
        <f>ROUNDUP(L23/$I$6,0)</f>
        <v>2</v>
      </c>
      <c r="N23" s="16" t="str">
        <f>IF(H23&lt;=0.75*1.1*(0.17*SQRT($C$5)*($G$5*1000)*$C$7/1000),"No","Si")</f>
        <v>No</v>
      </c>
    </row>
    <row r="24" spans="2:14" x14ac:dyDescent="0.25">
      <c r="B24" s="15" t="s">
        <v>142</v>
      </c>
      <c r="C24" s="13">
        <v>5.15</v>
      </c>
      <c r="D24" s="16">
        <f>C24-$K$6</f>
        <v>4.8000000000000007</v>
      </c>
      <c r="E24" s="16">
        <f>(1.2*C19+1.6*E19)*$C$6</f>
        <v>10.600960000000001</v>
      </c>
      <c r="F24" s="16">
        <f>E24*D24^2/10</f>
        <v>24.424611840000008</v>
      </c>
      <c r="G24" s="16">
        <f>E24*D24^2/14</f>
        <v>17.446151314285721</v>
      </c>
      <c r="H24" s="16">
        <f>1.15*E24*D24/2</f>
        <v>29.258649600000002</v>
      </c>
      <c r="I24" s="16">
        <f>MIN(D24*1000/4,($G$5*1000)+16*$K$5*1000,$C$6*1000)</f>
        <v>800</v>
      </c>
      <c r="J24" s="17">
        <f>MAX((0.85*$C$5/$E$5)*(1-SQRT(1-2*(G24*1000000/(0.9*I24*$C$7^2))/(0.85*$C$5)))*I24*$C$7,$F$7)</f>
        <v>152.84539911548057</v>
      </c>
      <c r="K24" s="18">
        <f>ROUNDUP(J24/$I$6,0)</f>
        <v>2</v>
      </c>
      <c r="L24" s="17">
        <f>MAX((0.85*$C$5/$E$5)*(1-SQRT(1-2*(F24*1000000/(0.9*($G$5*1000)*$C$7^2))/(0.85*$C$5)))*($G$5*1000)*$C$7,$F$7)</f>
        <v>222.375243979115</v>
      </c>
      <c r="M24" s="18">
        <f>ROUNDUP(L24/$I$6,0)</f>
        <v>2</v>
      </c>
      <c r="N24" s="16" t="str">
        <f>IF(H24&lt;=0.75*1.1*(0.17*SQRT($C$5)*($G$5*1000)*$C$7/1000),"No","Si")</f>
        <v>No</v>
      </c>
    </row>
    <row r="26" spans="2:14" ht="30" x14ac:dyDescent="0.25">
      <c r="B26" s="4" t="s">
        <v>144</v>
      </c>
    </row>
    <row r="27" spans="2:14" ht="45.95" customHeight="1" x14ac:dyDescent="0.25">
      <c r="B27" s="32" t="s">
        <v>145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spans="2:14" x14ac:dyDescent="0.25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2:14" x14ac:dyDescent="0.25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</sheetData>
  <mergeCells count="6">
    <mergeCell ref="B8:N8"/>
    <mergeCell ref="B18:N18"/>
    <mergeCell ref="B2:N2"/>
    <mergeCell ref="B10:N10"/>
    <mergeCell ref="B27:N29"/>
    <mergeCell ref="B4:K4"/>
  </mergeCells>
  <printOptions horizontalCentered="1"/>
  <pageMargins left="0.4" right="0.4" top="0.7" bottom="0.7" header="0.3" footer="0.3"/>
  <pageSetup fitToHeight="0" orientation="landscape"/>
  <headerFooter>
    <oddHeader>&amp;L&amp;"Aptos Narrow"&amp;8 EDIFICIO RESIDENCIAL SANTA MARTA&amp;R&amp;"Aptos Narrow"&amp;8 SSS Construcciones y Consultorias SAS</oddHeader>
    <oddFooter>&amp;C&amp;8 Pagina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496"/>
    <pageSetUpPr fitToPage="1"/>
  </sheetPr>
  <dimension ref="B2:E62"/>
  <sheetViews>
    <sheetView showGridLines="0" zoomScale="110" workbookViewId="0">
      <pane xSplit="2" ySplit="4" topLeftCell="C20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" customWidth="1"/>
    <col min="2" max="2" width="34" customWidth="1"/>
    <col min="3" max="5" width="14" customWidth="1"/>
  </cols>
  <sheetData>
    <row r="2" spans="2:5" x14ac:dyDescent="0.25">
      <c r="B2" s="38" t="s">
        <v>146</v>
      </c>
      <c r="C2" s="33"/>
      <c r="D2" s="33"/>
      <c r="E2" s="33"/>
    </row>
    <row r="4" spans="2:5" x14ac:dyDescent="0.25">
      <c r="B4" s="58" t="s">
        <v>147</v>
      </c>
      <c r="C4" s="33"/>
      <c r="D4" s="33"/>
      <c r="E4" s="33"/>
    </row>
    <row r="5" spans="2:5" x14ac:dyDescent="0.25">
      <c r="B5" s="12" t="s">
        <v>87</v>
      </c>
      <c r="C5" s="20">
        <v>28</v>
      </c>
    </row>
    <row r="6" spans="2:5" x14ac:dyDescent="0.25">
      <c r="B6" s="12" t="s">
        <v>148</v>
      </c>
      <c r="C6" s="20">
        <v>420</v>
      </c>
    </row>
    <row r="7" spans="2:5" x14ac:dyDescent="0.25">
      <c r="B7" s="12" t="s">
        <v>99</v>
      </c>
      <c r="C7" s="20">
        <v>0.3</v>
      </c>
    </row>
    <row r="8" spans="2:5" x14ac:dyDescent="0.25">
      <c r="B8" s="12" t="s">
        <v>100</v>
      </c>
      <c r="C8" s="20">
        <v>0.4</v>
      </c>
    </row>
    <row r="9" spans="2:5" x14ac:dyDescent="0.25">
      <c r="B9" s="12" t="s">
        <v>149</v>
      </c>
      <c r="C9" s="20">
        <v>0.04</v>
      </c>
    </row>
    <row r="10" spans="2:5" x14ac:dyDescent="0.25">
      <c r="B10" s="12" t="s">
        <v>150</v>
      </c>
      <c r="C10" s="20">
        <v>9.5</v>
      </c>
    </row>
    <row r="11" spans="2:5" x14ac:dyDescent="0.25">
      <c r="B11" s="12" t="s">
        <v>151</v>
      </c>
      <c r="C11" s="20">
        <v>15.9</v>
      </c>
    </row>
    <row r="12" spans="2:5" x14ac:dyDescent="0.25">
      <c r="B12" s="12" t="s">
        <v>152</v>
      </c>
      <c r="C12" s="20">
        <v>199</v>
      </c>
    </row>
    <row r="13" spans="2:5" x14ac:dyDescent="0.25">
      <c r="B13" s="12" t="s">
        <v>153</v>
      </c>
      <c r="C13" s="20">
        <v>142</v>
      </c>
    </row>
    <row r="14" spans="2:5" x14ac:dyDescent="0.25">
      <c r="B14" s="12" t="s">
        <v>133</v>
      </c>
      <c r="C14" s="20">
        <v>4.9000000000000004</v>
      </c>
    </row>
    <row r="15" spans="2:5" x14ac:dyDescent="0.25">
      <c r="B15" s="11" t="s">
        <v>154</v>
      </c>
      <c r="C15" s="19">
        <f>C8*1000-C9*1000-C10-C11/2</f>
        <v>342.55</v>
      </c>
    </row>
    <row r="16" spans="2:5" x14ac:dyDescent="0.25">
      <c r="B16" s="12" t="s">
        <v>155</v>
      </c>
      <c r="C16" s="21">
        <f>MAX(0.25*SQRT(C5)/C6,1.4/C6)*(C7*1000)*C15</f>
        <v>342.54999999999995</v>
      </c>
    </row>
    <row r="17" spans="2:5" x14ac:dyDescent="0.25">
      <c r="B17" s="12" t="s">
        <v>156</v>
      </c>
      <c r="C17" s="21">
        <f>0.025*(C7*1000)*C15</f>
        <v>2569.125</v>
      </c>
    </row>
    <row r="18" spans="2:5" x14ac:dyDescent="0.25">
      <c r="B18" s="12" t="s">
        <v>157</v>
      </c>
      <c r="C18" s="21">
        <f>0.17*SQRT(C5)*(C7*1000)*C15/1000</f>
        <v>92.442815383727918</v>
      </c>
    </row>
    <row r="19" spans="2:5" x14ac:dyDescent="0.25">
      <c r="B19" s="12" t="s">
        <v>158</v>
      </c>
      <c r="C19" s="21">
        <f>0.66*SQRT(C5)*(C7*1000)*C15/1000</f>
        <v>358.8956361956495</v>
      </c>
    </row>
    <row r="20" spans="2:5" x14ac:dyDescent="0.25">
      <c r="B20" s="12" t="s">
        <v>159</v>
      </c>
      <c r="C20" s="21">
        <f>0.75*0.083*SQRT(C5)*(((C7*1000)*(C8*1000))^2/(2*((C7*1000)+(C8*1000))))/1000000</f>
        <v>3.3880735360547125</v>
      </c>
    </row>
    <row r="21" spans="2:5" x14ac:dyDescent="0.25">
      <c r="B21" s="12" t="s">
        <v>160</v>
      </c>
      <c r="C21" s="21">
        <f>C14/18.5</f>
        <v>0.26486486486486488</v>
      </c>
    </row>
    <row r="23" spans="2:5" x14ac:dyDescent="0.25">
      <c r="B23" s="11" t="s">
        <v>161</v>
      </c>
      <c r="C23" s="22" t="s">
        <v>110</v>
      </c>
      <c r="D23" s="22" t="s">
        <v>111</v>
      </c>
      <c r="E23" s="22" t="s">
        <v>112</v>
      </c>
    </row>
    <row r="24" spans="2:5" x14ac:dyDescent="0.25">
      <c r="B24" s="58" t="s">
        <v>162</v>
      </c>
      <c r="C24" s="33"/>
      <c r="D24" s="33"/>
      <c r="E24" s="33"/>
    </row>
    <row r="25" spans="2:5" x14ac:dyDescent="0.25">
      <c r="B25" s="12" t="s">
        <v>163</v>
      </c>
      <c r="C25" s="20">
        <v>77</v>
      </c>
      <c r="D25" s="20">
        <v>118</v>
      </c>
      <c r="E25" s="20">
        <v>142</v>
      </c>
    </row>
    <row r="26" spans="2:5" x14ac:dyDescent="0.25">
      <c r="B26" s="12" t="s">
        <v>164</v>
      </c>
      <c r="C26" s="20">
        <v>58</v>
      </c>
      <c r="D26" s="20">
        <v>101</v>
      </c>
      <c r="E26" s="20">
        <v>79</v>
      </c>
    </row>
    <row r="27" spans="2:5" x14ac:dyDescent="0.25">
      <c r="B27" s="12" t="s">
        <v>103</v>
      </c>
      <c r="C27" s="20">
        <v>70</v>
      </c>
      <c r="D27" s="20">
        <v>86</v>
      </c>
      <c r="E27" s="20">
        <v>108</v>
      </c>
    </row>
    <row r="28" spans="2:5" x14ac:dyDescent="0.25">
      <c r="B28" s="12" t="s">
        <v>165</v>
      </c>
      <c r="C28" s="20">
        <v>13.3</v>
      </c>
      <c r="D28" s="20">
        <v>11.5</v>
      </c>
      <c r="E28" s="20">
        <v>19.899999999999999</v>
      </c>
    </row>
    <row r="29" spans="2:5" x14ac:dyDescent="0.25">
      <c r="B29" s="58" t="s">
        <v>166</v>
      </c>
      <c r="C29" s="33"/>
      <c r="D29" s="33"/>
      <c r="E29" s="33"/>
    </row>
    <row r="30" spans="2:5" x14ac:dyDescent="0.25">
      <c r="B30" s="12" t="s">
        <v>167</v>
      </c>
      <c r="C30" s="16">
        <f>C25*1000000/(0.9*($C$7*1000)*$C$15^2)</f>
        <v>2.4304070556130877</v>
      </c>
      <c r="D30" s="16">
        <f>D25*1000000/(0.9*($C$7*1000)*$C$15^2)</f>
        <v>3.72451990340707</v>
      </c>
      <c r="E30" s="16">
        <f>E25*1000000/(0.9*($C$7*1000)*$C$15^2)</f>
        <v>4.4820493752864738</v>
      </c>
    </row>
    <row r="31" spans="2:5" x14ac:dyDescent="0.25">
      <c r="B31" s="12" t="s">
        <v>168</v>
      </c>
      <c r="C31" s="16">
        <f>(0.85*$C$5/$C$6)*(1-SQRT(1-2*C30/(0.85*$C$5)))</f>
        <v>6.1168201288848371E-3</v>
      </c>
      <c r="D31" s="16">
        <f>(0.85*$C$5/$C$6)*(1-SQRT(1-2*D30/(0.85*$C$5)))</f>
        <v>9.6977202144982594E-3</v>
      </c>
      <c r="E31" s="16">
        <f>(0.85*$C$5/$C$6)*(1-SQRT(1-2*E30/(0.85*$C$5)))</f>
        <v>1.1926648604616908E-2</v>
      </c>
    </row>
    <row r="32" spans="2:5" x14ac:dyDescent="0.25">
      <c r="B32" s="12" t="s">
        <v>169</v>
      </c>
      <c r="C32" s="16">
        <f>C31*($C$7*1000)*$C$15</f>
        <v>628.59502054485029</v>
      </c>
      <c r="D32" s="16">
        <f>D31*($C$7*1000)*$C$15</f>
        <v>996.58621784291358</v>
      </c>
      <c r="E32" s="16">
        <f>E31*($C$7*1000)*$C$15</f>
        <v>1225.6420438534567</v>
      </c>
    </row>
    <row r="33" spans="2:5" x14ac:dyDescent="0.25">
      <c r="B33" s="12" t="s">
        <v>170</v>
      </c>
      <c r="C33" s="19">
        <f>MAX(C32,$C$16)</f>
        <v>628.59502054485029</v>
      </c>
      <c r="D33" s="19">
        <f>MAX(D32,$C$16)</f>
        <v>996.58621784291358</v>
      </c>
      <c r="E33" s="19">
        <f>MAX(E32,$C$16)</f>
        <v>1225.6420438534567</v>
      </c>
    </row>
    <row r="34" spans="2:5" x14ac:dyDescent="0.25">
      <c r="B34" s="12" t="s">
        <v>171</v>
      </c>
      <c r="C34" s="19">
        <f>ROUNDUP(C33/$C$12,0)</f>
        <v>4</v>
      </c>
      <c r="D34" s="19">
        <f>ROUNDUP(D33/$C$12,0)</f>
        <v>6</v>
      </c>
      <c r="E34" s="19">
        <f>ROUNDUP(E33/$C$12,0)</f>
        <v>7</v>
      </c>
    </row>
    <row r="35" spans="2:5" x14ac:dyDescent="0.25">
      <c r="B35" s="12" t="s">
        <v>172</v>
      </c>
      <c r="C35" s="16">
        <f>C34*$C$12</f>
        <v>796</v>
      </c>
      <c r="D35" s="16">
        <f>D34*$C$12</f>
        <v>1194</v>
      </c>
      <c r="E35" s="16">
        <f>E34*$C$12</f>
        <v>1393</v>
      </c>
    </row>
    <row r="36" spans="2:5" x14ac:dyDescent="0.25">
      <c r="B36" s="12" t="s">
        <v>173</v>
      </c>
      <c r="C36" s="16">
        <f>C35*$C$6/(0.85*$C$5*($C$7*1000))</f>
        <v>46.823529411764703</v>
      </c>
      <c r="D36" s="16">
        <f>D35*$C$6/(0.85*$C$5*($C$7*1000))</f>
        <v>70.235294117647058</v>
      </c>
      <c r="E36" s="16">
        <f>E35*$C$6/(0.85*$C$5*($C$7*1000))</f>
        <v>81.941176470588232</v>
      </c>
    </row>
    <row r="37" spans="2:5" x14ac:dyDescent="0.25">
      <c r="B37" s="12" t="s">
        <v>174</v>
      </c>
      <c r="C37" s="19">
        <f>0.9*C35*$C$6*($C$15-C36/2)/1000000</f>
        <v>96.024865341176465</v>
      </c>
      <c r="D37" s="19">
        <f>0.9*D35*$C$6*($C$15-D36/2)/1000000</f>
        <v>138.75405871764707</v>
      </c>
      <c r="E37" s="19">
        <f>0.9*E35*$C$6*($C$15-E36/2)/1000000</f>
        <v>158.79784558235298</v>
      </c>
    </row>
    <row r="38" spans="2:5" x14ac:dyDescent="0.25">
      <c r="B38" s="12" t="s">
        <v>175</v>
      </c>
      <c r="C38" s="18" t="str">
        <f>IF(AND(C37&gt;=C25,C33&lt;=$C$17,C33&gt;=$C$16),"CUMPLE","REVISAR")</f>
        <v>CUMPLE</v>
      </c>
      <c r="D38" s="18" t="str">
        <f>IF(AND(D37&gt;=D25,D33&lt;=$C$17,D33&gt;=$C$16),"CUMPLE","REVISAR")</f>
        <v>CUMPLE</v>
      </c>
      <c r="E38" s="18" t="str">
        <f>IF(AND(E37&gt;=E25,E33&lt;=$C$17,E33&gt;=$C$16),"CUMPLE","REVISAR")</f>
        <v>CUMPLE</v>
      </c>
    </row>
    <row r="39" spans="2:5" x14ac:dyDescent="0.25">
      <c r="B39" s="58" t="s">
        <v>176</v>
      </c>
      <c r="C39" s="33"/>
      <c r="D39" s="33"/>
      <c r="E39" s="33"/>
    </row>
    <row r="40" spans="2:5" x14ac:dyDescent="0.25">
      <c r="B40" s="12" t="s">
        <v>177</v>
      </c>
      <c r="C40" s="16">
        <f>C26*1000000/(0.9*($C$7*1000)*$C$15^2)</f>
        <v>1.8306962237085598</v>
      </c>
      <c r="D40" s="16">
        <f>D26*1000000/(0.9*($C$7*1000)*$C$15^2)</f>
        <v>3.187936527492492</v>
      </c>
      <c r="E40" s="16">
        <f>E26*1000000/(0.9*($C$7*1000)*$C$15^2)</f>
        <v>2.4935345116030381</v>
      </c>
    </row>
    <row r="41" spans="2:5" x14ac:dyDescent="0.25">
      <c r="B41" s="12" t="s">
        <v>178</v>
      </c>
      <c r="C41" s="16">
        <f>(0.85*$C$5/$C$6)*(1-SQRT(1-2*C40/(0.85*$C$5)))</f>
        <v>4.5407257407517098E-3</v>
      </c>
      <c r="D41" s="16">
        <f>(0.85*$C$5/$C$6)*(1-SQRT(1-2*D40/(0.85*$C$5)))</f>
        <v>8.1808515207998436E-3</v>
      </c>
      <c r="E41" s="16">
        <f>(0.85*$C$5/$C$6)*(1-SQRT(1-2*E40/(0.85*$C$5)))</f>
        <v>6.2855929176176412E-3</v>
      </c>
    </row>
    <row r="42" spans="2:5" x14ac:dyDescent="0.25">
      <c r="B42" s="12" t="s">
        <v>179</v>
      </c>
      <c r="C42" s="16">
        <f>C41*($C$7*1000)*$C$15</f>
        <v>466.62768074834946</v>
      </c>
      <c r="D42" s="16">
        <f>D41*($C$7*1000)*$C$15</f>
        <v>840.70520653499602</v>
      </c>
      <c r="E42" s="16">
        <f>E41*($C$7*1000)*$C$15</f>
        <v>645.93895617897692</v>
      </c>
    </row>
    <row r="43" spans="2:5" x14ac:dyDescent="0.25">
      <c r="B43" s="12" t="s">
        <v>180</v>
      </c>
      <c r="C43" s="19">
        <f>MAX(C42,$C$16)</f>
        <v>466.62768074834946</v>
      </c>
      <c r="D43" s="19">
        <f>MAX(D42,$C$16)</f>
        <v>840.70520653499602</v>
      </c>
      <c r="E43" s="19">
        <f>MAX(E42,$C$16)</f>
        <v>645.93895617897692</v>
      </c>
    </row>
    <row r="44" spans="2:5" x14ac:dyDescent="0.25">
      <c r="B44" s="12" t="s">
        <v>181</v>
      </c>
      <c r="C44" s="19">
        <f>ROUNDUP(C43/$C$12,0)</f>
        <v>3</v>
      </c>
      <c r="D44" s="19">
        <f>ROUNDUP(D43/$C$12,0)</f>
        <v>5</v>
      </c>
      <c r="E44" s="19">
        <f>ROUNDUP(E43/$C$12,0)</f>
        <v>4</v>
      </c>
    </row>
    <row r="45" spans="2:5" x14ac:dyDescent="0.25">
      <c r="B45" s="12" t="s">
        <v>182</v>
      </c>
      <c r="C45" s="16">
        <f>C44*$C$12</f>
        <v>597</v>
      </c>
      <c r="D45" s="16">
        <f>D44*$C$12</f>
        <v>995</v>
      </c>
      <c r="E45" s="16">
        <f>E44*$C$12</f>
        <v>796</v>
      </c>
    </row>
    <row r="46" spans="2:5" x14ac:dyDescent="0.25">
      <c r="B46" s="12" t="s">
        <v>183</v>
      </c>
      <c r="C46" s="16">
        <f>C45*$C$6/(0.85*$C$5*($C$7*1000))</f>
        <v>35.117647058823529</v>
      </c>
      <c r="D46" s="16">
        <f>D45*$C$6/(0.85*$C$5*($C$7*1000))</f>
        <v>58.529411764705884</v>
      </c>
      <c r="E46" s="16">
        <f>E45*$C$6/(0.85*$C$5*($C$7*1000))</f>
        <v>46.823529411764703</v>
      </c>
    </row>
    <row r="47" spans="2:5" x14ac:dyDescent="0.25">
      <c r="B47" s="12" t="s">
        <v>184</v>
      </c>
      <c r="C47" s="19">
        <f>0.9*C45*$C$6*($C$15-C46/2)/1000000</f>
        <v>73.339458829411768</v>
      </c>
      <c r="D47" s="19">
        <f>0.9*D45*$C$6*($C$15-D46/2)/1000000</f>
        <v>117.82973197058826</v>
      </c>
      <c r="E47" s="19">
        <f>0.9*E45*$C$6*($C$15-E46/2)/1000000</f>
        <v>96.024865341176465</v>
      </c>
    </row>
    <row r="48" spans="2:5" x14ac:dyDescent="0.25">
      <c r="B48" s="12" t="s">
        <v>185</v>
      </c>
      <c r="C48" s="18" t="str">
        <f>IF(C47&gt;=C26,"CUMPLE","REVISAR")</f>
        <v>CUMPLE</v>
      </c>
      <c r="D48" s="18" t="str">
        <f>IF(D47&gt;=D26,"CUMPLE","REVISAR")</f>
        <v>CUMPLE</v>
      </c>
      <c r="E48" s="18" t="str">
        <f>IF(E47&gt;=E26,"CUMPLE","REVISAR")</f>
        <v>CUMPLE</v>
      </c>
    </row>
    <row r="49" spans="2:5" x14ac:dyDescent="0.25">
      <c r="B49" s="58" t="s">
        <v>186</v>
      </c>
      <c r="C49" s="33"/>
      <c r="D49" s="33"/>
      <c r="E49" s="33"/>
    </row>
    <row r="50" spans="2:5" x14ac:dyDescent="0.25">
      <c r="B50" s="12" t="s">
        <v>187</v>
      </c>
      <c r="C50" s="16">
        <f>MAX(C27/0.75-$C$18,0)</f>
        <v>0.89051794960541031</v>
      </c>
      <c r="D50" s="16">
        <f>MAX(D27/0.75-$C$18,0)</f>
        <v>22.223851282938753</v>
      </c>
      <c r="E50" s="16">
        <f>MAX(E27/0.75-$C$18,0)</f>
        <v>51.557184616272082</v>
      </c>
    </row>
    <row r="51" spans="2:5" x14ac:dyDescent="0.25">
      <c r="B51" s="12" t="s">
        <v>188</v>
      </c>
      <c r="C51" s="19">
        <f>IF(C50&gt;0,MIN($C$13*$C$6*$C$15/(C50*1000),MIN($C$15/4,6*$C$11,150)),MIN($C$15/4,6*$C$11,150))</f>
        <v>85.637500000000003</v>
      </c>
      <c r="D51" s="19">
        <f>IF(D50&gt;0,MIN($C$13*$C$6*$C$15/(D50*1000),MIN($C$15/4,6*$C$11,150)),MIN($C$15/4,6*$C$11,150))</f>
        <v>85.637500000000003</v>
      </c>
      <c r="E51" s="19">
        <f>IF(E50&gt;0,MIN($C$13*$C$6*$C$15/(E50*1000),MIN($C$15/4,6*$C$11,150)),MIN($C$15/4,6*$C$11,150))</f>
        <v>85.637500000000003</v>
      </c>
    </row>
    <row r="52" spans="2:5" x14ac:dyDescent="0.25">
      <c r="B52" s="12" t="s">
        <v>189</v>
      </c>
      <c r="C52" s="18" t="str">
        <f>IF(C50&lt;=$C$19,"CUMPLE","AUMENTAR SECCION")</f>
        <v>CUMPLE</v>
      </c>
      <c r="D52" s="18" t="str">
        <f>IF(D50&lt;=$C$19,"CUMPLE","AUMENTAR SECCION")</f>
        <v>CUMPLE</v>
      </c>
      <c r="E52" s="18" t="str">
        <f>IF(E50&lt;=$C$19,"CUMPLE","AUMENTAR SECCION")</f>
        <v>CUMPLE</v>
      </c>
    </row>
    <row r="53" spans="2:5" x14ac:dyDescent="0.25">
      <c r="B53" s="58" t="s">
        <v>190</v>
      </c>
      <c r="C53" s="33"/>
      <c r="D53" s="33"/>
      <c r="E53" s="33"/>
    </row>
    <row r="54" spans="2:5" x14ac:dyDescent="0.25">
      <c r="B54" s="12" t="s">
        <v>191</v>
      </c>
      <c r="C54" s="16">
        <f>1.25*C35*$C$6*($C$15-(1.25*C35*$C$6/(0.85*$C$5*($C$7*1000)))/2)/1000000</f>
        <v>130.92192441176471</v>
      </c>
      <c r="D54" s="16">
        <f>1.25*D35*$C$6*($C$15-(1.25*D35*$C$6/(0.85*$C$5*($C$7*1000)))/2)/1000000</f>
        <v>187.2105961764706</v>
      </c>
      <c r="E54" s="16">
        <f>1.25*E35*$C$6*($C$15-(1.25*E35*$C$6/(0.85*$C$5*($C$7*1000)))/2)/1000000</f>
        <v>213.06185944852945</v>
      </c>
    </row>
    <row r="55" spans="2:5" x14ac:dyDescent="0.25">
      <c r="B55" s="12" t="s">
        <v>192</v>
      </c>
      <c r="C55" s="16">
        <f>1.25*C45*$C$6*($C$15-(1.25*C45*$C$6/(0.85*$C$5*($C$7*1000)))/2)/1000000</f>
        <v>100.48451591911765</v>
      </c>
      <c r="D55" s="16">
        <f>1.25*D45*$C$6*($C$15-(1.25*D45*$C$6/(0.85*$C$5*($C$7*1000)))/2)/1000000</f>
        <v>159.83061783088237</v>
      </c>
      <c r="E55" s="16">
        <f>1.25*E45*$C$6*($C$15-(1.25*E45*$C$6/(0.85*$C$5*($C$7*1000)))/2)/1000000</f>
        <v>130.92192441176471</v>
      </c>
    </row>
    <row r="56" spans="2:5" x14ac:dyDescent="0.25">
      <c r="B56" s="12" t="s">
        <v>193</v>
      </c>
      <c r="C56" s="16">
        <f>(C54+C55)/$C$14</f>
        <v>47.225804149159664</v>
      </c>
      <c r="D56" s="16">
        <f>(D54+D55)/$C$14</f>
        <v>70.824737552521015</v>
      </c>
      <c r="E56" s="16">
        <f>(E54+E55)/$C$14</f>
        <v>70.200772216386554</v>
      </c>
    </row>
    <row r="57" spans="2:5" x14ac:dyDescent="0.25">
      <c r="B57" s="12" t="s">
        <v>194</v>
      </c>
      <c r="C57" s="19">
        <f>MAX(C27,C56)</f>
        <v>70</v>
      </c>
      <c r="D57" s="19">
        <f>MAX(D27,D56)</f>
        <v>86</v>
      </c>
      <c r="E57" s="19">
        <f>MAX(E27,E56)</f>
        <v>108</v>
      </c>
    </row>
    <row r="58" spans="2:5" x14ac:dyDescent="0.25">
      <c r="B58" s="58" t="s">
        <v>195</v>
      </c>
      <c r="C58" s="33"/>
      <c r="D58" s="33"/>
      <c r="E58" s="33"/>
    </row>
    <row r="59" spans="2:5" x14ac:dyDescent="0.25">
      <c r="B59" s="12" t="s">
        <v>196</v>
      </c>
      <c r="C59" s="18" t="str">
        <f>IF(C28&gt;$C$20,"SI - disenar","No - despreciable")</f>
        <v>SI - disenar</v>
      </c>
      <c r="D59" s="18" t="str">
        <f>IF(D28&gt;$C$20,"SI - disenar","No - despreciable")</f>
        <v>SI - disenar</v>
      </c>
      <c r="E59" s="18" t="str">
        <f>IF(E28&gt;$C$20,"SI - disenar","No - despreciable")</f>
        <v>SI - disenar</v>
      </c>
    </row>
    <row r="60" spans="2:5" x14ac:dyDescent="0.25">
      <c r="B60" s="12" t="s">
        <v>197</v>
      </c>
      <c r="C60" s="16">
        <f>IF(C28&gt;$C$20,C28*1000000/(0.75*2*0.85*((($C$7*1000)-2*$C$9*1000)*(($C$8*1000)-2*$C$9*1000))*$C$6),0)</f>
        <v>0.35279263220439688</v>
      </c>
      <c r="D60" s="16">
        <f>IF(D28&gt;$C$20,D28*1000000/(0.75*2*0.85*((($C$7*1000)-2*$C$9*1000)*(($C$8*1000)-2*$C$9*1000))*$C$6),0)</f>
        <v>0.30504626092861387</v>
      </c>
      <c r="E60" s="16">
        <f>IF(E28&gt;$C$20,E28*1000000/(0.75*2*0.85*((($C$7*1000)-2*$C$9*1000)*(($C$8*1000)-2*$C$9*1000))*$C$6),0)</f>
        <v>0.52786266021560135</v>
      </c>
    </row>
    <row r="61" spans="2:5" x14ac:dyDescent="0.25">
      <c r="B61" s="58" t="s">
        <v>198</v>
      </c>
      <c r="C61" s="33"/>
      <c r="D61" s="33"/>
      <c r="E61" s="33"/>
    </row>
    <row r="62" spans="2:5" x14ac:dyDescent="0.25">
      <c r="B62" s="12" t="s">
        <v>199</v>
      </c>
      <c r="C62" s="18" t="str">
        <f>IF($C$8&gt;=$C$21,"CUMPLE","REVISAR")</f>
        <v>CUMPLE</v>
      </c>
      <c r="D62" s="18" t="str">
        <f>IF($C$8&gt;=$C$21,"CUMPLE","REVISAR")</f>
        <v>CUMPLE</v>
      </c>
      <c r="E62" s="18" t="str">
        <f>IF($C$8&gt;=$C$21,"CUMPLE","REVISAR")</f>
        <v>CUMPLE</v>
      </c>
    </row>
  </sheetData>
  <mergeCells count="9">
    <mergeCell ref="B2:E2"/>
    <mergeCell ref="B61:E61"/>
    <mergeCell ref="B49:E49"/>
    <mergeCell ref="B4:E4"/>
    <mergeCell ref="B53:E53"/>
    <mergeCell ref="B58:E58"/>
    <mergeCell ref="B29:E29"/>
    <mergeCell ref="B39:E39"/>
    <mergeCell ref="B24:E24"/>
  </mergeCells>
  <pageMargins left="0.4" right="0.4" top="0.6" bottom="0.6" header="0.3" footer="0.3"/>
  <pageSetup fitToHeight="0" orientation="landscape"/>
  <headerFooter>
    <oddHeader>&amp;LEDIFICIO RESIDENCIAL SANTA MARTA&amp;RSSS Construcciones SAS</oddHeader>
    <oddFooter>&amp;CPagina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  <pageSetUpPr fitToPage="1"/>
  </sheetPr>
  <dimension ref="B2:F62"/>
  <sheetViews>
    <sheetView showGridLines="0" zoomScale="110" workbookViewId="0">
      <pane xSplit="2" ySplit="4" topLeftCell="C41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" customWidth="1"/>
    <col min="2" max="2" width="34" customWidth="1"/>
    <col min="3" max="6" width="14" customWidth="1"/>
  </cols>
  <sheetData>
    <row r="2" spans="2:6" x14ac:dyDescent="0.25">
      <c r="B2" s="38" t="s">
        <v>200</v>
      </c>
      <c r="C2" s="33"/>
      <c r="D2" s="33"/>
      <c r="E2" s="33"/>
      <c r="F2" s="33"/>
    </row>
    <row r="4" spans="2:6" x14ac:dyDescent="0.25">
      <c r="B4" s="58" t="s">
        <v>147</v>
      </c>
      <c r="C4" s="33"/>
      <c r="D4" s="33"/>
      <c r="E4" s="33"/>
      <c r="F4" s="33"/>
    </row>
    <row r="5" spans="2:6" x14ac:dyDescent="0.25">
      <c r="B5" s="12" t="s">
        <v>87</v>
      </c>
      <c r="C5" s="20">
        <v>28</v>
      </c>
    </row>
    <row r="6" spans="2:6" x14ac:dyDescent="0.25">
      <c r="B6" s="12" t="s">
        <v>148</v>
      </c>
      <c r="C6" s="20">
        <v>420</v>
      </c>
    </row>
    <row r="7" spans="2:6" x14ac:dyDescent="0.25">
      <c r="B7" s="12" t="s">
        <v>99</v>
      </c>
      <c r="C7" s="20">
        <v>0.35</v>
      </c>
    </row>
    <row r="8" spans="2:6" x14ac:dyDescent="0.25">
      <c r="B8" s="12" t="s">
        <v>100</v>
      </c>
      <c r="C8" s="20">
        <v>0.4</v>
      </c>
    </row>
    <row r="9" spans="2:6" x14ac:dyDescent="0.25">
      <c r="B9" s="12" t="s">
        <v>149</v>
      </c>
      <c r="C9" s="20">
        <v>0.04</v>
      </c>
    </row>
    <row r="10" spans="2:6" x14ac:dyDescent="0.25">
      <c r="B10" s="12" t="s">
        <v>150</v>
      </c>
      <c r="C10" s="20">
        <v>9.5</v>
      </c>
    </row>
    <row r="11" spans="2:6" x14ac:dyDescent="0.25">
      <c r="B11" s="12" t="s">
        <v>151</v>
      </c>
      <c r="C11" s="20">
        <v>15.9</v>
      </c>
    </row>
    <row r="12" spans="2:6" x14ac:dyDescent="0.25">
      <c r="B12" s="12" t="s">
        <v>152</v>
      </c>
      <c r="C12" s="20">
        <v>199</v>
      </c>
    </row>
    <row r="13" spans="2:6" x14ac:dyDescent="0.25">
      <c r="B13" s="12" t="s">
        <v>153</v>
      </c>
      <c r="C13" s="20">
        <v>142</v>
      </c>
    </row>
    <row r="14" spans="2:6" x14ac:dyDescent="0.25">
      <c r="B14" s="12" t="s">
        <v>133</v>
      </c>
      <c r="C14" s="20">
        <v>5.0999999999999996</v>
      </c>
    </row>
    <row r="15" spans="2:6" x14ac:dyDescent="0.25">
      <c r="B15" s="11" t="s">
        <v>154</v>
      </c>
      <c r="C15" s="19">
        <f>C8*1000-C9*1000-C10-C11/2</f>
        <v>342.55</v>
      </c>
    </row>
    <row r="16" spans="2:6" x14ac:dyDescent="0.25">
      <c r="B16" s="12" t="s">
        <v>155</v>
      </c>
      <c r="C16" s="21">
        <f>MAX(0.25*SQRT(C5)/C6,1.4/C6)*(C7*1000)*C15</f>
        <v>399.64166666666665</v>
      </c>
    </row>
    <row r="17" spans="2:6" x14ac:dyDescent="0.25">
      <c r="B17" s="12" t="s">
        <v>156</v>
      </c>
      <c r="C17" s="21">
        <f>0.025*(C7*1000)*C15</f>
        <v>2997.3125</v>
      </c>
    </row>
    <row r="18" spans="2:6" x14ac:dyDescent="0.25">
      <c r="B18" s="12" t="s">
        <v>157</v>
      </c>
      <c r="C18" s="21">
        <f>0.17*SQRT(C5)*(C7*1000)*C15/1000</f>
        <v>107.8499512810159</v>
      </c>
    </row>
    <row r="19" spans="2:6" x14ac:dyDescent="0.25">
      <c r="B19" s="12" t="s">
        <v>158</v>
      </c>
      <c r="C19" s="21">
        <f>0.66*SQRT(C5)*(C7*1000)*C15/1000</f>
        <v>418.71157556159113</v>
      </c>
    </row>
    <row r="20" spans="2:6" x14ac:dyDescent="0.25">
      <c r="B20" s="12" t="s">
        <v>159</v>
      </c>
      <c r="C20" s="21">
        <f>0.75*0.083*SQRT(C5)*(((C7*1000)*(C8*1000))^2/(2*((C7*1000)+(C8*1000))))/1000000</f>
        <v>4.3041082328398756</v>
      </c>
    </row>
    <row r="21" spans="2:6" x14ac:dyDescent="0.25">
      <c r="B21" s="12" t="s">
        <v>160</v>
      </c>
      <c r="C21" s="21">
        <f>C14/18.5</f>
        <v>0.27567567567567564</v>
      </c>
    </row>
    <row r="23" spans="2:6" x14ac:dyDescent="0.25">
      <c r="B23" s="11" t="s">
        <v>161</v>
      </c>
      <c r="C23" s="22" t="s">
        <v>114</v>
      </c>
      <c r="D23" s="22" t="s">
        <v>115</v>
      </c>
      <c r="E23" s="22" t="s">
        <v>116</v>
      </c>
      <c r="F23" s="22" t="s">
        <v>117</v>
      </c>
    </row>
    <row r="24" spans="2:6" x14ac:dyDescent="0.25">
      <c r="B24" s="58" t="s">
        <v>162</v>
      </c>
      <c r="C24" s="33"/>
      <c r="D24" s="33"/>
      <c r="E24" s="33"/>
      <c r="F24" s="33"/>
    </row>
    <row r="25" spans="2:6" x14ac:dyDescent="0.25">
      <c r="B25" s="12" t="s">
        <v>163</v>
      </c>
      <c r="C25" s="20">
        <v>100</v>
      </c>
      <c r="D25" s="20">
        <v>135</v>
      </c>
      <c r="E25" s="20">
        <v>186</v>
      </c>
      <c r="F25" s="20">
        <v>243</v>
      </c>
    </row>
    <row r="26" spans="2:6" x14ac:dyDescent="0.25">
      <c r="B26" s="12" t="s">
        <v>164</v>
      </c>
      <c r="C26" s="20">
        <v>74</v>
      </c>
      <c r="D26" s="20">
        <v>98</v>
      </c>
      <c r="E26" s="20">
        <v>138</v>
      </c>
      <c r="F26" s="20">
        <v>134</v>
      </c>
    </row>
    <row r="27" spans="2:6" x14ac:dyDescent="0.25">
      <c r="B27" s="12" t="s">
        <v>103</v>
      </c>
      <c r="C27" s="20">
        <v>104</v>
      </c>
      <c r="D27" s="20">
        <v>133</v>
      </c>
      <c r="E27" s="20">
        <v>189</v>
      </c>
      <c r="F27" s="20">
        <v>202</v>
      </c>
    </row>
    <row r="28" spans="2:6" x14ac:dyDescent="0.25">
      <c r="B28" s="12" t="s">
        <v>165</v>
      </c>
      <c r="C28" s="20">
        <v>26.1</v>
      </c>
      <c r="D28" s="20">
        <v>12.7</v>
      </c>
      <c r="E28" s="20">
        <v>1.7</v>
      </c>
      <c r="F28" s="20">
        <v>6</v>
      </c>
    </row>
    <row r="29" spans="2:6" x14ac:dyDescent="0.25">
      <c r="B29" s="58" t="s">
        <v>166</v>
      </c>
      <c r="C29" s="33"/>
      <c r="D29" s="33"/>
      <c r="E29" s="33"/>
      <c r="F29" s="33"/>
    </row>
    <row r="30" spans="2:6" x14ac:dyDescent="0.25">
      <c r="B30" s="12" t="s">
        <v>167</v>
      </c>
      <c r="C30" s="16">
        <f>C25*1000000/(0.9*($C$7*1000)*$C$15^2)</f>
        <v>2.7054623995693001</v>
      </c>
      <c r="D30" s="16">
        <f>D25*1000000/(0.9*($C$7*1000)*$C$15^2)</f>
        <v>3.6523742394185552</v>
      </c>
      <c r="E30" s="16">
        <f>E25*1000000/(0.9*($C$7*1000)*$C$15^2)</f>
        <v>5.0321600631988979</v>
      </c>
      <c r="F30" s="16">
        <f>F25*1000000/(0.9*($C$7*1000)*$C$15^2)</f>
        <v>6.5742736309533987</v>
      </c>
    </row>
    <row r="31" spans="2:6" x14ac:dyDescent="0.25">
      <c r="B31" s="12" t="s">
        <v>168</v>
      </c>
      <c r="C31" s="16">
        <f>(0.85*$C$5/$C$6)*(1-SQRT(1-2*C30/(0.85*$C$5)))</f>
        <v>6.8563695213622409E-3</v>
      </c>
      <c r="D31" s="16">
        <f>(0.85*$C$5/$C$6)*(1-SQRT(1-2*D30/(0.85*$C$5)))</f>
        <v>9.4909334088691174E-3</v>
      </c>
      <c r="E31" s="16">
        <f>(0.85*$C$5/$C$6)*(1-SQRT(1-2*E30/(0.85*$C$5)))</f>
        <v>1.361754763255639E-2</v>
      </c>
      <c r="F31" s="16">
        <f>(0.85*$C$5/$C$6)*(1-SQRT(1-2*F30/(0.85*$C$5)))</f>
        <v>1.8757554750787258E-2</v>
      </c>
    </row>
    <row r="32" spans="2:6" x14ac:dyDescent="0.25">
      <c r="B32" s="12" t="s">
        <v>169</v>
      </c>
      <c r="C32" s="16">
        <f>C31*($C$7*1000)*$C$15</f>
        <v>822.02728283992246</v>
      </c>
      <c r="D32" s="16">
        <f>D31*($C$7*1000)*$C$15</f>
        <v>1137.8917337228406</v>
      </c>
      <c r="E32" s="16">
        <f>E31*($C$7*1000)*$C$15</f>
        <v>1632.6418295362671</v>
      </c>
      <c r="F32" s="16">
        <f>F31*($C$7*1000)*$C$15</f>
        <v>2248.8901329587616</v>
      </c>
    </row>
    <row r="33" spans="2:6" x14ac:dyDescent="0.25">
      <c r="B33" s="12" t="s">
        <v>170</v>
      </c>
      <c r="C33" s="19">
        <f>MAX(C32,$C$16)</f>
        <v>822.02728283992246</v>
      </c>
      <c r="D33" s="19">
        <f>MAX(D32,$C$16)</f>
        <v>1137.8917337228406</v>
      </c>
      <c r="E33" s="19">
        <f>MAX(E32,$C$16)</f>
        <v>1632.6418295362671</v>
      </c>
      <c r="F33" s="19">
        <f>MAX(F32,$C$16)</f>
        <v>2248.8901329587616</v>
      </c>
    </row>
    <row r="34" spans="2:6" x14ac:dyDescent="0.25">
      <c r="B34" s="12" t="s">
        <v>171</v>
      </c>
      <c r="C34" s="19">
        <f>ROUNDUP(C33/$C$12,0)</f>
        <v>5</v>
      </c>
      <c r="D34" s="19">
        <f>ROUNDUP(D33/$C$12,0)</f>
        <v>6</v>
      </c>
      <c r="E34" s="19">
        <f>ROUNDUP(E33/$C$12,0)</f>
        <v>9</v>
      </c>
      <c r="F34" s="19">
        <f>ROUNDUP(F33/$C$12,0)</f>
        <v>12</v>
      </c>
    </row>
    <row r="35" spans="2:6" x14ac:dyDescent="0.25">
      <c r="B35" s="12" t="s">
        <v>172</v>
      </c>
      <c r="C35" s="16">
        <f>C34*$C$12</f>
        <v>995</v>
      </c>
      <c r="D35" s="16">
        <f>D34*$C$12</f>
        <v>1194</v>
      </c>
      <c r="E35" s="16">
        <f>E34*$C$12</f>
        <v>1791</v>
      </c>
      <c r="F35" s="16">
        <f>F34*$C$12</f>
        <v>2388</v>
      </c>
    </row>
    <row r="36" spans="2:6" x14ac:dyDescent="0.25">
      <c r="B36" s="12" t="s">
        <v>173</v>
      </c>
      <c r="C36" s="16">
        <f>C35*$C$6/(0.85*$C$5*($C$7*1000))</f>
        <v>50.168067226890756</v>
      </c>
      <c r="D36" s="16">
        <f>D35*$C$6/(0.85*$C$5*($C$7*1000))</f>
        <v>60.201680672268907</v>
      </c>
      <c r="E36" s="16">
        <f>E35*$C$6/(0.85*$C$5*($C$7*1000))</f>
        <v>90.30252100840336</v>
      </c>
      <c r="F36" s="16">
        <f>F35*$C$6/(0.85*$C$5*($C$7*1000))</f>
        <v>120.40336134453781</v>
      </c>
    </row>
    <row r="37" spans="2:6" x14ac:dyDescent="0.25">
      <c r="B37" s="12" t="s">
        <v>174</v>
      </c>
      <c r="C37" s="19">
        <f>0.9*C35*$C$6*($C$15-C36/2)/1000000</f>
        <v>119.40212461764705</v>
      </c>
      <c r="D37" s="19">
        <f>0.9*D35*$C$6*($C$15-D36/2)/1000000</f>
        <v>141.01830412941177</v>
      </c>
      <c r="E37" s="19">
        <f>0.9*E35*$C$6*($C$15-E36/2)/1000000</f>
        <v>201.33835184117649</v>
      </c>
      <c r="F37" s="19">
        <f>0.9*F35*$C$6*($C$15-F36/2)/1000000</f>
        <v>254.86566331764712</v>
      </c>
    </row>
    <row r="38" spans="2:6" x14ac:dyDescent="0.25">
      <c r="B38" s="12" t="s">
        <v>175</v>
      </c>
      <c r="C38" s="18" t="str">
        <f>IF(AND(C37&gt;=C25,C33&lt;=$C$17,C33&gt;=$C$16),"CUMPLE","REVISAR")</f>
        <v>CUMPLE</v>
      </c>
      <c r="D38" s="18" t="str">
        <f>IF(AND(D37&gt;=D25,D33&lt;=$C$17,D33&gt;=$C$16),"CUMPLE","REVISAR")</f>
        <v>CUMPLE</v>
      </c>
      <c r="E38" s="18" t="str">
        <f>IF(AND(E37&gt;=E25,E33&lt;=$C$17,E33&gt;=$C$16),"CUMPLE","REVISAR")</f>
        <v>CUMPLE</v>
      </c>
      <c r="F38" s="18" t="str">
        <f>IF(AND(F37&gt;=F25,F33&lt;=$C$17,F33&gt;=$C$16),"CUMPLE","REVISAR")</f>
        <v>CUMPLE</v>
      </c>
    </row>
    <row r="39" spans="2:6" x14ac:dyDescent="0.25">
      <c r="B39" s="58" t="s">
        <v>176</v>
      </c>
      <c r="C39" s="33"/>
      <c r="D39" s="33"/>
      <c r="E39" s="33"/>
      <c r="F39" s="33"/>
    </row>
    <row r="40" spans="2:6" x14ac:dyDescent="0.25">
      <c r="B40" s="12" t="s">
        <v>177</v>
      </c>
      <c r="C40" s="16">
        <f>C26*1000000/(0.9*($C$7*1000)*$C$15^2)</f>
        <v>2.0020421756812818</v>
      </c>
      <c r="D40" s="16">
        <f>D26*1000000/(0.9*($C$7*1000)*$C$15^2)</f>
        <v>2.6513531515779141</v>
      </c>
      <c r="E40" s="16">
        <f>E26*1000000/(0.9*($C$7*1000)*$C$15^2)</f>
        <v>3.7335381114056339</v>
      </c>
      <c r="F40" s="16">
        <f>F26*1000000/(0.9*($C$7*1000)*$C$15^2)</f>
        <v>3.6253196154228622</v>
      </c>
    </row>
    <row r="41" spans="2:6" x14ac:dyDescent="0.25">
      <c r="B41" s="12" t="s">
        <v>178</v>
      </c>
      <c r="C41" s="16">
        <f>(0.85*$C$5/$C$6)*(1-SQRT(1-2*C40/(0.85*$C$5)))</f>
        <v>4.9861335023358702E-3</v>
      </c>
      <c r="D41" s="16">
        <f>(0.85*$C$5/$C$6)*(1-SQRT(1-2*D40/(0.85*$C$5)))</f>
        <v>6.7100193623121224E-3</v>
      </c>
      <c r="E41" s="16">
        <f>(0.85*$C$5/$C$6)*(1-SQRT(1-2*E40/(0.85*$C$5)))</f>
        <v>9.7236326133735389E-3</v>
      </c>
      <c r="F41" s="16">
        <f>(0.85*$C$5/$C$6)*(1-SQRT(1-2*F40/(0.85*$C$5)))</f>
        <v>9.4136216589114294E-3</v>
      </c>
    </row>
    <row r="42" spans="2:6" x14ac:dyDescent="0.25">
      <c r="B42" s="12" t="s">
        <v>179</v>
      </c>
      <c r="C42" s="16">
        <f>C41*($C$7*1000)*$C$15</f>
        <v>597.80001092880332</v>
      </c>
      <c r="D42" s="16">
        <f>D41*($C$7*1000)*$C$15</f>
        <v>804.48099639600616</v>
      </c>
      <c r="E42" s="16">
        <f>E41*($C$7*1000)*$C$15</f>
        <v>1165.7906230988872</v>
      </c>
      <c r="F42" s="16">
        <f>F41*($C$7*1000)*$C$15</f>
        <v>1128.6226347410386</v>
      </c>
    </row>
    <row r="43" spans="2:6" x14ac:dyDescent="0.25">
      <c r="B43" s="12" t="s">
        <v>180</v>
      </c>
      <c r="C43" s="19">
        <f>MAX(C42,$C$16)</f>
        <v>597.80001092880332</v>
      </c>
      <c r="D43" s="19">
        <f>MAX(D42,$C$16)</f>
        <v>804.48099639600616</v>
      </c>
      <c r="E43" s="19">
        <f>MAX(E42,$C$16)</f>
        <v>1165.7906230988872</v>
      </c>
      <c r="F43" s="19">
        <f>MAX(F42,$C$16)</f>
        <v>1128.6226347410386</v>
      </c>
    </row>
    <row r="44" spans="2:6" x14ac:dyDescent="0.25">
      <c r="B44" s="12" t="s">
        <v>181</v>
      </c>
      <c r="C44" s="19">
        <f>ROUNDUP(C43/$C$12,0)</f>
        <v>4</v>
      </c>
      <c r="D44" s="19">
        <f>ROUNDUP(D43/$C$12,0)</f>
        <v>5</v>
      </c>
      <c r="E44" s="19">
        <f>ROUNDUP(E43/$C$12,0)</f>
        <v>6</v>
      </c>
      <c r="F44" s="19">
        <f>ROUNDUP(F43/$C$12,0)</f>
        <v>6</v>
      </c>
    </row>
    <row r="45" spans="2:6" x14ac:dyDescent="0.25">
      <c r="B45" s="12" t="s">
        <v>182</v>
      </c>
      <c r="C45" s="16">
        <f>C44*$C$12</f>
        <v>796</v>
      </c>
      <c r="D45" s="16">
        <f>D44*$C$12</f>
        <v>995</v>
      </c>
      <c r="E45" s="16">
        <f>E44*$C$12</f>
        <v>1194</v>
      </c>
      <c r="F45" s="16">
        <f>F44*$C$12</f>
        <v>1194</v>
      </c>
    </row>
    <row r="46" spans="2:6" x14ac:dyDescent="0.25">
      <c r="B46" s="12" t="s">
        <v>183</v>
      </c>
      <c r="C46" s="16">
        <f>C45*$C$6/(0.85*$C$5*($C$7*1000))</f>
        <v>40.134453781512605</v>
      </c>
      <c r="D46" s="16">
        <f>D45*$C$6/(0.85*$C$5*($C$7*1000))</f>
        <v>50.168067226890756</v>
      </c>
      <c r="E46" s="16">
        <f>E45*$C$6/(0.85*$C$5*($C$7*1000))</f>
        <v>60.201680672268907</v>
      </c>
      <c r="F46" s="16">
        <f>F45*$C$6/(0.85*$C$5*($C$7*1000))</f>
        <v>60.201680672268907</v>
      </c>
    </row>
    <row r="47" spans="2:6" x14ac:dyDescent="0.25">
      <c r="B47" s="12" t="s">
        <v>184</v>
      </c>
      <c r="C47" s="19">
        <f>0.9*C45*$C$6*($C$15-C46/2)/1000000</f>
        <v>97.031196635294108</v>
      </c>
      <c r="D47" s="19">
        <f>0.9*D45*$C$6*($C$15-D46/2)/1000000</f>
        <v>119.40212461764705</v>
      </c>
      <c r="E47" s="19">
        <f>0.9*E45*$C$6*($C$15-E46/2)/1000000</f>
        <v>141.01830412941177</v>
      </c>
      <c r="F47" s="19">
        <f>0.9*F45*$C$6*($C$15-F46/2)/1000000</f>
        <v>141.01830412941177</v>
      </c>
    </row>
    <row r="48" spans="2:6" x14ac:dyDescent="0.25">
      <c r="B48" s="12" t="s">
        <v>185</v>
      </c>
      <c r="C48" s="18" t="str">
        <f>IF(C47&gt;=C26,"CUMPLE","REVISAR")</f>
        <v>CUMPLE</v>
      </c>
      <c r="D48" s="18" t="str">
        <f>IF(D47&gt;=D26,"CUMPLE","REVISAR")</f>
        <v>CUMPLE</v>
      </c>
      <c r="E48" s="18" t="str">
        <f>IF(E47&gt;=E26,"CUMPLE","REVISAR")</f>
        <v>CUMPLE</v>
      </c>
      <c r="F48" s="18" t="str">
        <f>IF(F47&gt;=F26,"CUMPLE","REVISAR")</f>
        <v>CUMPLE</v>
      </c>
    </row>
    <row r="49" spans="2:6" x14ac:dyDescent="0.25">
      <c r="B49" s="58" t="s">
        <v>186</v>
      </c>
      <c r="C49" s="33"/>
      <c r="D49" s="33"/>
      <c r="E49" s="33"/>
      <c r="F49" s="33"/>
    </row>
    <row r="50" spans="2:6" x14ac:dyDescent="0.25">
      <c r="B50" s="12" t="s">
        <v>187</v>
      </c>
      <c r="C50" s="16">
        <f>MAX(C27/0.75-$C$18,0)</f>
        <v>30.816715385650753</v>
      </c>
      <c r="D50" s="16">
        <f>MAX(D27/0.75-$C$18,0)</f>
        <v>69.483382052317438</v>
      </c>
      <c r="E50" s="16">
        <f>MAX(E27/0.75-$C$18,0)</f>
        <v>144.1500487189841</v>
      </c>
      <c r="F50" s="16">
        <f>MAX(F27/0.75-$C$18,0)</f>
        <v>161.48338205231741</v>
      </c>
    </row>
    <row r="51" spans="2:6" x14ac:dyDescent="0.25">
      <c r="B51" s="12" t="s">
        <v>188</v>
      </c>
      <c r="C51" s="19">
        <f>IF(C50&gt;0,MIN($C$13*$C$6*$C$15/(C50*1000),MIN($C$15/4,6*$C$11,150)),MIN($C$15/4,6*$C$11,150))</f>
        <v>85.637500000000003</v>
      </c>
      <c r="D51" s="19">
        <f>IF(D50&gt;0,MIN($C$13*$C$6*$C$15/(D50*1000),MIN($C$15/4,6*$C$11,150)),MIN($C$15/4,6*$C$11,150))</f>
        <v>85.637500000000003</v>
      </c>
      <c r="E51" s="19">
        <f>IF(E50&gt;0,MIN($C$13*$C$6*$C$15/(E50*1000),MIN($C$15/4,6*$C$11,150)),MIN($C$15/4,6*$C$11,150))</f>
        <v>85.637500000000003</v>
      </c>
      <c r="F51" s="19">
        <f>IF(F50&gt;0,MIN($C$13*$C$6*$C$15/(F50*1000),MIN($C$15/4,6*$C$11,150)),MIN($C$15/4,6*$C$11,150))</f>
        <v>85.637500000000003</v>
      </c>
    </row>
    <row r="52" spans="2:6" x14ac:dyDescent="0.25">
      <c r="B52" s="12" t="s">
        <v>189</v>
      </c>
      <c r="C52" s="18" t="str">
        <f>IF(C50&lt;=$C$19,"CUMPLE","AUMENTAR SECCION")</f>
        <v>CUMPLE</v>
      </c>
      <c r="D52" s="18" t="str">
        <f>IF(D50&lt;=$C$19,"CUMPLE","AUMENTAR SECCION")</f>
        <v>CUMPLE</v>
      </c>
      <c r="E52" s="18" t="str">
        <f>IF(E50&lt;=$C$19,"CUMPLE","AUMENTAR SECCION")</f>
        <v>CUMPLE</v>
      </c>
      <c r="F52" s="18" t="str">
        <f>IF(F50&lt;=$C$19,"CUMPLE","AUMENTAR SECCION")</f>
        <v>CUMPLE</v>
      </c>
    </row>
    <row r="53" spans="2:6" x14ac:dyDescent="0.25">
      <c r="B53" s="58" t="s">
        <v>190</v>
      </c>
      <c r="C53" s="33"/>
      <c r="D53" s="33"/>
      <c r="E53" s="33"/>
      <c r="F53" s="33"/>
    </row>
    <row r="54" spans="2:6" x14ac:dyDescent="0.25">
      <c r="B54" s="12" t="s">
        <v>191</v>
      </c>
      <c r="C54" s="16">
        <f>1.25*C35*$C$6*($C$15-(1.25*C35*$C$6/(0.85*$C$5*($C$7*1000)))/2)/1000000</f>
        <v>162.56046617647058</v>
      </c>
      <c r="D54" s="16">
        <f>1.25*D35*$C$6*($C$15-(1.25*D35*$C$6/(0.85*$C$5*($C$7*1000)))/2)/1000000</f>
        <v>191.14157779411767</v>
      </c>
      <c r="E54" s="16">
        <f>1.25*E35*$C$6*($C$15-(1.25*E35*$C$6/(0.85*$C$5*($C$7*1000)))/2)/1000000</f>
        <v>269.02294941176473</v>
      </c>
      <c r="F54" s="16">
        <f>1.25*F35*$C$6*($C$15-(1.25*F35*$C$6/(0.85*$C$5*($C$7*1000)))/2)/1000000</f>
        <v>335.11137617647057</v>
      </c>
    </row>
    <row r="55" spans="2:6" x14ac:dyDescent="0.25">
      <c r="B55" s="12" t="s">
        <v>192</v>
      </c>
      <c r="C55" s="16">
        <f>1.25*C45*$C$6*($C$15-(1.25*C45*$C$6/(0.85*$C$5*($C$7*1000)))/2)/1000000</f>
        <v>132.66902735294116</v>
      </c>
      <c r="D55" s="16">
        <f>1.25*D45*$C$6*($C$15-(1.25*D45*$C$6/(0.85*$C$5*($C$7*1000)))/2)/1000000</f>
        <v>162.56046617647058</v>
      </c>
      <c r="E55" s="16">
        <f>1.25*E45*$C$6*($C$15-(1.25*E45*$C$6/(0.85*$C$5*($C$7*1000)))/2)/1000000</f>
        <v>191.14157779411767</v>
      </c>
      <c r="F55" s="16">
        <f>1.25*F45*$C$6*($C$15-(1.25*F45*$C$6/(0.85*$C$5*($C$7*1000)))/2)/1000000</f>
        <v>191.14157779411767</v>
      </c>
    </row>
    <row r="56" spans="2:6" x14ac:dyDescent="0.25">
      <c r="B56" s="12" t="s">
        <v>193</v>
      </c>
      <c r="C56" s="16">
        <f>(C54+C55)/$C$14</f>
        <v>57.88813598615917</v>
      </c>
      <c r="D56" s="16">
        <f>(D54+D55)/$C$14</f>
        <v>69.353341955017314</v>
      </c>
      <c r="E56" s="16">
        <f>(E54+E55)/$C$14</f>
        <v>90.228338667820083</v>
      </c>
      <c r="F56" s="16">
        <f>(F54+F55)/$C$14</f>
        <v>103.18685371972319</v>
      </c>
    </row>
    <row r="57" spans="2:6" x14ac:dyDescent="0.25">
      <c r="B57" s="12" t="s">
        <v>194</v>
      </c>
      <c r="C57" s="19">
        <f>MAX(C27,C56)</f>
        <v>104</v>
      </c>
      <c r="D57" s="19">
        <f>MAX(D27,D56)</f>
        <v>133</v>
      </c>
      <c r="E57" s="19">
        <f>MAX(E27,E56)</f>
        <v>189</v>
      </c>
      <c r="F57" s="19">
        <f>MAX(F27,F56)</f>
        <v>202</v>
      </c>
    </row>
    <row r="58" spans="2:6" x14ac:dyDescent="0.25">
      <c r="B58" s="58" t="s">
        <v>195</v>
      </c>
      <c r="C58" s="33"/>
      <c r="D58" s="33"/>
      <c r="E58" s="33"/>
      <c r="F58" s="33"/>
    </row>
    <row r="59" spans="2:6" ht="27" x14ac:dyDescent="0.25">
      <c r="B59" s="12" t="s">
        <v>196</v>
      </c>
      <c r="C59" s="18" t="str">
        <f>IF(C28&gt;$C$20,"SI - disenar","No - despreciable")</f>
        <v>SI - disenar</v>
      </c>
      <c r="D59" s="18" t="str">
        <f>IF(D28&gt;$C$20,"SI - disenar","No - despreciable")</f>
        <v>SI - disenar</v>
      </c>
      <c r="E59" s="18" t="str">
        <f>IF(E28&gt;$C$20,"SI - disenar","No - despreciable")</f>
        <v>No - despreciable</v>
      </c>
      <c r="F59" s="18" t="str">
        <f>IF(F28&gt;$C$20,"SI - disenar","No - despreciable")</f>
        <v>SI - disenar</v>
      </c>
    </row>
    <row r="60" spans="2:6" x14ac:dyDescent="0.25">
      <c r="B60" s="12" t="s">
        <v>197</v>
      </c>
      <c r="C60" s="16">
        <f>IF(C28&gt;$C$20,C28*1000000/(0.75*2*0.85*((($C$7*1000)-2*$C$9*1000)*(($C$8*1000)-2*$C$9*1000))*$C$6),0)</f>
        <v>0.56411453470277007</v>
      </c>
      <c r="D60" s="16">
        <f>IF(D28&gt;$C$20,D28*1000000/(0.75*2*0.85*((($C$7*1000)-2*$C$9*1000)*(($C$8*1000)-2*$C$9*1000))*$C$6),0)</f>
        <v>0.27449251305460459</v>
      </c>
      <c r="E60" s="16">
        <f>IF(E28&gt;$C$20,E28*1000000/(0.75*2*0.85*((($C$7*1000)-2*$C$9*1000)*(($C$8*1000)-2*$C$9*1000))*$C$6),0)</f>
        <v>0</v>
      </c>
      <c r="F60" s="16">
        <f>IF(F28&gt;$C$20,F28*1000000/(0.75*2*0.85*((($C$7*1000)-2*$C$9*1000)*(($C$8*1000)-2*$C$9*1000))*$C$6),0)</f>
        <v>0.12968150223052186</v>
      </c>
    </row>
    <row r="61" spans="2:6" x14ac:dyDescent="0.25">
      <c r="B61" s="58" t="s">
        <v>198</v>
      </c>
      <c r="C61" s="33"/>
      <c r="D61" s="33"/>
      <c r="E61" s="33"/>
      <c r="F61" s="33"/>
    </row>
    <row r="62" spans="2:6" x14ac:dyDescent="0.25">
      <c r="B62" s="12" t="s">
        <v>199</v>
      </c>
      <c r="C62" s="18" t="str">
        <f>IF($C$8&gt;=$C$21,"CUMPLE","REVISAR")</f>
        <v>CUMPLE</v>
      </c>
      <c r="D62" s="18" t="str">
        <f>IF($C$8&gt;=$C$21,"CUMPLE","REVISAR")</f>
        <v>CUMPLE</v>
      </c>
      <c r="E62" s="18" t="str">
        <f>IF($C$8&gt;=$C$21,"CUMPLE","REVISAR")</f>
        <v>CUMPLE</v>
      </c>
      <c r="F62" s="18" t="str">
        <f>IF($C$8&gt;=$C$21,"CUMPLE","REVISAR")</f>
        <v>CUMPLE</v>
      </c>
    </row>
  </sheetData>
  <mergeCells count="9">
    <mergeCell ref="B2:F2"/>
    <mergeCell ref="B61:F61"/>
    <mergeCell ref="B58:F58"/>
    <mergeCell ref="B49:F49"/>
    <mergeCell ref="B4:F4"/>
    <mergeCell ref="B53:F53"/>
    <mergeCell ref="B29:F29"/>
    <mergeCell ref="B39:F39"/>
    <mergeCell ref="B24:F24"/>
  </mergeCells>
  <pageMargins left="0.4" right="0.4" top="0.6" bottom="0.6" header="0.3" footer="0.3"/>
  <pageSetup fitToHeight="0" orientation="landscape"/>
  <headerFooter>
    <oddHeader>&amp;LEDIFICIO RESIDENCIAL SANTA MARTA&amp;RSSS Construcciones SAS</oddHeader>
    <oddFooter>&amp;CPagina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B2:F45"/>
  <sheetViews>
    <sheetView showGridLines="0" zoomScale="110" workbookViewId="0">
      <pane xSplit="2" ySplit="4" topLeftCell="C23" activePane="bottomRight" state="frozen"/>
      <selection pane="topRight"/>
      <selection pane="bottomLeft"/>
      <selection pane="bottomRight" activeCell="I26" sqref="I26:I27"/>
    </sheetView>
  </sheetViews>
  <sheetFormatPr baseColWidth="10" defaultColWidth="9.140625" defaultRowHeight="15" x14ac:dyDescent="0.25"/>
  <cols>
    <col min="1" max="1" width="2" customWidth="1"/>
    <col min="2" max="2" width="34" customWidth="1"/>
    <col min="3" max="6" width="14" customWidth="1"/>
  </cols>
  <sheetData>
    <row r="2" spans="2:6" x14ac:dyDescent="0.25">
      <c r="B2" s="38" t="s">
        <v>201</v>
      </c>
      <c r="C2" s="33"/>
      <c r="D2" s="33"/>
      <c r="E2" s="33"/>
      <c r="F2" s="33"/>
    </row>
    <row r="4" spans="2:6" x14ac:dyDescent="0.25">
      <c r="B4" s="59" t="s">
        <v>202</v>
      </c>
      <c r="C4" s="60"/>
      <c r="D4" s="60"/>
      <c r="E4" s="60"/>
      <c r="F4" s="60"/>
    </row>
    <row r="5" spans="2:6" x14ac:dyDescent="0.25">
      <c r="B5" s="23" t="s">
        <v>87</v>
      </c>
      <c r="C5" s="24">
        <v>28</v>
      </c>
    </row>
    <row r="6" spans="2:6" x14ac:dyDescent="0.25">
      <c r="B6" s="12" t="s">
        <v>88</v>
      </c>
      <c r="C6" s="20">
        <v>420</v>
      </c>
    </row>
    <row r="7" spans="2:6" x14ac:dyDescent="0.25">
      <c r="B7" s="12" t="s">
        <v>122</v>
      </c>
      <c r="C7" s="20">
        <v>0.15</v>
      </c>
    </row>
    <row r="8" spans="2:6" x14ac:dyDescent="0.25">
      <c r="B8" s="12" t="s">
        <v>100</v>
      </c>
      <c r="C8" s="20">
        <v>0.34</v>
      </c>
    </row>
    <row r="9" spans="2:6" x14ac:dyDescent="0.25">
      <c r="B9" s="12" t="s">
        <v>203</v>
      </c>
      <c r="C9" s="20">
        <v>0.06</v>
      </c>
    </row>
    <row r="10" spans="2:6" x14ac:dyDescent="0.25">
      <c r="B10" s="12" t="s">
        <v>124</v>
      </c>
      <c r="C10" s="20">
        <v>0.8</v>
      </c>
    </row>
    <row r="11" spans="2:6" x14ac:dyDescent="0.25">
      <c r="B11" s="12" t="s">
        <v>149</v>
      </c>
      <c r="C11" s="20">
        <v>0.03</v>
      </c>
    </row>
    <row r="12" spans="2:6" x14ac:dyDescent="0.25">
      <c r="B12" s="12" t="s">
        <v>204</v>
      </c>
      <c r="C12" s="20">
        <v>12.7</v>
      </c>
    </row>
    <row r="13" spans="2:6" x14ac:dyDescent="0.25">
      <c r="B13" s="12" t="s">
        <v>152</v>
      </c>
      <c r="C13" s="20">
        <v>129</v>
      </c>
    </row>
    <row r="14" spans="2:6" x14ac:dyDescent="0.25">
      <c r="B14" s="12" t="s">
        <v>130</v>
      </c>
      <c r="C14" s="20">
        <v>7.04</v>
      </c>
    </row>
    <row r="15" spans="2:6" x14ac:dyDescent="0.25">
      <c r="B15" s="12" t="s">
        <v>131</v>
      </c>
      <c r="C15" s="20">
        <v>1.8</v>
      </c>
    </row>
    <row r="16" spans="2:6" x14ac:dyDescent="0.25">
      <c r="B16" s="11" t="s">
        <v>104</v>
      </c>
      <c r="C16" s="19">
        <f>C8*1000-C11*1000-C12/2</f>
        <v>303.64999999999998</v>
      </c>
    </row>
    <row r="17" spans="2:6" x14ac:dyDescent="0.25">
      <c r="B17" s="12" t="s">
        <v>205</v>
      </c>
      <c r="C17" s="19">
        <f>(1.2*C14+1.6*C15)*C10</f>
        <v>9.062400000000002</v>
      </c>
    </row>
    <row r="18" spans="2:6" x14ac:dyDescent="0.25">
      <c r="B18" s="12" t="s">
        <v>155</v>
      </c>
      <c r="C18" s="21">
        <f>MAX(0.25*SQRT(C5)/C6,1.4/C6)*C7*1000*C16</f>
        <v>151.82499999999996</v>
      </c>
    </row>
    <row r="19" spans="2:6" x14ac:dyDescent="0.25">
      <c r="B19" s="12" t="s">
        <v>157</v>
      </c>
      <c r="C19" s="21">
        <f>0.17*SQRT(C5)*C7*1000*C16/1000</f>
        <v>40.972501665842913</v>
      </c>
    </row>
    <row r="20" spans="2:6" x14ac:dyDescent="0.25">
      <c r="B20" s="12" t="s">
        <v>206</v>
      </c>
      <c r="C20" s="21">
        <f>0.75*1.1*C19</f>
        <v>33.802313874320404</v>
      </c>
    </row>
    <row r="22" spans="2:6" x14ac:dyDescent="0.25">
      <c r="B22" s="11" t="s">
        <v>207</v>
      </c>
      <c r="C22" s="22" t="s">
        <v>139</v>
      </c>
      <c r="D22" s="22" t="s">
        <v>140</v>
      </c>
      <c r="E22" s="22" t="s">
        <v>141</v>
      </c>
      <c r="F22" s="22" t="s">
        <v>142</v>
      </c>
    </row>
    <row r="23" spans="2:6" x14ac:dyDescent="0.25">
      <c r="B23" s="58" t="s">
        <v>208</v>
      </c>
      <c r="C23" s="33"/>
      <c r="D23" s="33"/>
      <c r="E23" s="33"/>
      <c r="F23" s="33"/>
    </row>
    <row r="24" spans="2:6" x14ac:dyDescent="0.25">
      <c r="B24" s="12" t="s">
        <v>133</v>
      </c>
      <c r="C24" s="20">
        <v>1.85</v>
      </c>
      <c r="D24" s="20">
        <v>3.25</v>
      </c>
      <c r="E24" s="20">
        <v>4.45</v>
      </c>
      <c r="F24" s="20">
        <v>4.8</v>
      </c>
    </row>
    <row r="25" spans="2:6" x14ac:dyDescent="0.25">
      <c r="B25" s="12" t="s">
        <v>209</v>
      </c>
      <c r="C25" s="19">
        <f>MIN(C24*1000/4,$C$7*1000+16*$C$9*1000,$C$10*1000)</f>
        <v>462.5</v>
      </c>
      <c r="D25" s="19">
        <f>MIN(D24*1000/4,$C$7*1000+16*$C$9*1000,$C$10*1000)</f>
        <v>800</v>
      </c>
      <c r="E25" s="19">
        <f>MIN(E24*1000/4,$C$7*1000+16*$C$9*1000,$C$10*1000)</f>
        <v>800</v>
      </c>
      <c r="F25" s="19">
        <f>MIN(F24*1000/4,$C$7*1000+16*$C$9*1000,$C$10*1000)</f>
        <v>800</v>
      </c>
    </row>
    <row r="26" spans="2:6" x14ac:dyDescent="0.25">
      <c r="B26" s="12" t="s">
        <v>210</v>
      </c>
      <c r="C26" s="19">
        <f>$C$17*C24^2/10</f>
        <v>3.101606400000001</v>
      </c>
      <c r="D26" s="19">
        <f>$C$17*D24^2/10</f>
        <v>9.572160000000002</v>
      </c>
      <c r="E26" s="19">
        <f>$C$17*E24^2/10</f>
        <v>17.945817600000005</v>
      </c>
      <c r="F26" s="19">
        <f>$C$17*F24^2/10</f>
        <v>20.879769600000003</v>
      </c>
    </row>
    <row r="27" spans="2:6" x14ac:dyDescent="0.25">
      <c r="B27" s="12" t="s">
        <v>211</v>
      </c>
      <c r="C27" s="19">
        <f>$C$17*C24^2/14</f>
        <v>2.2154331428571434</v>
      </c>
      <c r="D27" s="19">
        <f>$C$17*D24^2/14</f>
        <v>6.8372571428571449</v>
      </c>
      <c r="E27" s="19">
        <f>$C$17*E24^2/14</f>
        <v>12.818441142857148</v>
      </c>
      <c r="F27" s="19">
        <f>$C$17*F24^2/14</f>
        <v>14.914121142857145</v>
      </c>
    </row>
    <row r="28" spans="2:6" x14ac:dyDescent="0.25">
      <c r="B28" s="12" t="s">
        <v>212</v>
      </c>
      <c r="C28" s="19">
        <f>1.15*$C$17*C24/2</f>
        <v>9.6401280000000007</v>
      </c>
      <c r="D28" s="19">
        <f>1.15*$C$17*D24/2</f>
        <v>16.935360000000003</v>
      </c>
      <c r="E28" s="19">
        <f>1.15*$C$17*E24/2</f>
        <v>23.188416000000004</v>
      </c>
      <c r="F28" s="19">
        <f>1.15*$C$17*F24/2</f>
        <v>25.012224</v>
      </c>
    </row>
    <row r="29" spans="2:6" x14ac:dyDescent="0.25">
      <c r="B29" s="58" t="s">
        <v>213</v>
      </c>
      <c r="C29" s="33"/>
      <c r="D29" s="33"/>
      <c r="E29" s="33"/>
      <c r="F29" s="33"/>
    </row>
    <row r="30" spans="2:6" x14ac:dyDescent="0.25">
      <c r="B30" s="12" t="s">
        <v>214</v>
      </c>
      <c r="C30" s="16">
        <f>C27*1000000/(0.9*C25*$C$16^2)</f>
        <v>5.7724187810714818E-2</v>
      </c>
      <c r="D30" s="16">
        <f>D27*1000000/(0.9*D25*$C$16^2)</f>
        <v>0.1029918469173438</v>
      </c>
      <c r="E30" s="16">
        <f>E27*1000000/(0.9*E25*$C$16^2)</f>
        <v>0.19308838329758113</v>
      </c>
      <c r="F30" s="16">
        <f>F27*1000000/(0.9*F25*$C$16^2)</f>
        <v>0.22465629850656571</v>
      </c>
    </row>
    <row r="31" spans="2:6" x14ac:dyDescent="0.25">
      <c r="B31" s="12" t="s">
        <v>178</v>
      </c>
      <c r="C31" s="16">
        <f>(0.85*$C$5/$C$6)*(1-SQRT(1-2*C30/(0.85*$C$5)))</f>
        <v>1.3760561863835526E-4</v>
      </c>
      <c r="D31" s="16">
        <f>(0.85*$C$5/$C$6)*(1-SQRT(1-2*D30/(0.85*$C$5)))</f>
        <v>2.4575156990811327E-4</v>
      </c>
      <c r="E31" s="16">
        <f>(0.85*$C$5/$C$6)*(1-SQRT(1-2*E30/(0.85*$C$5)))</f>
        <v>4.61614433166393E-4</v>
      </c>
      <c r="F31" s="16">
        <f>(0.85*$C$5/$C$6)*(1-SQRT(1-2*F30/(0.85*$C$5)))</f>
        <v>5.3744459612430431E-4</v>
      </c>
    </row>
    <row r="32" spans="2:6" x14ac:dyDescent="0.25">
      <c r="B32" s="12" t="s">
        <v>215</v>
      </c>
      <c r="C32" s="16">
        <f>C31*C25*$C$16</f>
        <v>19.325075071035666</v>
      </c>
      <c r="D32" s="16">
        <f>D31*D25*$C$16</f>
        <v>59.697971362078867</v>
      </c>
      <c r="E32" s="16">
        <f>E31*E25*$C$16</f>
        <v>112.13537810478019</v>
      </c>
      <c r="F32" s="16">
        <f>F31*F25*$C$16</f>
        <v>130.55604129051599</v>
      </c>
    </row>
    <row r="33" spans="2:6" x14ac:dyDescent="0.25">
      <c r="B33" s="12" t="s">
        <v>183</v>
      </c>
      <c r="C33" s="16">
        <f>C32*$C$6/(0.85*$C$5*C25)</f>
        <v>0.73736375469770421</v>
      </c>
      <c r="D33" s="16">
        <f>D32*$C$6/(0.85*$C$5*D25)</f>
        <v>1.3168670153399751</v>
      </c>
      <c r="E33" s="16">
        <f>E32*$C$6/(0.85*$C$5*E25)</f>
        <v>2.4735745170172101</v>
      </c>
      <c r="F33" s="16">
        <f>F32*$C$6/(0.85*$C$5*F25)</f>
        <v>2.879912675526088</v>
      </c>
    </row>
    <row r="34" spans="2:6" x14ac:dyDescent="0.25">
      <c r="B34" s="12" t="s">
        <v>216</v>
      </c>
      <c r="C34" s="18" t="str">
        <f>IF(C33&lt;=$C$9*1000,"Si (T)","revisar")</f>
        <v>Si (T)</v>
      </c>
      <c r="D34" s="18" t="str">
        <f>IF(D33&lt;=$C$9*1000,"Si (T)","revisar")</f>
        <v>Si (T)</v>
      </c>
      <c r="E34" s="18" t="str">
        <f>IF(E33&lt;=$C$9*1000,"Si (T)","revisar")</f>
        <v>Si (T)</v>
      </c>
      <c r="F34" s="18" t="str">
        <f>IF(F33&lt;=$C$9*1000,"Si (T)","revisar")</f>
        <v>Si (T)</v>
      </c>
    </row>
    <row r="35" spans="2:6" x14ac:dyDescent="0.25">
      <c r="B35" s="12" t="s">
        <v>180</v>
      </c>
      <c r="C35" s="19">
        <f>MAX(C32,$C$18)</f>
        <v>151.82499999999996</v>
      </c>
      <c r="D35" s="19">
        <f>MAX(D32,$C$18)</f>
        <v>151.82499999999996</v>
      </c>
      <c r="E35" s="19">
        <f>MAX(E32,$C$18)</f>
        <v>151.82499999999996</v>
      </c>
      <c r="F35" s="19">
        <f>MAX(F32,$C$18)</f>
        <v>151.82499999999996</v>
      </c>
    </row>
    <row r="36" spans="2:6" x14ac:dyDescent="0.25">
      <c r="B36" s="12" t="s">
        <v>217</v>
      </c>
      <c r="C36" s="19">
        <f>ROUNDUP(C35/$C$13,0)</f>
        <v>2</v>
      </c>
      <c r="D36" s="19">
        <f>ROUNDUP(D35/$C$13,0)</f>
        <v>2</v>
      </c>
      <c r="E36" s="19">
        <f>ROUNDUP(E35/$C$13,0)</f>
        <v>2</v>
      </c>
      <c r="F36" s="19">
        <f>ROUNDUP(F35/$C$13,0)</f>
        <v>2</v>
      </c>
    </row>
    <row r="37" spans="2:6" x14ac:dyDescent="0.25">
      <c r="B37" s="58" t="s">
        <v>218</v>
      </c>
      <c r="C37" s="33"/>
      <c r="D37" s="33"/>
      <c r="E37" s="33"/>
      <c r="F37" s="33"/>
    </row>
    <row r="38" spans="2:6" x14ac:dyDescent="0.25">
      <c r="B38" s="12" t="s">
        <v>219</v>
      </c>
      <c r="C38" s="16">
        <f>C26*1000000/(0.9*$C$7*1000*$C$16^2)</f>
        <v>0.24917607738291897</v>
      </c>
      <c r="D38" s="16">
        <f>D26*1000000/(0.9*$C$7*1000*$C$16^2)</f>
        <v>0.76900579031616689</v>
      </c>
      <c r="E38" s="16">
        <f>E26*1000000/(0.9*$C$7*1000*$C$16^2)</f>
        <v>1.4417265952886056</v>
      </c>
      <c r="F38" s="16">
        <f>F26*1000000/(0.9*$C$7*1000*$C$16^2)</f>
        <v>1.6774336955156908</v>
      </c>
    </row>
    <row r="39" spans="2:6" x14ac:dyDescent="0.25">
      <c r="B39" s="12" t="s">
        <v>168</v>
      </c>
      <c r="C39" s="16">
        <f>(0.85*$C$5/$C$6)*(1-SQRT(1-2*C38/(0.85*$C$5)))</f>
        <v>5.9641499988673339E-4</v>
      </c>
      <c r="D39" s="16">
        <f>(0.85*$C$5/$C$6)*(1-SQRT(1-2*D38/(0.85*$C$5)))</f>
        <v>1.8615427078897189E-3</v>
      </c>
      <c r="E39" s="16">
        <f>(0.85*$C$5/$C$6)*(1-SQRT(1-2*E38/(0.85*$C$5)))</f>
        <v>3.5434723361813885E-3</v>
      </c>
      <c r="F39" s="16">
        <f>(0.85*$C$5/$C$6)*(1-SQRT(1-2*F38/(0.85*$C$5)))</f>
        <v>4.1455254696341828E-3</v>
      </c>
    </row>
    <row r="40" spans="2:6" x14ac:dyDescent="0.25">
      <c r="B40" s="12" t="s">
        <v>220</v>
      </c>
      <c r="C40" s="16">
        <f>C39*$C$7*1000*$C$16</f>
        <v>27.165212207340986</v>
      </c>
      <c r="D40" s="16">
        <f>D39*$C$7*1000*$C$16</f>
        <v>84.788616487606959</v>
      </c>
      <c r="E40" s="16">
        <f>E39*$C$7*1000*$C$16</f>
        <v>161.39630623222175</v>
      </c>
      <c r="F40" s="16">
        <f>F39*$C$7*1000*$C$16</f>
        <v>188.81832132816291</v>
      </c>
    </row>
    <row r="41" spans="2:6" x14ac:dyDescent="0.25">
      <c r="B41" s="12" t="s">
        <v>170</v>
      </c>
      <c r="C41" s="19">
        <f>MAX(C40,$C$18)</f>
        <v>151.82499999999996</v>
      </c>
      <c r="D41" s="19">
        <f>MAX(D40,$C$18)</f>
        <v>151.82499999999996</v>
      </c>
      <c r="E41" s="19">
        <f>MAX(E40,$C$18)</f>
        <v>161.39630623222175</v>
      </c>
      <c r="F41" s="19">
        <f>MAX(F40,$C$18)</f>
        <v>188.81832132816291</v>
      </c>
    </row>
    <row r="42" spans="2:6" x14ac:dyDescent="0.25">
      <c r="B42" s="12" t="s">
        <v>221</v>
      </c>
      <c r="C42" s="19">
        <f>ROUNDUP(C41/$C$13,0)</f>
        <v>2</v>
      </c>
      <c r="D42" s="19">
        <f>ROUNDUP(D41/$C$13,0)</f>
        <v>2</v>
      </c>
      <c r="E42" s="19">
        <f>ROUNDUP(E41/$C$13,0)</f>
        <v>2</v>
      </c>
      <c r="F42" s="19">
        <f>ROUNDUP(F41/$C$13,0)</f>
        <v>2</v>
      </c>
    </row>
    <row r="43" spans="2:6" x14ac:dyDescent="0.25">
      <c r="B43" s="58" t="s">
        <v>222</v>
      </c>
      <c r="C43" s="33"/>
      <c r="D43" s="33"/>
      <c r="E43" s="33"/>
      <c r="F43" s="33"/>
    </row>
    <row r="44" spans="2:6" x14ac:dyDescent="0.25">
      <c r="B44" s="12" t="s">
        <v>223</v>
      </c>
      <c r="C44" s="18" t="str">
        <f>IF(C28&lt;=$C$20,"Si - sin estribos","Requiere estribos")</f>
        <v>Si - sin estribos</v>
      </c>
      <c r="D44" s="18" t="str">
        <f>IF(D28&lt;=$C$20,"Si - sin estribos","Requiere estribos")</f>
        <v>Si - sin estribos</v>
      </c>
      <c r="E44" s="18" t="str">
        <f>IF(E28&lt;=$C$20,"Si - sin estribos","Requiere estribos")</f>
        <v>Si - sin estribos</v>
      </c>
      <c r="F44" s="18" t="str">
        <f>IF(F28&lt;=$C$20,"Si - sin estribos","Requiere estribos")</f>
        <v>Si - sin estribos</v>
      </c>
    </row>
    <row r="45" spans="2:6" x14ac:dyDescent="0.25">
      <c r="B45" s="12" t="s">
        <v>224</v>
      </c>
      <c r="C45" s="18" t="str">
        <f>IF($C$8&gt;=C24/18.5,"CUMPLE","REVISAR")</f>
        <v>CUMPLE</v>
      </c>
      <c r="D45" s="18" t="str">
        <f>IF($C$8&gt;=D24/18.5,"CUMPLE","REVISAR")</f>
        <v>CUMPLE</v>
      </c>
      <c r="E45" s="18" t="str">
        <f>IF($C$8&gt;=E24/18.5,"CUMPLE","REVISAR")</f>
        <v>CUMPLE</v>
      </c>
      <c r="F45" s="18" t="str">
        <f>IF($C$8&gt;=F24/18.5,"CUMPLE","REVISAR")</f>
        <v>CUMPLE</v>
      </c>
    </row>
  </sheetData>
  <mergeCells count="6">
    <mergeCell ref="B4:F4"/>
    <mergeCell ref="B43:F43"/>
    <mergeCell ref="B29:F29"/>
    <mergeCell ref="B2:F2"/>
    <mergeCell ref="B37:F37"/>
    <mergeCell ref="B23:F23"/>
  </mergeCells>
  <pageMargins left="0.4" right="0.4" top="0.6" bottom="0.6" header="0.3" footer="0.3"/>
  <pageSetup fitToHeight="0" orientation="landscape"/>
  <headerFooter>
    <oddHeader>&amp;LEDIFICIO RESIDENCIAL SANTA MARTA&amp;RSSS Construcciones SAS</oddHeader>
    <oddFooter>&amp;CPagina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6000"/>
    <pageSetUpPr fitToPage="1"/>
  </sheetPr>
  <dimension ref="B2:F45"/>
  <sheetViews>
    <sheetView showGridLines="0" zoomScale="110" workbookViewId="0">
      <pane xSplit="2" ySplit="4" topLeftCell="C5" activePane="bottomRight" state="frozen"/>
      <selection pane="topRight"/>
      <selection pane="bottomLeft"/>
      <selection pane="bottomRight" activeCell="E8" sqref="E8"/>
    </sheetView>
  </sheetViews>
  <sheetFormatPr baseColWidth="10" defaultColWidth="9.140625" defaultRowHeight="15" x14ac:dyDescent="0.25"/>
  <cols>
    <col min="1" max="1" width="2" customWidth="1"/>
    <col min="2" max="2" width="34" customWidth="1"/>
    <col min="3" max="6" width="14" customWidth="1"/>
  </cols>
  <sheetData>
    <row r="2" spans="2:6" x14ac:dyDescent="0.25">
      <c r="B2" s="38" t="s">
        <v>225</v>
      </c>
      <c r="C2" s="33"/>
      <c r="D2" s="33"/>
      <c r="E2" s="33"/>
      <c r="F2" s="33"/>
    </row>
    <row r="4" spans="2:6" x14ac:dyDescent="0.25">
      <c r="B4" s="59" t="s">
        <v>202</v>
      </c>
      <c r="C4" s="59"/>
    </row>
    <row r="5" spans="2:6" x14ac:dyDescent="0.25">
      <c r="B5" s="12" t="s">
        <v>87</v>
      </c>
      <c r="C5" s="20">
        <v>28</v>
      </c>
    </row>
    <row r="6" spans="2:6" x14ac:dyDescent="0.25">
      <c r="B6" s="12" t="s">
        <v>88</v>
      </c>
      <c r="C6" s="20">
        <v>420</v>
      </c>
    </row>
    <row r="7" spans="2:6" x14ac:dyDescent="0.25">
      <c r="B7" s="12" t="s">
        <v>122</v>
      </c>
      <c r="C7" s="20">
        <v>0.15</v>
      </c>
    </row>
    <row r="8" spans="2:6" x14ac:dyDescent="0.25">
      <c r="B8" s="12" t="s">
        <v>100</v>
      </c>
      <c r="C8" s="20">
        <v>0.34</v>
      </c>
    </row>
    <row r="9" spans="2:6" x14ac:dyDescent="0.25">
      <c r="B9" s="12" t="s">
        <v>203</v>
      </c>
      <c r="C9" s="20">
        <v>0.06</v>
      </c>
    </row>
    <row r="10" spans="2:6" x14ac:dyDescent="0.25">
      <c r="B10" s="12" t="s">
        <v>124</v>
      </c>
      <c r="C10" s="20">
        <v>0.8</v>
      </c>
    </row>
    <row r="11" spans="2:6" x14ac:dyDescent="0.25">
      <c r="B11" s="12" t="s">
        <v>149</v>
      </c>
      <c r="C11" s="20">
        <v>0.03</v>
      </c>
    </row>
    <row r="12" spans="2:6" x14ac:dyDescent="0.25">
      <c r="B12" s="12" t="s">
        <v>204</v>
      </c>
      <c r="C12" s="20">
        <v>12.7</v>
      </c>
    </row>
    <row r="13" spans="2:6" x14ac:dyDescent="0.25">
      <c r="B13" s="12" t="s">
        <v>152</v>
      </c>
      <c r="C13" s="20">
        <v>129</v>
      </c>
    </row>
    <row r="14" spans="2:6" x14ac:dyDescent="0.25">
      <c r="B14" s="12" t="s">
        <v>130</v>
      </c>
      <c r="C14" s="20">
        <v>4.3760000000000003</v>
      </c>
    </row>
    <row r="15" spans="2:6" x14ac:dyDescent="0.25">
      <c r="B15" s="12" t="s">
        <v>131</v>
      </c>
      <c r="C15" s="20">
        <v>5</v>
      </c>
    </row>
    <row r="16" spans="2:6" x14ac:dyDescent="0.25">
      <c r="B16" s="11" t="s">
        <v>104</v>
      </c>
      <c r="C16" s="19">
        <f>C8*1000-C11*1000-C12/2</f>
        <v>303.64999999999998</v>
      </c>
    </row>
    <row r="17" spans="2:6" x14ac:dyDescent="0.25">
      <c r="B17" s="12" t="s">
        <v>205</v>
      </c>
      <c r="C17" s="19">
        <f>(1.2*C14+1.6*C15)*C10</f>
        <v>10.600960000000001</v>
      </c>
    </row>
    <row r="18" spans="2:6" x14ac:dyDescent="0.25">
      <c r="B18" s="12" t="s">
        <v>155</v>
      </c>
      <c r="C18" s="21">
        <f>MAX(0.25*SQRT(C5)/C6,1.4/C6)*C7*1000*C16</f>
        <v>151.82499999999996</v>
      </c>
    </row>
    <row r="19" spans="2:6" x14ac:dyDescent="0.25">
      <c r="B19" s="12" t="s">
        <v>157</v>
      </c>
      <c r="C19" s="21">
        <f>0.17*SQRT(C5)*C7*1000*C16/1000</f>
        <v>40.972501665842913</v>
      </c>
    </row>
    <row r="20" spans="2:6" x14ac:dyDescent="0.25">
      <c r="B20" s="12" t="s">
        <v>206</v>
      </c>
      <c r="C20" s="21">
        <f>0.75*1.1*C19</f>
        <v>33.802313874320404</v>
      </c>
    </row>
    <row r="22" spans="2:6" x14ac:dyDescent="0.25">
      <c r="B22" s="11" t="s">
        <v>207</v>
      </c>
      <c r="C22" s="22" t="s">
        <v>139</v>
      </c>
      <c r="D22" s="22" t="s">
        <v>140</v>
      </c>
      <c r="E22" s="22" t="s">
        <v>141</v>
      </c>
      <c r="F22" s="22" t="s">
        <v>142</v>
      </c>
    </row>
    <row r="23" spans="2:6" x14ac:dyDescent="0.25">
      <c r="B23" s="58" t="s">
        <v>208</v>
      </c>
      <c r="C23" s="33"/>
      <c r="D23" s="33"/>
      <c r="E23" s="33"/>
      <c r="F23" s="33"/>
    </row>
    <row r="24" spans="2:6" x14ac:dyDescent="0.25">
      <c r="B24" s="12" t="s">
        <v>133</v>
      </c>
      <c r="C24" s="20">
        <v>1.85</v>
      </c>
      <c r="D24" s="20">
        <v>3.25</v>
      </c>
      <c r="E24" s="20">
        <v>4.45</v>
      </c>
      <c r="F24" s="20">
        <v>4.8</v>
      </c>
    </row>
    <row r="25" spans="2:6" x14ac:dyDescent="0.25">
      <c r="B25" s="12" t="s">
        <v>209</v>
      </c>
      <c r="C25" s="19">
        <f>MIN(C24*1000/4,$C$7*1000+16*$C$9*1000,$C$10*1000)</f>
        <v>462.5</v>
      </c>
      <c r="D25" s="19">
        <f>MIN(D24*1000/4,$C$7*1000+16*$C$9*1000,$C$10*1000)</f>
        <v>800</v>
      </c>
      <c r="E25" s="19">
        <f>MIN(E24*1000/4,$C$7*1000+16*$C$9*1000,$C$10*1000)</f>
        <v>800</v>
      </c>
      <c r="F25" s="19">
        <f>MIN(F24*1000/4,$C$7*1000+16*$C$9*1000,$C$10*1000)</f>
        <v>800</v>
      </c>
    </row>
    <row r="26" spans="2:6" x14ac:dyDescent="0.25">
      <c r="B26" s="12" t="s">
        <v>210</v>
      </c>
      <c r="C26" s="19">
        <f>$C$17*C24^2/10</f>
        <v>3.6281785600000007</v>
      </c>
      <c r="D26" s="19">
        <f>$C$17*D24^2/10</f>
        <v>11.197264000000001</v>
      </c>
      <c r="E26" s="19">
        <f>$C$17*E24^2/10</f>
        <v>20.992551040000002</v>
      </c>
      <c r="F26" s="19">
        <f>$C$17*F24^2/10</f>
        <v>24.424611840000001</v>
      </c>
    </row>
    <row r="27" spans="2:6" x14ac:dyDescent="0.25">
      <c r="B27" s="12" t="s">
        <v>211</v>
      </c>
      <c r="C27" s="19">
        <f>$C$17*C24^2/14</f>
        <v>2.5915561142857149</v>
      </c>
      <c r="D27" s="19">
        <f>$C$17*D24^2/14</f>
        <v>7.9980457142857153</v>
      </c>
      <c r="E27" s="19">
        <f>$C$17*E24^2/14</f>
        <v>14.994679314285717</v>
      </c>
      <c r="F27" s="19">
        <f>$C$17*F24^2/14</f>
        <v>17.446151314285714</v>
      </c>
    </row>
    <row r="28" spans="2:6" x14ac:dyDescent="0.25">
      <c r="B28" s="12" t="s">
        <v>212</v>
      </c>
      <c r="C28" s="19">
        <f>1.15*$C$17*C24/2</f>
        <v>11.276771200000001</v>
      </c>
      <c r="D28" s="19">
        <f>1.15*$C$17*D24/2</f>
        <v>19.810544</v>
      </c>
      <c r="E28" s="19">
        <f>1.15*$C$17*E24/2</f>
        <v>27.1252064</v>
      </c>
      <c r="F28" s="19">
        <f>1.15*$C$17*F24/2</f>
        <v>29.258649599999998</v>
      </c>
    </row>
    <row r="29" spans="2:6" x14ac:dyDescent="0.25">
      <c r="B29" s="58" t="s">
        <v>213</v>
      </c>
      <c r="C29" s="33"/>
      <c r="D29" s="33"/>
      <c r="E29" s="33"/>
      <c r="F29" s="33"/>
    </row>
    <row r="30" spans="2:6" x14ac:dyDescent="0.25">
      <c r="B30" s="12" t="s">
        <v>214</v>
      </c>
      <c r="C30" s="16">
        <f>C27*1000000/(0.9*C25*$C$16^2)</f>
        <v>6.7524254724341815E-2</v>
      </c>
      <c r="D30" s="16">
        <f>D27*1000000/(0.9*D25*$C$16^2)</f>
        <v>0.12047718589963859</v>
      </c>
      <c r="E30" s="16">
        <f>E27*1000000/(0.9*E25*$C$16^2)</f>
        <v>0.22586977266533428</v>
      </c>
      <c r="F30" s="16">
        <f>F27*1000000/(0.9*F25*$C$16^2)</f>
        <v>0.26279709946770863</v>
      </c>
    </row>
    <row r="31" spans="2:6" x14ac:dyDescent="0.25">
      <c r="B31" s="12" t="s">
        <v>178</v>
      </c>
      <c r="C31" s="16">
        <f>(0.85*$C$5/$C$6)*(1-SQRT(1-2*C30/(0.85*$C$5)))</f>
        <v>1.6100075190012331E-4</v>
      </c>
      <c r="D31" s="16">
        <f>(0.85*$C$5/$C$6)*(1-SQRT(1-2*D30/(0.85*$C$5)))</f>
        <v>2.8758016926898019E-4</v>
      </c>
      <c r="E31" s="16">
        <f>(0.85*$C$5/$C$6)*(1-SQRT(1-2*E30/(0.85*$C$5)))</f>
        <v>5.4036156080442552E-4</v>
      </c>
      <c r="F31" s="16">
        <f>(0.85*$C$5/$C$6)*(1-SQRT(1-2*F30/(0.85*$C$5)))</f>
        <v>6.2920055621389992E-4</v>
      </c>
    </row>
    <row r="32" spans="2:6" x14ac:dyDescent="0.25">
      <c r="B32" s="12" t="s">
        <v>215</v>
      </c>
      <c r="C32" s="16">
        <f>C31*C25*$C$16</f>
        <v>22.610643720443502</v>
      </c>
      <c r="D32" s="16">
        <f>D31*D25*$C$16</f>
        <v>69.858974718820662</v>
      </c>
      <c r="E32" s="16">
        <f>E31*E25*$C$16</f>
        <v>131.26463035061104</v>
      </c>
      <c r="F32" s="16">
        <f>F31*F25*$C$16</f>
        <v>152.84539911548057</v>
      </c>
    </row>
    <row r="33" spans="2:6" x14ac:dyDescent="0.25">
      <c r="B33" s="12" t="s">
        <v>183</v>
      </c>
      <c r="C33" s="16">
        <f>C32*$C$6/(0.85*$C$5*C25)</f>
        <v>0.86272726437304303</v>
      </c>
      <c r="D33" s="16">
        <f>D32*$C$6/(0.85*$C$5*D25)</f>
        <v>1.5410067952681028</v>
      </c>
      <c r="E33" s="16">
        <f>E32*$C$6/(0.85*$C$5*E25)</f>
        <v>2.8955433165575966</v>
      </c>
      <c r="F33" s="16">
        <f>F32*$C$6/(0.85*$C$5*F25)</f>
        <v>3.371589686370895</v>
      </c>
    </row>
    <row r="34" spans="2:6" x14ac:dyDescent="0.25">
      <c r="B34" s="12" t="s">
        <v>216</v>
      </c>
      <c r="C34" s="18" t="str">
        <f>IF(C33&lt;=$C$9*1000,"Si (T)","revisar")</f>
        <v>Si (T)</v>
      </c>
      <c r="D34" s="18" t="str">
        <f>IF(D33&lt;=$C$9*1000,"Si (T)","revisar")</f>
        <v>Si (T)</v>
      </c>
      <c r="E34" s="18" t="str">
        <f>IF(E33&lt;=$C$9*1000,"Si (T)","revisar")</f>
        <v>Si (T)</v>
      </c>
      <c r="F34" s="18" t="str">
        <f>IF(F33&lt;=$C$9*1000,"Si (T)","revisar")</f>
        <v>Si (T)</v>
      </c>
    </row>
    <row r="35" spans="2:6" x14ac:dyDescent="0.25">
      <c r="B35" s="12" t="s">
        <v>180</v>
      </c>
      <c r="C35" s="19">
        <f>MAX(C32,$C$18)</f>
        <v>151.82499999999996</v>
      </c>
      <c r="D35" s="19">
        <f>MAX(D32,$C$18)</f>
        <v>151.82499999999996</v>
      </c>
      <c r="E35" s="19">
        <f>MAX(E32,$C$18)</f>
        <v>151.82499999999996</v>
      </c>
      <c r="F35" s="19">
        <f>MAX(F32,$C$18)</f>
        <v>152.84539911548057</v>
      </c>
    </row>
    <row r="36" spans="2:6" x14ac:dyDescent="0.25">
      <c r="B36" s="12" t="s">
        <v>217</v>
      </c>
      <c r="C36" s="19">
        <f>ROUNDUP(C35/$C$13,0)</f>
        <v>2</v>
      </c>
      <c r="D36" s="19">
        <f>ROUNDUP(D35/$C$13,0)</f>
        <v>2</v>
      </c>
      <c r="E36" s="19">
        <f>ROUNDUP(E35/$C$13,0)</f>
        <v>2</v>
      </c>
      <c r="F36" s="19">
        <f>ROUNDUP(F35/$C$13,0)</f>
        <v>2</v>
      </c>
    </row>
    <row r="37" spans="2:6" x14ac:dyDescent="0.25">
      <c r="B37" s="58" t="s">
        <v>218</v>
      </c>
      <c r="C37" s="33"/>
      <c r="D37" s="33"/>
      <c r="E37" s="33"/>
      <c r="F37" s="33"/>
    </row>
    <row r="38" spans="2:6" x14ac:dyDescent="0.25">
      <c r="B38" s="12" t="s">
        <v>219</v>
      </c>
      <c r="C38" s="16">
        <f>C26*1000000/(0.9*$C$7*1000*$C$16^2)</f>
        <v>0.29147969956007552</v>
      </c>
      <c r="D38" s="16">
        <f>D26*1000000/(0.9*$C$7*1000*$C$16^2)</f>
        <v>0.89956298805063462</v>
      </c>
      <c r="E38" s="16">
        <f>E26*1000000/(0.9*$C$7*1000*$C$16^2)</f>
        <v>1.6864943025678292</v>
      </c>
      <c r="F38" s="16">
        <f>F26*1000000/(0.9*$C$7*1000*$C$16^2)</f>
        <v>1.9622183426922246</v>
      </c>
    </row>
    <row r="39" spans="2:6" x14ac:dyDescent="0.25">
      <c r="B39" s="12" t="s">
        <v>168</v>
      </c>
      <c r="C39" s="16">
        <f>(0.85*$C$5/$C$6)*(1-SQRT(1-2*C38/(0.85*$C$5)))</f>
        <v>6.9830186253049345E-4</v>
      </c>
      <c r="D39" s="16">
        <f>(0.85*$C$5/$C$6)*(1-SQRT(1-2*D38/(0.85*$C$5)))</f>
        <v>2.1838997388268083E-3</v>
      </c>
      <c r="E39" s="16">
        <f>(0.85*$C$5/$C$6)*(1-SQRT(1-2*E38/(0.85*$C$5)))</f>
        <v>4.1688062633498347E-3</v>
      </c>
      <c r="F39" s="16">
        <f>(0.85*$C$5/$C$6)*(1-SQRT(1-2*F38/(0.85*$C$5)))</f>
        <v>4.8822711230938039E-3</v>
      </c>
    </row>
    <row r="40" spans="2:6" x14ac:dyDescent="0.25">
      <c r="B40" s="12" t="s">
        <v>220</v>
      </c>
      <c r="C40" s="16">
        <f>C39*$C$7*1000*$C$16</f>
        <v>31.805904083607643</v>
      </c>
      <c r="D40" s="16">
        <f>D39*$C$7*1000*$C$16</f>
        <v>99.471173354214031</v>
      </c>
      <c r="E40" s="16">
        <f>E39*$C$7*1000*$C$16</f>
        <v>189.87870327992658</v>
      </c>
      <c r="F40" s="16">
        <f>F39*$C$7*1000*$C$16</f>
        <v>222.37524397911503</v>
      </c>
    </row>
    <row r="41" spans="2:6" x14ac:dyDescent="0.25">
      <c r="B41" s="12" t="s">
        <v>170</v>
      </c>
      <c r="C41" s="19">
        <f>MAX(C40,$C$18)</f>
        <v>151.82499999999996</v>
      </c>
      <c r="D41" s="19">
        <f>MAX(D40,$C$18)</f>
        <v>151.82499999999996</v>
      </c>
      <c r="E41" s="19">
        <f>MAX(E40,$C$18)</f>
        <v>189.87870327992658</v>
      </c>
      <c r="F41" s="19">
        <f>MAX(F40,$C$18)</f>
        <v>222.37524397911503</v>
      </c>
    </row>
    <row r="42" spans="2:6" x14ac:dyDescent="0.25">
      <c r="B42" s="12" t="s">
        <v>221</v>
      </c>
      <c r="C42" s="19">
        <f>ROUNDUP(C41/$C$13,0)</f>
        <v>2</v>
      </c>
      <c r="D42" s="19">
        <f>ROUNDUP(D41/$C$13,0)</f>
        <v>2</v>
      </c>
      <c r="E42" s="19">
        <f>ROUNDUP(E41/$C$13,0)</f>
        <v>2</v>
      </c>
      <c r="F42" s="19">
        <f>ROUNDUP(F41/$C$13,0)</f>
        <v>2</v>
      </c>
    </row>
    <row r="43" spans="2:6" x14ac:dyDescent="0.25">
      <c r="B43" s="58" t="s">
        <v>222</v>
      </c>
      <c r="C43" s="33"/>
      <c r="D43" s="33"/>
      <c r="E43" s="33"/>
      <c r="F43" s="33"/>
    </row>
    <row r="44" spans="2:6" x14ac:dyDescent="0.25">
      <c r="B44" s="12" t="s">
        <v>223</v>
      </c>
      <c r="C44" s="18" t="str">
        <f>IF(C28&lt;=$C$20,"Si - sin estribos","Requiere estribos")</f>
        <v>Si - sin estribos</v>
      </c>
      <c r="D44" s="18" t="str">
        <f>IF(D28&lt;=$C$20,"Si - sin estribos","Requiere estribos")</f>
        <v>Si - sin estribos</v>
      </c>
      <c r="E44" s="18" t="str">
        <f>IF(E28&lt;=$C$20,"Si - sin estribos","Requiere estribos")</f>
        <v>Si - sin estribos</v>
      </c>
      <c r="F44" s="18" t="str">
        <f>IF(F28&lt;=$C$20,"Si - sin estribos","Requiere estribos")</f>
        <v>Si - sin estribos</v>
      </c>
    </row>
    <row r="45" spans="2:6" x14ac:dyDescent="0.25">
      <c r="B45" s="12" t="s">
        <v>224</v>
      </c>
      <c r="C45" s="18" t="str">
        <f>IF($C$8&gt;=C24/18.5,"CUMPLE","REVISAR")</f>
        <v>CUMPLE</v>
      </c>
      <c r="D45" s="18" t="str">
        <f>IF($C$8&gt;=D24/18.5,"CUMPLE","REVISAR")</f>
        <v>CUMPLE</v>
      </c>
      <c r="E45" s="18" t="str">
        <f>IF($C$8&gt;=E24/18.5,"CUMPLE","REVISAR")</f>
        <v>CUMPLE</v>
      </c>
      <c r="F45" s="18" t="str">
        <f>IF($C$8&gt;=F24/18.5,"CUMPLE","REVISAR")</f>
        <v>CUMPLE</v>
      </c>
    </row>
  </sheetData>
  <mergeCells count="6">
    <mergeCell ref="B43:F43"/>
    <mergeCell ref="B29:F29"/>
    <mergeCell ref="B2:F2"/>
    <mergeCell ref="B37:F37"/>
    <mergeCell ref="B23:F23"/>
    <mergeCell ref="B4:C4"/>
  </mergeCells>
  <pageMargins left="0.4" right="0.4" top="0.6" bottom="0.6" header="0.3" footer="0.3"/>
  <pageSetup fitToHeight="0" orientation="landscape"/>
  <headerFooter>
    <oddHeader>&amp;LEDIFICIO RESIDENCIAL SANTA MARTA&amp;RSSS Construcciones SAS</oddHeader>
    <oddFooter>&amp;CPagina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  <pageSetUpPr fitToPage="1"/>
  </sheetPr>
  <dimension ref="B2:I28"/>
  <sheetViews>
    <sheetView showGridLines="0" zoomScale="110" workbookViewId="0">
      <pane ySplit="2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11" customWidth="1"/>
    <col min="4" max="5" width="12" customWidth="1"/>
    <col min="6" max="6" width="13" customWidth="1"/>
    <col min="7" max="7" width="14" customWidth="1"/>
    <col min="8" max="8" width="15" customWidth="1"/>
    <col min="9" max="9" width="14" customWidth="1"/>
  </cols>
  <sheetData>
    <row r="2" spans="2:9" x14ac:dyDescent="0.25">
      <c r="B2" s="38" t="s">
        <v>226</v>
      </c>
      <c r="C2" s="33"/>
      <c r="D2" s="33"/>
      <c r="E2" s="33"/>
      <c r="F2" s="33"/>
      <c r="G2" s="33"/>
      <c r="H2" s="33"/>
      <c r="I2" s="33"/>
    </row>
    <row r="4" spans="2:9" x14ac:dyDescent="0.25">
      <c r="B4" s="4" t="s">
        <v>227</v>
      </c>
    </row>
    <row r="5" spans="2:9" ht="27" x14ac:dyDescent="0.25">
      <c r="B5" s="12" t="s">
        <v>87</v>
      </c>
      <c r="C5" s="20">
        <v>28</v>
      </c>
      <c r="D5" s="12" t="s">
        <v>88</v>
      </c>
      <c r="E5" s="20">
        <v>420</v>
      </c>
      <c r="F5" s="12" t="s">
        <v>228</v>
      </c>
      <c r="G5" s="20">
        <v>40</v>
      </c>
    </row>
    <row r="6" spans="2:9" ht="27.95" customHeight="1" x14ac:dyDescent="0.25">
      <c r="B6" s="32" t="s">
        <v>229</v>
      </c>
      <c r="C6" s="33"/>
      <c r="D6" s="33"/>
      <c r="E6" s="33"/>
      <c r="F6" s="33"/>
      <c r="G6" s="33"/>
      <c r="H6" s="33"/>
      <c r="I6" s="33"/>
    </row>
    <row r="8" spans="2:9" ht="45" x14ac:dyDescent="0.25">
      <c r="B8" s="4" t="s">
        <v>230</v>
      </c>
    </row>
    <row r="9" spans="2:9" ht="27" x14ac:dyDescent="0.25">
      <c r="B9" s="14" t="s">
        <v>231</v>
      </c>
      <c r="C9" s="14" t="s">
        <v>232</v>
      </c>
      <c r="D9" s="14" t="s">
        <v>233</v>
      </c>
      <c r="E9" s="14" t="s">
        <v>234</v>
      </c>
      <c r="F9" s="14" t="s">
        <v>235</v>
      </c>
      <c r="G9" s="14" t="s">
        <v>236</v>
      </c>
      <c r="H9" s="14" t="s">
        <v>237</v>
      </c>
      <c r="I9" s="14" t="s">
        <v>238</v>
      </c>
    </row>
    <row r="10" spans="2:9" x14ac:dyDescent="0.25">
      <c r="B10" s="15" t="s">
        <v>239</v>
      </c>
      <c r="C10" s="20">
        <v>9.5</v>
      </c>
      <c r="D10" s="16">
        <f>($E$5*1*0.8)/(1.1*SQRT($C$5)*2.5)*C10</f>
        <v>219.35683597190058</v>
      </c>
      <c r="E10" s="16">
        <f>($E$5*1.3*0.8)/(1.1*SQRT($C$5)*2.5)*C10</f>
        <v>285.16388676347077</v>
      </c>
      <c r="F10" s="19">
        <f>MAX(0.24*$E$5/SQRT($C$5)*C10,8*C10,150)</f>
        <v>180.969389676818</v>
      </c>
      <c r="G10" s="16">
        <f>12*C10</f>
        <v>114</v>
      </c>
      <c r="H10" s="16">
        <f>MAX(6*C10,75)</f>
        <v>75</v>
      </c>
      <c r="I10" s="16">
        <f>6*C10</f>
        <v>57</v>
      </c>
    </row>
    <row r="11" spans="2:9" x14ac:dyDescent="0.25">
      <c r="B11" s="15" t="s">
        <v>240</v>
      </c>
      <c r="C11" s="20">
        <v>12.7</v>
      </c>
      <c r="D11" s="16">
        <f>($E$5*1*0.8)/(1.1*SQRT($C$5)*2.5)*C11</f>
        <v>293.24545440454074</v>
      </c>
      <c r="E11" s="16">
        <f>($E$5*1.3*0.8)/(1.1*SQRT($C$5)*2.5)*C11</f>
        <v>381.21909072590302</v>
      </c>
      <c r="F11" s="19">
        <f>MAX(0.24*$E$5/SQRT($C$5)*C11,8*C11,150)</f>
        <v>241.92749988374615</v>
      </c>
      <c r="G11" s="16">
        <f>12*C11</f>
        <v>152.39999999999998</v>
      </c>
      <c r="H11" s="16">
        <f>MAX(6*C11,75)</f>
        <v>76.199999999999989</v>
      </c>
      <c r="I11" s="16">
        <f>6*C11</f>
        <v>76.199999999999989</v>
      </c>
    </row>
    <row r="12" spans="2:9" x14ac:dyDescent="0.25">
      <c r="B12" s="15" t="s">
        <v>241</v>
      </c>
      <c r="C12" s="20">
        <v>15.9</v>
      </c>
      <c r="D12" s="16">
        <f>($E$5*1*0.8)/(1.1*SQRT($C$5)*2.5)*C12</f>
        <v>367.13407283718095</v>
      </c>
      <c r="E12" s="16">
        <f>($E$5*1.3*0.8)/(1.1*SQRT($C$5)*2.5)*C12</f>
        <v>477.27429468833526</v>
      </c>
      <c r="F12" s="19">
        <f>MAX(0.24*$E$5/SQRT($C$5)*C12,8*C12,150)</f>
        <v>302.88561009067433</v>
      </c>
      <c r="G12" s="16">
        <f>12*C12</f>
        <v>190.8</v>
      </c>
      <c r="H12" s="16">
        <f>MAX(6*C12,75)</f>
        <v>95.4</v>
      </c>
      <c r="I12" s="16">
        <f>6*C12</f>
        <v>95.4</v>
      </c>
    </row>
    <row r="14" spans="2:9" ht="30" x14ac:dyDescent="0.25">
      <c r="B14" s="4" t="s">
        <v>242</v>
      </c>
    </row>
    <row r="15" spans="2:9" ht="26.1" customHeight="1" x14ac:dyDescent="0.25">
      <c r="B15" s="61" t="s">
        <v>243</v>
      </c>
      <c r="C15" s="35"/>
      <c r="D15" s="35"/>
      <c r="E15" s="35"/>
      <c r="F15" s="35"/>
      <c r="G15" s="35"/>
      <c r="H15" s="35"/>
      <c r="I15" s="36"/>
    </row>
    <row r="16" spans="2:9" ht="27" x14ac:dyDescent="0.25">
      <c r="B16" s="14" t="s">
        <v>244</v>
      </c>
      <c r="C16" s="14" t="s">
        <v>231</v>
      </c>
      <c r="D16" s="14" t="s">
        <v>245</v>
      </c>
      <c r="E16" s="14" t="s">
        <v>246</v>
      </c>
      <c r="F16" s="14" t="s">
        <v>247</v>
      </c>
      <c r="G16" s="14" t="s">
        <v>248</v>
      </c>
    </row>
    <row r="17" spans="2:9" x14ac:dyDescent="0.25">
      <c r="B17" s="16" t="s">
        <v>249</v>
      </c>
      <c r="C17" s="16" t="s">
        <v>240</v>
      </c>
      <c r="D17" s="20">
        <v>5.0999999999999996</v>
      </c>
      <c r="E17" s="16">
        <f>F11</f>
        <v>241.92749988374615</v>
      </c>
      <c r="F17" s="21" t="s">
        <v>250</v>
      </c>
      <c r="G17" s="19">
        <f>(D17/4*1000+E17)/1000</f>
        <v>1.5169274998837461</v>
      </c>
    </row>
    <row r="18" spans="2:9" x14ac:dyDescent="0.25">
      <c r="B18" s="16" t="s">
        <v>251</v>
      </c>
      <c r="C18" s="16" t="s">
        <v>241</v>
      </c>
      <c r="D18" s="20">
        <v>5.0999999999999996</v>
      </c>
      <c r="E18" s="16">
        <f>F12</f>
        <v>302.88561009067433</v>
      </c>
      <c r="F18" s="21" t="s">
        <v>252</v>
      </c>
      <c r="G18" s="19">
        <f>(D18*1000+2*E18)/1000</f>
        <v>5.7057712201813482</v>
      </c>
    </row>
    <row r="19" spans="2:9" x14ac:dyDescent="0.25">
      <c r="B19" s="16" t="s">
        <v>253</v>
      </c>
      <c r="C19" s="16" t="s">
        <v>239</v>
      </c>
      <c r="D19" s="20">
        <v>5.0999999999999996</v>
      </c>
      <c r="E19" s="16">
        <f>F10</f>
        <v>180.969389676818</v>
      </c>
      <c r="F19" s="16" t="s">
        <v>250</v>
      </c>
      <c r="G19" s="19">
        <f>(D19/4*1000+E19)/1000</f>
        <v>1.455969389676818</v>
      </c>
    </row>
    <row r="20" spans="2:9" ht="27.95" customHeight="1" x14ac:dyDescent="0.25">
      <c r="B20" s="16" t="s">
        <v>254</v>
      </c>
      <c r="C20" s="16" t="s">
        <v>239</v>
      </c>
      <c r="D20" s="20">
        <v>5.0999999999999996</v>
      </c>
      <c r="E20" s="16">
        <f>F10</f>
        <v>180.969389676818</v>
      </c>
      <c r="F20" s="16" t="s">
        <v>252</v>
      </c>
      <c r="G20" s="19">
        <f>(D20*1000+2*E20)/1000</f>
        <v>5.4619387793536358</v>
      </c>
    </row>
    <row r="22" spans="2:9" ht="60" x14ac:dyDescent="0.25">
      <c r="B22" s="4" t="s">
        <v>255</v>
      </c>
    </row>
    <row r="23" spans="2:9" ht="27" x14ac:dyDescent="0.25">
      <c r="B23" s="14" t="s">
        <v>256</v>
      </c>
      <c r="C23" s="14" t="s">
        <v>257</v>
      </c>
      <c r="D23" s="14" t="s">
        <v>258</v>
      </c>
      <c r="E23" s="14" t="s">
        <v>104</v>
      </c>
      <c r="F23" s="14" t="s">
        <v>259</v>
      </c>
      <c r="G23" s="14" t="s">
        <v>260</v>
      </c>
      <c r="H23" s="14" t="s">
        <v>261</v>
      </c>
      <c r="I23" s="14" t="s">
        <v>262</v>
      </c>
    </row>
    <row r="24" spans="2:9" x14ac:dyDescent="0.25">
      <c r="B24" s="16" t="s">
        <v>263</v>
      </c>
      <c r="C24" s="20">
        <v>300</v>
      </c>
      <c r="D24" s="20">
        <v>400</v>
      </c>
      <c r="E24" s="20">
        <v>342.6</v>
      </c>
      <c r="F24" s="16">
        <f>2*D24</f>
        <v>800</v>
      </c>
      <c r="G24" s="19">
        <f>MIN(E24/4,6*15.9,150)</f>
        <v>85.65</v>
      </c>
      <c r="H24" s="19">
        <f>E24/2</f>
        <v>171.3</v>
      </c>
      <c r="I24" s="16">
        <f>2*((C24-2*$G$5)+(D24-2*$G$5))+2*MAX(10*9.5,75)</f>
        <v>1270</v>
      </c>
    </row>
    <row r="25" spans="2:9" x14ac:dyDescent="0.25">
      <c r="B25" s="16" t="s">
        <v>264</v>
      </c>
      <c r="C25" s="20">
        <v>350</v>
      </c>
      <c r="D25" s="20">
        <v>400</v>
      </c>
      <c r="E25" s="20">
        <v>342.6</v>
      </c>
      <c r="F25" s="16">
        <f>2*D25</f>
        <v>800</v>
      </c>
      <c r="G25" s="19">
        <f>MIN(E25/4,6*15.9,150)</f>
        <v>85.65</v>
      </c>
      <c r="H25" s="19">
        <f>E25/2</f>
        <v>171.3</v>
      </c>
      <c r="I25" s="16">
        <f>2*((C25-2*$G$5)+(D25-2*$G$5))+2*MAX(10*9.5,75)</f>
        <v>1370</v>
      </c>
    </row>
    <row r="26" spans="2:9" x14ac:dyDescent="0.25">
      <c r="B26" s="16" t="s">
        <v>265</v>
      </c>
      <c r="C26" s="20">
        <v>150</v>
      </c>
      <c r="D26" s="20">
        <v>340</v>
      </c>
      <c r="E26" s="20">
        <v>304</v>
      </c>
      <c r="F26" s="16">
        <f>2*D26</f>
        <v>680</v>
      </c>
      <c r="G26" s="19">
        <f>MIN(E26/4,6*15.9,150)</f>
        <v>76</v>
      </c>
      <c r="H26" s="19">
        <f>E26/2</f>
        <v>152</v>
      </c>
      <c r="I26" s="16">
        <f>2*((C26-2*$G$5)+(D26-2*$G$5))+2*MAX(10*9.5,75)</f>
        <v>850</v>
      </c>
    </row>
    <row r="28" spans="2:9" ht="27.95" customHeight="1" x14ac:dyDescent="0.25">
      <c r="B28" s="32" t="s">
        <v>266</v>
      </c>
      <c r="C28" s="33"/>
      <c r="D28" s="33"/>
      <c r="E28" s="33"/>
      <c r="F28" s="33"/>
      <c r="G28" s="33"/>
      <c r="H28" s="33"/>
      <c r="I28" s="33"/>
    </row>
  </sheetData>
  <mergeCells count="4">
    <mergeCell ref="B28:I28"/>
    <mergeCell ref="B6:I6"/>
    <mergeCell ref="B2:I2"/>
    <mergeCell ref="B15:I15"/>
  </mergeCells>
  <printOptions horizontalCentered="1"/>
  <pageMargins left="0.4" right="0.4" top="0.7" bottom="0.7" header="0.3" footer="0.3"/>
  <pageSetup fitToHeight="0" orientation="landscape"/>
  <headerFooter>
    <oddHeader>&amp;L&amp;"Aptos Narrow"&amp;8 EDIFICIO RESIDENCIAL SANTA MARTA&amp;R&amp;"Aptos Narrow"&amp;8 SSS Construcciones y Consultorias SAS</oddHeader>
    <oddFooter>&amp;C&amp;8 Pagina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F96FF611D84E4E9999ED5C7C9C09F7" ma:contentTypeVersion="14" ma:contentTypeDescription="Crear nuevo documento." ma:contentTypeScope="" ma:versionID="461f1e182736bf1ad4e3d4043b635123">
  <xsd:schema xmlns:xsd="http://www.w3.org/2001/XMLSchema" xmlns:xs="http://www.w3.org/2001/XMLSchema" xmlns:p="http://schemas.microsoft.com/office/2006/metadata/properties" xmlns:ns3="7757c39d-2cd1-4bbc-adb5-99c106770ece" xmlns:ns4="b2cc5507-542f-4d51-baf8-bd02d55fa173" targetNamespace="http://schemas.microsoft.com/office/2006/metadata/properties" ma:root="true" ma:fieldsID="fe1f8bf924254255356ed07c43f06df2" ns3:_="" ns4:_="">
    <xsd:import namespace="7757c39d-2cd1-4bbc-adb5-99c106770ece"/>
    <xsd:import namespace="b2cc5507-542f-4d51-baf8-bd02d55fa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7c39d-2cd1-4bbc-adb5-99c106770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5507-542f-4d51-baf8-bd02d55fa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7c39d-2cd1-4bbc-adb5-99c106770e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AA36B-8E70-4EDC-A0BC-3469BF521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57c39d-2cd1-4bbc-adb5-99c106770ece"/>
    <ds:schemaRef ds:uri="b2cc5507-542f-4d51-baf8-bd02d55fa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F1194B-D566-4192-AE56-1859D779686C}">
  <ds:schemaRefs>
    <ds:schemaRef ds:uri="7757c39d-2cd1-4bbc-adb5-99c106770ece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b2cc5507-542f-4d51-baf8-bd02d55fa173"/>
  </ds:schemaRefs>
</ds:datastoreItem>
</file>

<file path=customXml/itemProps3.xml><?xml version="1.0" encoding="utf-8"?>
<ds:datastoreItem xmlns:ds="http://schemas.openxmlformats.org/officeDocument/2006/customXml" ds:itemID="{9267B1B0-23C5-4B3A-9C15-009D4C7FB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Irregularidades</vt:lpstr>
      <vt:lpstr>Conteo y Momentos</vt:lpstr>
      <vt:lpstr>Cuadro Vigas-Riostras</vt:lpstr>
      <vt:lpstr>Cuadro Viguetas</vt:lpstr>
      <vt:lpstr>Diseno Vigas de Carga</vt:lpstr>
      <vt:lpstr>Diseno Vigas de Rigidez</vt:lpstr>
      <vt:lpstr>Diseno Viguetas Entrepiso</vt:lpstr>
      <vt:lpstr>Diseno Viguetas Cubierta</vt:lpstr>
      <vt:lpstr>Despiece y Longitudes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Ospina Porras</cp:lastModifiedBy>
  <dcterms:created xsi:type="dcterms:W3CDTF">2026-06-24T19:57:17Z</dcterms:created>
  <dcterms:modified xsi:type="dcterms:W3CDTF">2026-07-06T17:36:53Z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0x01010052F96FF611D84E4E9999ED5C7C9C09F7</vt:lpwstr>
  </property>
</Properties>
</file>