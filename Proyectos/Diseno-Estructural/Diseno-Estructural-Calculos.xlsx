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ortada" sheetId="1" r:id="rId1"/>
    <sheet name="Irregularidades" sheetId="2" r:id="rId2"/>
    <sheet name="Diseno Vigas de Carga VC" sheetId="3" r:id="rId3"/>
    <sheet name="Diseno Vigas de Rigidez VR" sheetId="4" r:id="rId4"/>
    <sheet name="Diseno Viguetas" sheetId="5" r:id="rId5"/>
    <sheet name="Diseno Riostras" sheetId="6" r:id="rId6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0.00"/>
  </numFmts>
  <fonts count="5">
    <font>
      <sz val="11"/>
      <name val="Calibri"/>
    </font>
    <font>
      <b/>
      <sz val="11"/>
      <color rgb="FFFFFFFF"/>
      <name val="Calibri"/>
    </font>
    <font>
      <b/>
      <sz val="14"/>
      <color rgb="FF1F4E79"/>
      <name val="Calibri"/>
    </font>
    <font>
      <b/>
      <sz val="11"/>
      <name val="Calibri"/>
    </font>
    <font>
      <b/>
      <sz val="11"/>
      <color rgb="FF1F4E7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4" borderId="1" xfId="0" applyFont="1" applyFill="1" applyBorder="1"/>
    <xf numFmtId="0" fontId="0" fillId="0" borderId="1" xfId="0" applyBorder="1">
      <alignment horizontal="left" wrapText="1"/>
    </xf>
    <xf numFmtId="164" fontId="3" fillId="3" borderId="1" xfId="0" applyFont="1" applyFill="1" applyBorder="1">
      <alignment horizontal="center"/>
    </xf>
    <xf numFmtId="0" fontId="1" fillId="2" borderId="1" xfId="0" applyFont="1" applyFill="1" applyBorder="1">
      <alignment horizontal="center"/>
    </xf>
    <xf numFmtId="164" fontId="0" fillId="3" borderId="1" xfId="0" applyFill="1" applyBorder="1">
      <alignment horizontal="center"/>
    </xf>
    <xf numFmtId="164" fontId="0" fillId="0" borderId="1" xfId="0" applyBorder="1">
      <alignment horizontal="center"/>
    </xf>
    <xf numFmtId="0" fontId="4" fillId="0" borderId="1" xfId="0" applyFont="1" applyBorder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4" customWidth="1"/>
    <col min="2" max="2" width="13" customWidth="1"/>
  </cols>
  <sheetData>
    <row r="1">
      <c r="A1" s="1" t="inlineStr">
        <is>
          <t xml:space="preserve">DISENO DE ELEMENTOS - HOJAS CON FORMULAS VIVAS (editar celdas amarillas)</t>
        </is>
      </c>
    </row>
    <row r="3">
      <c r="A3" s="2" t="inlineStr">
        <is>
          <t xml:space="preserve">HOJA</t>
        </is>
      </c>
      <c r="B3" s="2" t="inlineStr">
        <is>
          <t xml:space="preserve">CONTENIDO</t>
        </is>
      </c>
    </row>
    <row r="4">
      <c r="A4" s="3" t="inlineStr">
        <is>
          <t xml:space="preserve">Irregularidades</t>
        </is>
      </c>
      <c r="B4" s="3" t="inlineStr">
        <is>
          <t xml:space="preserve">R = R0*phi_a*phi_p*phi_r (formula)</t>
        </is>
      </c>
    </row>
    <row r="5">
      <c r="A5" s="3" t="inlineStr">
        <is>
          <t xml:space="preserve">Diseno Vigas de Carga VC</t>
        </is>
      </c>
      <c r="B5" s="3" t="inlineStr">
        <is>
          <t xml:space="preserve">12 grupos (longitud+apoyo), formulas automaticas</t>
        </is>
      </c>
    </row>
    <row r="6">
      <c r="A6" s="3" t="inlineStr">
        <is>
          <t xml:space="preserve">Diseno Vigas de Rigidez VR</t>
        </is>
      </c>
      <c r="B6" s="3" t="inlineStr">
        <is>
          <t xml:space="preserve">16 grupos (longitud+apoyo), formulas automaticas</t>
        </is>
      </c>
    </row>
    <row r="7">
      <c r="A7" s="3" t="inlineStr">
        <is>
          <t xml:space="preserve">Diseno Viguetas</t>
        </is>
      </c>
      <c r="B7" s="3" t="inlineStr">
        <is>
          <t xml:space="preserve">seccion T, entrepiso y cubierta, formulas</t>
        </is>
      </c>
    </row>
    <row r="8">
      <c r="A8" s="3" t="inlineStr">
        <is>
          <t xml:space="preserve">Diseno Riostras</t>
        </is>
      </c>
      <c r="B8" s="3" t="inlineStr">
        <is>
          <t xml:space="preserve">viga de amarre A.3.6.4.2, formulas</t>
        </is>
      </c>
    </row>
  </sheetData>
</worksheet>
</file>

<file path=xl/worksheets/sheet2.xml><?xml version="1.0" encoding="utf-8"?>
<worksheet xmlns="http://schemas.openxmlformats.org/spreadsheetml/2006/main">
  <cols>
    <col min="1" max="1" width="34" customWidth="1"/>
    <col min="2" max="2" width="13" customWidth="1"/>
    <col min="3" max="3" width="13" customWidth="1"/>
  </cols>
  <sheetData>
    <row r="1">
      <c r="A1" s="1" t="inlineStr">
        <is>
          <t xml:space="preserve">IRREGULARIDADES Y COEFICIENTE R</t>
        </is>
      </c>
    </row>
    <row r="3">
      <c r="A3" s="2" t="inlineStr">
        <is>
          <t xml:space="preserve">PARAMETROS (editar si cambia la evaluacion)</t>
        </is>
      </c>
    </row>
    <row r="4">
      <c r="A4" s="3" t="inlineStr">
        <is>
          <t xml:space="preserve">R0 (sistema DMO, Tabla A.3-3)</t>
        </is>
      </c>
      <c r="C4" s="4">
        <v>5.0</v>
      </c>
    </row>
    <row r="5">
      <c r="A5" s="3" t="inlineStr">
        <is>
          <t xml:space="preserve">phi_p (planta: torsion 1.02, retroc., diafragma)</t>
        </is>
      </c>
      <c r="C5" s="4">
        <v>1.0</v>
      </c>
    </row>
    <row r="6">
      <c r="A6" s="3" t="inlineStr">
        <is>
          <t xml:space="preserve">phi_a (altura: rigidez, masa 1.32)</t>
        </is>
      </c>
      <c r="C6" s="4">
        <v>1.0</v>
      </c>
    </row>
    <row r="7">
      <c r="A7" s="3" t="inlineStr">
        <is>
          <t xml:space="preserve">phi_r (redundancia)</t>
        </is>
      </c>
      <c r="C7" s="4">
        <v>1.0</v>
      </c>
    </row>
    <row r="9">
      <c r="A9" s="2" t="inlineStr">
        <is>
          <t xml:space="preserve">R = R0 * phi_a * phi_p * phi_r</t>
        </is>
      </c>
    </row>
    <row r="10">
      <c r="A10" s="3" t="inlineStr">
        <is>
          <t xml:space="preserve">R =</t>
        </is>
      </c>
      <c r="C10" s="8">
        <f>C4*C6*C5*C7</f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</cols>
  <sheetData>
    <row r="1">
      <c r="A1" s="1" t="inlineStr">
        <is>
          <t xml:space="preserve">Diseno Vigas de Carga VC</t>
        </is>
      </c>
    </row>
    <row r="3">
      <c r="A3" s="2" t="inlineStr">
        <is>
          <t xml:space="preserve">DATOS COMUNES DE LA SECCION</t>
        </is>
      </c>
    </row>
    <row r="4">
      <c r="A4" s="3" t="inlineStr">
        <is>
          <t xml:space="preserve">f'c [MPa]</t>
        </is>
      </c>
      <c r="C4" s="4">
        <v>28</v>
      </c>
    </row>
    <row r="5">
      <c r="A5" s="3" t="inlineStr">
        <is>
          <t xml:space="preserve">fy = fyt [MPa]</t>
        </is>
      </c>
      <c r="C5" s="4">
        <v>420</v>
      </c>
    </row>
    <row r="6">
      <c r="A6" s="3" t="inlineStr">
        <is>
          <t xml:space="preserve">b [m]</t>
        </is>
      </c>
      <c r="C6" s="4">
        <v>0.3</v>
      </c>
    </row>
    <row r="7">
      <c r="A7" s="3" t="inlineStr">
        <is>
          <t xml:space="preserve">h [m]</t>
        </is>
      </c>
      <c r="C7" s="4">
        <v>0.4</v>
      </c>
    </row>
    <row r="8">
      <c r="A8" s="3" t="inlineStr">
        <is>
          <t xml:space="preserve">recubrimiento [m]</t>
        </is>
      </c>
      <c r="C8" s="4">
        <v>0.04</v>
      </c>
    </row>
    <row r="9">
      <c r="A9" s="3" t="inlineStr">
        <is>
          <t xml:space="preserve">Diam estribo [mm]</t>
        </is>
      </c>
      <c r="C9" s="4">
        <v>9.5</v>
      </c>
    </row>
    <row r="10">
      <c r="A10" s="3" t="inlineStr">
        <is>
          <t xml:space="preserve">Diam barra long [mm]</t>
        </is>
      </c>
      <c r="C10" s="4">
        <v>15.9</v>
      </c>
    </row>
    <row r="11">
      <c r="A11" s="3" t="inlineStr">
        <is>
          <t xml:space="preserve">Area barra [mm2]</t>
        </is>
      </c>
      <c r="C11" s="4">
        <v>199</v>
      </c>
    </row>
    <row r="12">
      <c r="A12" s="3" t="inlineStr">
        <is>
          <t xml:space="preserve">Area 2 ramas Av [mm2]</t>
        </is>
      </c>
      <c r="C12" s="4">
        <v>142</v>
      </c>
    </row>
    <row r="13">
      <c r="A13" s="3" t="inlineStr">
        <is>
          <t xml:space="preserve">d = h-r-est-bl/2 [mm]</t>
        </is>
      </c>
      <c r="C13" s="7">
        <f>C7*1000-C8*1000-C9-C10/2</f>
      </c>
    </row>
    <row r="14">
      <c r="A14" s="3" t="inlineStr">
        <is>
          <t xml:space="preserve">As minimo [mm2]</t>
        </is>
      </c>
      <c r="C14" s="7">
        <f>MAX(0.25*SQRT(C4)/C5,1.4/C5)*(C6*1000)*C13</f>
      </c>
    </row>
    <row r="15">
      <c r="A15" s="3" t="inlineStr">
        <is>
          <t xml:space="preserve">As maximo (rho=0.025) [mm2]</t>
        </is>
      </c>
      <c r="C15" s="7">
        <f>0.025*(C6*1000)*C13</f>
      </c>
    </row>
    <row r="16">
      <c r="A16" s="3" t="inlineStr">
        <is>
          <t xml:space="preserve">Vc [kN]</t>
        </is>
      </c>
      <c r="C16" s="7">
        <f>0.17*SQRT(C4)*(C6*1000)*C13/1000</f>
      </c>
    </row>
    <row r="17">
      <c r="A17" s="3" t="inlineStr">
        <is>
          <t xml:space="preserve">Vs max [kN]</t>
        </is>
      </c>
      <c r="C17" s="7">
        <f>0.66*SQRT(C4)*(C6*1000)*C13/1000</f>
      </c>
    </row>
    <row r="18">
      <c r="A18" s="3" t="inlineStr">
        <is>
          <t xml:space="preserve">T umbral [kN.m]</t>
        </is>
      </c>
      <c r="C18" s="7">
        <f>0.75*0.083*SQRT(C4)*(((C6*1000)*(C7*1000))^2/(2*((C6*1000)+(C7*1000))))/1000000</f>
      </c>
    </row>
    <row r="20">
      <c r="A20" s="3" t="inlineStr">
        <is>
          <t xml:space="preserve">Parametro \ GRUPO</t>
        </is>
      </c>
      <c r="C20" s="5" t="inlineStr">
        <is>
          <t xml:space="preserve">VC-1</t>
        </is>
      </c>
      <c r="D20" s="5" t="inlineStr">
        <is>
          <t xml:space="preserve">VC-2</t>
        </is>
      </c>
      <c r="E20" s="5" t="inlineStr">
        <is>
          <t xml:space="preserve">VC-3</t>
        </is>
      </c>
      <c r="F20" s="5" t="inlineStr">
        <is>
          <t xml:space="preserve">VC-4</t>
        </is>
      </c>
      <c r="G20" s="5" t="inlineStr">
        <is>
          <t xml:space="preserve">VC-5</t>
        </is>
      </c>
      <c r="H20" s="5" t="inlineStr">
        <is>
          <t xml:space="preserve">VC-6</t>
        </is>
      </c>
      <c r="I20" s="5" t="inlineStr">
        <is>
          <t xml:space="preserve">VC-7</t>
        </is>
      </c>
      <c r="J20" s="5" t="inlineStr">
        <is>
          <t xml:space="preserve">VC-8</t>
        </is>
      </c>
      <c r="K20" s="5" t="inlineStr">
        <is>
          <t xml:space="preserve">VC-9</t>
        </is>
      </c>
      <c r="L20" s="5" t="inlineStr">
        <is>
          <t xml:space="preserve">VC-10</t>
        </is>
      </c>
      <c r="M20" s="5" t="inlineStr">
        <is>
          <t xml:space="preserve">VC-11</t>
        </is>
      </c>
      <c r="N20" s="5" t="inlineStr">
        <is>
          <t xml:space="preserve">VC-12</t>
        </is>
      </c>
    </row>
    <row r="21">
      <c r="A21" s="2" t="inlineStr">
        <is>
          <t xml:space="preserve">SOLICITACIONES (sismo/R)</t>
        </is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3" t="inlineStr">
        <is>
          <t xml:space="preserve">Ln [m]</t>
        </is>
      </c>
      <c r="C22" s="6">
        <v>2.5</v>
      </c>
      <c r="D22" s="6">
        <v>2.6</v>
      </c>
      <c r="E22" s="6">
        <v>2.65</v>
      </c>
      <c r="F22" s="6">
        <v>3.75</v>
      </c>
      <c r="G22" s="6">
        <v>3.75</v>
      </c>
      <c r="H22" s="6">
        <v>3.81</v>
      </c>
      <c r="I22" s="6">
        <v>3.81</v>
      </c>
      <c r="J22" s="6">
        <v>3.85</v>
      </c>
      <c r="K22" s="6">
        <v>3.9</v>
      </c>
      <c r="L22" s="6">
        <v>4.0</v>
      </c>
      <c r="M22" s="6">
        <v>5.1</v>
      </c>
      <c r="N22" s="6">
        <v>5.1</v>
      </c>
    </row>
    <row r="23">
      <c r="A23" s="3" t="inlineStr">
        <is>
          <t xml:space="preserve">Mu (-) [kN.m]</t>
        </is>
      </c>
      <c r="C23" s="6">
        <v>10</v>
      </c>
      <c r="D23" s="6">
        <v>7</v>
      </c>
      <c r="E23" s="6">
        <v>119</v>
      </c>
      <c r="F23" s="6">
        <v>106</v>
      </c>
      <c r="G23" s="6">
        <v>25</v>
      </c>
      <c r="H23" s="6">
        <v>114</v>
      </c>
      <c r="I23" s="6">
        <v>106</v>
      </c>
      <c r="J23" s="6">
        <v>122</v>
      </c>
      <c r="K23" s="6">
        <v>129</v>
      </c>
      <c r="L23" s="6">
        <v>104</v>
      </c>
      <c r="M23" s="6">
        <v>98</v>
      </c>
      <c r="N23" s="6">
        <v>93</v>
      </c>
    </row>
    <row r="24">
      <c r="A24" s="3" t="inlineStr">
        <is>
          <t xml:space="preserve">Mu (+) [kN.m]</t>
        </is>
      </c>
      <c r="C24" s="6">
        <v>4</v>
      </c>
      <c r="D24" s="6">
        <v>2</v>
      </c>
      <c r="E24" s="6">
        <v>103</v>
      </c>
      <c r="F24" s="6">
        <v>90</v>
      </c>
      <c r="G24" s="6">
        <v>17</v>
      </c>
      <c r="H24" s="6">
        <v>81</v>
      </c>
      <c r="I24" s="6">
        <v>74</v>
      </c>
      <c r="J24" s="6">
        <v>93</v>
      </c>
      <c r="K24" s="6">
        <v>91</v>
      </c>
      <c r="L24" s="6">
        <v>87</v>
      </c>
      <c r="M24" s="6">
        <v>71</v>
      </c>
      <c r="N24" s="6">
        <v>68</v>
      </c>
    </row>
    <row r="25">
      <c r="A25" s="3" t="inlineStr">
        <is>
          <t xml:space="preserve">Vu [kN]</t>
        </is>
      </c>
      <c r="C25" s="6">
        <v>14</v>
      </c>
      <c r="D25" s="6">
        <v>12</v>
      </c>
      <c r="E25" s="6">
        <v>88</v>
      </c>
      <c r="F25" s="6">
        <v>65</v>
      </c>
      <c r="G25" s="6">
        <v>22</v>
      </c>
      <c r="H25" s="6">
        <v>74</v>
      </c>
      <c r="I25" s="6">
        <v>68</v>
      </c>
      <c r="J25" s="6">
        <v>78</v>
      </c>
      <c r="K25" s="6">
        <v>92</v>
      </c>
      <c r="L25" s="6">
        <v>60</v>
      </c>
      <c r="M25" s="6">
        <v>50</v>
      </c>
      <c r="N25" s="6">
        <v>49</v>
      </c>
    </row>
    <row r="26">
      <c r="A26" s="3" t="inlineStr">
        <is>
          <t xml:space="preserve">Tu [kN.m]</t>
        </is>
      </c>
      <c r="C26" s="6">
        <v>1.9</v>
      </c>
      <c r="D26" s="6">
        <v>0.3</v>
      </c>
      <c r="E26" s="6">
        <v>0</v>
      </c>
      <c r="F26" s="6">
        <v>0</v>
      </c>
      <c r="G26" s="6">
        <v>0</v>
      </c>
      <c r="H26" s="6">
        <v>6.9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</row>
    <row r="27">
      <c r="A27" s="2" t="inlineStr">
        <is>
          <t xml:space="preserve">FLEXION - MOMENTO NEGATIVO</t>
        </is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3" t="inlineStr">
        <is>
          <t xml:space="preserve">Rn(-)</t>
        </is>
      </c>
      <c r="C28" s="7">
        <f>C23*1000000/(0.9*($C$6*1000)*$C$13^2)</f>
      </c>
      <c r="D28" s="7">
        <f>D23*1000000/(0.9*($C$6*1000)*$C$13^2)</f>
      </c>
      <c r="E28" s="7">
        <f>E23*1000000/(0.9*($C$6*1000)*$C$13^2)</f>
      </c>
      <c r="F28" s="7">
        <f>F23*1000000/(0.9*($C$6*1000)*$C$13^2)</f>
      </c>
      <c r="G28" s="7">
        <f>G23*1000000/(0.9*($C$6*1000)*$C$13^2)</f>
      </c>
      <c r="H28" s="7">
        <f>H23*1000000/(0.9*($C$6*1000)*$C$13^2)</f>
      </c>
      <c r="I28" s="7">
        <f>I23*1000000/(0.9*($C$6*1000)*$C$13^2)</f>
      </c>
      <c r="J28" s="7">
        <f>J23*1000000/(0.9*($C$6*1000)*$C$13^2)</f>
      </c>
      <c r="K28" s="7">
        <f>K23*1000000/(0.9*($C$6*1000)*$C$13^2)</f>
      </c>
      <c r="L28" s="7">
        <f>L23*1000000/(0.9*($C$6*1000)*$C$13^2)</f>
      </c>
      <c r="M28" s="7">
        <f>M23*1000000/(0.9*($C$6*1000)*$C$13^2)</f>
      </c>
      <c r="N28" s="7">
        <f>N23*1000000/(0.9*($C$6*1000)*$C$13^2)</f>
      </c>
    </row>
    <row r="29">
      <c r="A29" s="3" t="inlineStr">
        <is>
          <t xml:space="preserve">rho(-)</t>
        </is>
      </c>
      <c r="C29" s="7">
        <f>(0.85*$C$4/$C$5)*(1-SQRT(1-2*C28/(0.85*$C$4)))</f>
      </c>
      <c r="D29" s="7">
        <f>(0.85*$C$4/$C$5)*(1-SQRT(1-2*D28/(0.85*$C$4)))</f>
      </c>
      <c r="E29" s="7">
        <f>(0.85*$C$4/$C$5)*(1-SQRT(1-2*E28/(0.85*$C$4)))</f>
      </c>
      <c r="F29" s="7">
        <f>(0.85*$C$4/$C$5)*(1-SQRT(1-2*F28/(0.85*$C$4)))</f>
      </c>
      <c r="G29" s="7">
        <f>(0.85*$C$4/$C$5)*(1-SQRT(1-2*G28/(0.85*$C$4)))</f>
      </c>
      <c r="H29" s="7">
        <f>(0.85*$C$4/$C$5)*(1-SQRT(1-2*H28/(0.85*$C$4)))</f>
      </c>
      <c r="I29" s="7">
        <f>(0.85*$C$4/$C$5)*(1-SQRT(1-2*I28/(0.85*$C$4)))</f>
      </c>
      <c r="J29" s="7">
        <f>(0.85*$C$4/$C$5)*(1-SQRT(1-2*J28/(0.85*$C$4)))</f>
      </c>
      <c r="K29" s="7">
        <f>(0.85*$C$4/$C$5)*(1-SQRT(1-2*K28/(0.85*$C$4)))</f>
      </c>
      <c r="L29" s="7">
        <f>(0.85*$C$4/$C$5)*(1-SQRT(1-2*L28/(0.85*$C$4)))</f>
      </c>
      <c r="M29" s="7">
        <f>(0.85*$C$4/$C$5)*(1-SQRT(1-2*M28/(0.85*$C$4)))</f>
      </c>
      <c r="N29" s="7">
        <f>(0.85*$C$4/$C$5)*(1-SQRT(1-2*N28/(0.85*$C$4)))</f>
      </c>
    </row>
    <row r="30">
      <c r="A30" s="3" t="inlineStr">
        <is>
          <t xml:space="preserve">As(-) req [mm2]</t>
        </is>
      </c>
      <c r="C30" s="7">
        <f>C29*($C$6*1000)*$C$13</f>
      </c>
      <c r="D30" s="7">
        <f>D29*($C$6*1000)*$C$13</f>
      </c>
      <c r="E30" s="7">
        <f>E29*($C$6*1000)*$C$13</f>
      </c>
      <c r="F30" s="7">
        <f>F29*($C$6*1000)*$C$13</f>
      </c>
      <c r="G30" s="7">
        <f>G29*($C$6*1000)*$C$13</f>
      </c>
      <c r="H30" s="7">
        <f>H29*($C$6*1000)*$C$13</f>
      </c>
      <c r="I30" s="7">
        <f>I29*($C$6*1000)*$C$13</f>
      </c>
      <c r="J30" s="7">
        <f>J29*($C$6*1000)*$C$13</f>
      </c>
      <c r="K30" s="7">
        <f>K29*($C$6*1000)*$C$13</f>
      </c>
      <c r="L30" s="7">
        <f>L29*($C$6*1000)*$C$13</f>
      </c>
      <c r="M30" s="7">
        <f>M29*($C$6*1000)*$C$13</f>
      </c>
      <c r="N30" s="7">
        <f>N29*($C$6*1000)*$C$13</f>
      </c>
    </row>
    <row r="31">
      <c r="A31" s="3" t="inlineStr">
        <is>
          <t xml:space="preserve">As(-) diseno [mm2]</t>
        </is>
      </c>
      <c r="C31" s="7">
        <f>MAX(C30,$C$14)</f>
      </c>
      <c r="D31" s="7">
        <f>MAX(D30,$C$14)</f>
      </c>
      <c r="E31" s="7">
        <f>MAX(E30,$C$14)</f>
      </c>
      <c r="F31" s="7">
        <f>MAX(F30,$C$14)</f>
      </c>
      <c r="G31" s="7">
        <f>MAX(G30,$C$14)</f>
      </c>
      <c r="H31" s="7">
        <f>MAX(H30,$C$14)</f>
      </c>
      <c r="I31" s="7">
        <f>MAX(I30,$C$14)</f>
      </c>
      <c r="J31" s="7">
        <f>MAX(J30,$C$14)</f>
      </c>
      <c r="K31" s="7">
        <f>MAX(K30,$C$14)</f>
      </c>
      <c r="L31" s="7">
        <f>MAX(L30,$C$14)</f>
      </c>
      <c r="M31" s="7">
        <f>MAX(M30,$C$14)</f>
      </c>
      <c r="N31" s="7">
        <f>MAX(N30,$C$14)</f>
      </c>
    </row>
    <row r="32">
      <c r="A32" s="3" t="inlineStr">
        <is>
          <t xml:space="preserve">N barras (-)</t>
        </is>
      </c>
      <c r="C32" s="8">
        <f>ROUNDUP(C31/$C$11,0)</f>
      </c>
      <c r="D32" s="8">
        <f>ROUNDUP(D31/$C$11,0)</f>
      </c>
      <c r="E32" s="8">
        <f>ROUNDUP(E31/$C$11,0)</f>
      </c>
      <c r="F32" s="8">
        <f>ROUNDUP(F31/$C$11,0)</f>
      </c>
      <c r="G32" s="8">
        <f>ROUNDUP(G31/$C$11,0)</f>
      </c>
      <c r="H32" s="8">
        <f>ROUNDUP(H31/$C$11,0)</f>
      </c>
      <c r="I32" s="8">
        <f>ROUNDUP(I31/$C$11,0)</f>
      </c>
      <c r="J32" s="8">
        <f>ROUNDUP(J31/$C$11,0)</f>
      </c>
      <c r="K32" s="8">
        <f>ROUNDUP(K31/$C$11,0)</f>
      </c>
      <c r="L32" s="8">
        <f>ROUNDUP(L31/$C$11,0)</f>
      </c>
      <c r="M32" s="8">
        <f>ROUNDUP(M31/$C$11,0)</f>
      </c>
      <c r="N32" s="8">
        <f>ROUNDUP(N31/$C$11,0)</f>
      </c>
    </row>
    <row r="33">
      <c r="A33" s="3" t="inlineStr">
        <is>
          <t xml:space="preserve">As(-) colocado [mm2]</t>
        </is>
      </c>
      <c r="C33" s="7">
        <f>C32*$C$11</f>
      </c>
      <c r="D33" s="7">
        <f>D32*$C$11</f>
      </c>
      <c r="E33" s="7">
        <f>E32*$C$11</f>
      </c>
      <c r="F33" s="7">
        <f>F32*$C$11</f>
      </c>
      <c r="G33" s="7">
        <f>G32*$C$11</f>
      </c>
      <c r="H33" s="7">
        <f>H32*$C$11</f>
      </c>
      <c r="I33" s="7">
        <f>I32*$C$11</f>
      </c>
      <c r="J33" s="7">
        <f>J32*$C$11</f>
      </c>
      <c r="K33" s="7">
        <f>K32*$C$11</f>
      </c>
      <c r="L33" s="7">
        <f>L32*$C$11</f>
      </c>
      <c r="M33" s="7">
        <f>M32*$C$11</f>
      </c>
      <c r="N33" s="7">
        <f>N32*$C$11</f>
      </c>
    </row>
    <row r="34">
      <c r="A34" s="3" t="inlineStr">
        <is>
          <t xml:space="preserve">a(-) [mm]</t>
        </is>
      </c>
      <c r="C34" s="7">
        <f>C33*$C$5/(0.85*$C$4*($C$6*1000))</f>
      </c>
      <c r="D34" s="7">
        <f>D33*$C$5/(0.85*$C$4*($C$6*1000))</f>
      </c>
      <c r="E34" s="7">
        <f>E33*$C$5/(0.85*$C$4*($C$6*1000))</f>
      </c>
      <c r="F34" s="7">
        <f>F33*$C$5/(0.85*$C$4*($C$6*1000))</f>
      </c>
      <c r="G34" s="7">
        <f>G33*$C$5/(0.85*$C$4*($C$6*1000))</f>
      </c>
      <c r="H34" s="7">
        <f>H33*$C$5/(0.85*$C$4*($C$6*1000))</f>
      </c>
      <c r="I34" s="7">
        <f>I33*$C$5/(0.85*$C$4*($C$6*1000))</f>
      </c>
      <c r="J34" s="7">
        <f>J33*$C$5/(0.85*$C$4*($C$6*1000))</f>
      </c>
      <c r="K34" s="7">
        <f>K33*$C$5/(0.85*$C$4*($C$6*1000))</f>
      </c>
      <c r="L34" s="7">
        <f>L33*$C$5/(0.85*$C$4*($C$6*1000))</f>
      </c>
      <c r="M34" s="7">
        <f>M33*$C$5/(0.85*$C$4*($C$6*1000))</f>
      </c>
      <c r="N34" s="7">
        <f>N33*$C$5/(0.85*$C$4*($C$6*1000))</f>
      </c>
    </row>
    <row r="35">
      <c r="A35" s="3" t="inlineStr">
        <is>
          <t xml:space="preserve">phiMn(-) [kN.m]</t>
        </is>
      </c>
      <c r="C35" s="8">
        <f>0.9*C33*$C$5*($C$13-C34/2)/1000000</f>
      </c>
      <c r="D35" s="8">
        <f>0.9*D33*$C$5*($C$13-D34/2)/1000000</f>
      </c>
      <c r="E35" s="8">
        <f>0.9*E33*$C$5*($C$13-E34/2)/1000000</f>
      </c>
      <c r="F35" s="8">
        <f>0.9*F33*$C$5*($C$13-F34/2)/1000000</f>
      </c>
      <c r="G35" s="8">
        <f>0.9*G33*$C$5*($C$13-G34/2)/1000000</f>
      </c>
      <c r="H35" s="8">
        <f>0.9*H33*$C$5*($C$13-H34/2)/1000000</f>
      </c>
      <c r="I35" s="8">
        <f>0.9*I33*$C$5*($C$13-I34/2)/1000000</f>
      </c>
      <c r="J35" s="8">
        <f>0.9*J33*$C$5*($C$13-J34/2)/1000000</f>
      </c>
      <c r="K35" s="8">
        <f>0.9*K33*$C$5*($C$13-K34/2)/1000000</f>
      </c>
      <c r="L35" s="8">
        <f>0.9*L33*$C$5*($C$13-L34/2)/1000000</f>
      </c>
      <c r="M35" s="8">
        <f>0.9*M33*$C$5*($C$13-M34/2)/1000000</f>
      </c>
      <c r="N35" s="8">
        <f>0.9*N33*$C$5*($C$13-N34/2)/1000000</f>
      </c>
    </row>
    <row r="36">
      <c r="A36" s="3" t="inlineStr">
        <is>
          <t xml:space="preserve">CHECK flexion (-)</t>
        </is>
      </c>
      <c r="C36" s="8">
        <f>IF(AND(C35&gt;=C23,C31&lt;=$C$15,C31&gt;=$C$14),"CUMPLE","REVISAR")</f>
      </c>
      <c r="D36" s="8">
        <f>IF(AND(D35&gt;=D23,D31&lt;=$C$15,D31&gt;=$C$14),"CUMPLE","REVISAR")</f>
      </c>
      <c r="E36" s="8">
        <f>IF(AND(E35&gt;=E23,E31&lt;=$C$15,E31&gt;=$C$14),"CUMPLE","REVISAR")</f>
      </c>
      <c r="F36" s="8">
        <f>IF(AND(F35&gt;=F23,F31&lt;=$C$15,F31&gt;=$C$14),"CUMPLE","REVISAR")</f>
      </c>
      <c r="G36" s="8">
        <f>IF(AND(G35&gt;=G23,G31&lt;=$C$15,G31&gt;=$C$14),"CUMPLE","REVISAR")</f>
      </c>
      <c r="H36" s="8">
        <f>IF(AND(H35&gt;=H23,H31&lt;=$C$15,H31&gt;=$C$14),"CUMPLE","REVISAR")</f>
      </c>
      <c r="I36" s="8">
        <f>IF(AND(I35&gt;=I23,I31&lt;=$C$15,I31&gt;=$C$14),"CUMPLE","REVISAR")</f>
      </c>
      <c r="J36" s="8">
        <f>IF(AND(J35&gt;=J23,J31&lt;=$C$15,J31&gt;=$C$14),"CUMPLE","REVISAR")</f>
      </c>
      <c r="K36" s="8">
        <f>IF(AND(K35&gt;=K23,K31&lt;=$C$15,K31&gt;=$C$14),"CUMPLE","REVISAR")</f>
      </c>
      <c r="L36" s="8">
        <f>IF(AND(L35&gt;=L23,L31&lt;=$C$15,L31&gt;=$C$14),"CUMPLE","REVISAR")</f>
      </c>
      <c r="M36" s="8">
        <f>IF(AND(M35&gt;=M23,M31&lt;=$C$15,M31&gt;=$C$14),"CUMPLE","REVISAR")</f>
      </c>
      <c r="N36" s="8">
        <f>IF(AND(N35&gt;=N23,N31&lt;=$C$15,N31&gt;=$C$14),"CUMPLE","REVISAR")</f>
      </c>
    </row>
    <row r="37">
      <c r="A37" s="2" t="inlineStr">
        <is>
          <t xml:space="preserve">FLEXION - MOMENTO POSITIVO</t>
        </is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>
      <c r="A38" s="3" t="inlineStr">
        <is>
          <t xml:space="preserve">Rn(+)</t>
        </is>
      </c>
      <c r="C38" s="7">
        <f>C24*1000000/(0.9*($C$6*1000)*$C$13^2)</f>
      </c>
      <c r="D38" s="7">
        <f>D24*1000000/(0.9*($C$6*1000)*$C$13^2)</f>
      </c>
      <c r="E38" s="7">
        <f>E24*1000000/(0.9*($C$6*1000)*$C$13^2)</f>
      </c>
      <c r="F38" s="7">
        <f>F24*1000000/(0.9*($C$6*1000)*$C$13^2)</f>
      </c>
      <c r="G38" s="7">
        <f>G24*1000000/(0.9*($C$6*1000)*$C$13^2)</f>
      </c>
      <c r="H38" s="7">
        <f>H24*1000000/(0.9*($C$6*1000)*$C$13^2)</f>
      </c>
      <c r="I38" s="7">
        <f>I24*1000000/(0.9*($C$6*1000)*$C$13^2)</f>
      </c>
      <c r="J38" s="7">
        <f>J24*1000000/(0.9*($C$6*1000)*$C$13^2)</f>
      </c>
      <c r="K38" s="7">
        <f>K24*1000000/(0.9*($C$6*1000)*$C$13^2)</f>
      </c>
      <c r="L38" s="7">
        <f>L24*1000000/(0.9*($C$6*1000)*$C$13^2)</f>
      </c>
      <c r="M38" s="7">
        <f>M24*1000000/(0.9*($C$6*1000)*$C$13^2)</f>
      </c>
      <c r="N38" s="7">
        <f>N24*1000000/(0.9*($C$6*1000)*$C$13^2)</f>
      </c>
    </row>
    <row r="39">
      <c r="A39" s="3" t="inlineStr">
        <is>
          <t xml:space="preserve">rho(+)</t>
        </is>
      </c>
      <c r="C39" s="7">
        <f>(0.85*$C$4/$C$5)*(1-SQRT(1-2*C38/(0.85*$C$4)))</f>
      </c>
      <c r="D39" s="7">
        <f>(0.85*$C$4/$C$5)*(1-SQRT(1-2*D38/(0.85*$C$4)))</f>
      </c>
      <c r="E39" s="7">
        <f>(0.85*$C$4/$C$5)*(1-SQRT(1-2*E38/(0.85*$C$4)))</f>
      </c>
      <c r="F39" s="7">
        <f>(0.85*$C$4/$C$5)*(1-SQRT(1-2*F38/(0.85*$C$4)))</f>
      </c>
      <c r="G39" s="7">
        <f>(0.85*$C$4/$C$5)*(1-SQRT(1-2*G38/(0.85*$C$4)))</f>
      </c>
      <c r="H39" s="7">
        <f>(0.85*$C$4/$C$5)*(1-SQRT(1-2*H38/(0.85*$C$4)))</f>
      </c>
      <c r="I39" s="7">
        <f>(0.85*$C$4/$C$5)*(1-SQRT(1-2*I38/(0.85*$C$4)))</f>
      </c>
      <c r="J39" s="7">
        <f>(0.85*$C$4/$C$5)*(1-SQRT(1-2*J38/(0.85*$C$4)))</f>
      </c>
      <c r="K39" s="7">
        <f>(0.85*$C$4/$C$5)*(1-SQRT(1-2*K38/(0.85*$C$4)))</f>
      </c>
      <c r="L39" s="7">
        <f>(0.85*$C$4/$C$5)*(1-SQRT(1-2*L38/(0.85*$C$4)))</f>
      </c>
      <c r="M39" s="7">
        <f>(0.85*$C$4/$C$5)*(1-SQRT(1-2*M38/(0.85*$C$4)))</f>
      </c>
      <c r="N39" s="7">
        <f>(0.85*$C$4/$C$5)*(1-SQRT(1-2*N38/(0.85*$C$4)))</f>
      </c>
    </row>
    <row r="40">
      <c r="A40" s="3" t="inlineStr">
        <is>
          <t xml:space="preserve">As(+) req [mm2]</t>
        </is>
      </c>
      <c r="C40" s="7">
        <f>C39*($C$6*1000)*$C$13</f>
      </c>
      <c r="D40" s="7">
        <f>D39*($C$6*1000)*$C$13</f>
      </c>
      <c r="E40" s="7">
        <f>E39*($C$6*1000)*$C$13</f>
      </c>
      <c r="F40" s="7">
        <f>F39*($C$6*1000)*$C$13</f>
      </c>
      <c r="G40" s="7">
        <f>G39*($C$6*1000)*$C$13</f>
      </c>
      <c r="H40" s="7">
        <f>H39*($C$6*1000)*$C$13</f>
      </c>
      <c r="I40" s="7">
        <f>I39*($C$6*1000)*$C$13</f>
      </c>
      <c r="J40" s="7">
        <f>J39*($C$6*1000)*$C$13</f>
      </c>
      <c r="K40" s="7">
        <f>K39*($C$6*1000)*$C$13</f>
      </c>
      <c r="L40" s="7">
        <f>L39*($C$6*1000)*$C$13</f>
      </c>
      <c r="M40" s="7">
        <f>M39*($C$6*1000)*$C$13</f>
      </c>
      <c r="N40" s="7">
        <f>N39*($C$6*1000)*$C$13</f>
      </c>
    </row>
    <row r="41">
      <c r="A41" s="3" t="inlineStr">
        <is>
          <t xml:space="preserve">As(+) diseno [mm2]</t>
        </is>
      </c>
      <c r="C41" s="7">
        <f>MAX(C40,$C$14)</f>
      </c>
      <c r="D41" s="7">
        <f>MAX(D40,$C$14)</f>
      </c>
      <c r="E41" s="7">
        <f>MAX(E40,$C$14)</f>
      </c>
      <c r="F41" s="7">
        <f>MAX(F40,$C$14)</f>
      </c>
      <c r="G41" s="7">
        <f>MAX(G40,$C$14)</f>
      </c>
      <c r="H41" s="7">
        <f>MAX(H40,$C$14)</f>
      </c>
      <c r="I41" s="7">
        <f>MAX(I40,$C$14)</f>
      </c>
      <c r="J41" s="7">
        <f>MAX(J40,$C$14)</f>
      </c>
      <c r="K41" s="7">
        <f>MAX(K40,$C$14)</f>
      </c>
      <c r="L41" s="7">
        <f>MAX(L40,$C$14)</f>
      </c>
      <c r="M41" s="7">
        <f>MAX(M40,$C$14)</f>
      </c>
      <c r="N41" s="7">
        <f>MAX(N40,$C$14)</f>
      </c>
    </row>
    <row r="42">
      <c r="A42" s="3" t="inlineStr">
        <is>
          <t xml:space="preserve">N barras (+)</t>
        </is>
      </c>
      <c r="C42" s="8">
        <f>ROUNDUP(C41/$C$11,0)</f>
      </c>
      <c r="D42" s="8">
        <f>ROUNDUP(D41/$C$11,0)</f>
      </c>
      <c r="E42" s="8">
        <f>ROUNDUP(E41/$C$11,0)</f>
      </c>
      <c r="F42" s="8">
        <f>ROUNDUP(F41/$C$11,0)</f>
      </c>
      <c r="G42" s="8">
        <f>ROUNDUP(G41/$C$11,0)</f>
      </c>
      <c r="H42" s="8">
        <f>ROUNDUP(H41/$C$11,0)</f>
      </c>
      <c r="I42" s="8">
        <f>ROUNDUP(I41/$C$11,0)</f>
      </c>
      <c r="J42" s="8">
        <f>ROUNDUP(J41/$C$11,0)</f>
      </c>
      <c r="K42" s="8">
        <f>ROUNDUP(K41/$C$11,0)</f>
      </c>
      <c r="L42" s="8">
        <f>ROUNDUP(L41/$C$11,0)</f>
      </c>
      <c r="M42" s="8">
        <f>ROUNDUP(M41/$C$11,0)</f>
      </c>
      <c r="N42" s="8">
        <f>ROUNDUP(N41/$C$11,0)</f>
      </c>
    </row>
    <row r="43">
      <c r="A43" s="3" t="inlineStr">
        <is>
          <t xml:space="preserve">As(+) colocado [mm2]</t>
        </is>
      </c>
      <c r="C43" s="7">
        <f>C42*$C$11</f>
      </c>
      <c r="D43" s="7">
        <f>D42*$C$11</f>
      </c>
      <c r="E43" s="7">
        <f>E42*$C$11</f>
      </c>
      <c r="F43" s="7">
        <f>F42*$C$11</f>
      </c>
      <c r="G43" s="7">
        <f>G42*$C$11</f>
      </c>
      <c r="H43" s="7">
        <f>H42*$C$11</f>
      </c>
      <c r="I43" s="7">
        <f>I42*$C$11</f>
      </c>
      <c r="J43" s="7">
        <f>J42*$C$11</f>
      </c>
      <c r="K43" s="7">
        <f>K42*$C$11</f>
      </c>
      <c r="L43" s="7">
        <f>L42*$C$11</f>
      </c>
      <c r="M43" s="7">
        <f>M42*$C$11</f>
      </c>
      <c r="N43" s="7">
        <f>N42*$C$11</f>
      </c>
    </row>
    <row r="44">
      <c r="A44" s="3" t="inlineStr">
        <is>
          <t xml:space="preserve">a(+) [mm]</t>
        </is>
      </c>
      <c r="C44" s="7">
        <f>C43*$C$5/(0.85*$C$4*($C$6*1000))</f>
      </c>
      <c r="D44" s="7">
        <f>D43*$C$5/(0.85*$C$4*($C$6*1000))</f>
      </c>
      <c r="E44" s="7">
        <f>E43*$C$5/(0.85*$C$4*($C$6*1000))</f>
      </c>
      <c r="F44" s="7">
        <f>F43*$C$5/(0.85*$C$4*($C$6*1000))</f>
      </c>
      <c r="G44" s="7">
        <f>G43*$C$5/(0.85*$C$4*($C$6*1000))</f>
      </c>
      <c r="H44" s="7">
        <f>H43*$C$5/(0.85*$C$4*($C$6*1000))</f>
      </c>
      <c r="I44" s="7">
        <f>I43*$C$5/(0.85*$C$4*($C$6*1000))</f>
      </c>
      <c r="J44" s="7">
        <f>J43*$C$5/(0.85*$C$4*($C$6*1000))</f>
      </c>
      <c r="K44" s="7">
        <f>K43*$C$5/(0.85*$C$4*($C$6*1000))</f>
      </c>
      <c r="L44" s="7">
        <f>L43*$C$5/(0.85*$C$4*($C$6*1000))</f>
      </c>
      <c r="M44" s="7">
        <f>M43*$C$5/(0.85*$C$4*($C$6*1000))</f>
      </c>
      <c r="N44" s="7">
        <f>N43*$C$5/(0.85*$C$4*($C$6*1000))</f>
      </c>
    </row>
    <row r="45">
      <c r="A45" s="3" t="inlineStr">
        <is>
          <t xml:space="preserve">phiMn(+) [kN.m]</t>
        </is>
      </c>
      <c r="C45" s="8">
        <f>0.9*C43*$C$5*($C$13-C44/2)/1000000</f>
      </c>
      <c r="D45" s="8">
        <f>0.9*D43*$C$5*($C$13-D44/2)/1000000</f>
      </c>
      <c r="E45" s="8">
        <f>0.9*E43*$C$5*($C$13-E44/2)/1000000</f>
      </c>
      <c r="F45" s="8">
        <f>0.9*F43*$C$5*($C$13-F44/2)/1000000</f>
      </c>
      <c r="G45" s="8">
        <f>0.9*G43*$C$5*($C$13-G44/2)/1000000</f>
      </c>
      <c r="H45" s="8">
        <f>0.9*H43*$C$5*($C$13-H44/2)/1000000</f>
      </c>
      <c r="I45" s="8">
        <f>0.9*I43*$C$5*($C$13-I44/2)/1000000</f>
      </c>
      <c r="J45" s="8">
        <f>0.9*J43*$C$5*($C$13-J44/2)/1000000</f>
      </c>
      <c r="K45" s="8">
        <f>0.9*K43*$C$5*($C$13-K44/2)/1000000</f>
      </c>
      <c r="L45" s="8">
        <f>0.9*L43*$C$5*($C$13-L44/2)/1000000</f>
      </c>
      <c r="M45" s="8">
        <f>0.9*M43*$C$5*($C$13-M44/2)/1000000</f>
      </c>
      <c r="N45" s="8">
        <f>0.9*N43*$C$5*($C$13-N44/2)/1000000</f>
      </c>
    </row>
    <row r="46">
      <c r="A46" s="3" t="inlineStr">
        <is>
          <t xml:space="preserve">CHECK flexion (+)</t>
        </is>
      </c>
      <c r="C46" s="8">
        <f>IF(C45&gt;=C24,"CUMPLE","REVISAR")</f>
      </c>
      <c r="D46" s="8">
        <f>IF(D45&gt;=D24,"CUMPLE","REVISAR")</f>
      </c>
      <c r="E46" s="8">
        <f>IF(E45&gt;=E24,"CUMPLE","REVISAR")</f>
      </c>
      <c r="F46" s="8">
        <f>IF(F45&gt;=F24,"CUMPLE","REVISAR")</f>
      </c>
      <c r="G46" s="8">
        <f>IF(G45&gt;=G24,"CUMPLE","REVISAR")</f>
      </c>
      <c r="H46" s="8">
        <f>IF(H45&gt;=H24,"CUMPLE","REVISAR")</f>
      </c>
      <c r="I46" s="8">
        <f>IF(I45&gt;=I24,"CUMPLE","REVISAR")</f>
      </c>
      <c r="J46" s="8">
        <f>IF(J45&gt;=J24,"CUMPLE","REVISAR")</f>
      </c>
      <c r="K46" s="8">
        <f>IF(K45&gt;=K24,"CUMPLE","REVISAR")</f>
      </c>
      <c r="L46" s="8">
        <f>IF(L45&gt;=L24,"CUMPLE","REVISAR")</f>
      </c>
      <c r="M46" s="8">
        <f>IF(M45&gt;=M24,"CUMPLE","REVISAR")</f>
      </c>
      <c r="N46" s="8">
        <f>IF(N45&gt;=N24,"CUMPLE","REVISAR")</f>
      </c>
    </row>
    <row r="47">
      <c r="A47" s="2" t="inlineStr">
        <is>
          <t xml:space="preserve">CORTANTE (phi=0.75)</t>
        </is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>
      <c r="A48" s="3" t="inlineStr">
        <is>
          <t xml:space="preserve">Vs requerido [kN]</t>
        </is>
      </c>
      <c r="C48" s="7">
        <f>MAX(C25/0.75-$C$16,0)</f>
      </c>
      <c r="D48" s="7">
        <f>MAX(D25/0.75-$C$16,0)</f>
      </c>
      <c r="E48" s="7">
        <f>MAX(E25/0.75-$C$16,0)</f>
      </c>
      <c r="F48" s="7">
        <f>MAX(F25/0.75-$C$16,0)</f>
      </c>
      <c r="G48" s="7">
        <f>MAX(G25/0.75-$C$16,0)</f>
      </c>
      <c r="H48" s="7">
        <f>MAX(H25/0.75-$C$16,0)</f>
      </c>
      <c r="I48" s="7">
        <f>MAX(I25/0.75-$C$16,0)</f>
      </c>
      <c r="J48" s="7">
        <f>MAX(J25/0.75-$C$16,0)</f>
      </c>
      <c r="K48" s="7">
        <f>MAX(K25/0.75-$C$16,0)</f>
      </c>
      <c r="L48" s="7">
        <f>MAX(L25/0.75-$C$16,0)</f>
      </c>
      <c r="M48" s="7">
        <f>MAX(M25/0.75-$C$16,0)</f>
      </c>
      <c r="N48" s="7">
        <f>MAX(N25/0.75-$C$16,0)</f>
      </c>
    </row>
    <row r="49">
      <c r="A49" s="3" t="inlineStr">
        <is>
          <t xml:space="preserve">Sep. estribo [mm]</t>
        </is>
      </c>
      <c r="C49" s="8">
        <f>IF(C48&gt;0,MIN($C$12*$C$5*$C$13/(C48*1000),MIN($C$13/4,6*$C$10,150)),MIN($C$13/4,6*$C$10,150))</f>
      </c>
      <c r="D49" s="8">
        <f>IF(D48&gt;0,MIN($C$12*$C$5*$C$13/(D48*1000),MIN($C$13/4,6*$C$10,150)),MIN($C$13/4,6*$C$10,150))</f>
      </c>
      <c r="E49" s="8">
        <f>IF(E48&gt;0,MIN($C$12*$C$5*$C$13/(E48*1000),MIN($C$13/4,6*$C$10,150)),MIN($C$13/4,6*$C$10,150))</f>
      </c>
      <c r="F49" s="8">
        <f>IF(F48&gt;0,MIN($C$12*$C$5*$C$13/(F48*1000),MIN($C$13/4,6*$C$10,150)),MIN($C$13/4,6*$C$10,150))</f>
      </c>
      <c r="G49" s="8">
        <f>IF(G48&gt;0,MIN($C$12*$C$5*$C$13/(G48*1000),MIN($C$13/4,6*$C$10,150)),MIN($C$13/4,6*$C$10,150))</f>
      </c>
      <c r="H49" s="8">
        <f>IF(H48&gt;0,MIN($C$12*$C$5*$C$13/(H48*1000),MIN($C$13/4,6*$C$10,150)),MIN($C$13/4,6*$C$10,150))</f>
      </c>
      <c r="I49" s="8">
        <f>IF(I48&gt;0,MIN($C$12*$C$5*$C$13/(I48*1000),MIN($C$13/4,6*$C$10,150)),MIN($C$13/4,6*$C$10,150))</f>
      </c>
      <c r="J49" s="8">
        <f>IF(J48&gt;0,MIN($C$12*$C$5*$C$13/(J48*1000),MIN($C$13/4,6*$C$10,150)),MIN($C$13/4,6*$C$10,150))</f>
      </c>
      <c r="K49" s="8">
        <f>IF(K48&gt;0,MIN($C$12*$C$5*$C$13/(K48*1000),MIN($C$13/4,6*$C$10,150)),MIN($C$13/4,6*$C$10,150))</f>
      </c>
      <c r="L49" s="8">
        <f>IF(L48&gt;0,MIN($C$12*$C$5*$C$13/(L48*1000),MIN($C$13/4,6*$C$10,150)),MIN($C$13/4,6*$C$10,150))</f>
      </c>
      <c r="M49" s="8">
        <f>IF(M48&gt;0,MIN($C$12*$C$5*$C$13/(M48*1000),MIN($C$13/4,6*$C$10,150)),MIN($C$13/4,6*$C$10,150))</f>
      </c>
      <c r="N49" s="8">
        <f>IF(N48&gt;0,MIN($C$12*$C$5*$C$13/(N48*1000),MIN($C$13/4,6*$C$10,150)),MIN($C$13/4,6*$C$10,150))</f>
      </c>
    </row>
    <row r="50">
      <c r="A50" s="3" t="inlineStr">
        <is>
          <t xml:space="preserve">CHECK cortante</t>
        </is>
      </c>
      <c r="C50" s="8">
        <f>IF(C48&lt;=$C$17,"CUMPLE","AUMENTAR SECCION")</f>
      </c>
      <c r="D50" s="8">
        <f>IF(D48&lt;=$C$17,"CUMPLE","AUMENTAR SECCION")</f>
      </c>
      <c r="E50" s="8">
        <f>IF(E48&lt;=$C$17,"CUMPLE","AUMENTAR SECCION")</f>
      </c>
      <c r="F50" s="8">
        <f>IF(F48&lt;=$C$17,"CUMPLE","AUMENTAR SECCION")</f>
      </c>
      <c r="G50" s="8">
        <f>IF(G48&lt;=$C$17,"CUMPLE","AUMENTAR SECCION")</f>
      </c>
      <c r="H50" s="8">
        <f>IF(H48&lt;=$C$17,"CUMPLE","AUMENTAR SECCION")</f>
      </c>
      <c r="I50" s="8">
        <f>IF(I48&lt;=$C$17,"CUMPLE","AUMENTAR SECCION")</f>
      </c>
      <c r="J50" s="8">
        <f>IF(J48&lt;=$C$17,"CUMPLE","AUMENTAR SECCION")</f>
      </c>
      <c r="K50" s="8">
        <f>IF(K48&lt;=$C$17,"CUMPLE","AUMENTAR SECCION")</f>
      </c>
      <c r="L50" s="8">
        <f>IF(L48&lt;=$C$17,"CUMPLE","AUMENTAR SECCION")</f>
      </c>
      <c r="M50" s="8">
        <f>IF(M48&lt;=$C$17,"CUMPLE","AUMENTAR SECCION")</f>
      </c>
      <c r="N50" s="8">
        <f>IF(N48&lt;=$C$17,"CUMPLE","AUMENTAR SECCION")</f>
      </c>
    </row>
    <row r="51">
      <c r="A51" s="2" t="inlineStr">
        <is>
          <t xml:space="preserve">CORTANTE POR CAPACIDAD (DMO)</t>
        </is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>
      <c r="A52" s="3" t="inlineStr">
        <is>
          <t xml:space="preserve">Mpr(-) [kN.m]</t>
        </is>
      </c>
      <c r="C52" s="7">
        <f>1.25*C33*$C$5*($C$13-(1.25*C33*$C$5/(0.85*$C$4*($C$6*1000)))/2)/1000000</f>
      </c>
      <c r="D52" s="7">
        <f>1.25*D33*$C$5*($C$13-(1.25*D33*$C$5/(0.85*$C$4*($C$6*1000)))/2)/1000000</f>
      </c>
      <c r="E52" s="7">
        <f>1.25*E33*$C$5*($C$13-(1.25*E33*$C$5/(0.85*$C$4*($C$6*1000)))/2)/1000000</f>
      </c>
      <c r="F52" s="7">
        <f>1.25*F33*$C$5*($C$13-(1.25*F33*$C$5/(0.85*$C$4*($C$6*1000)))/2)/1000000</f>
      </c>
      <c r="G52" s="7">
        <f>1.25*G33*$C$5*($C$13-(1.25*G33*$C$5/(0.85*$C$4*($C$6*1000)))/2)/1000000</f>
      </c>
      <c r="H52" s="7">
        <f>1.25*H33*$C$5*($C$13-(1.25*H33*$C$5/(0.85*$C$4*($C$6*1000)))/2)/1000000</f>
      </c>
      <c r="I52" s="7">
        <f>1.25*I33*$C$5*($C$13-(1.25*I33*$C$5/(0.85*$C$4*($C$6*1000)))/2)/1000000</f>
      </c>
      <c r="J52" s="7">
        <f>1.25*J33*$C$5*($C$13-(1.25*J33*$C$5/(0.85*$C$4*($C$6*1000)))/2)/1000000</f>
      </c>
      <c r="K52" s="7">
        <f>1.25*K33*$C$5*($C$13-(1.25*K33*$C$5/(0.85*$C$4*($C$6*1000)))/2)/1000000</f>
      </c>
      <c r="L52" s="7">
        <f>1.25*L33*$C$5*($C$13-(1.25*L33*$C$5/(0.85*$C$4*($C$6*1000)))/2)/1000000</f>
      </c>
      <c r="M52" s="7">
        <f>1.25*M33*$C$5*($C$13-(1.25*M33*$C$5/(0.85*$C$4*($C$6*1000)))/2)/1000000</f>
      </c>
      <c r="N52" s="7">
        <f>1.25*N33*$C$5*($C$13-(1.25*N33*$C$5/(0.85*$C$4*($C$6*1000)))/2)/1000000</f>
      </c>
    </row>
    <row r="53">
      <c r="A53" s="3" t="inlineStr">
        <is>
          <t xml:space="preserve">Mpr(+) [kN.m]</t>
        </is>
      </c>
      <c r="C53" s="7">
        <f>1.25*C43*$C$5*($C$13-(1.25*C43*$C$5/(0.85*$C$4*($C$6*1000)))/2)/1000000</f>
      </c>
      <c r="D53" s="7">
        <f>1.25*D43*$C$5*($C$13-(1.25*D43*$C$5/(0.85*$C$4*($C$6*1000)))/2)/1000000</f>
      </c>
      <c r="E53" s="7">
        <f>1.25*E43*$C$5*($C$13-(1.25*E43*$C$5/(0.85*$C$4*($C$6*1000)))/2)/1000000</f>
      </c>
      <c r="F53" s="7">
        <f>1.25*F43*$C$5*($C$13-(1.25*F43*$C$5/(0.85*$C$4*($C$6*1000)))/2)/1000000</f>
      </c>
      <c r="G53" s="7">
        <f>1.25*G43*$C$5*($C$13-(1.25*G43*$C$5/(0.85*$C$4*($C$6*1000)))/2)/1000000</f>
      </c>
      <c r="H53" s="7">
        <f>1.25*H43*$C$5*($C$13-(1.25*H43*$C$5/(0.85*$C$4*($C$6*1000)))/2)/1000000</f>
      </c>
      <c r="I53" s="7">
        <f>1.25*I43*$C$5*($C$13-(1.25*I43*$C$5/(0.85*$C$4*($C$6*1000)))/2)/1000000</f>
      </c>
      <c r="J53" s="7">
        <f>1.25*J43*$C$5*($C$13-(1.25*J43*$C$5/(0.85*$C$4*($C$6*1000)))/2)/1000000</f>
      </c>
      <c r="K53" s="7">
        <f>1.25*K43*$C$5*($C$13-(1.25*K43*$C$5/(0.85*$C$4*($C$6*1000)))/2)/1000000</f>
      </c>
      <c r="L53" s="7">
        <f>1.25*L43*$C$5*($C$13-(1.25*L43*$C$5/(0.85*$C$4*($C$6*1000)))/2)/1000000</f>
      </c>
      <c r="M53" s="7">
        <f>1.25*M43*$C$5*($C$13-(1.25*M43*$C$5/(0.85*$C$4*($C$6*1000)))/2)/1000000</f>
      </c>
      <c r="N53" s="7">
        <f>1.25*N43*$C$5*($C$13-(1.25*N43*$C$5/(0.85*$C$4*($C$6*1000)))/2)/1000000</f>
      </c>
    </row>
    <row r="54">
      <c r="A54" s="3" t="inlineStr">
        <is>
          <t xml:space="preserve">Ve=(Mpr-+Mpr+)/Ln [kN]</t>
        </is>
      </c>
      <c r="C54" s="7">
        <f>(C52+C53)/C22</f>
      </c>
      <c r="D54" s="7">
        <f>(D52+D53)/D22</f>
      </c>
      <c r="E54" s="7">
        <f>(E52+E53)/E22</f>
      </c>
      <c r="F54" s="7">
        <f>(F52+F53)/F22</f>
      </c>
      <c r="G54" s="7">
        <f>(G52+G53)/G22</f>
      </c>
      <c r="H54" s="7">
        <f>(H52+H53)/H22</f>
      </c>
      <c r="I54" s="7">
        <f>(I52+I53)/I22</f>
      </c>
      <c r="J54" s="7">
        <f>(J52+J53)/J22</f>
      </c>
      <c r="K54" s="7">
        <f>(K52+K53)/K22</f>
      </c>
      <c r="L54" s="7">
        <f>(L52+L53)/L22</f>
      </c>
      <c r="M54" s="7">
        <f>(M52+M53)/M22</f>
      </c>
      <c r="N54" s="7">
        <f>(N52+N53)/N22</f>
      </c>
    </row>
    <row r="55">
      <c r="A55" s="3" t="inlineStr">
        <is>
          <t xml:space="preserve">V diseno=max(Vu,Ve) [kN]</t>
        </is>
      </c>
      <c r="C55" s="8">
        <f>MAX(C25,C54)</f>
      </c>
      <c r="D55" s="8">
        <f>MAX(D25,D54)</f>
      </c>
      <c r="E55" s="8">
        <f>MAX(E25,E54)</f>
      </c>
      <c r="F55" s="8">
        <f>MAX(F25,F54)</f>
      </c>
      <c r="G55" s="8">
        <f>MAX(G25,G54)</f>
      </c>
      <c r="H55" s="8">
        <f>MAX(H25,H54)</f>
      </c>
      <c r="I55" s="8">
        <f>MAX(I25,I54)</f>
      </c>
      <c r="J55" s="8">
        <f>MAX(J25,J54)</f>
      </c>
      <c r="K55" s="8">
        <f>MAX(K25,K54)</f>
      </c>
      <c r="L55" s="8">
        <f>MAX(L25,L54)</f>
      </c>
      <c r="M55" s="8">
        <f>MAX(M25,M54)</f>
      </c>
      <c r="N55" s="8">
        <f>MAX(N25,N54)</f>
      </c>
    </row>
    <row r="56">
      <c r="A56" s="2" t="inlineStr">
        <is>
          <t xml:space="preserve">TORSION (phi=0.75)</t>
        </is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>
      <c r="A57" s="3" t="inlineStr">
        <is>
          <t xml:space="preserve">Requiere torsion?</t>
        </is>
      </c>
      <c r="C57" s="8">
        <f>IF(C26&gt;$C$18,"SI - disenar","No - despreciable")</f>
      </c>
      <c r="D57" s="8">
        <f>IF(D26&gt;$C$18,"SI - disenar","No - despreciable")</f>
      </c>
      <c r="E57" s="8">
        <f>IF(E26&gt;$C$18,"SI - disenar","No - despreciable")</f>
      </c>
      <c r="F57" s="8">
        <f>IF(F26&gt;$C$18,"SI - disenar","No - despreciable")</f>
      </c>
      <c r="G57" s="8">
        <f>IF(G26&gt;$C$18,"SI - disenar","No - despreciable")</f>
      </c>
      <c r="H57" s="8">
        <f>IF(H26&gt;$C$18,"SI - disenar","No - despreciable")</f>
      </c>
      <c r="I57" s="8">
        <f>IF(I26&gt;$C$18,"SI - disenar","No - despreciable")</f>
      </c>
      <c r="J57" s="8">
        <f>IF(J26&gt;$C$18,"SI - disenar","No - despreciable")</f>
      </c>
      <c r="K57" s="8">
        <f>IF(K26&gt;$C$18,"SI - disenar","No - despreciable")</f>
      </c>
      <c r="L57" s="8">
        <f>IF(L26&gt;$C$18,"SI - disenar","No - despreciable")</f>
      </c>
      <c r="M57" s="8">
        <f>IF(M26&gt;$C$18,"SI - disenar","No - despreciable")</f>
      </c>
      <c r="N57" s="8">
        <f>IF(N26&gt;$C$18,"SI - disenar","No - despreciable")</f>
      </c>
    </row>
    <row r="58">
      <c r="A58" s="3" t="inlineStr">
        <is>
          <t xml:space="preserve">At/s [mm2/mm]</t>
        </is>
      </c>
      <c r="C58" s="7">
        <f>IF(C26&gt;$C$18,C26*1000000/(0.75*2*0.85*((($C$6*1000)-2*$C$8*1000)*(($C$7*1000)-2*$C$8*1000))*$C$5),0)</f>
      </c>
      <c r="D58" s="7">
        <f>IF(D26&gt;$C$18,D26*1000000/(0.75*2*0.85*((($C$6*1000)-2*$C$8*1000)*(($C$7*1000)-2*$C$8*1000))*$C$5),0)</f>
      </c>
      <c r="E58" s="7">
        <f>IF(E26&gt;$C$18,E26*1000000/(0.75*2*0.85*((($C$6*1000)-2*$C$8*1000)*(($C$7*1000)-2*$C$8*1000))*$C$5),0)</f>
      </c>
      <c r="F58" s="7">
        <f>IF(F26&gt;$C$18,F26*1000000/(0.75*2*0.85*((($C$6*1000)-2*$C$8*1000)*(($C$7*1000)-2*$C$8*1000))*$C$5),0)</f>
      </c>
      <c r="G58" s="7">
        <f>IF(G26&gt;$C$18,G26*1000000/(0.75*2*0.85*((($C$6*1000)-2*$C$8*1000)*(($C$7*1000)-2*$C$8*1000))*$C$5),0)</f>
      </c>
      <c r="H58" s="7">
        <f>IF(H26&gt;$C$18,H26*1000000/(0.75*2*0.85*((($C$6*1000)-2*$C$8*1000)*(($C$7*1000)-2*$C$8*1000))*$C$5),0)</f>
      </c>
      <c r="I58" s="7">
        <f>IF(I26&gt;$C$18,I26*1000000/(0.75*2*0.85*((($C$6*1000)-2*$C$8*1000)*(($C$7*1000)-2*$C$8*1000))*$C$5),0)</f>
      </c>
      <c r="J58" s="7">
        <f>IF(J26&gt;$C$18,J26*1000000/(0.75*2*0.85*((($C$6*1000)-2*$C$8*1000)*(($C$7*1000)-2*$C$8*1000))*$C$5),0)</f>
      </c>
      <c r="K58" s="7">
        <f>IF(K26&gt;$C$18,K26*1000000/(0.75*2*0.85*((($C$6*1000)-2*$C$8*1000)*(($C$7*1000)-2*$C$8*1000))*$C$5),0)</f>
      </c>
      <c r="L58" s="7">
        <f>IF(L26&gt;$C$18,L26*1000000/(0.75*2*0.85*((($C$6*1000)-2*$C$8*1000)*(($C$7*1000)-2*$C$8*1000))*$C$5),0)</f>
      </c>
      <c r="M58" s="7">
        <f>IF(M26&gt;$C$18,M26*1000000/(0.75*2*0.85*((($C$6*1000)-2*$C$8*1000)*(($C$7*1000)-2*$C$8*1000))*$C$5),0)</f>
      </c>
      <c r="N58" s="7">
        <f>IF(N26&gt;$C$18,N26*1000000/(0.75*2*0.85*((($C$6*1000)-2*$C$8*1000)*(($C$7*1000)-2*$C$8*1000))*$C$5),0)</f>
      </c>
    </row>
    <row r="59">
      <c r="A59" s="2" t="inlineStr">
        <is>
          <t xml:space="preserve">DEFLEXION (C.9.5)</t>
        </is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>
      <c r="A60" s="3" t="inlineStr">
        <is>
          <t xml:space="preserve">h min = Ln/18.5 [m]</t>
        </is>
      </c>
      <c r="C60" s="7">
        <f>C22/18.5</f>
      </c>
      <c r="D60" s="7">
        <f>D22/18.5</f>
      </c>
      <c r="E60" s="7">
        <f>E22/18.5</f>
      </c>
      <c r="F60" s="7">
        <f>F22/18.5</f>
      </c>
      <c r="G60" s="7">
        <f>G22/18.5</f>
      </c>
      <c r="H60" s="7">
        <f>H22/18.5</f>
      </c>
      <c r="I60" s="7">
        <f>I22/18.5</f>
      </c>
      <c r="J60" s="7">
        <f>J22/18.5</f>
      </c>
      <c r="K60" s="7">
        <f>K22/18.5</f>
      </c>
      <c r="L60" s="7">
        <f>L22/18.5</f>
      </c>
      <c r="M60" s="7">
        <f>M22/18.5</f>
      </c>
      <c r="N60" s="7">
        <f>N22/18.5</f>
      </c>
    </row>
    <row r="61">
      <c r="A61" s="3" t="inlineStr">
        <is>
          <t xml:space="preserve">CHECK deflexion</t>
        </is>
      </c>
      <c r="C61" s="8">
        <f>IF($C$7&gt;=C60,"CUMPLE","REVISAR")</f>
      </c>
      <c r="D61" s="8">
        <f>IF($C$7&gt;=D60,"CUMPLE","REVISAR")</f>
      </c>
      <c r="E61" s="8">
        <f>IF($C$7&gt;=E60,"CUMPLE","REVISAR")</f>
      </c>
      <c r="F61" s="8">
        <f>IF($C$7&gt;=F60,"CUMPLE","REVISAR")</f>
      </c>
      <c r="G61" s="8">
        <f>IF($C$7&gt;=G60,"CUMPLE","REVISAR")</f>
      </c>
      <c r="H61" s="8">
        <f>IF($C$7&gt;=H60,"CUMPLE","REVISAR")</f>
      </c>
      <c r="I61" s="8">
        <f>IF($C$7&gt;=I60,"CUMPLE","REVISAR")</f>
      </c>
      <c r="J61" s="8">
        <f>IF($C$7&gt;=J60,"CUMPLE","REVISAR")</f>
      </c>
      <c r="K61" s="8">
        <f>IF($C$7&gt;=K60,"CUMPLE","REVISAR")</f>
      </c>
      <c r="L61" s="8">
        <f>IF($C$7&gt;=L60,"CUMPLE","REVISAR")</f>
      </c>
      <c r="M61" s="8">
        <f>IF($C$7&gt;=M60,"CUMPLE","REVISAR")</f>
      </c>
      <c r="N61" s="8">
        <f>IF($C$7&gt;=N60,"CUMPLE","REVISAR")</f>
      </c>
    </row>
  </sheetData>
</worksheet>
</file>

<file path=xl/worksheets/sheet4.xml><?xml version="1.0" encoding="utf-8"?>
<worksheet xmlns="http://schemas.openxmlformats.org/spreadsheetml/2006/main">
  <cols>
    <col min="1" max="1" width="34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</cols>
  <sheetData>
    <row r="1">
      <c r="A1" s="1" t="inlineStr">
        <is>
          <t xml:space="preserve">Diseno Vigas de Rigidez VR</t>
        </is>
      </c>
    </row>
    <row r="3">
      <c r="A3" s="2" t="inlineStr">
        <is>
          <t xml:space="preserve">DATOS COMUNES DE LA SECCION</t>
        </is>
      </c>
    </row>
    <row r="4">
      <c r="A4" s="3" t="inlineStr">
        <is>
          <t xml:space="preserve">f'c [MPa]</t>
        </is>
      </c>
      <c r="C4" s="4">
        <v>28</v>
      </c>
    </row>
    <row r="5">
      <c r="A5" s="3" t="inlineStr">
        <is>
          <t xml:space="preserve">fy = fyt [MPa]</t>
        </is>
      </c>
      <c r="C5" s="4">
        <v>420</v>
      </c>
    </row>
    <row r="6">
      <c r="A6" s="3" t="inlineStr">
        <is>
          <t xml:space="preserve">b [m]</t>
        </is>
      </c>
      <c r="C6" s="4">
        <v>0.35</v>
      </c>
    </row>
    <row r="7">
      <c r="A7" s="3" t="inlineStr">
        <is>
          <t xml:space="preserve">h [m]</t>
        </is>
      </c>
      <c r="C7" s="4">
        <v>0.4</v>
      </c>
    </row>
    <row r="8">
      <c r="A8" s="3" t="inlineStr">
        <is>
          <t xml:space="preserve">recubrimiento [m]</t>
        </is>
      </c>
      <c r="C8" s="4">
        <v>0.04</v>
      </c>
    </row>
    <row r="9">
      <c r="A9" s="3" t="inlineStr">
        <is>
          <t xml:space="preserve">Diam estribo [mm]</t>
        </is>
      </c>
      <c r="C9" s="4">
        <v>9.5</v>
      </c>
    </row>
    <row r="10">
      <c r="A10" s="3" t="inlineStr">
        <is>
          <t xml:space="preserve">Diam barra long [mm]</t>
        </is>
      </c>
      <c r="C10" s="4">
        <v>15.9</v>
      </c>
    </row>
    <row r="11">
      <c r="A11" s="3" t="inlineStr">
        <is>
          <t xml:space="preserve">Area barra [mm2]</t>
        </is>
      </c>
      <c r="C11" s="4">
        <v>199</v>
      </c>
    </row>
    <row r="12">
      <c r="A12" s="3" t="inlineStr">
        <is>
          <t xml:space="preserve">Area 2 ramas Av [mm2]</t>
        </is>
      </c>
      <c r="C12" s="4">
        <v>142</v>
      </c>
    </row>
    <row r="13">
      <c r="A13" s="3" t="inlineStr">
        <is>
          <t xml:space="preserve">d = h-r-est-bl/2 [mm]</t>
        </is>
      </c>
      <c r="C13" s="7">
        <f>C7*1000-C8*1000-C9-C10/2</f>
      </c>
    </row>
    <row r="14">
      <c r="A14" s="3" t="inlineStr">
        <is>
          <t xml:space="preserve">As minimo [mm2]</t>
        </is>
      </c>
      <c r="C14" s="7">
        <f>MAX(0.25*SQRT(C4)/C5,1.4/C5)*(C6*1000)*C13</f>
      </c>
    </row>
    <row r="15">
      <c r="A15" s="3" t="inlineStr">
        <is>
          <t xml:space="preserve">As maximo (rho=0.025) [mm2]</t>
        </is>
      </c>
      <c r="C15" s="7">
        <f>0.025*(C6*1000)*C13</f>
      </c>
    </row>
    <row r="16">
      <c r="A16" s="3" t="inlineStr">
        <is>
          <t xml:space="preserve">Vc [kN]</t>
        </is>
      </c>
      <c r="C16" s="7">
        <f>0.17*SQRT(C4)*(C6*1000)*C13/1000</f>
      </c>
    </row>
    <row r="17">
      <c r="A17" s="3" t="inlineStr">
        <is>
          <t xml:space="preserve">Vs max [kN]</t>
        </is>
      </c>
      <c r="C17" s="7">
        <f>0.66*SQRT(C4)*(C6*1000)*C13/1000</f>
      </c>
    </row>
    <row r="18">
      <c r="A18" s="3" t="inlineStr">
        <is>
          <t xml:space="preserve">T umbral [kN.m]</t>
        </is>
      </c>
      <c r="C18" s="7">
        <f>0.75*0.083*SQRT(C4)*(((C6*1000)*(C7*1000))^2/(2*((C6*1000)+(C7*1000))))/1000000</f>
      </c>
    </row>
    <row r="20">
      <c r="A20" s="3" t="inlineStr">
        <is>
          <t xml:space="preserve">Parametro \ GRUPO</t>
        </is>
      </c>
      <c r="C20" s="5" t="inlineStr">
        <is>
          <t xml:space="preserve">VR-1</t>
        </is>
      </c>
      <c r="D20" s="5" t="inlineStr">
        <is>
          <t xml:space="preserve">VR-2</t>
        </is>
      </c>
      <c r="E20" s="5" t="inlineStr">
        <is>
          <t xml:space="preserve">VR-3</t>
        </is>
      </c>
      <c r="F20" s="5" t="inlineStr">
        <is>
          <t xml:space="preserve">VR-4</t>
        </is>
      </c>
      <c r="G20" s="5" t="inlineStr">
        <is>
          <t xml:space="preserve">VR-5</t>
        </is>
      </c>
      <c r="H20" s="5" t="inlineStr">
        <is>
          <t xml:space="preserve">VR-6</t>
        </is>
      </c>
      <c r="I20" s="5" t="inlineStr">
        <is>
          <t xml:space="preserve">VR-7</t>
        </is>
      </c>
      <c r="J20" s="5" t="inlineStr">
        <is>
          <t xml:space="preserve">VR-8</t>
        </is>
      </c>
      <c r="K20" s="5" t="inlineStr">
        <is>
          <t xml:space="preserve">VR-9</t>
        </is>
      </c>
      <c r="L20" s="5" t="inlineStr">
        <is>
          <t xml:space="preserve">VR-10</t>
        </is>
      </c>
      <c r="M20" s="5" t="inlineStr">
        <is>
          <t xml:space="preserve">VR-11</t>
        </is>
      </c>
      <c r="N20" s="5" t="inlineStr">
        <is>
          <t xml:space="preserve">VR-12</t>
        </is>
      </c>
      <c r="O20" s="5" t="inlineStr">
        <is>
          <t xml:space="preserve">VR-13</t>
        </is>
      </c>
      <c r="P20" s="5" t="inlineStr">
        <is>
          <t xml:space="preserve">VR-14</t>
        </is>
      </c>
      <c r="Q20" s="5" t="inlineStr">
        <is>
          <t xml:space="preserve">VR-15</t>
        </is>
      </c>
      <c r="R20" s="5" t="inlineStr">
        <is>
          <t xml:space="preserve">VR-16</t>
        </is>
      </c>
    </row>
    <row r="21">
      <c r="A21" s="2" t="inlineStr">
        <is>
          <t xml:space="preserve">SOLICITACIONES (sismo/R)</t>
        </is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>
      <c r="A22" s="3" t="inlineStr">
        <is>
          <t xml:space="preserve">Ln [m]</t>
        </is>
      </c>
      <c r="C22" s="6">
        <v>1.5</v>
      </c>
      <c r="D22" s="6">
        <v>2.5</v>
      </c>
      <c r="E22" s="6">
        <v>2.5</v>
      </c>
      <c r="F22" s="6">
        <v>2.6</v>
      </c>
      <c r="G22" s="6">
        <v>2.6</v>
      </c>
      <c r="H22" s="6">
        <v>2.7</v>
      </c>
      <c r="I22" s="6">
        <v>2.8</v>
      </c>
      <c r="J22" s="6">
        <v>2.95</v>
      </c>
      <c r="K22" s="6">
        <v>3.3</v>
      </c>
      <c r="L22" s="6">
        <v>3.3</v>
      </c>
      <c r="M22" s="6">
        <v>3.65</v>
      </c>
      <c r="N22" s="6">
        <v>3.65</v>
      </c>
      <c r="O22" s="6">
        <v>4.0</v>
      </c>
      <c r="P22" s="6">
        <v>4.0</v>
      </c>
      <c r="Q22" s="6">
        <v>4.18</v>
      </c>
      <c r="R22" s="6">
        <v>5.5</v>
      </c>
    </row>
    <row r="23">
      <c r="A23" s="3" t="inlineStr">
        <is>
          <t xml:space="preserve">Mu (-) [kN.m]</t>
        </is>
      </c>
      <c r="C23" s="6">
        <v>58</v>
      </c>
      <c r="D23" s="6">
        <v>32</v>
      </c>
      <c r="E23" s="6">
        <v>27</v>
      </c>
      <c r="F23" s="6">
        <v>97</v>
      </c>
      <c r="G23" s="6">
        <v>29</v>
      </c>
      <c r="H23" s="6">
        <v>81</v>
      </c>
      <c r="I23" s="6">
        <v>79</v>
      </c>
      <c r="J23" s="6">
        <v>56</v>
      </c>
      <c r="K23" s="6">
        <v>39</v>
      </c>
      <c r="L23" s="6">
        <v>37</v>
      </c>
      <c r="M23" s="6">
        <v>38</v>
      </c>
      <c r="N23" s="6">
        <v>47</v>
      </c>
      <c r="O23" s="6">
        <v>65</v>
      </c>
      <c r="P23" s="6">
        <v>61</v>
      </c>
      <c r="Q23" s="6">
        <v>78</v>
      </c>
      <c r="R23" s="6">
        <v>104</v>
      </c>
    </row>
    <row r="24">
      <c r="A24" s="3" t="inlineStr">
        <is>
          <t xml:space="preserve">Mu (+) [kN.m]</t>
        </is>
      </c>
      <c r="C24" s="6">
        <v>55</v>
      </c>
      <c r="D24" s="6">
        <v>11</v>
      </c>
      <c r="E24" s="6">
        <v>10</v>
      </c>
      <c r="F24" s="6">
        <v>87</v>
      </c>
      <c r="G24" s="6">
        <v>14</v>
      </c>
      <c r="H24" s="6">
        <v>43</v>
      </c>
      <c r="I24" s="6">
        <v>37</v>
      </c>
      <c r="J24" s="6">
        <v>46</v>
      </c>
      <c r="K24" s="6">
        <v>15</v>
      </c>
      <c r="L24" s="6">
        <v>15</v>
      </c>
      <c r="M24" s="6">
        <v>35</v>
      </c>
      <c r="N24" s="6">
        <v>35</v>
      </c>
      <c r="O24" s="6">
        <v>23</v>
      </c>
      <c r="P24" s="6">
        <v>28</v>
      </c>
      <c r="Q24" s="6">
        <v>26</v>
      </c>
      <c r="R24" s="6">
        <v>51</v>
      </c>
    </row>
    <row r="25">
      <c r="A25" s="3" t="inlineStr">
        <is>
          <t xml:space="preserve">Vu [kN]</t>
        </is>
      </c>
      <c r="C25" s="6">
        <v>81</v>
      </c>
      <c r="D25" s="6">
        <v>57</v>
      </c>
      <c r="E25" s="6">
        <v>55</v>
      </c>
      <c r="F25" s="6">
        <v>154</v>
      </c>
      <c r="G25" s="6">
        <v>56</v>
      </c>
      <c r="H25" s="6">
        <v>89</v>
      </c>
      <c r="I25" s="6">
        <v>86</v>
      </c>
      <c r="J25" s="6">
        <v>95</v>
      </c>
      <c r="K25" s="6">
        <v>58</v>
      </c>
      <c r="L25" s="6">
        <v>57</v>
      </c>
      <c r="M25" s="6">
        <v>110</v>
      </c>
      <c r="N25" s="6">
        <v>111</v>
      </c>
      <c r="O25" s="6">
        <v>74</v>
      </c>
      <c r="P25" s="6">
        <v>85</v>
      </c>
      <c r="Q25" s="6">
        <v>79</v>
      </c>
      <c r="R25" s="6">
        <v>113</v>
      </c>
    </row>
    <row r="26">
      <c r="A26" s="3" t="inlineStr">
        <is>
          <t xml:space="preserve">Tu [kN.m]</t>
        </is>
      </c>
      <c r="C26" s="6">
        <v>25.7</v>
      </c>
      <c r="D26" s="6">
        <v>0.6</v>
      </c>
      <c r="E26" s="6">
        <v>0</v>
      </c>
      <c r="F26" s="6">
        <v>6.4</v>
      </c>
      <c r="G26" s="6">
        <v>0</v>
      </c>
      <c r="H26" s="6">
        <v>4.2</v>
      </c>
      <c r="I26" s="6">
        <v>4.0</v>
      </c>
      <c r="J26" s="6">
        <v>1.7</v>
      </c>
      <c r="K26" s="6">
        <v>1.1</v>
      </c>
      <c r="L26" s="6">
        <v>0</v>
      </c>
      <c r="M26" s="6">
        <v>6.0</v>
      </c>
      <c r="N26" s="6">
        <v>6.0</v>
      </c>
      <c r="O26" s="6">
        <v>5.5</v>
      </c>
      <c r="P26" s="6">
        <v>0</v>
      </c>
      <c r="Q26" s="6">
        <v>0.8</v>
      </c>
      <c r="R26" s="6">
        <v>0</v>
      </c>
    </row>
    <row r="27">
      <c r="A27" s="2" t="inlineStr">
        <is>
          <t xml:space="preserve">FLEXION - MOMENTO NEGATIVO</t>
        </is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>
      <c r="A28" s="3" t="inlineStr">
        <is>
          <t xml:space="preserve">Rn(-)</t>
        </is>
      </c>
      <c r="C28" s="7">
        <f>C23*1000000/(0.9*($C$6*1000)*$C$13^2)</f>
      </c>
      <c r="D28" s="7">
        <f>D23*1000000/(0.9*($C$6*1000)*$C$13^2)</f>
      </c>
      <c r="E28" s="7">
        <f>E23*1000000/(0.9*($C$6*1000)*$C$13^2)</f>
      </c>
      <c r="F28" s="7">
        <f>F23*1000000/(0.9*($C$6*1000)*$C$13^2)</f>
      </c>
      <c r="G28" s="7">
        <f>G23*1000000/(0.9*($C$6*1000)*$C$13^2)</f>
      </c>
      <c r="H28" s="7">
        <f>H23*1000000/(0.9*($C$6*1000)*$C$13^2)</f>
      </c>
      <c r="I28" s="7">
        <f>I23*1000000/(0.9*($C$6*1000)*$C$13^2)</f>
      </c>
      <c r="J28" s="7">
        <f>J23*1000000/(0.9*($C$6*1000)*$C$13^2)</f>
      </c>
      <c r="K28" s="7">
        <f>K23*1000000/(0.9*($C$6*1000)*$C$13^2)</f>
      </c>
      <c r="L28" s="7">
        <f>L23*1000000/(0.9*($C$6*1000)*$C$13^2)</f>
      </c>
      <c r="M28" s="7">
        <f>M23*1000000/(0.9*($C$6*1000)*$C$13^2)</f>
      </c>
      <c r="N28" s="7">
        <f>N23*1000000/(0.9*($C$6*1000)*$C$13^2)</f>
      </c>
      <c r="O28" s="7">
        <f>O23*1000000/(0.9*($C$6*1000)*$C$13^2)</f>
      </c>
      <c r="P28" s="7">
        <f>P23*1000000/(0.9*($C$6*1000)*$C$13^2)</f>
      </c>
      <c r="Q28" s="7">
        <f>Q23*1000000/(0.9*($C$6*1000)*$C$13^2)</f>
      </c>
      <c r="R28" s="7">
        <f>R23*1000000/(0.9*($C$6*1000)*$C$13^2)</f>
      </c>
    </row>
    <row r="29">
      <c r="A29" s="3" t="inlineStr">
        <is>
          <t xml:space="preserve">rho(-)</t>
        </is>
      </c>
      <c r="C29" s="7">
        <f>(0.85*$C$4/$C$5)*(1-SQRT(1-2*C28/(0.85*$C$4)))</f>
      </c>
      <c r="D29" s="7">
        <f>(0.85*$C$4/$C$5)*(1-SQRT(1-2*D28/(0.85*$C$4)))</f>
      </c>
      <c r="E29" s="7">
        <f>(0.85*$C$4/$C$5)*(1-SQRT(1-2*E28/(0.85*$C$4)))</f>
      </c>
      <c r="F29" s="7">
        <f>(0.85*$C$4/$C$5)*(1-SQRT(1-2*F28/(0.85*$C$4)))</f>
      </c>
      <c r="G29" s="7">
        <f>(0.85*$C$4/$C$5)*(1-SQRT(1-2*G28/(0.85*$C$4)))</f>
      </c>
      <c r="H29" s="7">
        <f>(0.85*$C$4/$C$5)*(1-SQRT(1-2*H28/(0.85*$C$4)))</f>
      </c>
      <c r="I29" s="7">
        <f>(0.85*$C$4/$C$5)*(1-SQRT(1-2*I28/(0.85*$C$4)))</f>
      </c>
      <c r="J29" s="7">
        <f>(0.85*$C$4/$C$5)*(1-SQRT(1-2*J28/(0.85*$C$4)))</f>
      </c>
      <c r="K29" s="7">
        <f>(0.85*$C$4/$C$5)*(1-SQRT(1-2*K28/(0.85*$C$4)))</f>
      </c>
      <c r="L29" s="7">
        <f>(0.85*$C$4/$C$5)*(1-SQRT(1-2*L28/(0.85*$C$4)))</f>
      </c>
      <c r="M29" s="7">
        <f>(0.85*$C$4/$C$5)*(1-SQRT(1-2*M28/(0.85*$C$4)))</f>
      </c>
      <c r="N29" s="7">
        <f>(0.85*$C$4/$C$5)*(1-SQRT(1-2*N28/(0.85*$C$4)))</f>
      </c>
      <c r="O29" s="7">
        <f>(0.85*$C$4/$C$5)*(1-SQRT(1-2*O28/(0.85*$C$4)))</f>
      </c>
      <c r="P29" s="7">
        <f>(0.85*$C$4/$C$5)*(1-SQRT(1-2*P28/(0.85*$C$4)))</f>
      </c>
      <c r="Q29" s="7">
        <f>(0.85*$C$4/$C$5)*(1-SQRT(1-2*Q28/(0.85*$C$4)))</f>
      </c>
      <c r="R29" s="7">
        <f>(0.85*$C$4/$C$5)*(1-SQRT(1-2*R28/(0.85*$C$4)))</f>
      </c>
    </row>
    <row r="30">
      <c r="A30" s="3" t="inlineStr">
        <is>
          <t xml:space="preserve">As(-) req [mm2]</t>
        </is>
      </c>
      <c r="C30" s="7">
        <f>C29*($C$6*1000)*$C$13</f>
      </c>
      <c r="D30" s="7">
        <f>D29*($C$6*1000)*$C$13</f>
      </c>
      <c r="E30" s="7">
        <f>E29*($C$6*1000)*$C$13</f>
      </c>
      <c r="F30" s="7">
        <f>F29*($C$6*1000)*$C$13</f>
      </c>
      <c r="G30" s="7">
        <f>G29*($C$6*1000)*$C$13</f>
      </c>
      <c r="H30" s="7">
        <f>H29*($C$6*1000)*$C$13</f>
      </c>
      <c r="I30" s="7">
        <f>I29*($C$6*1000)*$C$13</f>
      </c>
      <c r="J30" s="7">
        <f>J29*($C$6*1000)*$C$13</f>
      </c>
      <c r="K30" s="7">
        <f>K29*($C$6*1000)*$C$13</f>
      </c>
      <c r="L30" s="7">
        <f>L29*($C$6*1000)*$C$13</f>
      </c>
      <c r="M30" s="7">
        <f>M29*($C$6*1000)*$C$13</f>
      </c>
      <c r="N30" s="7">
        <f>N29*($C$6*1000)*$C$13</f>
      </c>
      <c r="O30" s="7">
        <f>O29*($C$6*1000)*$C$13</f>
      </c>
      <c r="P30" s="7">
        <f>P29*($C$6*1000)*$C$13</f>
      </c>
      <c r="Q30" s="7">
        <f>Q29*($C$6*1000)*$C$13</f>
      </c>
      <c r="R30" s="7">
        <f>R29*($C$6*1000)*$C$13</f>
      </c>
    </row>
    <row r="31">
      <c r="A31" s="3" t="inlineStr">
        <is>
          <t xml:space="preserve">As(-) diseno [mm2]</t>
        </is>
      </c>
      <c r="C31" s="7">
        <f>MAX(C30,$C$14)</f>
      </c>
      <c r="D31" s="7">
        <f>MAX(D30,$C$14)</f>
      </c>
      <c r="E31" s="7">
        <f>MAX(E30,$C$14)</f>
      </c>
      <c r="F31" s="7">
        <f>MAX(F30,$C$14)</f>
      </c>
      <c r="G31" s="7">
        <f>MAX(G30,$C$14)</f>
      </c>
      <c r="H31" s="7">
        <f>MAX(H30,$C$14)</f>
      </c>
      <c r="I31" s="7">
        <f>MAX(I30,$C$14)</f>
      </c>
      <c r="J31" s="7">
        <f>MAX(J30,$C$14)</f>
      </c>
      <c r="K31" s="7">
        <f>MAX(K30,$C$14)</f>
      </c>
      <c r="L31" s="7">
        <f>MAX(L30,$C$14)</f>
      </c>
      <c r="M31" s="7">
        <f>MAX(M30,$C$14)</f>
      </c>
      <c r="N31" s="7">
        <f>MAX(N30,$C$14)</f>
      </c>
      <c r="O31" s="7">
        <f>MAX(O30,$C$14)</f>
      </c>
      <c r="P31" s="7">
        <f>MAX(P30,$C$14)</f>
      </c>
      <c r="Q31" s="7">
        <f>MAX(Q30,$C$14)</f>
      </c>
      <c r="R31" s="7">
        <f>MAX(R30,$C$14)</f>
      </c>
    </row>
    <row r="32">
      <c r="A32" s="3" t="inlineStr">
        <is>
          <t xml:space="preserve">N barras (-)</t>
        </is>
      </c>
      <c r="C32" s="8">
        <f>ROUNDUP(C31/$C$11,0)</f>
      </c>
      <c r="D32" s="8">
        <f>ROUNDUP(D31/$C$11,0)</f>
      </c>
      <c r="E32" s="8">
        <f>ROUNDUP(E31/$C$11,0)</f>
      </c>
      <c r="F32" s="8">
        <f>ROUNDUP(F31/$C$11,0)</f>
      </c>
      <c r="G32" s="8">
        <f>ROUNDUP(G31/$C$11,0)</f>
      </c>
      <c r="H32" s="8">
        <f>ROUNDUP(H31/$C$11,0)</f>
      </c>
      <c r="I32" s="8">
        <f>ROUNDUP(I31/$C$11,0)</f>
      </c>
      <c r="J32" s="8">
        <f>ROUNDUP(J31/$C$11,0)</f>
      </c>
      <c r="K32" s="8">
        <f>ROUNDUP(K31/$C$11,0)</f>
      </c>
      <c r="L32" s="8">
        <f>ROUNDUP(L31/$C$11,0)</f>
      </c>
      <c r="M32" s="8">
        <f>ROUNDUP(M31/$C$11,0)</f>
      </c>
      <c r="N32" s="8">
        <f>ROUNDUP(N31/$C$11,0)</f>
      </c>
      <c r="O32" s="8">
        <f>ROUNDUP(O31/$C$11,0)</f>
      </c>
      <c r="P32" s="8">
        <f>ROUNDUP(P31/$C$11,0)</f>
      </c>
      <c r="Q32" s="8">
        <f>ROUNDUP(Q31/$C$11,0)</f>
      </c>
      <c r="R32" s="8">
        <f>ROUNDUP(R31/$C$11,0)</f>
      </c>
    </row>
    <row r="33">
      <c r="A33" s="3" t="inlineStr">
        <is>
          <t xml:space="preserve">As(-) colocado [mm2]</t>
        </is>
      </c>
      <c r="C33" s="7">
        <f>C32*$C$11</f>
      </c>
      <c r="D33" s="7">
        <f>D32*$C$11</f>
      </c>
      <c r="E33" s="7">
        <f>E32*$C$11</f>
      </c>
      <c r="F33" s="7">
        <f>F32*$C$11</f>
      </c>
      <c r="G33" s="7">
        <f>G32*$C$11</f>
      </c>
      <c r="H33" s="7">
        <f>H32*$C$11</f>
      </c>
      <c r="I33" s="7">
        <f>I32*$C$11</f>
      </c>
      <c r="J33" s="7">
        <f>J32*$C$11</f>
      </c>
      <c r="K33" s="7">
        <f>K32*$C$11</f>
      </c>
      <c r="L33" s="7">
        <f>L32*$C$11</f>
      </c>
      <c r="M33" s="7">
        <f>M32*$C$11</f>
      </c>
      <c r="N33" s="7">
        <f>N32*$C$11</f>
      </c>
      <c r="O33" s="7">
        <f>O32*$C$11</f>
      </c>
      <c r="P33" s="7">
        <f>P32*$C$11</f>
      </c>
      <c r="Q33" s="7">
        <f>Q32*$C$11</f>
      </c>
      <c r="R33" s="7">
        <f>R32*$C$11</f>
      </c>
    </row>
    <row r="34">
      <c r="A34" s="3" t="inlineStr">
        <is>
          <t xml:space="preserve">a(-) [mm]</t>
        </is>
      </c>
      <c r="C34" s="7">
        <f>C33*$C$5/(0.85*$C$4*($C$6*1000))</f>
      </c>
      <c r="D34" s="7">
        <f>D33*$C$5/(0.85*$C$4*($C$6*1000))</f>
      </c>
      <c r="E34" s="7">
        <f>E33*$C$5/(0.85*$C$4*($C$6*1000))</f>
      </c>
      <c r="F34" s="7">
        <f>F33*$C$5/(0.85*$C$4*($C$6*1000))</f>
      </c>
      <c r="G34" s="7">
        <f>G33*$C$5/(0.85*$C$4*($C$6*1000))</f>
      </c>
      <c r="H34" s="7">
        <f>H33*$C$5/(0.85*$C$4*($C$6*1000))</f>
      </c>
      <c r="I34" s="7">
        <f>I33*$C$5/(0.85*$C$4*($C$6*1000))</f>
      </c>
      <c r="J34" s="7">
        <f>J33*$C$5/(0.85*$C$4*($C$6*1000))</f>
      </c>
      <c r="K34" s="7">
        <f>K33*$C$5/(0.85*$C$4*($C$6*1000))</f>
      </c>
      <c r="L34" s="7">
        <f>L33*$C$5/(0.85*$C$4*($C$6*1000))</f>
      </c>
      <c r="M34" s="7">
        <f>M33*$C$5/(0.85*$C$4*($C$6*1000))</f>
      </c>
      <c r="N34" s="7">
        <f>N33*$C$5/(0.85*$C$4*($C$6*1000))</f>
      </c>
      <c r="O34" s="7">
        <f>O33*$C$5/(0.85*$C$4*($C$6*1000))</f>
      </c>
      <c r="P34" s="7">
        <f>P33*$C$5/(0.85*$C$4*($C$6*1000))</f>
      </c>
      <c r="Q34" s="7">
        <f>Q33*$C$5/(0.85*$C$4*($C$6*1000))</f>
      </c>
      <c r="R34" s="7">
        <f>R33*$C$5/(0.85*$C$4*($C$6*1000))</f>
      </c>
    </row>
    <row r="35">
      <c r="A35" s="3" t="inlineStr">
        <is>
          <t xml:space="preserve">phiMn(-) [kN.m]</t>
        </is>
      </c>
      <c r="C35" s="8">
        <f>0.9*C33*$C$5*($C$13-C34/2)/1000000</f>
      </c>
      <c r="D35" s="8">
        <f>0.9*D33*$C$5*($C$13-D34/2)/1000000</f>
      </c>
      <c r="E35" s="8">
        <f>0.9*E33*$C$5*($C$13-E34/2)/1000000</f>
      </c>
      <c r="F35" s="8">
        <f>0.9*F33*$C$5*($C$13-F34/2)/1000000</f>
      </c>
      <c r="G35" s="8">
        <f>0.9*G33*$C$5*($C$13-G34/2)/1000000</f>
      </c>
      <c r="H35" s="8">
        <f>0.9*H33*$C$5*($C$13-H34/2)/1000000</f>
      </c>
      <c r="I35" s="8">
        <f>0.9*I33*$C$5*($C$13-I34/2)/1000000</f>
      </c>
      <c r="J35" s="8">
        <f>0.9*J33*$C$5*($C$13-J34/2)/1000000</f>
      </c>
      <c r="K35" s="8">
        <f>0.9*K33*$C$5*($C$13-K34/2)/1000000</f>
      </c>
      <c r="L35" s="8">
        <f>0.9*L33*$C$5*($C$13-L34/2)/1000000</f>
      </c>
      <c r="M35" s="8">
        <f>0.9*M33*$C$5*($C$13-M34/2)/1000000</f>
      </c>
      <c r="N35" s="8">
        <f>0.9*N33*$C$5*($C$13-N34/2)/1000000</f>
      </c>
      <c r="O35" s="8">
        <f>0.9*O33*$C$5*($C$13-O34/2)/1000000</f>
      </c>
      <c r="P35" s="8">
        <f>0.9*P33*$C$5*($C$13-P34/2)/1000000</f>
      </c>
      <c r="Q35" s="8">
        <f>0.9*Q33*$C$5*($C$13-Q34/2)/1000000</f>
      </c>
      <c r="R35" s="8">
        <f>0.9*R33*$C$5*($C$13-R34/2)/1000000</f>
      </c>
    </row>
    <row r="36">
      <c r="A36" s="3" t="inlineStr">
        <is>
          <t xml:space="preserve">CHECK flexion (-)</t>
        </is>
      </c>
      <c r="C36" s="8">
        <f>IF(AND(C35&gt;=C23,C31&lt;=$C$15,C31&gt;=$C$14),"CUMPLE","REVISAR")</f>
      </c>
      <c r="D36" s="8">
        <f>IF(AND(D35&gt;=D23,D31&lt;=$C$15,D31&gt;=$C$14),"CUMPLE","REVISAR")</f>
      </c>
      <c r="E36" s="8">
        <f>IF(AND(E35&gt;=E23,E31&lt;=$C$15,E31&gt;=$C$14),"CUMPLE","REVISAR")</f>
      </c>
      <c r="F36" s="8">
        <f>IF(AND(F35&gt;=F23,F31&lt;=$C$15,F31&gt;=$C$14),"CUMPLE","REVISAR")</f>
      </c>
      <c r="G36" s="8">
        <f>IF(AND(G35&gt;=G23,G31&lt;=$C$15,G31&gt;=$C$14),"CUMPLE","REVISAR")</f>
      </c>
      <c r="H36" s="8">
        <f>IF(AND(H35&gt;=H23,H31&lt;=$C$15,H31&gt;=$C$14),"CUMPLE","REVISAR")</f>
      </c>
      <c r="I36" s="8">
        <f>IF(AND(I35&gt;=I23,I31&lt;=$C$15,I31&gt;=$C$14),"CUMPLE","REVISAR")</f>
      </c>
      <c r="J36" s="8">
        <f>IF(AND(J35&gt;=J23,J31&lt;=$C$15,J31&gt;=$C$14),"CUMPLE","REVISAR")</f>
      </c>
      <c r="K36" s="8">
        <f>IF(AND(K35&gt;=K23,K31&lt;=$C$15,K31&gt;=$C$14),"CUMPLE","REVISAR")</f>
      </c>
      <c r="L36" s="8">
        <f>IF(AND(L35&gt;=L23,L31&lt;=$C$15,L31&gt;=$C$14),"CUMPLE","REVISAR")</f>
      </c>
      <c r="M36" s="8">
        <f>IF(AND(M35&gt;=M23,M31&lt;=$C$15,M31&gt;=$C$14),"CUMPLE","REVISAR")</f>
      </c>
      <c r="N36" s="8">
        <f>IF(AND(N35&gt;=N23,N31&lt;=$C$15,N31&gt;=$C$14),"CUMPLE","REVISAR")</f>
      </c>
      <c r="O36" s="8">
        <f>IF(AND(O35&gt;=O23,O31&lt;=$C$15,O31&gt;=$C$14),"CUMPLE","REVISAR")</f>
      </c>
      <c r="P36" s="8">
        <f>IF(AND(P35&gt;=P23,P31&lt;=$C$15,P31&gt;=$C$14),"CUMPLE","REVISAR")</f>
      </c>
      <c r="Q36" s="8">
        <f>IF(AND(Q35&gt;=Q23,Q31&lt;=$C$15,Q31&gt;=$C$14),"CUMPLE","REVISAR")</f>
      </c>
      <c r="R36" s="8">
        <f>IF(AND(R35&gt;=R23,R31&lt;=$C$15,R31&gt;=$C$14),"CUMPLE","REVISAR")</f>
      </c>
    </row>
    <row r="37">
      <c r="A37" s="2" t="inlineStr">
        <is>
          <t xml:space="preserve">FLEXION - MOMENTO POSITIVO</t>
        </is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>
      <c r="A38" s="3" t="inlineStr">
        <is>
          <t xml:space="preserve">Rn(+)</t>
        </is>
      </c>
      <c r="C38" s="7">
        <f>C24*1000000/(0.9*($C$6*1000)*$C$13^2)</f>
      </c>
      <c r="D38" s="7">
        <f>D24*1000000/(0.9*($C$6*1000)*$C$13^2)</f>
      </c>
      <c r="E38" s="7">
        <f>E24*1000000/(0.9*($C$6*1000)*$C$13^2)</f>
      </c>
      <c r="F38" s="7">
        <f>F24*1000000/(0.9*($C$6*1000)*$C$13^2)</f>
      </c>
      <c r="G38" s="7">
        <f>G24*1000000/(0.9*($C$6*1000)*$C$13^2)</f>
      </c>
      <c r="H38" s="7">
        <f>H24*1000000/(0.9*($C$6*1000)*$C$13^2)</f>
      </c>
      <c r="I38" s="7">
        <f>I24*1000000/(0.9*($C$6*1000)*$C$13^2)</f>
      </c>
      <c r="J38" s="7">
        <f>J24*1000000/(0.9*($C$6*1000)*$C$13^2)</f>
      </c>
      <c r="K38" s="7">
        <f>K24*1000000/(0.9*($C$6*1000)*$C$13^2)</f>
      </c>
      <c r="L38" s="7">
        <f>L24*1000000/(0.9*($C$6*1000)*$C$13^2)</f>
      </c>
      <c r="M38" s="7">
        <f>M24*1000000/(0.9*($C$6*1000)*$C$13^2)</f>
      </c>
      <c r="N38" s="7">
        <f>N24*1000000/(0.9*($C$6*1000)*$C$13^2)</f>
      </c>
      <c r="O38" s="7">
        <f>O24*1000000/(0.9*($C$6*1000)*$C$13^2)</f>
      </c>
      <c r="P38" s="7">
        <f>P24*1000000/(0.9*($C$6*1000)*$C$13^2)</f>
      </c>
      <c r="Q38" s="7">
        <f>Q24*1000000/(0.9*($C$6*1000)*$C$13^2)</f>
      </c>
      <c r="R38" s="7">
        <f>R24*1000000/(0.9*($C$6*1000)*$C$13^2)</f>
      </c>
    </row>
    <row r="39">
      <c r="A39" s="3" t="inlineStr">
        <is>
          <t xml:space="preserve">rho(+)</t>
        </is>
      </c>
      <c r="C39" s="7">
        <f>(0.85*$C$4/$C$5)*(1-SQRT(1-2*C38/(0.85*$C$4)))</f>
      </c>
      <c r="D39" s="7">
        <f>(0.85*$C$4/$C$5)*(1-SQRT(1-2*D38/(0.85*$C$4)))</f>
      </c>
      <c r="E39" s="7">
        <f>(0.85*$C$4/$C$5)*(1-SQRT(1-2*E38/(0.85*$C$4)))</f>
      </c>
      <c r="F39" s="7">
        <f>(0.85*$C$4/$C$5)*(1-SQRT(1-2*F38/(0.85*$C$4)))</f>
      </c>
      <c r="G39" s="7">
        <f>(0.85*$C$4/$C$5)*(1-SQRT(1-2*G38/(0.85*$C$4)))</f>
      </c>
      <c r="H39" s="7">
        <f>(0.85*$C$4/$C$5)*(1-SQRT(1-2*H38/(0.85*$C$4)))</f>
      </c>
      <c r="I39" s="7">
        <f>(0.85*$C$4/$C$5)*(1-SQRT(1-2*I38/(0.85*$C$4)))</f>
      </c>
      <c r="J39" s="7">
        <f>(0.85*$C$4/$C$5)*(1-SQRT(1-2*J38/(0.85*$C$4)))</f>
      </c>
      <c r="K39" s="7">
        <f>(0.85*$C$4/$C$5)*(1-SQRT(1-2*K38/(0.85*$C$4)))</f>
      </c>
      <c r="L39" s="7">
        <f>(0.85*$C$4/$C$5)*(1-SQRT(1-2*L38/(0.85*$C$4)))</f>
      </c>
      <c r="M39" s="7">
        <f>(0.85*$C$4/$C$5)*(1-SQRT(1-2*M38/(0.85*$C$4)))</f>
      </c>
      <c r="N39" s="7">
        <f>(0.85*$C$4/$C$5)*(1-SQRT(1-2*N38/(0.85*$C$4)))</f>
      </c>
      <c r="O39" s="7">
        <f>(0.85*$C$4/$C$5)*(1-SQRT(1-2*O38/(0.85*$C$4)))</f>
      </c>
      <c r="P39" s="7">
        <f>(0.85*$C$4/$C$5)*(1-SQRT(1-2*P38/(0.85*$C$4)))</f>
      </c>
      <c r="Q39" s="7">
        <f>(0.85*$C$4/$C$5)*(1-SQRT(1-2*Q38/(0.85*$C$4)))</f>
      </c>
      <c r="R39" s="7">
        <f>(0.85*$C$4/$C$5)*(1-SQRT(1-2*R38/(0.85*$C$4)))</f>
      </c>
    </row>
    <row r="40">
      <c r="A40" s="3" t="inlineStr">
        <is>
          <t xml:space="preserve">As(+) req [mm2]</t>
        </is>
      </c>
      <c r="C40" s="7">
        <f>C39*($C$6*1000)*$C$13</f>
      </c>
      <c r="D40" s="7">
        <f>D39*($C$6*1000)*$C$13</f>
      </c>
      <c r="E40" s="7">
        <f>E39*($C$6*1000)*$C$13</f>
      </c>
      <c r="F40" s="7">
        <f>F39*($C$6*1000)*$C$13</f>
      </c>
      <c r="G40" s="7">
        <f>G39*($C$6*1000)*$C$13</f>
      </c>
      <c r="H40" s="7">
        <f>H39*($C$6*1000)*$C$13</f>
      </c>
      <c r="I40" s="7">
        <f>I39*($C$6*1000)*$C$13</f>
      </c>
      <c r="J40" s="7">
        <f>J39*($C$6*1000)*$C$13</f>
      </c>
      <c r="K40" s="7">
        <f>K39*($C$6*1000)*$C$13</f>
      </c>
      <c r="L40" s="7">
        <f>L39*($C$6*1000)*$C$13</f>
      </c>
      <c r="M40" s="7">
        <f>M39*($C$6*1000)*$C$13</f>
      </c>
      <c r="N40" s="7">
        <f>N39*($C$6*1000)*$C$13</f>
      </c>
      <c r="O40" s="7">
        <f>O39*($C$6*1000)*$C$13</f>
      </c>
      <c r="P40" s="7">
        <f>P39*($C$6*1000)*$C$13</f>
      </c>
      <c r="Q40" s="7">
        <f>Q39*($C$6*1000)*$C$13</f>
      </c>
      <c r="R40" s="7">
        <f>R39*($C$6*1000)*$C$13</f>
      </c>
    </row>
    <row r="41">
      <c r="A41" s="3" t="inlineStr">
        <is>
          <t xml:space="preserve">As(+) diseno [mm2]</t>
        </is>
      </c>
      <c r="C41" s="7">
        <f>MAX(C40,$C$14)</f>
      </c>
      <c r="D41" s="7">
        <f>MAX(D40,$C$14)</f>
      </c>
      <c r="E41" s="7">
        <f>MAX(E40,$C$14)</f>
      </c>
      <c r="F41" s="7">
        <f>MAX(F40,$C$14)</f>
      </c>
      <c r="G41" s="7">
        <f>MAX(G40,$C$14)</f>
      </c>
      <c r="H41" s="7">
        <f>MAX(H40,$C$14)</f>
      </c>
      <c r="I41" s="7">
        <f>MAX(I40,$C$14)</f>
      </c>
      <c r="J41" s="7">
        <f>MAX(J40,$C$14)</f>
      </c>
      <c r="K41" s="7">
        <f>MAX(K40,$C$14)</f>
      </c>
      <c r="L41" s="7">
        <f>MAX(L40,$C$14)</f>
      </c>
      <c r="M41" s="7">
        <f>MAX(M40,$C$14)</f>
      </c>
      <c r="N41" s="7">
        <f>MAX(N40,$C$14)</f>
      </c>
      <c r="O41" s="7">
        <f>MAX(O40,$C$14)</f>
      </c>
      <c r="P41" s="7">
        <f>MAX(P40,$C$14)</f>
      </c>
      <c r="Q41" s="7">
        <f>MAX(Q40,$C$14)</f>
      </c>
      <c r="R41" s="7">
        <f>MAX(R40,$C$14)</f>
      </c>
    </row>
    <row r="42">
      <c r="A42" s="3" t="inlineStr">
        <is>
          <t xml:space="preserve">N barras (+)</t>
        </is>
      </c>
      <c r="C42" s="8">
        <f>ROUNDUP(C41/$C$11,0)</f>
      </c>
      <c r="D42" s="8">
        <f>ROUNDUP(D41/$C$11,0)</f>
      </c>
      <c r="E42" s="8">
        <f>ROUNDUP(E41/$C$11,0)</f>
      </c>
      <c r="F42" s="8">
        <f>ROUNDUP(F41/$C$11,0)</f>
      </c>
      <c r="G42" s="8">
        <f>ROUNDUP(G41/$C$11,0)</f>
      </c>
      <c r="H42" s="8">
        <f>ROUNDUP(H41/$C$11,0)</f>
      </c>
      <c r="I42" s="8">
        <f>ROUNDUP(I41/$C$11,0)</f>
      </c>
      <c r="J42" s="8">
        <f>ROUNDUP(J41/$C$11,0)</f>
      </c>
      <c r="K42" s="8">
        <f>ROUNDUP(K41/$C$11,0)</f>
      </c>
      <c r="L42" s="8">
        <f>ROUNDUP(L41/$C$11,0)</f>
      </c>
      <c r="M42" s="8">
        <f>ROUNDUP(M41/$C$11,0)</f>
      </c>
      <c r="N42" s="8">
        <f>ROUNDUP(N41/$C$11,0)</f>
      </c>
      <c r="O42" s="8">
        <f>ROUNDUP(O41/$C$11,0)</f>
      </c>
      <c r="P42" s="8">
        <f>ROUNDUP(P41/$C$11,0)</f>
      </c>
      <c r="Q42" s="8">
        <f>ROUNDUP(Q41/$C$11,0)</f>
      </c>
      <c r="R42" s="8">
        <f>ROUNDUP(R41/$C$11,0)</f>
      </c>
    </row>
    <row r="43">
      <c r="A43" s="3" t="inlineStr">
        <is>
          <t xml:space="preserve">As(+) colocado [mm2]</t>
        </is>
      </c>
      <c r="C43" s="7">
        <f>C42*$C$11</f>
      </c>
      <c r="D43" s="7">
        <f>D42*$C$11</f>
      </c>
      <c r="E43" s="7">
        <f>E42*$C$11</f>
      </c>
      <c r="F43" s="7">
        <f>F42*$C$11</f>
      </c>
      <c r="G43" s="7">
        <f>G42*$C$11</f>
      </c>
      <c r="H43" s="7">
        <f>H42*$C$11</f>
      </c>
      <c r="I43" s="7">
        <f>I42*$C$11</f>
      </c>
      <c r="J43" s="7">
        <f>J42*$C$11</f>
      </c>
      <c r="K43" s="7">
        <f>K42*$C$11</f>
      </c>
      <c r="L43" s="7">
        <f>L42*$C$11</f>
      </c>
      <c r="M43" s="7">
        <f>M42*$C$11</f>
      </c>
      <c r="N43" s="7">
        <f>N42*$C$11</f>
      </c>
      <c r="O43" s="7">
        <f>O42*$C$11</f>
      </c>
      <c r="P43" s="7">
        <f>P42*$C$11</f>
      </c>
      <c r="Q43" s="7">
        <f>Q42*$C$11</f>
      </c>
      <c r="R43" s="7">
        <f>R42*$C$11</f>
      </c>
    </row>
    <row r="44">
      <c r="A44" s="3" t="inlineStr">
        <is>
          <t xml:space="preserve">a(+) [mm]</t>
        </is>
      </c>
      <c r="C44" s="7">
        <f>C43*$C$5/(0.85*$C$4*($C$6*1000))</f>
      </c>
      <c r="D44" s="7">
        <f>D43*$C$5/(0.85*$C$4*($C$6*1000))</f>
      </c>
      <c r="E44" s="7">
        <f>E43*$C$5/(0.85*$C$4*($C$6*1000))</f>
      </c>
      <c r="F44" s="7">
        <f>F43*$C$5/(0.85*$C$4*($C$6*1000))</f>
      </c>
      <c r="G44" s="7">
        <f>G43*$C$5/(0.85*$C$4*($C$6*1000))</f>
      </c>
      <c r="H44" s="7">
        <f>H43*$C$5/(0.85*$C$4*($C$6*1000))</f>
      </c>
      <c r="I44" s="7">
        <f>I43*$C$5/(0.85*$C$4*($C$6*1000))</f>
      </c>
      <c r="J44" s="7">
        <f>J43*$C$5/(0.85*$C$4*($C$6*1000))</f>
      </c>
      <c r="K44" s="7">
        <f>K43*$C$5/(0.85*$C$4*($C$6*1000))</f>
      </c>
      <c r="L44" s="7">
        <f>L43*$C$5/(0.85*$C$4*($C$6*1000))</f>
      </c>
      <c r="M44" s="7">
        <f>M43*$C$5/(0.85*$C$4*($C$6*1000))</f>
      </c>
      <c r="N44" s="7">
        <f>N43*$C$5/(0.85*$C$4*($C$6*1000))</f>
      </c>
      <c r="O44" s="7">
        <f>O43*$C$5/(0.85*$C$4*($C$6*1000))</f>
      </c>
      <c r="P44" s="7">
        <f>P43*$C$5/(0.85*$C$4*($C$6*1000))</f>
      </c>
      <c r="Q44" s="7">
        <f>Q43*$C$5/(0.85*$C$4*($C$6*1000))</f>
      </c>
      <c r="R44" s="7">
        <f>R43*$C$5/(0.85*$C$4*($C$6*1000))</f>
      </c>
    </row>
    <row r="45">
      <c r="A45" s="3" t="inlineStr">
        <is>
          <t xml:space="preserve">phiMn(+) [kN.m]</t>
        </is>
      </c>
      <c r="C45" s="8">
        <f>0.9*C43*$C$5*($C$13-C44/2)/1000000</f>
      </c>
      <c r="D45" s="8">
        <f>0.9*D43*$C$5*($C$13-D44/2)/1000000</f>
      </c>
      <c r="E45" s="8">
        <f>0.9*E43*$C$5*($C$13-E44/2)/1000000</f>
      </c>
      <c r="F45" s="8">
        <f>0.9*F43*$C$5*($C$13-F44/2)/1000000</f>
      </c>
      <c r="G45" s="8">
        <f>0.9*G43*$C$5*($C$13-G44/2)/1000000</f>
      </c>
      <c r="H45" s="8">
        <f>0.9*H43*$C$5*($C$13-H44/2)/1000000</f>
      </c>
      <c r="I45" s="8">
        <f>0.9*I43*$C$5*($C$13-I44/2)/1000000</f>
      </c>
      <c r="J45" s="8">
        <f>0.9*J43*$C$5*($C$13-J44/2)/1000000</f>
      </c>
      <c r="K45" s="8">
        <f>0.9*K43*$C$5*($C$13-K44/2)/1000000</f>
      </c>
      <c r="L45" s="8">
        <f>0.9*L43*$C$5*($C$13-L44/2)/1000000</f>
      </c>
      <c r="M45" s="8">
        <f>0.9*M43*$C$5*($C$13-M44/2)/1000000</f>
      </c>
      <c r="N45" s="8">
        <f>0.9*N43*$C$5*($C$13-N44/2)/1000000</f>
      </c>
      <c r="O45" s="8">
        <f>0.9*O43*$C$5*($C$13-O44/2)/1000000</f>
      </c>
      <c r="P45" s="8">
        <f>0.9*P43*$C$5*($C$13-P44/2)/1000000</f>
      </c>
      <c r="Q45" s="8">
        <f>0.9*Q43*$C$5*($C$13-Q44/2)/1000000</f>
      </c>
      <c r="R45" s="8">
        <f>0.9*R43*$C$5*($C$13-R44/2)/1000000</f>
      </c>
    </row>
    <row r="46">
      <c r="A46" s="3" t="inlineStr">
        <is>
          <t xml:space="preserve">CHECK flexion (+)</t>
        </is>
      </c>
      <c r="C46" s="8">
        <f>IF(C45&gt;=C24,"CUMPLE","REVISAR")</f>
      </c>
      <c r="D46" s="8">
        <f>IF(D45&gt;=D24,"CUMPLE","REVISAR")</f>
      </c>
      <c r="E46" s="8">
        <f>IF(E45&gt;=E24,"CUMPLE","REVISAR")</f>
      </c>
      <c r="F46" s="8">
        <f>IF(F45&gt;=F24,"CUMPLE","REVISAR")</f>
      </c>
      <c r="G46" s="8">
        <f>IF(G45&gt;=G24,"CUMPLE","REVISAR")</f>
      </c>
      <c r="H46" s="8">
        <f>IF(H45&gt;=H24,"CUMPLE","REVISAR")</f>
      </c>
      <c r="I46" s="8">
        <f>IF(I45&gt;=I24,"CUMPLE","REVISAR")</f>
      </c>
      <c r="J46" s="8">
        <f>IF(J45&gt;=J24,"CUMPLE","REVISAR")</f>
      </c>
      <c r="K46" s="8">
        <f>IF(K45&gt;=K24,"CUMPLE","REVISAR")</f>
      </c>
      <c r="L46" s="8">
        <f>IF(L45&gt;=L24,"CUMPLE","REVISAR")</f>
      </c>
      <c r="M46" s="8">
        <f>IF(M45&gt;=M24,"CUMPLE","REVISAR")</f>
      </c>
      <c r="N46" s="8">
        <f>IF(N45&gt;=N24,"CUMPLE","REVISAR")</f>
      </c>
      <c r="O46" s="8">
        <f>IF(O45&gt;=O24,"CUMPLE","REVISAR")</f>
      </c>
      <c r="P46" s="8">
        <f>IF(P45&gt;=P24,"CUMPLE","REVISAR")</f>
      </c>
      <c r="Q46" s="8">
        <f>IF(Q45&gt;=Q24,"CUMPLE","REVISAR")</f>
      </c>
      <c r="R46" s="8">
        <f>IF(R45&gt;=R24,"CUMPLE","REVISAR")</f>
      </c>
    </row>
    <row r="47">
      <c r="A47" s="2" t="inlineStr">
        <is>
          <t xml:space="preserve">CORTANTE (phi=0.75)</t>
        </is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>
      <c r="A48" s="3" t="inlineStr">
        <is>
          <t xml:space="preserve">Vs requerido [kN]</t>
        </is>
      </c>
      <c r="C48" s="7">
        <f>MAX(C25/0.75-$C$16,0)</f>
      </c>
      <c r="D48" s="7">
        <f>MAX(D25/0.75-$C$16,0)</f>
      </c>
      <c r="E48" s="7">
        <f>MAX(E25/0.75-$C$16,0)</f>
      </c>
      <c r="F48" s="7">
        <f>MAX(F25/0.75-$C$16,0)</f>
      </c>
      <c r="G48" s="7">
        <f>MAX(G25/0.75-$C$16,0)</f>
      </c>
      <c r="H48" s="7">
        <f>MAX(H25/0.75-$C$16,0)</f>
      </c>
      <c r="I48" s="7">
        <f>MAX(I25/0.75-$C$16,0)</f>
      </c>
      <c r="J48" s="7">
        <f>MAX(J25/0.75-$C$16,0)</f>
      </c>
      <c r="K48" s="7">
        <f>MAX(K25/0.75-$C$16,0)</f>
      </c>
      <c r="L48" s="7">
        <f>MAX(L25/0.75-$C$16,0)</f>
      </c>
      <c r="M48" s="7">
        <f>MAX(M25/0.75-$C$16,0)</f>
      </c>
      <c r="N48" s="7">
        <f>MAX(N25/0.75-$C$16,0)</f>
      </c>
      <c r="O48" s="7">
        <f>MAX(O25/0.75-$C$16,0)</f>
      </c>
      <c r="P48" s="7">
        <f>MAX(P25/0.75-$C$16,0)</f>
      </c>
      <c r="Q48" s="7">
        <f>MAX(Q25/0.75-$C$16,0)</f>
      </c>
      <c r="R48" s="7">
        <f>MAX(R25/0.75-$C$16,0)</f>
      </c>
    </row>
    <row r="49">
      <c r="A49" s="3" t="inlineStr">
        <is>
          <t xml:space="preserve">Sep. estribo [mm]</t>
        </is>
      </c>
      <c r="C49" s="8">
        <f>IF(C48&gt;0,MIN($C$12*$C$5*$C$13/(C48*1000),MIN($C$13/4,6*$C$10,150)),MIN($C$13/4,6*$C$10,150))</f>
      </c>
      <c r="D49" s="8">
        <f>IF(D48&gt;0,MIN($C$12*$C$5*$C$13/(D48*1000),MIN($C$13/4,6*$C$10,150)),MIN($C$13/4,6*$C$10,150))</f>
      </c>
      <c r="E49" s="8">
        <f>IF(E48&gt;0,MIN($C$12*$C$5*$C$13/(E48*1000),MIN($C$13/4,6*$C$10,150)),MIN($C$13/4,6*$C$10,150))</f>
      </c>
      <c r="F49" s="8">
        <f>IF(F48&gt;0,MIN($C$12*$C$5*$C$13/(F48*1000),MIN($C$13/4,6*$C$10,150)),MIN($C$13/4,6*$C$10,150))</f>
      </c>
      <c r="G49" s="8">
        <f>IF(G48&gt;0,MIN($C$12*$C$5*$C$13/(G48*1000),MIN($C$13/4,6*$C$10,150)),MIN($C$13/4,6*$C$10,150))</f>
      </c>
      <c r="H49" s="8">
        <f>IF(H48&gt;0,MIN($C$12*$C$5*$C$13/(H48*1000),MIN($C$13/4,6*$C$10,150)),MIN($C$13/4,6*$C$10,150))</f>
      </c>
      <c r="I49" s="8">
        <f>IF(I48&gt;0,MIN($C$12*$C$5*$C$13/(I48*1000),MIN($C$13/4,6*$C$10,150)),MIN($C$13/4,6*$C$10,150))</f>
      </c>
      <c r="J49" s="8">
        <f>IF(J48&gt;0,MIN($C$12*$C$5*$C$13/(J48*1000),MIN($C$13/4,6*$C$10,150)),MIN($C$13/4,6*$C$10,150))</f>
      </c>
      <c r="K49" s="8">
        <f>IF(K48&gt;0,MIN($C$12*$C$5*$C$13/(K48*1000),MIN($C$13/4,6*$C$10,150)),MIN($C$13/4,6*$C$10,150))</f>
      </c>
      <c r="L49" s="8">
        <f>IF(L48&gt;0,MIN($C$12*$C$5*$C$13/(L48*1000),MIN($C$13/4,6*$C$10,150)),MIN($C$13/4,6*$C$10,150))</f>
      </c>
      <c r="M49" s="8">
        <f>IF(M48&gt;0,MIN($C$12*$C$5*$C$13/(M48*1000),MIN($C$13/4,6*$C$10,150)),MIN($C$13/4,6*$C$10,150))</f>
      </c>
      <c r="N49" s="8">
        <f>IF(N48&gt;0,MIN($C$12*$C$5*$C$13/(N48*1000),MIN($C$13/4,6*$C$10,150)),MIN($C$13/4,6*$C$10,150))</f>
      </c>
      <c r="O49" s="8">
        <f>IF(O48&gt;0,MIN($C$12*$C$5*$C$13/(O48*1000),MIN($C$13/4,6*$C$10,150)),MIN($C$13/4,6*$C$10,150))</f>
      </c>
      <c r="P49" s="8">
        <f>IF(P48&gt;0,MIN($C$12*$C$5*$C$13/(P48*1000),MIN($C$13/4,6*$C$10,150)),MIN($C$13/4,6*$C$10,150))</f>
      </c>
      <c r="Q49" s="8">
        <f>IF(Q48&gt;0,MIN($C$12*$C$5*$C$13/(Q48*1000),MIN($C$13/4,6*$C$10,150)),MIN($C$13/4,6*$C$10,150))</f>
      </c>
      <c r="R49" s="8">
        <f>IF(R48&gt;0,MIN($C$12*$C$5*$C$13/(R48*1000),MIN($C$13/4,6*$C$10,150)),MIN($C$13/4,6*$C$10,150))</f>
      </c>
    </row>
    <row r="50">
      <c r="A50" s="3" t="inlineStr">
        <is>
          <t xml:space="preserve">CHECK cortante</t>
        </is>
      </c>
      <c r="C50" s="8">
        <f>IF(C48&lt;=$C$17,"CUMPLE","AUMENTAR SECCION")</f>
      </c>
      <c r="D50" s="8">
        <f>IF(D48&lt;=$C$17,"CUMPLE","AUMENTAR SECCION")</f>
      </c>
      <c r="E50" s="8">
        <f>IF(E48&lt;=$C$17,"CUMPLE","AUMENTAR SECCION")</f>
      </c>
      <c r="F50" s="8">
        <f>IF(F48&lt;=$C$17,"CUMPLE","AUMENTAR SECCION")</f>
      </c>
      <c r="G50" s="8">
        <f>IF(G48&lt;=$C$17,"CUMPLE","AUMENTAR SECCION")</f>
      </c>
      <c r="H50" s="8">
        <f>IF(H48&lt;=$C$17,"CUMPLE","AUMENTAR SECCION")</f>
      </c>
      <c r="I50" s="8">
        <f>IF(I48&lt;=$C$17,"CUMPLE","AUMENTAR SECCION")</f>
      </c>
      <c r="J50" s="8">
        <f>IF(J48&lt;=$C$17,"CUMPLE","AUMENTAR SECCION")</f>
      </c>
      <c r="K50" s="8">
        <f>IF(K48&lt;=$C$17,"CUMPLE","AUMENTAR SECCION")</f>
      </c>
      <c r="L50" s="8">
        <f>IF(L48&lt;=$C$17,"CUMPLE","AUMENTAR SECCION")</f>
      </c>
      <c r="M50" s="8">
        <f>IF(M48&lt;=$C$17,"CUMPLE","AUMENTAR SECCION")</f>
      </c>
      <c r="N50" s="8">
        <f>IF(N48&lt;=$C$17,"CUMPLE","AUMENTAR SECCION")</f>
      </c>
      <c r="O50" s="8">
        <f>IF(O48&lt;=$C$17,"CUMPLE","AUMENTAR SECCION")</f>
      </c>
      <c r="P50" s="8">
        <f>IF(P48&lt;=$C$17,"CUMPLE","AUMENTAR SECCION")</f>
      </c>
      <c r="Q50" s="8">
        <f>IF(Q48&lt;=$C$17,"CUMPLE","AUMENTAR SECCION")</f>
      </c>
      <c r="R50" s="8">
        <f>IF(R48&lt;=$C$17,"CUMPLE","AUMENTAR SECCION")</f>
      </c>
    </row>
    <row r="51">
      <c r="A51" s="2" t="inlineStr">
        <is>
          <t xml:space="preserve">CORTANTE POR CAPACIDAD (DMO)</t>
        </is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>
      <c r="A52" s="3" t="inlineStr">
        <is>
          <t xml:space="preserve">Mpr(-) [kN.m]</t>
        </is>
      </c>
      <c r="C52" s="7">
        <f>1.25*C33*$C$5*($C$13-(1.25*C33*$C$5/(0.85*$C$4*($C$6*1000)))/2)/1000000</f>
      </c>
      <c r="D52" s="7">
        <f>1.25*D33*$C$5*($C$13-(1.25*D33*$C$5/(0.85*$C$4*($C$6*1000)))/2)/1000000</f>
      </c>
      <c r="E52" s="7">
        <f>1.25*E33*$C$5*($C$13-(1.25*E33*$C$5/(0.85*$C$4*($C$6*1000)))/2)/1000000</f>
      </c>
      <c r="F52" s="7">
        <f>1.25*F33*$C$5*($C$13-(1.25*F33*$C$5/(0.85*$C$4*($C$6*1000)))/2)/1000000</f>
      </c>
      <c r="G52" s="7">
        <f>1.25*G33*$C$5*($C$13-(1.25*G33*$C$5/(0.85*$C$4*($C$6*1000)))/2)/1000000</f>
      </c>
      <c r="H52" s="7">
        <f>1.25*H33*$C$5*($C$13-(1.25*H33*$C$5/(0.85*$C$4*($C$6*1000)))/2)/1000000</f>
      </c>
      <c r="I52" s="7">
        <f>1.25*I33*$C$5*($C$13-(1.25*I33*$C$5/(0.85*$C$4*($C$6*1000)))/2)/1000000</f>
      </c>
      <c r="J52" s="7">
        <f>1.25*J33*$C$5*($C$13-(1.25*J33*$C$5/(0.85*$C$4*($C$6*1000)))/2)/1000000</f>
      </c>
      <c r="K52" s="7">
        <f>1.25*K33*$C$5*($C$13-(1.25*K33*$C$5/(0.85*$C$4*($C$6*1000)))/2)/1000000</f>
      </c>
      <c r="L52" s="7">
        <f>1.25*L33*$C$5*($C$13-(1.25*L33*$C$5/(0.85*$C$4*($C$6*1000)))/2)/1000000</f>
      </c>
      <c r="M52" s="7">
        <f>1.25*M33*$C$5*($C$13-(1.25*M33*$C$5/(0.85*$C$4*($C$6*1000)))/2)/1000000</f>
      </c>
      <c r="N52" s="7">
        <f>1.25*N33*$C$5*($C$13-(1.25*N33*$C$5/(0.85*$C$4*($C$6*1000)))/2)/1000000</f>
      </c>
      <c r="O52" s="7">
        <f>1.25*O33*$C$5*($C$13-(1.25*O33*$C$5/(0.85*$C$4*($C$6*1000)))/2)/1000000</f>
      </c>
      <c r="P52" s="7">
        <f>1.25*P33*$C$5*($C$13-(1.25*P33*$C$5/(0.85*$C$4*($C$6*1000)))/2)/1000000</f>
      </c>
      <c r="Q52" s="7">
        <f>1.25*Q33*$C$5*($C$13-(1.25*Q33*$C$5/(0.85*$C$4*($C$6*1000)))/2)/1000000</f>
      </c>
      <c r="R52" s="7">
        <f>1.25*R33*$C$5*($C$13-(1.25*R33*$C$5/(0.85*$C$4*($C$6*1000)))/2)/1000000</f>
      </c>
    </row>
    <row r="53">
      <c r="A53" s="3" t="inlineStr">
        <is>
          <t xml:space="preserve">Mpr(+) [kN.m]</t>
        </is>
      </c>
      <c r="C53" s="7">
        <f>1.25*C43*$C$5*($C$13-(1.25*C43*$C$5/(0.85*$C$4*($C$6*1000)))/2)/1000000</f>
      </c>
      <c r="D53" s="7">
        <f>1.25*D43*$C$5*($C$13-(1.25*D43*$C$5/(0.85*$C$4*($C$6*1000)))/2)/1000000</f>
      </c>
      <c r="E53" s="7">
        <f>1.25*E43*$C$5*($C$13-(1.25*E43*$C$5/(0.85*$C$4*($C$6*1000)))/2)/1000000</f>
      </c>
      <c r="F53" s="7">
        <f>1.25*F43*$C$5*($C$13-(1.25*F43*$C$5/(0.85*$C$4*($C$6*1000)))/2)/1000000</f>
      </c>
      <c r="G53" s="7">
        <f>1.25*G43*$C$5*($C$13-(1.25*G43*$C$5/(0.85*$C$4*($C$6*1000)))/2)/1000000</f>
      </c>
      <c r="H53" s="7">
        <f>1.25*H43*$C$5*($C$13-(1.25*H43*$C$5/(0.85*$C$4*($C$6*1000)))/2)/1000000</f>
      </c>
      <c r="I53" s="7">
        <f>1.25*I43*$C$5*($C$13-(1.25*I43*$C$5/(0.85*$C$4*($C$6*1000)))/2)/1000000</f>
      </c>
      <c r="J53" s="7">
        <f>1.25*J43*$C$5*($C$13-(1.25*J43*$C$5/(0.85*$C$4*($C$6*1000)))/2)/1000000</f>
      </c>
      <c r="K53" s="7">
        <f>1.25*K43*$C$5*($C$13-(1.25*K43*$C$5/(0.85*$C$4*($C$6*1000)))/2)/1000000</f>
      </c>
      <c r="L53" s="7">
        <f>1.25*L43*$C$5*($C$13-(1.25*L43*$C$5/(0.85*$C$4*($C$6*1000)))/2)/1000000</f>
      </c>
      <c r="M53" s="7">
        <f>1.25*M43*$C$5*($C$13-(1.25*M43*$C$5/(0.85*$C$4*($C$6*1000)))/2)/1000000</f>
      </c>
      <c r="N53" s="7">
        <f>1.25*N43*$C$5*($C$13-(1.25*N43*$C$5/(0.85*$C$4*($C$6*1000)))/2)/1000000</f>
      </c>
      <c r="O53" s="7">
        <f>1.25*O43*$C$5*($C$13-(1.25*O43*$C$5/(0.85*$C$4*($C$6*1000)))/2)/1000000</f>
      </c>
      <c r="P53" s="7">
        <f>1.25*P43*$C$5*($C$13-(1.25*P43*$C$5/(0.85*$C$4*($C$6*1000)))/2)/1000000</f>
      </c>
      <c r="Q53" s="7">
        <f>1.25*Q43*$C$5*($C$13-(1.25*Q43*$C$5/(0.85*$C$4*($C$6*1000)))/2)/1000000</f>
      </c>
      <c r="R53" s="7">
        <f>1.25*R43*$C$5*($C$13-(1.25*R43*$C$5/(0.85*$C$4*($C$6*1000)))/2)/1000000</f>
      </c>
    </row>
    <row r="54">
      <c r="A54" s="3" t="inlineStr">
        <is>
          <t xml:space="preserve">Ve=(Mpr-+Mpr+)/Ln [kN]</t>
        </is>
      </c>
      <c r="C54" s="7">
        <f>(C52+C53)/C22</f>
      </c>
      <c r="D54" s="7">
        <f>(D52+D53)/D22</f>
      </c>
      <c r="E54" s="7">
        <f>(E52+E53)/E22</f>
      </c>
      <c r="F54" s="7">
        <f>(F52+F53)/F22</f>
      </c>
      <c r="G54" s="7">
        <f>(G52+G53)/G22</f>
      </c>
      <c r="H54" s="7">
        <f>(H52+H53)/H22</f>
      </c>
      <c r="I54" s="7">
        <f>(I52+I53)/I22</f>
      </c>
      <c r="J54" s="7">
        <f>(J52+J53)/J22</f>
      </c>
      <c r="K54" s="7">
        <f>(K52+K53)/K22</f>
      </c>
      <c r="L54" s="7">
        <f>(L52+L53)/L22</f>
      </c>
      <c r="M54" s="7">
        <f>(M52+M53)/M22</f>
      </c>
      <c r="N54" s="7">
        <f>(N52+N53)/N22</f>
      </c>
      <c r="O54" s="7">
        <f>(O52+O53)/O22</f>
      </c>
      <c r="P54" s="7">
        <f>(P52+P53)/P22</f>
      </c>
      <c r="Q54" s="7">
        <f>(Q52+Q53)/Q22</f>
      </c>
      <c r="R54" s="7">
        <f>(R52+R53)/R22</f>
      </c>
    </row>
    <row r="55">
      <c r="A55" s="3" t="inlineStr">
        <is>
          <t xml:space="preserve">V diseno=max(Vu,Ve) [kN]</t>
        </is>
      </c>
      <c r="C55" s="8">
        <f>MAX(C25,C54)</f>
      </c>
      <c r="D55" s="8">
        <f>MAX(D25,D54)</f>
      </c>
      <c r="E55" s="8">
        <f>MAX(E25,E54)</f>
      </c>
      <c r="F55" s="8">
        <f>MAX(F25,F54)</f>
      </c>
      <c r="G55" s="8">
        <f>MAX(G25,G54)</f>
      </c>
      <c r="H55" s="8">
        <f>MAX(H25,H54)</f>
      </c>
      <c r="I55" s="8">
        <f>MAX(I25,I54)</f>
      </c>
      <c r="J55" s="8">
        <f>MAX(J25,J54)</f>
      </c>
      <c r="K55" s="8">
        <f>MAX(K25,K54)</f>
      </c>
      <c r="L55" s="8">
        <f>MAX(L25,L54)</f>
      </c>
      <c r="M55" s="8">
        <f>MAX(M25,M54)</f>
      </c>
      <c r="N55" s="8">
        <f>MAX(N25,N54)</f>
      </c>
      <c r="O55" s="8">
        <f>MAX(O25,O54)</f>
      </c>
      <c r="P55" s="8">
        <f>MAX(P25,P54)</f>
      </c>
      <c r="Q55" s="8">
        <f>MAX(Q25,Q54)</f>
      </c>
      <c r="R55" s="8">
        <f>MAX(R25,R54)</f>
      </c>
    </row>
    <row r="56">
      <c r="A56" s="2" t="inlineStr">
        <is>
          <t xml:space="preserve">TORSION (phi=0.75)</t>
        </is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</row>
    <row r="57">
      <c r="A57" s="3" t="inlineStr">
        <is>
          <t xml:space="preserve">Requiere torsion?</t>
        </is>
      </c>
      <c r="C57" s="8">
        <f>IF(C26&gt;$C$18,"SI - disenar","No - despreciable")</f>
      </c>
      <c r="D57" s="8">
        <f>IF(D26&gt;$C$18,"SI - disenar","No - despreciable")</f>
      </c>
      <c r="E57" s="8">
        <f>IF(E26&gt;$C$18,"SI - disenar","No - despreciable")</f>
      </c>
      <c r="F57" s="8">
        <f>IF(F26&gt;$C$18,"SI - disenar","No - despreciable")</f>
      </c>
      <c r="G57" s="8">
        <f>IF(G26&gt;$C$18,"SI - disenar","No - despreciable")</f>
      </c>
      <c r="H57" s="8">
        <f>IF(H26&gt;$C$18,"SI - disenar","No - despreciable")</f>
      </c>
      <c r="I57" s="8">
        <f>IF(I26&gt;$C$18,"SI - disenar","No - despreciable")</f>
      </c>
      <c r="J57" s="8">
        <f>IF(J26&gt;$C$18,"SI - disenar","No - despreciable")</f>
      </c>
      <c r="K57" s="8">
        <f>IF(K26&gt;$C$18,"SI - disenar","No - despreciable")</f>
      </c>
      <c r="L57" s="8">
        <f>IF(L26&gt;$C$18,"SI - disenar","No - despreciable")</f>
      </c>
      <c r="M57" s="8">
        <f>IF(M26&gt;$C$18,"SI - disenar","No - despreciable")</f>
      </c>
      <c r="N57" s="8">
        <f>IF(N26&gt;$C$18,"SI - disenar","No - despreciable")</f>
      </c>
      <c r="O57" s="8">
        <f>IF(O26&gt;$C$18,"SI - disenar","No - despreciable")</f>
      </c>
      <c r="P57" s="8">
        <f>IF(P26&gt;$C$18,"SI - disenar","No - despreciable")</f>
      </c>
      <c r="Q57" s="8">
        <f>IF(Q26&gt;$C$18,"SI - disenar","No - despreciable")</f>
      </c>
      <c r="R57" s="8">
        <f>IF(R26&gt;$C$18,"SI - disenar","No - despreciable")</f>
      </c>
    </row>
    <row r="58">
      <c r="A58" s="3" t="inlineStr">
        <is>
          <t xml:space="preserve">At/s [mm2/mm]</t>
        </is>
      </c>
      <c r="C58" s="7">
        <f>IF(C26&gt;$C$18,C26*1000000/(0.75*2*0.85*((($C$6*1000)-2*$C$8*1000)*(($C$7*1000)-2*$C$8*1000))*$C$5),0)</f>
      </c>
      <c r="D58" s="7">
        <f>IF(D26&gt;$C$18,D26*1000000/(0.75*2*0.85*((($C$6*1000)-2*$C$8*1000)*(($C$7*1000)-2*$C$8*1000))*$C$5),0)</f>
      </c>
      <c r="E58" s="7">
        <f>IF(E26&gt;$C$18,E26*1000000/(0.75*2*0.85*((($C$6*1000)-2*$C$8*1000)*(($C$7*1000)-2*$C$8*1000))*$C$5),0)</f>
      </c>
      <c r="F58" s="7">
        <f>IF(F26&gt;$C$18,F26*1000000/(0.75*2*0.85*((($C$6*1000)-2*$C$8*1000)*(($C$7*1000)-2*$C$8*1000))*$C$5),0)</f>
      </c>
      <c r="G58" s="7">
        <f>IF(G26&gt;$C$18,G26*1000000/(0.75*2*0.85*((($C$6*1000)-2*$C$8*1000)*(($C$7*1000)-2*$C$8*1000))*$C$5),0)</f>
      </c>
      <c r="H58" s="7">
        <f>IF(H26&gt;$C$18,H26*1000000/(0.75*2*0.85*((($C$6*1000)-2*$C$8*1000)*(($C$7*1000)-2*$C$8*1000))*$C$5),0)</f>
      </c>
      <c r="I58" s="7">
        <f>IF(I26&gt;$C$18,I26*1000000/(0.75*2*0.85*((($C$6*1000)-2*$C$8*1000)*(($C$7*1000)-2*$C$8*1000))*$C$5),0)</f>
      </c>
      <c r="J58" s="7">
        <f>IF(J26&gt;$C$18,J26*1000000/(0.75*2*0.85*((($C$6*1000)-2*$C$8*1000)*(($C$7*1000)-2*$C$8*1000))*$C$5),0)</f>
      </c>
      <c r="K58" s="7">
        <f>IF(K26&gt;$C$18,K26*1000000/(0.75*2*0.85*((($C$6*1000)-2*$C$8*1000)*(($C$7*1000)-2*$C$8*1000))*$C$5),0)</f>
      </c>
      <c r="L58" s="7">
        <f>IF(L26&gt;$C$18,L26*1000000/(0.75*2*0.85*((($C$6*1000)-2*$C$8*1000)*(($C$7*1000)-2*$C$8*1000))*$C$5),0)</f>
      </c>
      <c r="M58" s="7">
        <f>IF(M26&gt;$C$18,M26*1000000/(0.75*2*0.85*((($C$6*1000)-2*$C$8*1000)*(($C$7*1000)-2*$C$8*1000))*$C$5),0)</f>
      </c>
      <c r="N58" s="7">
        <f>IF(N26&gt;$C$18,N26*1000000/(0.75*2*0.85*((($C$6*1000)-2*$C$8*1000)*(($C$7*1000)-2*$C$8*1000))*$C$5),0)</f>
      </c>
      <c r="O58" s="7">
        <f>IF(O26&gt;$C$18,O26*1000000/(0.75*2*0.85*((($C$6*1000)-2*$C$8*1000)*(($C$7*1000)-2*$C$8*1000))*$C$5),0)</f>
      </c>
      <c r="P58" s="7">
        <f>IF(P26&gt;$C$18,P26*1000000/(0.75*2*0.85*((($C$6*1000)-2*$C$8*1000)*(($C$7*1000)-2*$C$8*1000))*$C$5),0)</f>
      </c>
      <c r="Q58" s="7">
        <f>IF(Q26&gt;$C$18,Q26*1000000/(0.75*2*0.85*((($C$6*1000)-2*$C$8*1000)*(($C$7*1000)-2*$C$8*1000))*$C$5),0)</f>
      </c>
      <c r="R58" s="7">
        <f>IF(R26&gt;$C$18,R26*1000000/(0.75*2*0.85*((($C$6*1000)-2*$C$8*1000)*(($C$7*1000)-2*$C$8*1000))*$C$5),0)</f>
      </c>
    </row>
    <row r="59">
      <c r="A59" s="2" t="inlineStr">
        <is>
          <t xml:space="preserve">DEFLEXION (C.9.5)</t>
        </is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</row>
    <row r="60">
      <c r="A60" s="3" t="inlineStr">
        <is>
          <t xml:space="preserve">h min = Ln/18.5 [m]</t>
        </is>
      </c>
      <c r="C60" s="7">
        <f>C22/18.5</f>
      </c>
      <c r="D60" s="7">
        <f>D22/18.5</f>
      </c>
      <c r="E60" s="7">
        <f>E22/18.5</f>
      </c>
      <c r="F60" s="7">
        <f>F22/18.5</f>
      </c>
      <c r="G60" s="7">
        <f>G22/18.5</f>
      </c>
      <c r="H60" s="7">
        <f>H22/18.5</f>
      </c>
      <c r="I60" s="7">
        <f>I22/18.5</f>
      </c>
      <c r="J60" s="7">
        <f>J22/18.5</f>
      </c>
      <c r="K60" s="7">
        <f>K22/18.5</f>
      </c>
      <c r="L60" s="7">
        <f>L22/18.5</f>
      </c>
      <c r="M60" s="7">
        <f>M22/18.5</f>
      </c>
      <c r="N60" s="7">
        <f>N22/18.5</f>
      </c>
      <c r="O60" s="7">
        <f>O22/18.5</f>
      </c>
      <c r="P60" s="7">
        <f>P22/18.5</f>
      </c>
      <c r="Q60" s="7">
        <f>Q22/18.5</f>
      </c>
      <c r="R60" s="7">
        <f>R22/18.5</f>
      </c>
    </row>
    <row r="61">
      <c r="A61" s="3" t="inlineStr">
        <is>
          <t xml:space="preserve">CHECK deflexion</t>
        </is>
      </c>
      <c r="C61" s="8">
        <f>IF($C$7&gt;=C60,"CUMPLE","REVISAR")</f>
      </c>
      <c r="D61" s="8">
        <f>IF($C$7&gt;=D60,"CUMPLE","REVISAR")</f>
      </c>
      <c r="E61" s="8">
        <f>IF($C$7&gt;=E60,"CUMPLE","REVISAR")</f>
      </c>
      <c r="F61" s="8">
        <f>IF($C$7&gt;=F60,"CUMPLE","REVISAR")</f>
      </c>
      <c r="G61" s="8">
        <f>IF($C$7&gt;=G60,"CUMPLE","REVISAR")</f>
      </c>
      <c r="H61" s="8">
        <f>IF($C$7&gt;=H60,"CUMPLE","REVISAR")</f>
      </c>
      <c r="I61" s="8">
        <f>IF($C$7&gt;=I60,"CUMPLE","REVISAR")</f>
      </c>
      <c r="J61" s="8">
        <f>IF($C$7&gt;=J60,"CUMPLE","REVISAR")</f>
      </c>
      <c r="K61" s="8">
        <f>IF($C$7&gt;=K60,"CUMPLE","REVISAR")</f>
      </c>
      <c r="L61" s="8">
        <f>IF($C$7&gt;=L60,"CUMPLE","REVISAR")</f>
      </c>
      <c r="M61" s="8">
        <f>IF($C$7&gt;=M60,"CUMPLE","REVISAR")</f>
      </c>
      <c r="N61" s="8">
        <f>IF($C$7&gt;=N60,"CUMPLE","REVISAR")</f>
      </c>
      <c r="O61" s="8">
        <f>IF($C$7&gt;=O60,"CUMPLE","REVISAR")</f>
      </c>
      <c r="P61" s="8">
        <f>IF($C$7&gt;=P60,"CUMPLE","REVISAR")</f>
      </c>
      <c r="Q61" s="8">
        <f>IF($C$7&gt;=Q60,"CUMPLE","REVISAR")</f>
      </c>
      <c r="R61" s="8">
        <f>IF($C$7&gt;=R60,"CUMPLE","REVISAR")</f>
      </c>
    </row>
  </sheetData>
</worksheet>
</file>

<file path=xl/worksheets/sheet5.xml><?xml version="1.0" encoding="utf-8"?>
<worksheet xmlns="http://schemas.openxmlformats.org/spreadsheetml/2006/main">
  <cols>
    <col min="1" max="1" width="34" customWidth="1"/>
    <col min="2" max="2" width="13" customWidth="1"/>
    <col min="3" max="3" width="13" customWidth="1"/>
    <col min="4" max="4" width="13" customWidth="1"/>
  </cols>
  <sheetData>
    <row r="1">
      <c r="A1" s="1" t="inlineStr">
        <is>
          <t xml:space="preserve">DISENO DE VIGUETAS (seccion T) - NSR-10 C.8.3.3</t>
        </is>
      </c>
    </row>
    <row r="3">
      <c r="A3" s="2" t="inlineStr">
        <is>
          <t xml:space="preserve">DATOS COMUNES</t>
        </is>
      </c>
    </row>
    <row r="4">
      <c r="A4" s="3" t="inlineStr">
        <is>
          <t xml:space="preserve">f'c [MPa]</t>
        </is>
      </c>
      <c r="C4" s="4">
        <v>28</v>
      </c>
    </row>
    <row r="5">
      <c r="A5" s="3" t="inlineStr">
        <is>
          <t xml:space="preserve">fy [MPa]</t>
        </is>
      </c>
      <c r="C5" s="4">
        <v>420</v>
      </c>
    </row>
    <row r="6">
      <c r="A6" s="3" t="inlineStr">
        <is>
          <t xml:space="preserve">bw nervio [m]</t>
        </is>
      </c>
      <c r="C6" s="4">
        <v>0.15</v>
      </c>
    </row>
    <row r="7">
      <c r="A7" s="3" t="inlineStr">
        <is>
          <t xml:space="preserve">h total [m]</t>
        </is>
      </c>
      <c r="C7" s="4">
        <v>0.34</v>
      </c>
    </row>
    <row r="8">
      <c r="A8" s="3" t="inlineStr">
        <is>
          <t xml:space="preserve">hf loseta [m]</t>
        </is>
      </c>
      <c r="C8" s="4">
        <v>0.06</v>
      </c>
    </row>
    <row r="9">
      <c r="A9" s="3" t="inlineStr">
        <is>
          <t xml:space="preserve">bf efectivo [m]</t>
        </is>
      </c>
      <c r="C9" s="4">
        <v>0.8</v>
      </c>
    </row>
    <row r="10">
      <c r="A10" s="3" t="inlineStr">
        <is>
          <t xml:space="preserve">recubrimiento [m]</t>
        </is>
      </c>
      <c r="C10" s="4">
        <v>0.036</v>
      </c>
    </row>
    <row r="11">
      <c r="A11" s="3" t="inlineStr">
        <is>
          <t xml:space="preserve">Area barra N4 [mm2]</t>
        </is>
      </c>
      <c r="C11" s="4">
        <v>129</v>
      </c>
    </row>
    <row r="12">
      <c r="A12" s="3" t="inlineStr">
        <is>
          <t xml:space="preserve">d = h - rec [mm]</t>
        </is>
      </c>
      <c r="C12" s="7">
        <f>C7*1000-C10*1000</f>
      </c>
    </row>
    <row r="13">
      <c r="A13" s="3" t="inlineStr">
        <is>
          <t xml:space="preserve">As minimo [mm2]</t>
        </is>
      </c>
      <c r="C13" s="7">
        <f>MAX(0.25*SQRT(C4)/C5,1.4/C5)*(C6*1000)*C12</f>
      </c>
    </row>
    <row r="14">
      <c r="A14" s="3" t="inlineStr">
        <is>
          <t xml:space="preserve">Vc (x1.1) [kN]</t>
        </is>
      </c>
      <c r="C14" s="7">
        <f>1.1*0.17*SQRT(C4)*(C6*1000)*C12/1000</f>
      </c>
    </row>
    <row r="20">
      <c r="A20" s="3" t="inlineStr">
        <is>
          <t xml:space="preserve">Parametro \ TIPO</t>
        </is>
      </c>
      <c r="C20" s="5" t="inlineStr">
        <is>
          <t xml:space="preserve">Entrepiso</t>
        </is>
      </c>
      <c r="D20" s="5" t="inlineStr">
        <is>
          <t xml:space="preserve">Cubierta (terraza)</t>
        </is>
      </c>
    </row>
    <row r="21">
      <c r="A21" s="2" t="inlineStr">
        <is>
          <t xml:space="preserve">CARGAS Y SOLICITACIONES</t>
        </is>
      </c>
      <c r="C21" s="2"/>
      <c r="D21" s="2"/>
    </row>
    <row r="22">
      <c r="A22" s="3" t="inlineStr">
        <is>
          <t xml:space="preserve">wD [kN/m2]</t>
        </is>
      </c>
      <c r="C22" s="6">
        <v>7.04</v>
      </c>
      <c r="D22" s="6">
        <v>4.38</v>
      </c>
    </row>
    <row r="23">
      <c r="A23" s="3" t="inlineStr">
        <is>
          <t xml:space="preserve">wL [kN/m2]</t>
        </is>
      </c>
      <c r="C23" s="6">
        <v>1.8</v>
      </c>
      <c r="D23" s="6">
        <v>5.0</v>
      </c>
    </row>
    <row r="24">
      <c r="A24" s="3" t="inlineStr">
        <is>
          <t xml:space="preserve">sep [m]</t>
        </is>
      </c>
      <c r="C24" s="6">
        <v>0.8</v>
      </c>
      <c r="D24" s="6">
        <v>0.8</v>
      </c>
    </row>
    <row r="25">
      <c r="A25" s="3" t="inlineStr">
        <is>
          <t xml:space="preserve">Ln [m]</t>
        </is>
      </c>
      <c r="C25" s="6">
        <v>4.75</v>
      </c>
      <c r="D25" s="6">
        <v>4.75</v>
      </c>
    </row>
    <row r="26">
      <c r="A26" s="3" t="inlineStr">
        <is>
          <t xml:space="preserve">coef M(-)</t>
        </is>
      </c>
      <c r="C26" s="6">
        <v>10</v>
      </c>
      <c r="D26" s="6">
        <v>10</v>
      </c>
    </row>
    <row r="27">
      <c r="A27" s="3" t="inlineStr">
        <is>
          <t xml:space="preserve">coef M(+)</t>
        </is>
      </c>
      <c r="C27" s="6">
        <v>14</v>
      </c>
      <c r="D27" s="6">
        <v>14</v>
      </c>
    </row>
    <row r="28">
      <c r="A28" s="3" t="inlineStr">
        <is>
          <t xml:space="preserve">wu [kN/m]</t>
        </is>
      </c>
      <c r="C28" s="7">
        <f>(1.2*C22+1.6*C23)*C24</f>
      </c>
      <c r="D28" s="7">
        <f>(1.2*D22+1.6*D23)*D24</f>
      </c>
    </row>
    <row r="29">
      <c r="A29" s="3" t="inlineStr">
        <is>
          <t xml:space="preserve">Mu(-) [kN.m]</t>
        </is>
      </c>
      <c r="C29" s="7">
        <f>C28*C25^2/C26</f>
      </c>
      <c r="D29" s="7">
        <f>D28*D25^2/D26</f>
      </c>
    </row>
    <row r="30">
      <c r="A30" s="3" t="inlineStr">
        <is>
          <t xml:space="preserve">Mu(+) [kN.m]</t>
        </is>
      </c>
      <c r="C30" s="7">
        <f>C28*C25^2/C27</f>
      </c>
      <c r="D30" s="7">
        <f>D28*D25^2/D27</f>
      </c>
    </row>
    <row r="31">
      <c r="A31" s="2" t="inlineStr">
        <is>
          <t xml:space="preserve">FLEXION</t>
        </is>
      </c>
      <c r="C31" s="2"/>
      <c r="D31" s="2"/>
    </row>
    <row r="32">
      <c r="A32" s="3" t="inlineStr">
        <is>
          <t xml:space="preserve">Rn(+) (ala bf)</t>
        </is>
      </c>
      <c r="C32" s="7">
        <f>C30*1000000/(0.9*($C$9*1000)*$C$12^2)</f>
      </c>
      <c r="D32" s="7">
        <f>D30*1000000/(0.9*($C$9*1000)*$C$12^2)</f>
      </c>
    </row>
    <row r="33">
      <c r="A33" s="3" t="inlineStr">
        <is>
          <t xml:space="preserve">As(+) req [mm2]</t>
        </is>
      </c>
      <c r="C33" s="7">
        <f>(0.85*$C$4/$C$5)*(1-SQRT(1-2*C32/(0.85*$C$4)))*($C$9*1000)*$C$12</f>
      </c>
      <c r="D33" s="7">
        <f>(0.85*$C$4/$C$5)*(1-SQRT(1-2*D32/(0.85*$C$4)))*($C$9*1000)*$C$12</f>
      </c>
    </row>
    <row r="34">
      <c r="A34" s="3" t="inlineStr">
        <is>
          <t xml:space="preserve">As(+) diseno</t>
        </is>
      </c>
      <c r="C34" s="7">
        <f>MAX(C33,$C$13)</f>
      </c>
      <c r="D34" s="7">
        <f>MAX(D33,$C$13)</f>
      </c>
    </row>
    <row r="35">
      <c r="A35" s="3" t="inlineStr">
        <is>
          <t xml:space="preserve">N barras N4 (+)</t>
        </is>
      </c>
      <c r="C35" s="8">
        <f>ROUNDUP(C34/$C$11,0)</f>
      </c>
      <c r="D35" s="8">
        <f>ROUNDUP(D34/$C$11,0)</f>
      </c>
    </row>
    <row r="36">
      <c r="A36" s="3" t="inlineStr">
        <is>
          <t xml:space="preserve">As(-) req (nervio bw) [mm2]</t>
        </is>
      </c>
      <c r="C36" s="7">
        <f>(0.85*$C$4/$C$5)*(1-SQRT(1-2*(C29*1000000/(0.9*($C$6*1000)*$C$12^2))/(0.85*$C$4)))*($C$6*1000)*$C$12</f>
      </c>
      <c r="D36" s="7">
        <f>(0.85*$C$4/$C$5)*(1-SQRT(1-2*(D29*1000000/(0.9*($C$6*1000)*$C$12^2))/(0.85*$C$4)))*($C$6*1000)*$C$12</f>
      </c>
    </row>
    <row r="37">
      <c r="A37" s="3" t="inlineStr">
        <is>
          <t xml:space="preserve">As(-) diseno</t>
        </is>
      </c>
      <c r="C37" s="7">
        <f>MAX(C36,$C$13)</f>
      </c>
      <c r="D37" s="7">
        <f>MAX(D36,$C$13)</f>
      </c>
    </row>
    <row r="38">
      <c r="A38" s="3" t="inlineStr">
        <is>
          <t xml:space="preserve">N barras N4 (-)</t>
        </is>
      </c>
      <c r="C38" s="8">
        <f>ROUNDUP(C37/$C$11,0)</f>
      </c>
      <c r="D38" s="8">
        <f>ROUNDUP(D37/$C$11,0)</f>
      </c>
    </row>
    <row r="39">
      <c r="A39" s="3" t="inlineStr">
        <is>
          <t xml:space="preserve">CHECK flexion</t>
        </is>
      </c>
      <c r="C39" s="8">
        <f>IF(AND(C34&lt;=2*$C$11,C37&lt;=2*$C$11),"OK 2N4 (min)","REVISAR")</f>
      </c>
      <c r="D39" s="8">
        <f>IF(AND(D34&lt;=2*$C$11,D37&lt;=2*$C$11),"OK 2N4 (min)","REVISAR")</f>
      </c>
    </row>
    <row r="40">
      <c r="A40" s="2" t="inlineStr">
        <is>
          <t xml:space="preserve">CORTANTE</t>
        </is>
      </c>
      <c r="C40" s="2"/>
      <c r="D40" s="2"/>
    </row>
    <row r="41">
      <c r="A41" s="3" t="inlineStr">
        <is>
          <t xml:space="preserve">Vu = 1.15*wu*Ln/2 [kN]</t>
        </is>
      </c>
      <c r="C41" s="7">
        <f>1.15*C28*C25/2</f>
      </c>
      <c r="D41" s="7">
        <f>1.15*D28*D25/2</f>
      </c>
    </row>
    <row r="42">
      <c r="A42" s="3" t="inlineStr">
        <is>
          <t xml:space="preserve">CHECK (Vu&lt;=phi*Vc1.1)</t>
        </is>
      </c>
      <c r="C42" s="8">
        <f>IF(C41&lt;=0.75*$C$14,"No requiere estribos","Disenar estribos")</f>
      </c>
      <c r="D42" s="8">
        <f>IF(D41&lt;=0.75*$C$14,"No requiere estribos","Disenar estribos")</f>
      </c>
    </row>
  </sheetData>
</worksheet>
</file>

<file path=xl/worksheets/sheet6.xml><?xml version="1.0" encoding="utf-8"?>
<worksheet xmlns="http://schemas.openxmlformats.org/spreadsheetml/2006/main">
  <cols>
    <col min="1" max="1" width="34" customWidth="1"/>
    <col min="2" max="2" width="13" customWidth="1"/>
    <col min="3" max="3" width="13" customWidth="1"/>
  </cols>
  <sheetData>
    <row r="1">
      <c r="A1" s="1" t="inlineStr">
        <is>
          <t xml:space="preserve">DISENO DE RIOSTRAS DE CIMENTACION - NSR-10 A.3.6.4.2</t>
        </is>
      </c>
    </row>
    <row r="3">
      <c r="A3" s="2" t="inlineStr">
        <is>
          <t xml:space="preserve">DATOS</t>
        </is>
      </c>
    </row>
    <row r="4">
      <c r="A4" s="3" t="inlineStr">
        <is>
          <t xml:space="preserve">Aa (Santa Marta)</t>
        </is>
      </c>
      <c r="C4" s="4">
        <v>0.15</v>
      </c>
    </row>
    <row r="5">
      <c r="A5" s="3" t="inlineStr">
        <is>
          <t xml:space="preserve">Pu max columna [kN]</t>
        </is>
      </c>
      <c r="C5" s="4">
        <v>2591</v>
      </c>
    </row>
    <row r="6">
      <c r="A6" s="3" t="inlineStr">
        <is>
          <t xml:space="preserve">b [m]</t>
        </is>
      </c>
      <c r="C6" s="4">
        <v>0.3</v>
      </c>
    </row>
    <row r="7">
      <c r="A7" s="3" t="inlineStr">
        <is>
          <t xml:space="preserve">h [m]</t>
        </is>
      </c>
      <c r="C7" s="4">
        <v>0.3</v>
      </c>
    </row>
    <row r="8">
      <c r="A8" s="3" t="inlineStr">
        <is>
          <t xml:space="preserve">fy [MPa]</t>
        </is>
      </c>
      <c r="C8" s="4">
        <v>420</v>
      </c>
    </row>
    <row r="9">
      <c r="A9" s="3" t="inlineStr">
        <is>
          <t xml:space="preserve">Area barra N5 [mm2]</t>
        </is>
      </c>
      <c r="C9" s="4">
        <v>199</v>
      </c>
    </row>
    <row r="10">
      <c r="A10" s="3" t="inlineStr">
        <is>
          <t xml:space="preserve">N = 0.25*Aa*Pu [kN]</t>
        </is>
      </c>
      <c r="C10" s="7">
        <f>0.25*C4*C5</f>
      </c>
    </row>
    <row r="11">
      <c r="A11" s="3" t="inlineStr">
        <is>
          <t xml:space="preserve">As traccion = N/(phi*fy) [mm2]</t>
        </is>
      </c>
      <c r="C11" s="7">
        <f>C10*1000/(0.9*C8)</f>
      </c>
    </row>
    <row r="12">
      <c r="A12" s="3" t="inlineStr">
        <is>
          <t xml:space="preserve">As minimo (1.4/fy*b*d) [mm2]</t>
        </is>
      </c>
      <c r="C12" s="7">
        <f>1.4/C8*(C6*1000)*(C7*1000-60)</f>
      </c>
    </row>
    <row r="13">
      <c r="A13" s="3" t="inlineStr">
        <is>
          <t xml:space="preserve">As diseno [mm2]</t>
        </is>
      </c>
      <c r="C13" s="7">
        <f>MAX(C11,C12)</f>
      </c>
    </row>
    <row r="14">
      <c r="A14" s="3" t="inlineStr">
        <is>
          <t xml:space="preserve">N barras N5</t>
        </is>
      </c>
      <c r="C14" s="7">
        <f>ROUNDUP(C13/C9,0)</f>
      </c>
    </row>
    <row r="15">
      <c r="A15" s="3" t="inlineStr">
        <is>
          <t xml:space="preserve">As colocado [mm2]</t>
        </is>
      </c>
      <c r="C15" s="7">
        <f>C14*C9</f>
      </c>
    </row>
    <row r="16">
      <c r="A16" s="3" t="inlineStr">
        <is>
          <t xml:space="preserve">phi*As*fy [kN]</t>
        </is>
      </c>
      <c r="C16" s="7">
        <f>0.9*C15*C8/1000</f>
      </c>
    </row>
    <row r="17">
      <c r="A17" s="3" t="inlineStr">
        <is>
          <t xml:space="preserve">CHECK (phiAsfy&gt;=N)</t>
        </is>
      </c>
      <c r="C17" s="8">
        <f>IF(C16&gt;=C10,"CUMPLE","REVISAR")</f>
      </c>
    </row>
    <row r="19">
      <c r="A19" s="3" t="inlineStr">
        <is>
          <t xml:space="preserve">Estribos: N3 @150 mm (@100 en confinamiento, long. 2h)</t>
        </is>
      </c>
    </row>
    <row r="20">
      <c r="A20" s="3" t="inlineStr">
        <is>
          <t xml:space="preserve">Agrupar por longitud (R-1..R-8: 2.50 a 4.00 m); misma seccion y refuerzo.</t>
        </is>
      </c>
    </row>
  </sheetData>
</worksheet>
</file>