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a" sheetId="1" state="visible" r:id="rId1"/>
    <sheet name="Cómo funci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3"/>
    </font>
    <font>
      <b val="1"/>
      <color rgb="00000000"/>
      <sz val="11"/>
    </font>
    <font>
      <color rgb="00000000"/>
      <sz val="11"/>
    </font>
    <font>
      <b val="1"/>
      <color rgb="00FFFFFF"/>
      <sz val="11"/>
    </font>
    <font>
      <color rgb="00555555"/>
      <sz val="9"/>
    </font>
    <font>
      <b val="1"/>
      <color rgb="001E8A4E"/>
      <sz val="11"/>
    </font>
    <font>
      <b val="1"/>
      <color rgb="00FFFFFF"/>
      <sz val="8.5"/>
    </font>
    <font>
      <b val="1"/>
      <color rgb="001F3A5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392B"/>
      </patternFill>
    </fill>
    <fill>
      <patternFill patternType="solid">
        <fgColor rgb="00ECF0F1"/>
      </patternFill>
    </fill>
    <fill>
      <patternFill patternType="solid">
        <fgColor rgb="00FEF9E7"/>
      </patternFill>
    </fill>
    <fill>
      <patternFill patternType="solid">
        <fgColor rgb="001E8A4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Diagrama de Interacción  P - M</a:t>
            </a:r>
          </a:p>
        </rich>
      </tx>
    </title>
    <plotArea>
      <scatterChart>
        <ser>
          <idx val="0"/>
          <order val="0"/>
          <tx>
            <v>Nominal (Pn-Mn)</v>
          </tx>
          <spPr>
            <a:ln w="2800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'Diagrama'!$P$19:$P$53</f>
            </numRef>
          </xVal>
          <yVal>
            <numRef>
              <f>'Diagrama'!$Q$19:$Q$53</f>
            </numRef>
          </yVal>
        </ser>
        <ser>
          <idx val="1"/>
          <order val="1"/>
          <tx>
            <v>Diseño (φPn-φMn)</v>
          </tx>
          <spPr>
            <a:ln w="2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'Diagrama'!$T$19:$T$53</f>
            </numRef>
          </xVal>
          <yVal>
            <numRef>
              <f>'Diagrama'!$U$19:$U$53</f>
            </numRef>
          </yVal>
        </ser>
        <ser>
          <idx val="2"/>
          <order val="2"/>
          <tx>
            <v>Demanda (Mu,Pu)</v>
          </tx>
          <spPr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1E8A4E"/>
              </a:solidFill>
              <a:ln>
                <a:prstDash val="solid"/>
              </a:ln>
            </spPr>
          </marker>
          <xVal>
            <numRef>
              <f>'Diagrama'!$E$13</f>
            </numRef>
          </xVal>
          <yVal>
            <numRef>
              <f>'Diagrama'!$E$14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 (kN·m)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 (kN)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7" customWidth="1" min="14" max="14"/>
    <col width="7" customWidth="1" min="15" max="15"/>
    <col width="9" customWidth="1" min="16" max="16"/>
    <col width="10" customWidth="1" min="17" max="17"/>
    <col width="8" customWidth="1" min="18" max="18"/>
    <col width="6" customWidth="1" min="19" max="19"/>
    <col width="9" customWidth="1" min="20" max="20"/>
    <col width="10" customWidth="1" min="21" max="21"/>
  </cols>
  <sheetData>
    <row r="1" ht="24" customHeight="1">
      <c r="A1" s="1" t="inlineStr">
        <is>
          <t>DIAGRAMA DE INTERACCIÓN P-M  ·  Columna rectangular (flexión eje fuerte)</t>
        </is>
      </c>
    </row>
    <row r="3">
      <c r="A3" s="2" t="inlineStr">
        <is>
          <t>DATOS DE LA SECCIÓN (edítalos)</t>
        </is>
      </c>
      <c r="D3" s="2" t="inlineStr">
        <is>
          <t>CAPAS DE ACERO (As y profundidad d desde la fibra comprimida)</t>
        </is>
      </c>
    </row>
    <row r="4">
      <c r="A4" s="3" t="inlineStr">
        <is>
          <t>b  (mm)</t>
        </is>
      </c>
      <c r="B4" s="4" t="n">
        <v>400</v>
      </c>
      <c r="D4" s="5" t="inlineStr">
        <is>
          <t>Capa</t>
        </is>
      </c>
      <c r="E4" s="5" t="inlineStr">
        <is>
          <t>As (mm²)</t>
        </is>
      </c>
      <c r="F4" s="5" t="inlineStr">
        <is>
          <t>d (mm)</t>
        </is>
      </c>
    </row>
    <row r="5">
      <c r="A5" s="3" t="inlineStr">
        <is>
          <t>h  (mm)</t>
        </is>
      </c>
      <c r="B5" s="4" t="n">
        <v>500</v>
      </c>
      <c r="D5" s="6" t="inlineStr">
        <is>
          <t>Superior (3#8)</t>
        </is>
      </c>
      <c r="E5" s="4" t="n">
        <v>1530</v>
      </c>
      <c r="F5" s="4" t="n">
        <v>65</v>
      </c>
    </row>
    <row r="6">
      <c r="A6" s="3" t="inlineStr">
        <is>
          <t>f'c (MPa)</t>
        </is>
      </c>
      <c r="B6" s="4" t="n">
        <v>21</v>
      </c>
      <c r="D6" s="6" t="inlineStr">
        <is>
          <t>Media (4#7)</t>
        </is>
      </c>
      <c r="E6" s="4" t="n">
        <v>1548</v>
      </c>
      <c r="F6" s="4" t="n">
        <v>250</v>
      </c>
    </row>
    <row r="7">
      <c r="A7" s="3" t="inlineStr">
        <is>
          <t>fy (MPa)</t>
        </is>
      </c>
      <c r="B7" s="4" t="n">
        <v>420</v>
      </c>
      <c r="D7" s="6" t="inlineStr">
        <is>
          <t>Inferior (3#8)</t>
        </is>
      </c>
      <c r="E7" s="4" t="n">
        <v>1530</v>
      </c>
      <c r="F7" s="4" t="n">
        <v>435</v>
      </c>
    </row>
    <row r="8">
      <c r="A8" s="3" t="inlineStr">
        <is>
          <t>Es (MPa)</t>
        </is>
      </c>
      <c r="B8" s="4" t="n">
        <v>200000</v>
      </c>
      <c r="D8" s="6" t="inlineStr">
        <is>
          <t>Extra (0)</t>
        </is>
      </c>
      <c r="E8" s="4" t="n">
        <v>0</v>
      </c>
      <c r="F8" s="4" t="n">
        <v>0</v>
      </c>
    </row>
    <row r="9">
      <c r="A9" s="3" t="inlineStr">
        <is>
          <t>εcu</t>
        </is>
      </c>
      <c r="B9" s="4" t="n">
        <v>0.003</v>
      </c>
    </row>
    <row r="10">
      <c r="A10" s="3" t="inlineStr">
        <is>
          <t>β1</t>
        </is>
      </c>
      <c r="B10" s="7">
        <f>IF(B6&lt;=28,0.85,MAX(0.65,0.85-0.05*(B6-28)/7))</f>
        <v/>
      </c>
      <c r="D10" s="8" t="inlineStr">
        <is>
          <t>Nota: pon As=0 en las capas que no uses.</t>
        </is>
      </c>
    </row>
    <row r="11">
      <c r="A11" s="3" t="inlineStr">
        <is>
          <t>Ag (mm²)</t>
        </is>
      </c>
      <c r="B11" s="9">
        <f>B4*B5</f>
        <v/>
      </c>
    </row>
    <row r="12">
      <c r="A12" s="3" t="inlineStr">
        <is>
          <t>Ast (mm²)</t>
        </is>
      </c>
      <c r="B12" s="9">
        <f>SUM(E5:E8)</f>
        <v/>
      </c>
      <c r="D12" s="10" t="inlineStr">
        <is>
          <t>DEMANDA (tu par de diseño)</t>
        </is>
      </c>
    </row>
    <row r="13">
      <c r="A13" s="3" t="inlineStr">
        <is>
          <t>Po (N)</t>
        </is>
      </c>
      <c r="B13" s="9">
        <f>0.85*B6*(B11-B12)+B7*B12</f>
        <v/>
      </c>
      <c r="D13" s="3" t="inlineStr">
        <is>
          <t>Pu (kN)</t>
        </is>
      </c>
      <c r="E13" s="4" t="n">
        <v>2000</v>
      </c>
    </row>
    <row r="14">
      <c r="A14" s="3" t="inlineStr">
        <is>
          <t>d_máx (mm)</t>
        </is>
      </c>
      <c r="B14" s="9">
        <f>MAX(F5:F8)</f>
        <v/>
      </c>
      <c r="D14" s="3" t="inlineStr">
        <is>
          <t>Mu (kN·m)</t>
        </is>
      </c>
      <c r="E14" s="4" t="n">
        <v>300</v>
      </c>
    </row>
    <row r="15">
      <c r="A15" s="3" t="inlineStr">
        <is>
          <t>εy=fy/Es</t>
        </is>
      </c>
      <c r="B15" s="11">
        <f>B7/B8</f>
        <v/>
      </c>
      <c r="D15" s="3" t="inlineStr">
        <is>
          <t>¿Dentro?</t>
        </is>
      </c>
      <c r="E15" s="12" t="inlineStr">
        <is>
          <t>Revísalo en la gráfica ▶</t>
        </is>
      </c>
    </row>
    <row r="17">
      <c r="A17" s="13" t="inlineStr">
        <is>
          <t>TABLA DE CÁLCULO (una fila = un valor del eje neutro c). NO editar: son fórmulas.</t>
        </is>
      </c>
    </row>
    <row r="18">
      <c r="A18" s="14" t="inlineStr">
        <is>
          <t>c (mm)</t>
        </is>
      </c>
      <c r="B18" s="14" t="inlineStr">
        <is>
          <t>a (mm)</t>
        </is>
      </c>
      <c r="C18" s="14" t="inlineStr">
        <is>
          <t>Cc (kN)</t>
        </is>
      </c>
      <c r="D18" s="14" t="inlineStr">
        <is>
          <t>εs1</t>
        </is>
      </c>
      <c r="E18" s="14" t="inlineStr">
        <is>
          <t>fs1</t>
        </is>
      </c>
      <c r="F18" s="14" t="inlineStr">
        <is>
          <t>F1(kN)</t>
        </is>
      </c>
      <c r="G18" s="14" t="inlineStr">
        <is>
          <t>εs2</t>
        </is>
      </c>
      <c r="H18" s="14" t="inlineStr">
        <is>
          <t>fs2</t>
        </is>
      </c>
      <c r="I18" s="14" t="inlineStr">
        <is>
          <t>F2(kN)</t>
        </is>
      </c>
      <c r="J18" s="14" t="inlineStr">
        <is>
          <t>εs3</t>
        </is>
      </c>
      <c r="K18" s="14" t="inlineStr">
        <is>
          <t>fs3</t>
        </is>
      </c>
      <c r="L18" s="14" t="inlineStr">
        <is>
          <t>F3(kN)</t>
        </is>
      </c>
      <c r="M18" s="14" t="inlineStr">
        <is>
          <t>εs4</t>
        </is>
      </c>
      <c r="N18" s="14" t="inlineStr">
        <is>
          <t>fs4</t>
        </is>
      </c>
      <c r="O18" s="14" t="inlineStr">
        <is>
          <t>F4(kN)</t>
        </is>
      </c>
      <c r="P18" s="14" t="inlineStr">
        <is>
          <t>Pn (kN)</t>
        </is>
      </c>
      <c r="Q18" s="14" t="inlineStr">
        <is>
          <t>Mn (kN·m)</t>
        </is>
      </c>
      <c r="R18" s="14" t="inlineStr">
        <is>
          <t>εt</t>
        </is>
      </c>
      <c r="S18" s="14" t="inlineStr">
        <is>
          <t>φ</t>
        </is>
      </c>
      <c r="T18" s="14" t="inlineStr">
        <is>
          <t>φPn (kN)</t>
        </is>
      </c>
      <c r="U18" s="14" t="inlineStr">
        <is>
          <t>φMn (kN·m)</t>
        </is>
      </c>
    </row>
    <row r="19">
      <c r="A19" s="15" t="inlineStr">
        <is>
          <t>Comp. pura</t>
        </is>
      </c>
      <c r="P19" s="16">
        <f>B13/1000</f>
        <v/>
      </c>
      <c r="Q19" s="16" t="n">
        <v>0</v>
      </c>
      <c r="S19" s="17" t="n">
        <v>0.65</v>
      </c>
      <c r="T19" s="16">
        <f>0.65*0.8*B13/1000</f>
        <v/>
      </c>
      <c r="U19" s="16" t="n">
        <v>0</v>
      </c>
    </row>
    <row r="20">
      <c r="A20" s="18" t="n">
        <v>3000</v>
      </c>
      <c r="B20" s="19">
        <f>MIN($B$10*A20,$B$5)</f>
        <v/>
      </c>
      <c r="C20" s="16">
        <f>0.85*$B$6*B20*$B$4/1000</f>
        <v/>
      </c>
      <c r="D20" s="20">
        <f>$B$8*(A20-$F$5)/A20</f>
        <v/>
      </c>
      <c r="E20" s="19">
        <f>MAX(-$B$7,MIN($B$7,$B$8*D20))</f>
        <v/>
      </c>
      <c r="F20" s="16">
        <f>IF($F$5&lt;B20,$E$5*(E20-0.85*$B$6),$E$5*E20)/1000</f>
        <v/>
      </c>
      <c r="G20" s="20">
        <f>$B$8*(A20-$F$6)/A20</f>
        <v/>
      </c>
      <c r="H20" s="19">
        <f>MAX(-$B$7,MIN($B$7,$B$8*G20))</f>
        <v/>
      </c>
      <c r="I20" s="16">
        <f>IF($F$6&lt;B20,$E$6*(H20-0.85*$B$6),$E$6*H20)/1000</f>
        <v/>
      </c>
      <c r="J20" s="20">
        <f>$B$8*(A20-$F$7)/A20</f>
        <v/>
      </c>
      <c r="K20" s="19">
        <f>MAX(-$B$7,MIN($B$7,$B$8*J20))</f>
        <v/>
      </c>
      <c r="L20" s="16">
        <f>IF($F$7&lt;B20,$E$7*(K20-0.85*$B$6),$E$7*K20)/1000</f>
        <v/>
      </c>
      <c r="M20" s="20">
        <f>$B$8*(A20-$F$8)/A20</f>
        <v/>
      </c>
      <c r="N20" s="19">
        <f>MAX(-$B$7,MIN($B$7,$B$8*M20))</f>
        <v/>
      </c>
      <c r="O20" s="16">
        <f>IF($F$8&lt;B20,$E$8*(N20-0.85*$B$6),$E$8*N20)/1000</f>
        <v/>
      </c>
      <c r="P20" s="16">
        <f>C20+F20+I20+L20+O20</f>
        <v/>
      </c>
      <c r="Q20" s="16">
        <f>(C20*($B$5/2-B20/2)+F20*($B$5/2-$F$5)+I20*($B$5/2-$F$6)+L20*($B$5/2-$F$7)+O20*($B$5/2-$F$8))/1000</f>
        <v/>
      </c>
      <c r="R20" s="20">
        <f>$B$8*($B$14-A20)/A20</f>
        <v/>
      </c>
      <c r="S20" s="17">
        <f>IF(R20&lt;=$B$15,0.65,IF(R20&gt;=0.005,0.9,0.65+(R20-$B$15)*0.25/(0.005-$B$15)))</f>
        <v/>
      </c>
      <c r="T20" s="16">
        <f>S20*MIN(P20,0.8*$B$13/1000)</f>
        <v/>
      </c>
      <c r="U20" s="16">
        <f>S20*Q20</f>
        <v/>
      </c>
    </row>
    <row r="21">
      <c r="A21" s="18" t="n">
        <v>1000</v>
      </c>
      <c r="B21" s="19">
        <f>MIN($B$10*A21,$B$5)</f>
        <v/>
      </c>
      <c r="C21" s="16">
        <f>0.85*$B$6*B21*$B$4/1000</f>
        <v/>
      </c>
      <c r="D21" s="20">
        <f>$B$8*(A21-$F$5)/A21</f>
        <v/>
      </c>
      <c r="E21" s="19">
        <f>MAX(-$B$7,MIN($B$7,$B$8*D21))</f>
        <v/>
      </c>
      <c r="F21" s="16">
        <f>IF($F$5&lt;B21,$E$5*(E21-0.85*$B$6),$E$5*E21)/1000</f>
        <v/>
      </c>
      <c r="G21" s="20">
        <f>$B$8*(A21-$F$6)/A21</f>
        <v/>
      </c>
      <c r="H21" s="19">
        <f>MAX(-$B$7,MIN($B$7,$B$8*G21))</f>
        <v/>
      </c>
      <c r="I21" s="16">
        <f>IF($F$6&lt;B21,$E$6*(H21-0.85*$B$6),$E$6*H21)/1000</f>
        <v/>
      </c>
      <c r="J21" s="20">
        <f>$B$8*(A21-$F$7)/A21</f>
        <v/>
      </c>
      <c r="K21" s="19">
        <f>MAX(-$B$7,MIN($B$7,$B$8*J21))</f>
        <v/>
      </c>
      <c r="L21" s="16">
        <f>IF($F$7&lt;B21,$E$7*(K21-0.85*$B$6),$E$7*K21)/1000</f>
        <v/>
      </c>
      <c r="M21" s="20">
        <f>$B$8*(A21-$F$8)/A21</f>
        <v/>
      </c>
      <c r="N21" s="19">
        <f>MAX(-$B$7,MIN($B$7,$B$8*M21))</f>
        <v/>
      </c>
      <c r="O21" s="16">
        <f>IF($F$8&lt;B21,$E$8*(N21-0.85*$B$6),$E$8*N21)/1000</f>
        <v/>
      </c>
      <c r="P21" s="16">
        <f>C21+F21+I21+L21+O21</f>
        <v/>
      </c>
      <c r="Q21" s="16">
        <f>(C21*($B$5/2-B21/2)+F21*($B$5/2-$F$5)+I21*($B$5/2-$F$6)+L21*($B$5/2-$F$7)+O21*($B$5/2-$F$8))/1000</f>
        <v/>
      </c>
      <c r="R21" s="20">
        <f>$B$8*($B$14-A21)/A21</f>
        <v/>
      </c>
      <c r="S21" s="17">
        <f>IF(R21&lt;=$B$15,0.65,IF(R21&gt;=0.005,0.9,0.65+(R21-$B$15)*0.25/(0.005-$B$15)))</f>
        <v/>
      </c>
      <c r="T21" s="16">
        <f>S21*MIN(P21,0.8*$B$13/1000)</f>
        <v/>
      </c>
      <c r="U21" s="16">
        <f>S21*Q21</f>
        <v/>
      </c>
    </row>
    <row r="22">
      <c r="A22" s="18" t="n">
        <v>700</v>
      </c>
      <c r="B22" s="19">
        <f>MIN($B$10*A22,$B$5)</f>
        <v/>
      </c>
      <c r="C22" s="16">
        <f>0.85*$B$6*B22*$B$4/1000</f>
        <v/>
      </c>
      <c r="D22" s="20">
        <f>$B$8*(A22-$F$5)/A22</f>
        <v/>
      </c>
      <c r="E22" s="19">
        <f>MAX(-$B$7,MIN($B$7,$B$8*D22))</f>
        <v/>
      </c>
      <c r="F22" s="16">
        <f>IF($F$5&lt;B22,$E$5*(E22-0.85*$B$6),$E$5*E22)/1000</f>
        <v/>
      </c>
      <c r="G22" s="20">
        <f>$B$8*(A22-$F$6)/A22</f>
        <v/>
      </c>
      <c r="H22" s="19">
        <f>MAX(-$B$7,MIN($B$7,$B$8*G22))</f>
        <v/>
      </c>
      <c r="I22" s="16">
        <f>IF($F$6&lt;B22,$E$6*(H22-0.85*$B$6),$E$6*H22)/1000</f>
        <v/>
      </c>
      <c r="J22" s="20">
        <f>$B$8*(A22-$F$7)/A22</f>
        <v/>
      </c>
      <c r="K22" s="19">
        <f>MAX(-$B$7,MIN($B$7,$B$8*J22))</f>
        <v/>
      </c>
      <c r="L22" s="16">
        <f>IF($F$7&lt;B22,$E$7*(K22-0.85*$B$6),$E$7*K22)/1000</f>
        <v/>
      </c>
      <c r="M22" s="20">
        <f>$B$8*(A22-$F$8)/A22</f>
        <v/>
      </c>
      <c r="N22" s="19">
        <f>MAX(-$B$7,MIN($B$7,$B$8*M22))</f>
        <v/>
      </c>
      <c r="O22" s="16">
        <f>IF($F$8&lt;B22,$E$8*(N22-0.85*$B$6),$E$8*N22)/1000</f>
        <v/>
      </c>
      <c r="P22" s="16">
        <f>C22+F22+I22+L22+O22</f>
        <v/>
      </c>
      <c r="Q22" s="16">
        <f>(C22*($B$5/2-B22/2)+F22*($B$5/2-$F$5)+I22*($B$5/2-$F$6)+L22*($B$5/2-$F$7)+O22*($B$5/2-$F$8))/1000</f>
        <v/>
      </c>
      <c r="R22" s="20">
        <f>$B$8*($B$14-A22)/A22</f>
        <v/>
      </c>
      <c r="S22" s="17">
        <f>IF(R22&lt;=$B$15,0.65,IF(R22&gt;=0.005,0.9,0.65+(R22-$B$15)*0.25/(0.005-$B$15)))</f>
        <v/>
      </c>
      <c r="T22" s="16">
        <f>S22*MIN(P22,0.8*$B$13/1000)</f>
        <v/>
      </c>
      <c r="U22" s="16">
        <f>S22*Q22</f>
        <v/>
      </c>
    </row>
    <row r="23">
      <c r="A23" s="18" t="n">
        <v>600</v>
      </c>
      <c r="B23" s="19">
        <f>MIN($B$10*A23,$B$5)</f>
        <v/>
      </c>
      <c r="C23" s="16">
        <f>0.85*$B$6*B23*$B$4/1000</f>
        <v/>
      </c>
      <c r="D23" s="20">
        <f>$B$8*(A23-$F$5)/A23</f>
        <v/>
      </c>
      <c r="E23" s="19">
        <f>MAX(-$B$7,MIN($B$7,$B$8*D23))</f>
        <v/>
      </c>
      <c r="F23" s="16">
        <f>IF($F$5&lt;B23,$E$5*(E23-0.85*$B$6),$E$5*E23)/1000</f>
        <v/>
      </c>
      <c r="G23" s="20">
        <f>$B$8*(A23-$F$6)/A23</f>
        <v/>
      </c>
      <c r="H23" s="19">
        <f>MAX(-$B$7,MIN($B$7,$B$8*G23))</f>
        <v/>
      </c>
      <c r="I23" s="16">
        <f>IF($F$6&lt;B23,$E$6*(H23-0.85*$B$6),$E$6*H23)/1000</f>
        <v/>
      </c>
      <c r="J23" s="20">
        <f>$B$8*(A23-$F$7)/A23</f>
        <v/>
      </c>
      <c r="K23" s="19">
        <f>MAX(-$B$7,MIN($B$7,$B$8*J23))</f>
        <v/>
      </c>
      <c r="L23" s="16">
        <f>IF($F$7&lt;B23,$E$7*(K23-0.85*$B$6),$E$7*K23)/1000</f>
        <v/>
      </c>
      <c r="M23" s="20">
        <f>$B$8*(A23-$F$8)/A23</f>
        <v/>
      </c>
      <c r="N23" s="19">
        <f>MAX(-$B$7,MIN($B$7,$B$8*M23))</f>
        <v/>
      </c>
      <c r="O23" s="16">
        <f>IF($F$8&lt;B23,$E$8*(N23-0.85*$B$6),$E$8*N23)/1000</f>
        <v/>
      </c>
      <c r="P23" s="16">
        <f>C23+F23+I23+L23+O23</f>
        <v/>
      </c>
      <c r="Q23" s="16">
        <f>(C23*($B$5/2-B23/2)+F23*($B$5/2-$F$5)+I23*($B$5/2-$F$6)+L23*($B$5/2-$F$7)+O23*($B$5/2-$F$8))/1000</f>
        <v/>
      </c>
      <c r="R23" s="20">
        <f>$B$8*($B$14-A23)/A23</f>
        <v/>
      </c>
      <c r="S23" s="17">
        <f>IF(R23&lt;=$B$15,0.65,IF(R23&gt;=0.005,0.9,0.65+(R23-$B$15)*0.25/(0.005-$B$15)))</f>
        <v/>
      </c>
      <c r="T23" s="16">
        <f>S23*MIN(P23,0.8*$B$13/1000)</f>
        <v/>
      </c>
      <c r="U23" s="16">
        <f>S23*Q23</f>
        <v/>
      </c>
    </row>
    <row r="24">
      <c r="A24" s="18" t="n">
        <v>550</v>
      </c>
      <c r="B24" s="19">
        <f>MIN($B$10*A24,$B$5)</f>
        <v/>
      </c>
      <c r="C24" s="16">
        <f>0.85*$B$6*B24*$B$4/1000</f>
        <v/>
      </c>
      <c r="D24" s="20">
        <f>$B$8*(A24-$F$5)/A24</f>
        <v/>
      </c>
      <c r="E24" s="19">
        <f>MAX(-$B$7,MIN($B$7,$B$8*D24))</f>
        <v/>
      </c>
      <c r="F24" s="16">
        <f>IF($F$5&lt;B24,$E$5*(E24-0.85*$B$6),$E$5*E24)/1000</f>
        <v/>
      </c>
      <c r="G24" s="20">
        <f>$B$8*(A24-$F$6)/A24</f>
        <v/>
      </c>
      <c r="H24" s="19">
        <f>MAX(-$B$7,MIN($B$7,$B$8*G24))</f>
        <v/>
      </c>
      <c r="I24" s="16">
        <f>IF($F$6&lt;B24,$E$6*(H24-0.85*$B$6),$E$6*H24)/1000</f>
        <v/>
      </c>
      <c r="J24" s="20">
        <f>$B$8*(A24-$F$7)/A24</f>
        <v/>
      </c>
      <c r="K24" s="19">
        <f>MAX(-$B$7,MIN($B$7,$B$8*J24))</f>
        <v/>
      </c>
      <c r="L24" s="16">
        <f>IF($F$7&lt;B24,$E$7*(K24-0.85*$B$6),$E$7*K24)/1000</f>
        <v/>
      </c>
      <c r="M24" s="20">
        <f>$B$8*(A24-$F$8)/A24</f>
        <v/>
      </c>
      <c r="N24" s="19">
        <f>MAX(-$B$7,MIN($B$7,$B$8*M24))</f>
        <v/>
      </c>
      <c r="O24" s="16">
        <f>IF($F$8&lt;B24,$E$8*(N24-0.85*$B$6),$E$8*N24)/1000</f>
        <v/>
      </c>
      <c r="P24" s="16">
        <f>C24+F24+I24+L24+O24</f>
        <v/>
      </c>
      <c r="Q24" s="16">
        <f>(C24*($B$5/2-B24/2)+F24*($B$5/2-$F$5)+I24*($B$5/2-$F$6)+L24*($B$5/2-$F$7)+O24*($B$5/2-$F$8))/1000</f>
        <v/>
      </c>
      <c r="R24" s="20">
        <f>$B$8*($B$14-A24)/A24</f>
        <v/>
      </c>
      <c r="S24" s="17">
        <f>IF(R24&lt;=$B$15,0.65,IF(R24&gt;=0.005,0.9,0.65+(R24-$B$15)*0.25/(0.005-$B$15)))</f>
        <v/>
      </c>
      <c r="T24" s="16">
        <f>S24*MIN(P24,0.8*$B$13/1000)</f>
        <v/>
      </c>
      <c r="U24" s="16">
        <f>S24*Q24</f>
        <v/>
      </c>
    </row>
    <row r="25">
      <c r="A25" s="18" t="n">
        <v>500</v>
      </c>
      <c r="B25" s="19">
        <f>MIN($B$10*A25,$B$5)</f>
        <v/>
      </c>
      <c r="C25" s="16">
        <f>0.85*$B$6*B25*$B$4/1000</f>
        <v/>
      </c>
      <c r="D25" s="20">
        <f>$B$8*(A25-$F$5)/A25</f>
        <v/>
      </c>
      <c r="E25" s="19">
        <f>MAX(-$B$7,MIN($B$7,$B$8*D25))</f>
        <v/>
      </c>
      <c r="F25" s="16">
        <f>IF($F$5&lt;B25,$E$5*(E25-0.85*$B$6),$E$5*E25)/1000</f>
        <v/>
      </c>
      <c r="G25" s="20">
        <f>$B$8*(A25-$F$6)/A25</f>
        <v/>
      </c>
      <c r="H25" s="19">
        <f>MAX(-$B$7,MIN($B$7,$B$8*G25))</f>
        <v/>
      </c>
      <c r="I25" s="16">
        <f>IF($F$6&lt;B25,$E$6*(H25-0.85*$B$6),$E$6*H25)/1000</f>
        <v/>
      </c>
      <c r="J25" s="20">
        <f>$B$8*(A25-$F$7)/A25</f>
        <v/>
      </c>
      <c r="K25" s="19">
        <f>MAX(-$B$7,MIN($B$7,$B$8*J25))</f>
        <v/>
      </c>
      <c r="L25" s="16">
        <f>IF($F$7&lt;B25,$E$7*(K25-0.85*$B$6),$E$7*K25)/1000</f>
        <v/>
      </c>
      <c r="M25" s="20">
        <f>$B$8*(A25-$F$8)/A25</f>
        <v/>
      </c>
      <c r="N25" s="19">
        <f>MAX(-$B$7,MIN($B$7,$B$8*M25))</f>
        <v/>
      </c>
      <c r="O25" s="16">
        <f>IF($F$8&lt;B25,$E$8*(N25-0.85*$B$6),$E$8*N25)/1000</f>
        <v/>
      </c>
      <c r="P25" s="16">
        <f>C25+F25+I25+L25+O25</f>
        <v/>
      </c>
      <c r="Q25" s="16">
        <f>(C25*($B$5/2-B25/2)+F25*($B$5/2-$F$5)+I25*($B$5/2-$F$6)+L25*($B$5/2-$F$7)+O25*($B$5/2-$F$8))/1000</f>
        <v/>
      </c>
      <c r="R25" s="20">
        <f>$B$8*($B$14-A25)/A25</f>
        <v/>
      </c>
      <c r="S25" s="17">
        <f>IF(R25&lt;=$B$15,0.65,IF(R25&gt;=0.005,0.9,0.65+(R25-$B$15)*0.25/(0.005-$B$15)))</f>
        <v/>
      </c>
      <c r="T25" s="16">
        <f>S25*MIN(P25,0.8*$B$13/1000)</f>
        <v/>
      </c>
      <c r="U25" s="16">
        <f>S25*Q25</f>
        <v/>
      </c>
    </row>
    <row r="26">
      <c r="A26" s="18" t="n">
        <v>470</v>
      </c>
      <c r="B26" s="19">
        <f>MIN($B$10*A26,$B$5)</f>
        <v/>
      </c>
      <c r="C26" s="16">
        <f>0.85*$B$6*B26*$B$4/1000</f>
        <v/>
      </c>
      <c r="D26" s="20">
        <f>$B$8*(A26-$F$5)/A26</f>
        <v/>
      </c>
      <c r="E26" s="19">
        <f>MAX(-$B$7,MIN($B$7,$B$8*D26))</f>
        <v/>
      </c>
      <c r="F26" s="16">
        <f>IF($F$5&lt;B26,$E$5*(E26-0.85*$B$6),$E$5*E26)/1000</f>
        <v/>
      </c>
      <c r="G26" s="20">
        <f>$B$8*(A26-$F$6)/A26</f>
        <v/>
      </c>
      <c r="H26" s="19">
        <f>MAX(-$B$7,MIN($B$7,$B$8*G26))</f>
        <v/>
      </c>
      <c r="I26" s="16">
        <f>IF($F$6&lt;B26,$E$6*(H26-0.85*$B$6),$E$6*H26)/1000</f>
        <v/>
      </c>
      <c r="J26" s="20">
        <f>$B$8*(A26-$F$7)/A26</f>
        <v/>
      </c>
      <c r="K26" s="19">
        <f>MAX(-$B$7,MIN($B$7,$B$8*J26))</f>
        <v/>
      </c>
      <c r="L26" s="16">
        <f>IF($F$7&lt;B26,$E$7*(K26-0.85*$B$6),$E$7*K26)/1000</f>
        <v/>
      </c>
      <c r="M26" s="20">
        <f>$B$8*(A26-$F$8)/A26</f>
        <v/>
      </c>
      <c r="N26" s="19">
        <f>MAX(-$B$7,MIN($B$7,$B$8*M26))</f>
        <v/>
      </c>
      <c r="O26" s="16">
        <f>IF($F$8&lt;B26,$E$8*(N26-0.85*$B$6),$E$8*N26)/1000</f>
        <v/>
      </c>
      <c r="P26" s="16">
        <f>C26+F26+I26+L26+O26</f>
        <v/>
      </c>
      <c r="Q26" s="16">
        <f>(C26*($B$5/2-B26/2)+F26*($B$5/2-$F$5)+I26*($B$5/2-$F$6)+L26*($B$5/2-$F$7)+O26*($B$5/2-$F$8))/1000</f>
        <v/>
      </c>
      <c r="R26" s="20">
        <f>$B$8*($B$14-A26)/A26</f>
        <v/>
      </c>
      <c r="S26" s="17">
        <f>IF(R26&lt;=$B$15,0.65,IF(R26&gt;=0.005,0.9,0.65+(R26-$B$15)*0.25/(0.005-$B$15)))</f>
        <v/>
      </c>
      <c r="T26" s="16">
        <f>S26*MIN(P26,0.8*$B$13/1000)</f>
        <v/>
      </c>
      <c r="U26" s="16">
        <f>S26*Q26</f>
        <v/>
      </c>
    </row>
    <row r="27">
      <c r="A27" s="18" t="n">
        <v>440</v>
      </c>
      <c r="B27" s="19">
        <f>MIN($B$10*A27,$B$5)</f>
        <v/>
      </c>
      <c r="C27" s="16">
        <f>0.85*$B$6*B27*$B$4/1000</f>
        <v/>
      </c>
      <c r="D27" s="20">
        <f>$B$8*(A27-$F$5)/A27</f>
        <v/>
      </c>
      <c r="E27" s="19">
        <f>MAX(-$B$7,MIN($B$7,$B$8*D27))</f>
        <v/>
      </c>
      <c r="F27" s="16">
        <f>IF($F$5&lt;B27,$E$5*(E27-0.85*$B$6),$E$5*E27)/1000</f>
        <v/>
      </c>
      <c r="G27" s="20">
        <f>$B$8*(A27-$F$6)/A27</f>
        <v/>
      </c>
      <c r="H27" s="19">
        <f>MAX(-$B$7,MIN($B$7,$B$8*G27))</f>
        <v/>
      </c>
      <c r="I27" s="16">
        <f>IF($F$6&lt;B27,$E$6*(H27-0.85*$B$6),$E$6*H27)/1000</f>
        <v/>
      </c>
      <c r="J27" s="20">
        <f>$B$8*(A27-$F$7)/A27</f>
        <v/>
      </c>
      <c r="K27" s="19">
        <f>MAX(-$B$7,MIN($B$7,$B$8*J27))</f>
        <v/>
      </c>
      <c r="L27" s="16">
        <f>IF($F$7&lt;B27,$E$7*(K27-0.85*$B$6),$E$7*K27)/1000</f>
        <v/>
      </c>
      <c r="M27" s="20">
        <f>$B$8*(A27-$F$8)/A27</f>
        <v/>
      </c>
      <c r="N27" s="19">
        <f>MAX(-$B$7,MIN($B$7,$B$8*M27))</f>
        <v/>
      </c>
      <c r="O27" s="16">
        <f>IF($F$8&lt;B27,$E$8*(N27-0.85*$B$6),$E$8*N27)/1000</f>
        <v/>
      </c>
      <c r="P27" s="16">
        <f>C27+F27+I27+L27+O27</f>
        <v/>
      </c>
      <c r="Q27" s="16">
        <f>(C27*($B$5/2-B27/2)+F27*($B$5/2-$F$5)+I27*($B$5/2-$F$6)+L27*($B$5/2-$F$7)+O27*($B$5/2-$F$8))/1000</f>
        <v/>
      </c>
      <c r="R27" s="20">
        <f>$B$8*($B$14-A27)/A27</f>
        <v/>
      </c>
      <c r="S27" s="17">
        <f>IF(R27&lt;=$B$15,0.65,IF(R27&gt;=0.005,0.9,0.65+(R27-$B$15)*0.25/(0.005-$B$15)))</f>
        <v/>
      </c>
      <c r="T27" s="16">
        <f>S27*MIN(P27,0.8*$B$13/1000)</f>
        <v/>
      </c>
      <c r="U27" s="16">
        <f>S27*Q27</f>
        <v/>
      </c>
    </row>
    <row r="28">
      <c r="A28" s="18" t="n">
        <v>410</v>
      </c>
      <c r="B28" s="19">
        <f>MIN($B$10*A28,$B$5)</f>
        <v/>
      </c>
      <c r="C28" s="16">
        <f>0.85*$B$6*B28*$B$4/1000</f>
        <v/>
      </c>
      <c r="D28" s="20">
        <f>$B$8*(A28-$F$5)/A28</f>
        <v/>
      </c>
      <c r="E28" s="19">
        <f>MAX(-$B$7,MIN($B$7,$B$8*D28))</f>
        <v/>
      </c>
      <c r="F28" s="16">
        <f>IF($F$5&lt;B28,$E$5*(E28-0.85*$B$6),$E$5*E28)/1000</f>
        <v/>
      </c>
      <c r="G28" s="20">
        <f>$B$8*(A28-$F$6)/A28</f>
        <v/>
      </c>
      <c r="H28" s="19">
        <f>MAX(-$B$7,MIN($B$7,$B$8*G28))</f>
        <v/>
      </c>
      <c r="I28" s="16">
        <f>IF($F$6&lt;B28,$E$6*(H28-0.85*$B$6),$E$6*H28)/1000</f>
        <v/>
      </c>
      <c r="J28" s="20">
        <f>$B$8*(A28-$F$7)/A28</f>
        <v/>
      </c>
      <c r="K28" s="19">
        <f>MAX(-$B$7,MIN($B$7,$B$8*J28))</f>
        <v/>
      </c>
      <c r="L28" s="16">
        <f>IF($F$7&lt;B28,$E$7*(K28-0.85*$B$6),$E$7*K28)/1000</f>
        <v/>
      </c>
      <c r="M28" s="20">
        <f>$B$8*(A28-$F$8)/A28</f>
        <v/>
      </c>
      <c r="N28" s="19">
        <f>MAX(-$B$7,MIN($B$7,$B$8*M28))</f>
        <v/>
      </c>
      <c r="O28" s="16">
        <f>IF($F$8&lt;B28,$E$8*(N28-0.85*$B$6),$E$8*N28)/1000</f>
        <v/>
      </c>
      <c r="P28" s="16">
        <f>C28+F28+I28+L28+O28</f>
        <v/>
      </c>
      <c r="Q28" s="16">
        <f>(C28*($B$5/2-B28/2)+F28*($B$5/2-$F$5)+I28*($B$5/2-$F$6)+L28*($B$5/2-$F$7)+O28*($B$5/2-$F$8))/1000</f>
        <v/>
      </c>
      <c r="R28" s="20">
        <f>$B$8*($B$14-A28)/A28</f>
        <v/>
      </c>
      <c r="S28" s="17">
        <f>IF(R28&lt;=$B$15,0.65,IF(R28&gt;=0.005,0.9,0.65+(R28-$B$15)*0.25/(0.005-$B$15)))</f>
        <v/>
      </c>
      <c r="T28" s="16">
        <f>S28*MIN(P28,0.8*$B$13/1000)</f>
        <v/>
      </c>
      <c r="U28" s="16">
        <f>S28*Q28</f>
        <v/>
      </c>
    </row>
    <row r="29">
      <c r="A29" s="18" t="n">
        <v>380</v>
      </c>
      <c r="B29" s="19">
        <f>MIN($B$10*A29,$B$5)</f>
        <v/>
      </c>
      <c r="C29" s="16">
        <f>0.85*$B$6*B29*$B$4/1000</f>
        <v/>
      </c>
      <c r="D29" s="20">
        <f>$B$8*(A29-$F$5)/A29</f>
        <v/>
      </c>
      <c r="E29" s="19">
        <f>MAX(-$B$7,MIN($B$7,$B$8*D29))</f>
        <v/>
      </c>
      <c r="F29" s="16">
        <f>IF($F$5&lt;B29,$E$5*(E29-0.85*$B$6),$E$5*E29)/1000</f>
        <v/>
      </c>
      <c r="G29" s="20">
        <f>$B$8*(A29-$F$6)/A29</f>
        <v/>
      </c>
      <c r="H29" s="19">
        <f>MAX(-$B$7,MIN($B$7,$B$8*G29))</f>
        <v/>
      </c>
      <c r="I29" s="16">
        <f>IF($F$6&lt;B29,$E$6*(H29-0.85*$B$6),$E$6*H29)/1000</f>
        <v/>
      </c>
      <c r="J29" s="20">
        <f>$B$8*(A29-$F$7)/A29</f>
        <v/>
      </c>
      <c r="K29" s="19">
        <f>MAX(-$B$7,MIN($B$7,$B$8*J29))</f>
        <v/>
      </c>
      <c r="L29" s="16">
        <f>IF($F$7&lt;B29,$E$7*(K29-0.85*$B$6),$E$7*K29)/1000</f>
        <v/>
      </c>
      <c r="M29" s="20">
        <f>$B$8*(A29-$F$8)/A29</f>
        <v/>
      </c>
      <c r="N29" s="19">
        <f>MAX(-$B$7,MIN($B$7,$B$8*M29))</f>
        <v/>
      </c>
      <c r="O29" s="16">
        <f>IF($F$8&lt;B29,$E$8*(N29-0.85*$B$6),$E$8*N29)/1000</f>
        <v/>
      </c>
      <c r="P29" s="16">
        <f>C29+F29+I29+L29+O29</f>
        <v/>
      </c>
      <c r="Q29" s="16">
        <f>(C29*($B$5/2-B29/2)+F29*($B$5/2-$F$5)+I29*($B$5/2-$F$6)+L29*($B$5/2-$F$7)+O29*($B$5/2-$F$8))/1000</f>
        <v/>
      </c>
      <c r="R29" s="20">
        <f>$B$8*($B$14-A29)/A29</f>
        <v/>
      </c>
      <c r="S29" s="17">
        <f>IF(R29&lt;=$B$15,0.65,IF(R29&gt;=0.005,0.9,0.65+(R29-$B$15)*0.25/(0.005-$B$15)))</f>
        <v/>
      </c>
      <c r="T29" s="16">
        <f>S29*MIN(P29,0.8*$B$13/1000)</f>
        <v/>
      </c>
      <c r="U29" s="16">
        <f>S29*Q29</f>
        <v/>
      </c>
    </row>
    <row r="30">
      <c r="A30" s="18" t="n">
        <v>350</v>
      </c>
      <c r="B30" s="19">
        <f>MIN($B$10*A30,$B$5)</f>
        <v/>
      </c>
      <c r="C30" s="16">
        <f>0.85*$B$6*B30*$B$4/1000</f>
        <v/>
      </c>
      <c r="D30" s="20">
        <f>$B$8*(A30-$F$5)/A30</f>
        <v/>
      </c>
      <c r="E30" s="19">
        <f>MAX(-$B$7,MIN($B$7,$B$8*D30))</f>
        <v/>
      </c>
      <c r="F30" s="16">
        <f>IF($F$5&lt;B30,$E$5*(E30-0.85*$B$6),$E$5*E30)/1000</f>
        <v/>
      </c>
      <c r="G30" s="20">
        <f>$B$8*(A30-$F$6)/A30</f>
        <v/>
      </c>
      <c r="H30" s="19">
        <f>MAX(-$B$7,MIN($B$7,$B$8*G30))</f>
        <v/>
      </c>
      <c r="I30" s="16">
        <f>IF($F$6&lt;B30,$E$6*(H30-0.85*$B$6),$E$6*H30)/1000</f>
        <v/>
      </c>
      <c r="J30" s="20">
        <f>$B$8*(A30-$F$7)/A30</f>
        <v/>
      </c>
      <c r="K30" s="19">
        <f>MAX(-$B$7,MIN($B$7,$B$8*J30))</f>
        <v/>
      </c>
      <c r="L30" s="16">
        <f>IF($F$7&lt;B30,$E$7*(K30-0.85*$B$6),$E$7*K30)/1000</f>
        <v/>
      </c>
      <c r="M30" s="20">
        <f>$B$8*(A30-$F$8)/A30</f>
        <v/>
      </c>
      <c r="N30" s="19">
        <f>MAX(-$B$7,MIN($B$7,$B$8*M30))</f>
        <v/>
      </c>
      <c r="O30" s="16">
        <f>IF($F$8&lt;B30,$E$8*(N30-0.85*$B$6),$E$8*N30)/1000</f>
        <v/>
      </c>
      <c r="P30" s="16">
        <f>C30+F30+I30+L30+O30</f>
        <v/>
      </c>
      <c r="Q30" s="16">
        <f>(C30*($B$5/2-B30/2)+F30*($B$5/2-$F$5)+I30*($B$5/2-$F$6)+L30*($B$5/2-$F$7)+O30*($B$5/2-$F$8))/1000</f>
        <v/>
      </c>
      <c r="R30" s="20">
        <f>$B$8*($B$14-A30)/A30</f>
        <v/>
      </c>
      <c r="S30" s="17">
        <f>IF(R30&lt;=$B$15,0.65,IF(R30&gt;=0.005,0.9,0.65+(R30-$B$15)*0.25/(0.005-$B$15)))</f>
        <v/>
      </c>
      <c r="T30" s="16">
        <f>S30*MIN(P30,0.8*$B$13/1000)</f>
        <v/>
      </c>
      <c r="U30" s="16">
        <f>S30*Q30</f>
        <v/>
      </c>
    </row>
    <row r="31">
      <c r="A31" s="18" t="n">
        <v>320</v>
      </c>
      <c r="B31" s="19">
        <f>MIN($B$10*A31,$B$5)</f>
        <v/>
      </c>
      <c r="C31" s="16">
        <f>0.85*$B$6*B31*$B$4/1000</f>
        <v/>
      </c>
      <c r="D31" s="20">
        <f>$B$8*(A31-$F$5)/A31</f>
        <v/>
      </c>
      <c r="E31" s="19">
        <f>MAX(-$B$7,MIN($B$7,$B$8*D31))</f>
        <v/>
      </c>
      <c r="F31" s="16">
        <f>IF($F$5&lt;B31,$E$5*(E31-0.85*$B$6),$E$5*E31)/1000</f>
        <v/>
      </c>
      <c r="G31" s="20">
        <f>$B$8*(A31-$F$6)/A31</f>
        <v/>
      </c>
      <c r="H31" s="19">
        <f>MAX(-$B$7,MIN($B$7,$B$8*G31))</f>
        <v/>
      </c>
      <c r="I31" s="16">
        <f>IF($F$6&lt;B31,$E$6*(H31-0.85*$B$6),$E$6*H31)/1000</f>
        <v/>
      </c>
      <c r="J31" s="20">
        <f>$B$8*(A31-$F$7)/A31</f>
        <v/>
      </c>
      <c r="K31" s="19">
        <f>MAX(-$B$7,MIN($B$7,$B$8*J31))</f>
        <v/>
      </c>
      <c r="L31" s="16">
        <f>IF($F$7&lt;B31,$E$7*(K31-0.85*$B$6),$E$7*K31)/1000</f>
        <v/>
      </c>
      <c r="M31" s="20">
        <f>$B$8*(A31-$F$8)/A31</f>
        <v/>
      </c>
      <c r="N31" s="19">
        <f>MAX(-$B$7,MIN($B$7,$B$8*M31))</f>
        <v/>
      </c>
      <c r="O31" s="16">
        <f>IF($F$8&lt;B31,$E$8*(N31-0.85*$B$6),$E$8*N31)/1000</f>
        <v/>
      </c>
      <c r="P31" s="16">
        <f>C31+F31+I31+L31+O31</f>
        <v/>
      </c>
      <c r="Q31" s="16">
        <f>(C31*($B$5/2-B31/2)+F31*($B$5/2-$F$5)+I31*($B$5/2-$F$6)+L31*($B$5/2-$F$7)+O31*($B$5/2-$F$8))/1000</f>
        <v/>
      </c>
      <c r="R31" s="20">
        <f>$B$8*($B$14-A31)/A31</f>
        <v/>
      </c>
      <c r="S31" s="17">
        <f>IF(R31&lt;=$B$15,0.65,IF(R31&gt;=0.005,0.9,0.65+(R31-$B$15)*0.25/(0.005-$B$15)))</f>
        <v/>
      </c>
      <c r="T31" s="16">
        <f>S31*MIN(P31,0.8*$B$13/1000)</f>
        <v/>
      </c>
      <c r="U31" s="16">
        <f>S31*Q31</f>
        <v/>
      </c>
    </row>
    <row r="32">
      <c r="A32" s="18" t="n">
        <v>300</v>
      </c>
      <c r="B32" s="19">
        <f>MIN($B$10*A32,$B$5)</f>
        <v/>
      </c>
      <c r="C32" s="16">
        <f>0.85*$B$6*B32*$B$4/1000</f>
        <v/>
      </c>
      <c r="D32" s="20">
        <f>$B$8*(A32-$F$5)/A32</f>
        <v/>
      </c>
      <c r="E32" s="19">
        <f>MAX(-$B$7,MIN($B$7,$B$8*D32))</f>
        <v/>
      </c>
      <c r="F32" s="16">
        <f>IF($F$5&lt;B32,$E$5*(E32-0.85*$B$6),$E$5*E32)/1000</f>
        <v/>
      </c>
      <c r="G32" s="20">
        <f>$B$8*(A32-$F$6)/A32</f>
        <v/>
      </c>
      <c r="H32" s="19">
        <f>MAX(-$B$7,MIN($B$7,$B$8*G32))</f>
        <v/>
      </c>
      <c r="I32" s="16">
        <f>IF($F$6&lt;B32,$E$6*(H32-0.85*$B$6),$E$6*H32)/1000</f>
        <v/>
      </c>
      <c r="J32" s="20">
        <f>$B$8*(A32-$F$7)/A32</f>
        <v/>
      </c>
      <c r="K32" s="19">
        <f>MAX(-$B$7,MIN($B$7,$B$8*J32))</f>
        <v/>
      </c>
      <c r="L32" s="16">
        <f>IF($F$7&lt;B32,$E$7*(K32-0.85*$B$6),$E$7*K32)/1000</f>
        <v/>
      </c>
      <c r="M32" s="20">
        <f>$B$8*(A32-$F$8)/A32</f>
        <v/>
      </c>
      <c r="N32" s="19">
        <f>MAX(-$B$7,MIN($B$7,$B$8*M32))</f>
        <v/>
      </c>
      <c r="O32" s="16">
        <f>IF($F$8&lt;B32,$E$8*(N32-0.85*$B$6),$E$8*N32)/1000</f>
        <v/>
      </c>
      <c r="P32" s="16">
        <f>C32+F32+I32+L32+O32</f>
        <v/>
      </c>
      <c r="Q32" s="16">
        <f>(C32*($B$5/2-B32/2)+F32*($B$5/2-$F$5)+I32*($B$5/2-$F$6)+L32*($B$5/2-$F$7)+O32*($B$5/2-$F$8))/1000</f>
        <v/>
      </c>
      <c r="R32" s="20">
        <f>$B$8*($B$14-A32)/A32</f>
        <v/>
      </c>
      <c r="S32" s="17">
        <f>IF(R32&lt;=$B$15,0.65,IF(R32&gt;=0.005,0.9,0.65+(R32-$B$15)*0.25/(0.005-$B$15)))</f>
        <v/>
      </c>
      <c r="T32" s="16">
        <f>S32*MIN(P32,0.8*$B$13/1000)</f>
        <v/>
      </c>
      <c r="U32" s="16">
        <f>S32*Q32</f>
        <v/>
      </c>
    </row>
    <row r="33">
      <c r="A33" s="18" t="n">
        <v>280</v>
      </c>
      <c r="B33" s="19">
        <f>MIN($B$10*A33,$B$5)</f>
        <v/>
      </c>
      <c r="C33" s="16">
        <f>0.85*$B$6*B33*$B$4/1000</f>
        <v/>
      </c>
      <c r="D33" s="20">
        <f>$B$8*(A33-$F$5)/A33</f>
        <v/>
      </c>
      <c r="E33" s="19">
        <f>MAX(-$B$7,MIN($B$7,$B$8*D33))</f>
        <v/>
      </c>
      <c r="F33" s="16">
        <f>IF($F$5&lt;B33,$E$5*(E33-0.85*$B$6),$E$5*E33)/1000</f>
        <v/>
      </c>
      <c r="G33" s="20">
        <f>$B$8*(A33-$F$6)/A33</f>
        <v/>
      </c>
      <c r="H33" s="19">
        <f>MAX(-$B$7,MIN($B$7,$B$8*G33))</f>
        <v/>
      </c>
      <c r="I33" s="16">
        <f>IF($F$6&lt;B33,$E$6*(H33-0.85*$B$6),$E$6*H33)/1000</f>
        <v/>
      </c>
      <c r="J33" s="20">
        <f>$B$8*(A33-$F$7)/A33</f>
        <v/>
      </c>
      <c r="K33" s="19">
        <f>MAX(-$B$7,MIN($B$7,$B$8*J33))</f>
        <v/>
      </c>
      <c r="L33" s="16">
        <f>IF($F$7&lt;B33,$E$7*(K33-0.85*$B$6),$E$7*K33)/1000</f>
        <v/>
      </c>
      <c r="M33" s="20">
        <f>$B$8*(A33-$F$8)/A33</f>
        <v/>
      </c>
      <c r="N33" s="19">
        <f>MAX(-$B$7,MIN($B$7,$B$8*M33))</f>
        <v/>
      </c>
      <c r="O33" s="16">
        <f>IF($F$8&lt;B33,$E$8*(N33-0.85*$B$6),$E$8*N33)/1000</f>
        <v/>
      </c>
      <c r="P33" s="16">
        <f>C33+F33+I33+L33+O33</f>
        <v/>
      </c>
      <c r="Q33" s="16">
        <f>(C33*($B$5/2-B33/2)+F33*($B$5/2-$F$5)+I33*($B$5/2-$F$6)+L33*($B$5/2-$F$7)+O33*($B$5/2-$F$8))/1000</f>
        <v/>
      </c>
      <c r="R33" s="20">
        <f>$B$8*($B$14-A33)/A33</f>
        <v/>
      </c>
      <c r="S33" s="17">
        <f>IF(R33&lt;=$B$15,0.65,IF(R33&gt;=0.005,0.9,0.65+(R33-$B$15)*0.25/(0.005-$B$15)))</f>
        <v/>
      </c>
      <c r="T33" s="16">
        <f>S33*MIN(P33,0.8*$B$13/1000)</f>
        <v/>
      </c>
      <c r="U33" s="16">
        <f>S33*Q33</f>
        <v/>
      </c>
    </row>
    <row r="34">
      <c r="A34" s="18" t="n">
        <v>260</v>
      </c>
      <c r="B34" s="19">
        <f>MIN($B$10*A34,$B$5)</f>
        <v/>
      </c>
      <c r="C34" s="16">
        <f>0.85*$B$6*B34*$B$4/1000</f>
        <v/>
      </c>
      <c r="D34" s="20">
        <f>$B$8*(A34-$F$5)/A34</f>
        <v/>
      </c>
      <c r="E34" s="19">
        <f>MAX(-$B$7,MIN($B$7,$B$8*D34))</f>
        <v/>
      </c>
      <c r="F34" s="16">
        <f>IF($F$5&lt;B34,$E$5*(E34-0.85*$B$6),$E$5*E34)/1000</f>
        <v/>
      </c>
      <c r="G34" s="20">
        <f>$B$8*(A34-$F$6)/A34</f>
        <v/>
      </c>
      <c r="H34" s="19">
        <f>MAX(-$B$7,MIN($B$7,$B$8*G34))</f>
        <v/>
      </c>
      <c r="I34" s="16">
        <f>IF($F$6&lt;B34,$E$6*(H34-0.85*$B$6),$E$6*H34)/1000</f>
        <v/>
      </c>
      <c r="J34" s="20">
        <f>$B$8*(A34-$F$7)/A34</f>
        <v/>
      </c>
      <c r="K34" s="19">
        <f>MAX(-$B$7,MIN($B$7,$B$8*J34))</f>
        <v/>
      </c>
      <c r="L34" s="16">
        <f>IF($F$7&lt;B34,$E$7*(K34-0.85*$B$6),$E$7*K34)/1000</f>
        <v/>
      </c>
      <c r="M34" s="20">
        <f>$B$8*(A34-$F$8)/A34</f>
        <v/>
      </c>
      <c r="N34" s="19">
        <f>MAX(-$B$7,MIN($B$7,$B$8*M34))</f>
        <v/>
      </c>
      <c r="O34" s="16">
        <f>IF($F$8&lt;B34,$E$8*(N34-0.85*$B$6),$E$8*N34)/1000</f>
        <v/>
      </c>
      <c r="P34" s="16">
        <f>C34+F34+I34+L34+O34</f>
        <v/>
      </c>
      <c r="Q34" s="16">
        <f>(C34*($B$5/2-B34/2)+F34*($B$5/2-$F$5)+I34*($B$5/2-$F$6)+L34*($B$5/2-$F$7)+O34*($B$5/2-$F$8))/1000</f>
        <v/>
      </c>
      <c r="R34" s="20">
        <f>$B$8*($B$14-A34)/A34</f>
        <v/>
      </c>
      <c r="S34" s="17">
        <f>IF(R34&lt;=$B$15,0.65,IF(R34&gt;=0.005,0.9,0.65+(R34-$B$15)*0.25/(0.005-$B$15)))</f>
        <v/>
      </c>
      <c r="T34" s="16">
        <f>S34*MIN(P34,0.8*$B$13/1000)</f>
        <v/>
      </c>
      <c r="U34" s="16">
        <f>S34*Q34</f>
        <v/>
      </c>
    </row>
    <row r="35">
      <c r="A35" s="18" t="n">
        <v>245</v>
      </c>
      <c r="B35" s="19">
        <f>MIN($B$10*A35,$B$5)</f>
        <v/>
      </c>
      <c r="C35" s="16">
        <f>0.85*$B$6*B35*$B$4/1000</f>
        <v/>
      </c>
      <c r="D35" s="20">
        <f>$B$8*(A35-$F$5)/A35</f>
        <v/>
      </c>
      <c r="E35" s="19">
        <f>MAX(-$B$7,MIN($B$7,$B$8*D35))</f>
        <v/>
      </c>
      <c r="F35" s="16">
        <f>IF($F$5&lt;B35,$E$5*(E35-0.85*$B$6),$E$5*E35)/1000</f>
        <v/>
      </c>
      <c r="G35" s="20">
        <f>$B$8*(A35-$F$6)/A35</f>
        <v/>
      </c>
      <c r="H35" s="19">
        <f>MAX(-$B$7,MIN($B$7,$B$8*G35))</f>
        <v/>
      </c>
      <c r="I35" s="16">
        <f>IF($F$6&lt;B35,$E$6*(H35-0.85*$B$6),$E$6*H35)/1000</f>
        <v/>
      </c>
      <c r="J35" s="20">
        <f>$B$8*(A35-$F$7)/A35</f>
        <v/>
      </c>
      <c r="K35" s="19">
        <f>MAX(-$B$7,MIN($B$7,$B$8*J35))</f>
        <v/>
      </c>
      <c r="L35" s="16">
        <f>IF($F$7&lt;B35,$E$7*(K35-0.85*$B$6),$E$7*K35)/1000</f>
        <v/>
      </c>
      <c r="M35" s="20">
        <f>$B$8*(A35-$F$8)/A35</f>
        <v/>
      </c>
      <c r="N35" s="19">
        <f>MAX(-$B$7,MIN($B$7,$B$8*M35))</f>
        <v/>
      </c>
      <c r="O35" s="16">
        <f>IF($F$8&lt;B35,$E$8*(N35-0.85*$B$6),$E$8*N35)/1000</f>
        <v/>
      </c>
      <c r="P35" s="16">
        <f>C35+F35+I35+L35+O35</f>
        <v/>
      </c>
      <c r="Q35" s="16">
        <f>(C35*($B$5/2-B35/2)+F35*($B$5/2-$F$5)+I35*($B$5/2-$F$6)+L35*($B$5/2-$F$7)+O35*($B$5/2-$F$8))/1000</f>
        <v/>
      </c>
      <c r="R35" s="20">
        <f>$B$8*($B$14-A35)/A35</f>
        <v/>
      </c>
      <c r="S35" s="17">
        <f>IF(R35&lt;=$B$15,0.65,IF(R35&gt;=0.005,0.9,0.65+(R35-$B$15)*0.25/(0.005-$B$15)))</f>
        <v/>
      </c>
      <c r="T35" s="16">
        <f>S35*MIN(P35,0.8*$B$13/1000)</f>
        <v/>
      </c>
      <c r="U35" s="16">
        <f>S35*Q35</f>
        <v/>
      </c>
    </row>
    <row r="36">
      <c r="A36" s="18" t="n">
        <v>230</v>
      </c>
      <c r="B36" s="19">
        <f>MIN($B$10*A36,$B$5)</f>
        <v/>
      </c>
      <c r="C36" s="16">
        <f>0.85*$B$6*B36*$B$4/1000</f>
        <v/>
      </c>
      <c r="D36" s="20">
        <f>$B$8*(A36-$F$5)/A36</f>
        <v/>
      </c>
      <c r="E36" s="19">
        <f>MAX(-$B$7,MIN($B$7,$B$8*D36))</f>
        <v/>
      </c>
      <c r="F36" s="16">
        <f>IF($F$5&lt;B36,$E$5*(E36-0.85*$B$6),$E$5*E36)/1000</f>
        <v/>
      </c>
      <c r="G36" s="20">
        <f>$B$8*(A36-$F$6)/A36</f>
        <v/>
      </c>
      <c r="H36" s="19">
        <f>MAX(-$B$7,MIN($B$7,$B$8*G36))</f>
        <v/>
      </c>
      <c r="I36" s="16">
        <f>IF($F$6&lt;B36,$E$6*(H36-0.85*$B$6),$E$6*H36)/1000</f>
        <v/>
      </c>
      <c r="J36" s="20">
        <f>$B$8*(A36-$F$7)/A36</f>
        <v/>
      </c>
      <c r="K36" s="19">
        <f>MAX(-$B$7,MIN($B$7,$B$8*J36))</f>
        <v/>
      </c>
      <c r="L36" s="16">
        <f>IF($F$7&lt;B36,$E$7*(K36-0.85*$B$6),$E$7*K36)/1000</f>
        <v/>
      </c>
      <c r="M36" s="20">
        <f>$B$8*(A36-$F$8)/A36</f>
        <v/>
      </c>
      <c r="N36" s="19">
        <f>MAX(-$B$7,MIN($B$7,$B$8*M36))</f>
        <v/>
      </c>
      <c r="O36" s="16">
        <f>IF($F$8&lt;B36,$E$8*(N36-0.85*$B$6),$E$8*N36)/1000</f>
        <v/>
      </c>
      <c r="P36" s="16">
        <f>C36+F36+I36+L36+O36</f>
        <v/>
      </c>
      <c r="Q36" s="16">
        <f>(C36*($B$5/2-B36/2)+F36*($B$5/2-$F$5)+I36*($B$5/2-$F$6)+L36*($B$5/2-$F$7)+O36*($B$5/2-$F$8))/1000</f>
        <v/>
      </c>
      <c r="R36" s="20">
        <f>$B$8*($B$14-A36)/A36</f>
        <v/>
      </c>
      <c r="S36" s="17">
        <f>IF(R36&lt;=$B$15,0.65,IF(R36&gt;=0.005,0.9,0.65+(R36-$B$15)*0.25/(0.005-$B$15)))</f>
        <v/>
      </c>
      <c r="T36" s="16">
        <f>S36*MIN(P36,0.8*$B$13/1000)</f>
        <v/>
      </c>
      <c r="U36" s="16">
        <f>S36*Q36</f>
        <v/>
      </c>
    </row>
    <row r="37">
      <c r="A37" s="18" t="n">
        <v>215</v>
      </c>
      <c r="B37" s="19">
        <f>MIN($B$10*A37,$B$5)</f>
        <v/>
      </c>
      <c r="C37" s="16">
        <f>0.85*$B$6*B37*$B$4/1000</f>
        <v/>
      </c>
      <c r="D37" s="20">
        <f>$B$8*(A37-$F$5)/A37</f>
        <v/>
      </c>
      <c r="E37" s="19">
        <f>MAX(-$B$7,MIN($B$7,$B$8*D37))</f>
        <v/>
      </c>
      <c r="F37" s="16">
        <f>IF($F$5&lt;B37,$E$5*(E37-0.85*$B$6),$E$5*E37)/1000</f>
        <v/>
      </c>
      <c r="G37" s="20">
        <f>$B$8*(A37-$F$6)/A37</f>
        <v/>
      </c>
      <c r="H37" s="19">
        <f>MAX(-$B$7,MIN($B$7,$B$8*G37))</f>
        <v/>
      </c>
      <c r="I37" s="16">
        <f>IF($F$6&lt;B37,$E$6*(H37-0.85*$B$6),$E$6*H37)/1000</f>
        <v/>
      </c>
      <c r="J37" s="20">
        <f>$B$8*(A37-$F$7)/A37</f>
        <v/>
      </c>
      <c r="K37" s="19">
        <f>MAX(-$B$7,MIN($B$7,$B$8*J37))</f>
        <v/>
      </c>
      <c r="L37" s="16">
        <f>IF($F$7&lt;B37,$E$7*(K37-0.85*$B$6),$E$7*K37)/1000</f>
        <v/>
      </c>
      <c r="M37" s="20">
        <f>$B$8*(A37-$F$8)/A37</f>
        <v/>
      </c>
      <c r="N37" s="19">
        <f>MAX(-$B$7,MIN($B$7,$B$8*M37))</f>
        <v/>
      </c>
      <c r="O37" s="16">
        <f>IF($F$8&lt;B37,$E$8*(N37-0.85*$B$6),$E$8*N37)/1000</f>
        <v/>
      </c>
      <c r="P37" s="16">
        <f>C37+F37+I37+L37+O37</f>
        <v/>
      </c>
      <c r="Q37" s="16">
        <f>(C37*($B$5/2-B37/2)+F37*($B$5/2-$F$5)+I37*($B$5/2-$F$6)+L37*($B$5/2-$F$7)+O37*($B$5/2-$F$8))/1000</f>
        <v/>
      </c>
      <c r="R37" s="20">
        <f>$B$8*($B$14-A37)/A37</f>
        <v/>
      </c>
      <c r="S37" s="17">
        <f>IF(R37&lt;=$B$15,0.65,IF(R37&gt;=0.005,0.9,0.65+(R37-$B$15)*0.25/(0.005-$B$15)))</f>
        <v/>
      </c>
      <c r="T37" s="16">
        <f>S37*MIN(P37,0.8*$B$13/1000)</f>
        <v/>
      </c>
      <c r="U37" s="16">
        <f>S37*Q37</f>
        <v/>
      </c>
    </row>
    <row r="38">
      <c r="A38" s="18" t="n">
        <v>200</v>
      </c>
      <c r="B38" s="19">
        <f>MIN($B$10*A38,$B$5)</f>
        <v/>
      </c>
      <c r="C38" s="16">
        <f>0.85*$B$6*B38*$B$4/1000</f>
        <v/>
      </c>
      <c r="D38" s="20">
        <f>$B$8*(A38-$F$5)/A38</f>
        <v/>
      </c>
      <c r="E38" s="19">
        <f>MAX(-$B$7,MIN($B$7,$B$8*D38))</f>
        <v/>
      </c>
      <c r="F38" s="16">
        <f>IF($F$5&lt;B38,$E$5*(E38-0.85*$B$6),$E$5*E38)/1000</f>
        <v/>
      </c>
      <c r="G38" s="20">
        <f>$B$8*(A38-$F$6)/A38</f>
        <v/>
      </c>
      <c r="H38" s="19">
        <f>MAX(-$B$7,MIN($B$7,$B$8*G38))</f>
        <v/>
      </c>
      <c r="I38" s="16">
        <f>IF($F$6&lt;B38,$E$6*(H38-0.85*$B$6),$E$6*H38)/1000</f>
        <v/>
      </c>
      <c r="J38" s="20">
        <f>$B$8*(A38-$F$7)/A38</f>
        <v/>
      </c>
      <c r="K38" s="19">
        <f>MAX(-$B$7,MIN($B$7,$B$8*J38))</f>
        <v/>
      </c>
      <c r="L38" s="16">
        <f>IF($F$7&lt;B38,$E$7*(K38-0.85*$B$6),$E$7*K38)/1000</f>
        <v/>
      </c>
      <c r="M38" s="20">
        <f>$B$8*(A38-$F$8)/A38</f>
        <v/>
      </c>
      <c r="N38" s="19">
        <f>MAX(-$B$7,MIN($B$7,$B$8*M38))</f>
        <v/>
      </c>
      <c r="O38" s="16">
        <f>IF($F$8&lt;B38,$E$8*(N38-0.85*$B$6),$E$8*N38)/1000</f>
        <v/>
      </c>
      <c r="P38" s="16">
        <f>C38+F38+I38+L38+O38</f>
        <v/>
      </c>
      <c r="Q38" s="16">
        <f>(C38*($B$5/2-B38/2)+F38*($B$5/2-$F$5)+I38*($B$5/2-$F$6)+L38*($B$5/2-$F$7)+O38*($B$5/2-$F$8))/1000</f>
        <v/>
      </c>
      <c r="R38" s="20">
        <f>$B$8*($B$14-A38)/A38</f>
        <v/>
      </c>
      <c r="S38" s="17">
        <f>IF(R38&lt;=$B$15,0.65,IF(R38&gt;=0.005,0.9,0.65+(R38-$B$15)*0.25/(0.005-$B$15)))</f>
        <v/>
      </c>
      <c r="T38" s="16">
        <f>S38*MIN(P38,0.8*$B$13/1000)</f>
        <v/>
      </c>
      <c r="U38" s="16">
        <f>S38*Q38</f>
        <v/>
      </c>
    </row>
    <row r="39">
      <c r="A39" s="18" t="n">
        <v>185</v>
      </c>
      <c r="B39" s="19">
        <f>MIN($B$10*A39,$B$5)</f>
        <v/>
      </c>
      <c r="C39" s="16">
        <f>0.85*$B$6*B39*$B$4/1000</f>
        <v/>
      </c>
      <c r="D39" s="20">
        <f>$B$8*(A39-$F$5)/A39</f>
        <v/>
      </c>
      <c r="E39" s="19">
        <f>MAX(-$B$7,MIN($B$7,$B$8*D39))</f>
        <v/>
      </c>
      <c r="F39" s="16">
        <f>IF($F$5&lt;B39,$E$5*(E39-0.85*$B$6),$E$5*E39)/1000</f>
        <v/>
      </c>
      <c r="G39" s="20">
        <f>$B$8*(A39-$F$6)/A39</f>
        <v/>
      </c>
      <c r="H39" s="19">
        <f>MAX(-$B$7,MIN($B$7,$B$8*G39))</f>
        <v/>
      </c>
      <c r="I39" s="16">
        <f>IF($F$6&lt;B39,$E$6*(H39-0.85*$B$6),$E$6*H39)/1000</f>
        <v/>
      </c>
      <c r="J39" s="20">
        <f>$B$8*(A39-$F$7)/A39</f>
        <v/>
      </c>
      <c r="K39" s="19">
        <f>MAX(-$B$7,MIN($B$7,$B$8*J39))</f>
        <v/>
      </c>
      <c r="L39" s="16">
        <f>IF($F$7&lt;B39,$E$7*(K39-0.85*$B$6),$E$7*K39)/1000</f>
        <v/>
      </c>
      <c r="M39" s="20">
        <f>$B$8*(A39-$F$8)/A39</f>
        <v/>
      </c>
      <c r="N39" s="19">
        <f>MAX(-$B$7,MIN($B$7,$B$8*M39))</f>
        <v/>
      </c>
      <c r="O39" s="16">
        <f>IF($F$8&lt;B39,$E$8*(N39-0.85*$B$6),$E$8*N39)/1000</f>
        <v/>
      </c>
      <c r="P39" s="16">
        <f>C39+F39+I39+L39+O39</f>
        <v/>
      </c>
      <c r="Q39" s="16">
        <f>(C39*($B$5/2-B39/2)+F39*($B$5/2-$F$5)+I39*($B$5/2-$F$6)+L39*($B$5/2-$F$7)+O39*($B$5/2-$F$8))/1000</f>
        <v/>
      </c>
      <c r="R39" s="20">
        <f>$B$8*($B$14-A39)/A39</f>
        <v/>
      </c>
      <c r="S39" s="17">
        <f>IF(R39&lt;=$B$15,0.65,IF(R39&gt;=0.005,0.9,0.65+(R39-$B$15)*0.25/(0.005-$B$15)))</f>
        <v/>
      </c>
      <c r="T39" s="16">
        <f>S39*MIN(P39,0.8*$B$13/1000)</f>
        <v/>
      </c>
      <c r="U39" s="16">
        <f>S39*Q39</f>
        <v/>
      </c>
    </row>
    <row r="40">
      <c r="A40" s="18" t="n">
        <v>170</v>
      </c>
      <c r="B40" s="19">
        <f>MIN($B$10*A40,$B$5)</f>
        <v/>
      </c>
      <c r="C40" s="16">
        <f>0.85*$B$6*B40*$B$4/1000</f>
        <v/>
      </c>
      <c r="D40" s="20">
        <f>$B$8*(A40-$F$5)/A40</f>
        <v/>
      </c>
      <c r="E40" s="19">
        <f>MAX(-$B$7,MIN($B$7,$B$8*D40))</f>
        <v/>
      </c>
      <c r="F40" s="16">
        <f>IF($F$5&lt;B40,$E$5*(E40-0.85*$B$6),$E$5*E40)/1000</f>
        <v/>
      </c>
      <c r="G40" s="20">
        <f>$B$8*(A40-$F$6)/A40</f>
        <v/>
      </c>
      <c r="H40" s="19">
        <f>MAX(-$B$7,MIN($B$7,$B$8*G40))</f>
        <v/>
      </c>
      <c r="I40" s="16">
        <f>IF($F$6&lt;B40,$E$6*(H40-0.85*$B$6),$E$6*H40)/1000</f>
        <v/>
      </c>
      <c r="J40" s="20">
        <f>$B$8*(A40-$F$7)/A40</f>
        <v/>
      </c>
      <c r="K40" s="19">
        <f>MAX(-$B$7,MIN($B$7,$B$8*J40))</f>
        <v/>
      </c>
      <c r="L40" s="16">
        <f>IF($F$7&lt;B40,$E$7*(K40-0.85*$B$6),$E$7*K40)/1000</f>
        <v/>
      </c>
      <c r="M40" s="20">
        <f>$B$8*(A40-$F$8)/A40</f>
        <v/>
      </c>
      <c r="N40" s="19">
        <f>MAX(-$B$7,MIN($B$7,$B$8*M40))</f>
        <v/>
      </c>
      <c r="O40" s="16">
        <f>IF($F$8&lt;B40,$E$8*(N40-0.85*$B$6),$E$8*N40)/1000</f>
        <v/>
      </c>
      <c r="P40" s="16">
        <f>C40+F40+I40+L40+O40</f>
        <v/>
      </c>
      <c r="Q40" s="16">
        <f>(C40*($B$5/2-B40/2)+F40*($B$5/2-$F$5)+I40*($B$5/2-$F$6)+L40*($B$5/2-$F$7)+O40*($B$5/2-$F$8))/1000</f>
        <v/>
      </c>
      <c r="R40" s="20">
        <f>$B$8*($B$14-A40)/A40</f>
        <v/>
      </c>
      <c r="S40" s="17">
        <f>IF(R40&lt;=$B$15,0.65,IF(R40&gt;=0.005,0.9,0.65+(R40-$B$15)*0.25/(0.005-$B$15)))</f>
        <v/>
      </c>
      <c r="T40" s="16">
        <f>S40*MIN(P40,0.8*$B$13/1000)</f>
        <v/>
      </c>
      <c r="U40" s="16">
        <f>S40*Q40</f>
        <v/>
      </c>
    </row>
    <row r="41">
      <c r="A41" s="18" t="n">
        <v>158</v>
      </c>
      <c r="B41" s="19">
        <f>MIN($B$10*A41,$B$5)</f>
        <v/>
      </c>
      <c r="C41" s="16">
        <f>0.85*$B$6*B41*$B$4/1000</f>
        <v/>
      </c>
      <c r="D41" s="20">
        <f>$B$8*(A41-$F$5)/A41</f>
        <v/>
      </c>
      <c r="E41" s="19">
        <f>MAX(-$B$7,MIN($B$7,$B$8*D41))</f>
        <v/>
      </c>
      <c r="F41" s="16">
        <f>IF($F$5&lt;B41,$E$5*(E41-0.85*$B$6),$E$5*E41)/1000</f>
        <v/>
      </c>
      <c r="G41" s="20">
        <f>$B$8*(A41-$F$6)/A41</f>
        <v/>
      </c>
      <c r="H41" s="19">
        <f>MAX(-$B$7,MIN($B$7,$B$8*G41))</f>
        <v/>
      </c>
      <c r="I41" s="16">
        <f>IF($F$6&lt;B41,$E$6*(H41-0.85*$B$6),$E$6*H41)/1000</f>
        <v/>
      </c>
      <c r="J41" s="20">
        <f>$B$8*(A41-$F$7)/A41</f>
        <v/>
      </c>
      <c r="K41" s="19">
        <f>MAX(-$B$7,MIN($B$7,$B$8*J41))</f>
        <v/>
      </c>
      <c r="L41" s="16">
        <f>IF($F$7&lt;B41,$E$7*(K41-0.85*$B$6),$E$7*K41)/1000</f>
        <v/>
      </c>
      <c r="M41" s="20">
        <f>$B$8*(A41-$F$8)/A41</f>
        <v/>
      </c>
      <c r="N41" s="19">
        <f>MAX(-$B$7,MIN($B$7,$B$8*M41))</f>
        <v/>
      </c>
      <c r="O41" s="16">
        <f>IF($F$8&lt;B41,$E$8*(N41-0.85*$B$6),$E$8*N41)/1000</f>
        <v/>
      </c>
      <c r="P41" s="16">
        <f>C41+F41+I41+L41+O41</f>
        <v/>
      </c>
      <c r="Q41" s="16">
        <f>(C41*($B$5/2-B41/2)+F41*($B$5/2-$F$5)+I41*($B$5/2-$F$6)+L41*($B$5/2-$F$7)+O41*($B$5/2-$F$8))/1000</f>
        <v/>
      </c>
      <c r="R41" s="20">
        <f>$B$8*($B$14-A41)/A41</f>
        <v/>
      </c>
      <c r="S41" s="17">
        <f>IF(R41&lt;=$B$15,0.65,IF(R41&gt;=0.005,0.9,0.65+(R41-$B$15)*0.25/(0.005-$B$15)))</f>
        <v/>
      </c>
      <c r="T41" s="16">
        <f>S41*MIN(P41,0.8*$B$13/1000)</f>
        <v/>
      </c>
      <c r="U41" s="16">
        <f>S41*Q41</f>
        <v/>
      </c>
    </row>
    <row r="42">
      <c r="A42" s="18" t="n">
        <v>145</v>
      </c>
      <c r="B42" s="19">
        <f>MIN($B$10*A42,$B$5)</f>
        <v/>
      </c>
      <c r="C42" s="16">
        <f>0.85*$B$6*B42*$B$4/1000</f>
        <v/>
      </c>
      <c r="D42" s="20">
        <f>$B$8*(A42-$F$5)/A42</f>
        <v/>
      </c>
      <c r="E42" s="19">
        <f>MAX(-$B$7,MIN($B$7,$B$8*D42))</f>
        <v/>
      </c>
      <c r="F42" s="16">
        <f>IF($F$5&lt;B42,$E$5*(E42-0.85*$B$6),$E$5*E42)/1000</f>
        <v/>
      </c>
      <c r="G42" s="20">
        <f>$B$8*(A42-$F$6)/A42</f>
        <v/>
      </c>
      <c r="H42" s="19">
        <f>MAX(-$B$7,MIN($B$7,$B$8*G42))</f>
        <v/>
      </c>
      <c r="I42" s="16">
        <f>IF($F$6&lt;B42,$E$6*(H42-0.85*$B$6),$E$6*H42)/1000</f>
        <v/>
      </c>
      <c r="J42" s="20">
        <f>$B$8*(A42-$F$7)/A42</f>
        <v/>
      </c>
      <c r="K42" s="19">
        <f>MAX(-$B$7,MIN($B$7,$B$8*J42))</f>
        <v/>
      </c>
      <c r="L42" s="16">
        <f>IF($F$7&lt;B42,$E$7*(K42-0.85*$B$6),$E$7*K42)/1000</f>
        <v/>
      </c>
      <c r="M42" s="20">
        <f>$B$8*(A42-$F$8)/A42</f>
        <v/>
      </c>
      <c r="N42" s="19">
        <f>MAX(-$B$7,MIN($B$7,$B$8*M42))</f>
        <v/>
      </c>
      <c r="O42" s="16">
        <f>IF($F$8&lt;B42,$E$8*(N42-0.85*$B$6),$E$8*N42)/1000</f>
        <v/>
      </c>
      <c r="P42" s="16">
        <f>C42+F42+I42+L42+O42</f>
        <v/>
      </c>
      <c r="Q42" s="16">
        <f>(C42*($B$5/2-B42/2)+F42*($B$5/2-$F$5)+I42*($B$5/2-$F$6)+L42*($B$5/2-$F$7)+O42*($B$5/2-$F$8))/1000</f>
        <v/>
      </c>
      <c r="R42" s="20">
        <f>$B$8*($B$14-A42)/A42</f>
        <v/>
      </c>
      <c r="S42" s="17">
        <f>IF(R42&lt;=$B$15,0.65,IF(R42&gt;=0.005,0.9,0.65+(R42-$B$15)*0.25/(0.005-$B$15)))</f>
        <v/>
      </c>
      <c r="T42" s="16">
        <f>S42*MIN(P42,0.8*$B$13/1000)</f>
        <v/>
      </c>
      <c r="U42" s="16">
        <f>S42*Q42</f>
        <v/>
      </c>
    </row>
    <row r="43">
      <c r="A43" s="18" t="n">
        <v>133</v>
      </c>
      <c r="B43" s="19">
        <f>MIN($B$10*A43,$B$5)</f>
        <v/>
      </c>
      <c r="C43" s="16">
        <f>0.85*$B$6*B43*$B$4/1000</f>
        <v/>
      </c>
      <c r="D43" s="20">
        <f>$B$8*(A43-$F$5)/A43</f>
        <v/>
      </c>
      <c r="E43" s="19">
        <f>MAX(-$B$7,MIN($B$7,$B$8*D43))</f>
        <v/>
      </c>
      <c r="F43" s="16">
        <f>IF($F$5&lt;B43,$E$5*(E43-0.85*$B$6),$E$5*E43)/1000</f>
        <v/>
      </c>
      <c r="G43" s="20">
        <f>$B$8*(A43-$F$6)/A43</f>
        <v/>
      </c>
      <c r="H43" s="19">
        <f>MAX(-$B$7,MIN($B$7,$B$8*G43))</f>
        <v/>
      </c>
      <c r="I43" s="16">
        <f>IF($F$6&lt;B43,$E$6*(H43-0.85*$B$6),$E$6*H43)/1000</f>
        <v/>
      </c>
      <c r="J43" s="20">
        <f>$B$8*(A43-$F$7)/A43</f>
        <v/>
      </c>
      <c r="K43" s="19">
        <f>MAX(-$B$7,MIN($B$7,$B$8*J43))</f>
        <v/>
      </c>
      <c r="L43" s="16">
        <f>IF($F$7&lt;B43,$E$7*(K43-0.85*$B$6),$E$7*K43)/1000</f>
        <v/>
      </c>
      <c r="M43" s="20">
        <f>$B$8*(A43-$F$8)/A43</f>
        <v/>
      </c>
      <c r="N43" s="19">
        <f>MAX(-$B$7,MIN($B$7,$B$8*M43))</f>
        <v/>
      </c>
      <c r="O43" s="16">
        <f>IF($F$8&lt;B43,$E$8*(N43-0.85*$B$6),$E$8*N43)/1000</f>
        <v/>
      </c>
      <c r="P43" s="16">
        <f>C43+F43+I43+L43+O43</f>
        <v/>
      </c>
      <c r="Q43" s="16">
        <f>(C43*($B$5/2-B43/2)+F43*($B$5/2-$F$5)+I43*($B$5/2-$F$6)+L43*($B$5/2-$F$7)+O43*($B$5/2-$F$8))/1000</f>
        <v/>
      </c>
      <c r="R43" s="20">
        <f>$B$8*($B$14-A43)/A43</f>
        <v/>
      </c>
      <c r="S43" s="17">
        <f>IF(R43&lt;=$B$15,0.65,IF(R43&gt;=0.005,0.9,0.65+(R43-$B$15)*0.25/(0.005-$B$15)))</f>
        <v/>
      </c>
      <c r="T43" s="16">
        <f>S43*MIN(P43,0.8*$B$13/1000)</f>
        <v/>
      </c>
      <c r="U43" s="16">
        <f>S43*Q43</f>
        <v/>
      </c>
    </row>
    <row r="44">
      <c r="A44" s="18" t="n">
        <v>122</v>
      </c>
      <c r="B44" s="19">
        <f>MIN($B$10*A44,$B$5)</f>
        <v/>
      </c>
      <c r="C44" s="16">
        <f>0.85*$B$6*B44*$B$4/1000</f>
        <v/>
      </c>
      <c r="D44" s="20">
        <f>$B$8*(A44-$F$5)/A44</f>
        <v/>
      </c>
      <c r="E44" s="19">
        <f>MAX(-$B$7,MIN($B$7,$B$8*D44))</f>
        <v/>
      </c>
      <c r="F44" s="16">
        <f>IF($F$5&lt;B44,$E$5*(E44-0.85*$B$6),$E$5*E44)/1000</f>
        <v/>
      </c>
      <c r="G44" s="20">
        <f>$B$8*(A44-$F$6)/A44</f>
        <v/>
      </c>
      <c r="H44" s="19">
        <f>MAX(-$B$7,MIN($B$7,$B$8*G44))</f>
        <v/>
      </c>
      <c r="I44" s="16">
        <f>IF($F$6&lt;B44,$E$6*(H44-0.85*$B$6),$E$6*H44)/1000</f>
        <v/>
      </c>
      <c r="J44" s="20">
        <f>$B$8*(A44-$F$7)/A44</f>
        <v/>
      </c>
      <c r="K44" s="19">
        <f>MAX(-$B$7,MIN($B$7,$B$8*J44))</f>
        <v/>
      </c>
      <c r="L44" s="16">
        <f>IF($F$7&lt;B44,$E$7*(K44-0.85*$B$6),$E$7*K44)/1000</f>
        <v/>
      </c>
      <c r="M44" s="20">
        <f>$B$8*(A44-$F$8)/A44</f>
        <v/>
      </c>
      <c r="N44" s="19">
        <f>MAX(-$B$7,MIN($B$7,$B$8*M44))</f>
        <v/>
      </c>
      <c r="O44" s="16">
        <f>IF($F$8&lt;B44,$E$8*(N44-0.85*$B$6),$E$8*N44)/1000</f>
        <v/>
      </c>
      <c r="P44" s="16">
        <f>C44+F44+I44+L44+O44</f>
        <v/>
      </c>
      <c r="Q44" s="16">
        <f>(C44*($B$5/2-B44/2)+F44*($B$5/2-$F$5)+I44*($B$5/2-$F$6)+L44*($B$5/2-$F$7)+O44*($B$5/2-$F$8))/1000</f>
        <v/>
      </c>
      <c r="R44" s="20">
        <f>$B$8*($B$14-A44)/A44</f>
        <v/>
      </c>
      <c r="S44" s="17">
        <f>IF(R44&lt;=$B$15,0.65,IF(R44&gt;=0.005,0.9,0.65+(R44-$B$15)*0.25/(0.005-$B$15)))</f>
        <v/>
      </c>
      <c r="T44" s="16">
        <f>S44*MIN(P44,0.8*$B$13/1000)</f>
        <v/>
      </c>
      <c r="U44" s="16">
        <f>S44*Q44</f>
        <v/>
      </c>
    </row>
    <row r="45">
      <c r="A45" s="18" t="n">
        <v>110</v>
      </c>
      <c r="B45" s="19">
        <f>MIN($B$10*A45,$B$5)</f>
        <v/>
      </c>
      <c r="C45" s="16">
        <f>0.85*$B$6*B45*$B$4/1000</f>
        <v/>
      </c>
      <c r="D45" s="20">
        <f>$B$8*(A45-$F$5)/A45</f>
        <v/>
      </c>
      <c r="E45" s="19">
        <f>MAX(-$B$7,MIN($B$7,$B$8*D45))</f>
        <v/>
      </c>
      <c r="F45" s="16">
        <f>IF($F$5&lt;B45,$E$5*(E45-0.85*$B$6),$E$5*E45)/1000</f>
        <v/>
      </c>
      <c r="G45" s="20">
        <f>$B$8*(A45-$F$6)/A45</f>
        <v/>
      </c>
      <c r="H45" s="19">
        <f>MAX(-$B$7,MIN($B$7,$B$8*G45))</f>
        <v/>
      </c>
      <c r="I45" s="16">
        <f>IF($F$6&lt;B45,$E$6*(H45-0.85*$B$6),$E$6*H45)/1000</f>
        <v/>
      </c>
      <c r="J45" s="20">
        <f>$B$8*(A45-$F$7)/A45</f>
        <v/>
      </c>
      <c r="K45" s="19">
        <f>MAX(-$B$7,MIN($B$7,$B$8*J45))</f>
        <v/>
      </c>
      <c r="L45" s="16">
        <f>IF($F$7&lt;B45,$E$7*(K45-0.85*$B$6),$E$7*K45)/1000</f>
        <v/>
      </c>
      <c r="M45" s="20">
        <f>$B$8*(A45-$F$8)/A45</f>
        <v/>
      </c>
      <c r="N45" s="19">
        <f>MAX(-$B$7,MIN($B$7,$B$8*M45))</f>
        <v/>
      </c>
      <c r="O45" s="16">
        <f>IF($F$8&lt;B45,$E$8*(N45-0.85*$B$6),$E$8*N45)/1000</f>
        <v/>
      </c>
      <c r="P45" s="16">
        <f>C45+F45+I45+L45+O45</f>
        <v/>
      </c>
      <c r="Q45" s="16">
        <f>(C45*($B$5/2-B45/2)+F45*($B$5/2-$F$5)+I45*($B$5/2-$F$6)+L45*($B$5/2-$F$7)+O45*($B$5/2-$F$8))/1000</f>
        <v/>
      </c>
      <c r="R45" s="20">
        <f>$B$8*($B$14-A45)/A45</f>
        <v/>
      </c>
      <c r="S45" s="17">
        <f>IF(R45&lt;=$B$15,0.65,IF(R45&gt;=0.005,0.9,0.65+(R45-$B$15)*0.25/(0.005-$B$15)))</f>
        <v/>
      </c>
      <c r="T45" s="16">
        <f>S45*MIN(P45,0.8*$B$13/1000)</f>
        <v/>
      </c>
      <c r="U45" s="16">
        <f>S45*Q45</f>
        <v/>
      </c>
    </row>
    <row r="46">
      <c r="A46" s="18" t="n">
        <v>100</v>
      </c>
      <c r="B46" s="19">
        <f>MIN($B$10*A46,$B$5)</f>
        <v/>
      </c>
      <c r="C46" s="16">
        <f>0.85*$B$6*B46*$B$4/1000</f>
        <v/>
      </c>
      <c r="D46" s="20">
        <f>$B$8*(A46-$F$5)/A46</f>
        <v/>
      </c>
      <c r="E46" s="19">
        <f>MAX(-$B$7,MIN($B$7,$B$8*D46))</f>
        <v/>
      </c>
      <c r="F46" s="16">
        <f>IF($F$5&lt;B46,$E$5*(E46-0.85*$B$6),$E$5*E46)/1000</f>
        <v/>
      </c>
      <c r="G46" s="20">
        <f>$B$8*(A46-$F$6)/A46</f>
        <v/>
      </c>
      <c r="H46" s="19">
        <f>MAX(-$B$7,MIN($B$7,$B$8*G46))</f>
        <v/>
      </c>
      <c r="I46" s="16">
        <f>IF($F$6&lt;B46,$E$6*(H46-0.85*$B$6),$E$6*H46)/1000</f>
        <v/>
      </c>
      <c r="J46" s="20">
        <f>$B$8*(A46-$F$7)/A46</f>
        <v/>
      </c>
      <c r="K46" s="19">
        <f>MAX(-$B$7,MIN($B$7,$B$8*J46))</f>
        <v/>
      </c>
      <c r="L46" s="16">
        <f>IF($F$7&lt;B46,$E$7*(K46-0.85*$B$6),$E$7*K46)/1000</f>
        <v/>
      </c>
      <c r="M46" s="20">
        <f>$B$8*(A46-$F$8)/A46</f>
        <v/>
      </c>
      <c r="N46" s="19">
        <f>MAX(-$B$7,MIN($B$7,$B$8*M46))</f>
        <v/>
      </c>
      <c r="O46" s="16">
        <f>IF($F$8&lt;B46,$E$8*(N46-0.85*$B$6),$E$8*N46)/1000</f>
        <v/>
      </c>
      <c r="P46" s="16">
        <f>C46+F46+I46+L46+O46</f>
        <v/>
      </c>
      <c r="Q46" s="16">
        <f>(C46*($B$5/2-B46/2)+F46*($B$5/2-$F$5)+I46*($B$5/2-$F$6)+L46*($B$5/2-$F$7)+O46*($B$5/2-$F$8))/1000</f>
        <v/>
      </c>
      <c r="R46" s="20">
        <f>$B$8*($B$14-A46)/A46</f>
        <v/>
      </c>
      <c r="S46" s="17">
        <f>IF(R46&lt;=$B$15,0.65,IF(R46&gt;=0.005,0.9,0.65+(R46-$B$15)*0.25/(0.005-$B$15)))</f>
        <v/>
      </c>
      <c r="T46" s="16">
        <f>S46*MIN(P46,0.8*$B$13/1000)</f>
        <v/>
      </c>
      <c r="U46" s="16">
        <f>S46*Q46</f>
        <v/>
      </c>
    </row>
    <row r="47">
      <c r="A47" s="18" t="n">
        <v>90</v>
      </c>
      <c r="B47" s="19">
        <f>MIN($B$10*A47,$B$5)</f>
        <v/>
      </c>
      <c r="C47" s="16">
        <f>0.85*$B$6*B47*$B$4/1000</f>
        <v/>
      </c>
      <c r="D47" s="20">
        <f>$B$8*(A47-$F$5)/A47</f>
        <v/>
      </c>
      <c r="E47" s="19">
        <f>MAX(-$B$7,MIN($B$7,$B$8*D47))</f>
        <v/>
      </c>
      <c r="F47" s="16">
        <f>IF($F$5&lt;B47,$E$5*(E47-0.85*$B$6),$E$5*E47)/1000</f>
        <v/>
      </c>
      <c r="G47" s="20">
        <f>$B$8*(A47-$F$6)/A47</f>
        <v/>
      </c>
      <c r="H47" s="19">
        <f>MAX(-$B$7,MIN($B$7,$B$8*G47))</f>
        <v/>
      </c>
      <c r="I47" s="16">
        <f>IF($F$6&lt;B47,$E$6*(H47-0.85*$B$6),$E$6*H47)/1000</f>
        <v/>
      </c>
      <c r="J47" s="20">
        <f>$B$8*(A47-$F$7)/A47</f>
        <v/>
      </c>
      <c r="K47" s="19">
        <f>MAX(-$B$7,MIN($B$7,$B$8*J47))</f>
        <v/>
      </c>
      <c r="L47" s="16">
        <f>IF($F$7&lt;B47,$E$7*(K47-0.85*$B$6),$E$7*K47)/1000</f>
        <v/>
      </c>
      <c r="M47" s="20">
        <f>$B$8*(A47-$F$8)/A47</f>
        <v/>
      </c>
      <c r="N47" s="19">
        <f>MAX(-$B$7,MIN($B$7,$B$8*M47))</f>
        <v/>
      </c>
      <c r="O47" s="16">
        <f>IF($F$8&lt;B47,$E$8*(N47-0.85*$B$6),$E$8*N47)/1000</f>
        <v/>
      </c>
      <c r="P47" s="16">
        <f>C47+F47+I47+L47+O47</f>
        <v/>
      </c>
      <c r="Q47" s="16">
        <f>(C47*($B$5/2-B47/2)+F47*($B$5/2-$F$5)+I47*($B$5/2-$F$6)+L47*($B$5/2-$F$7)+O47*($B$5/2-$F$8))/1000</f>
        <v/>
      </c>
      <c r="R47" s="20">
        <f>$B$8*($B$14-A47)/A47</f>
        <v/>
      </c>
      <c r="S47" s="17">
        <f>IF(R47&lt;=$B$15,0.65,IF(R47&gt;=0.005,0.9,0.65+(R47-$B$15)*0.25/(0.005-$B$15)))</f>
        <v/>
      </c>
      <c r="T47" s="16">
        <f>S47*MIN(P47,0.8*$B$13/1000)</f>
        <v/>
      </c>
      <c r="U47" s="16">
        <f>S47*Q47</f>
        <v/>
      </c>
    </row>
    <row r="48">
      <c r="A48" s="18" t="n">
        <v>80</v>
      </c>
      <c r="B48" s="19">
        <f>MIN($B$10*A48,$B$5)</f>
        <v/>
      </c>
      <c r="C48" s="16">
        <f>0.85*$B$6*B48*$B$4/1000</f>
        <v/>
      </c>
      <c r="D48" s="20">
        <f>$B$8*(A48-$F$5)/A48</f>
        <v/>
      </c>
      <c r="E48" s="19">
        <f>MAX(-$B$7,MIN($B$7,$B$8*D48))</f>
        <v/>
      </c>
      <c r="F48" s="16">
        <f>IF($F$5&lt;B48,$E$5*(E48-0.85*$B$6),$E$5*E48)/1000</f>
        <v/>
      </c>
      <c r="G48" s="20">
        <f>$B$8*(A48-$F$6)/A48</f>
        <v/>
      </c>
      <c r="H48" s="19">
        <f>MAX(-$B$7,MIN($B$7,$B$8*G48))</f>
        <v/>
      </c>
      <c r="I48" s="16">
        <f>IF($F$6&lt;B48,$E$6*(H48-0.85*$B$6),$E$6*H48)/1000</f>
        <v/>
      </c>
      <c r="J48" s="20">
        <f>$B$8*(A48-$F$7)/A48</f>
        <v/>
      </c>
      <c r="K48" s="19">
        <f>MAX(-$B$7,MIN($B$7,$B$8*J48))</f>
        <v/>
      </c>
      <c r="L48" s="16">
        <f>IF($F$7&lt;B48,$E$7*(K48-0.85*$B$6),$E$7*K48)/1000</f>
        <v/>
      </c>
      <c r="M48" s="20">
        <f>$B$8*(A48-$F$8)/A48</f>
        <v/>
      </c>
      <c r="N48" s="19">
        <f>MAX(-$B$7,MIN($B$7,$B$8*M48))</f>
        <v/>
      </c>
      <c r="O48" s="16">
        <f>IF($F$8&lt;B48,$E$8*(N48-0.85*$B$6),$E$8*N48)/1000</f>
        <v/>
      </c>
      <c r="P48" s="16">
        <f>C48+F48+I48+L48+O48</f>
        <v/>
      </c>
      <c r="Q48" s="16">
        <f>(C48*($B$5/2-B48/2)+F48*($B$5/2-$F$5)+I48*($B$5/2-$F$6)+L48*($B$5/2-$F$7)+O48*($B$5/2-$F$8))/1000</f>
        <v/>
      </c>
      <c r="R48" s="20">
        <f>$B$8*($B$14-A48)/A48</f>
        <v/>
      </c>
      <c r="S48" s="17">
        <f>IF(R48&lt;=$B$15,0.65,IF(R48&gt;=0.005,0.9,0.65+(R48-$B$15)*0.25/(0.005-$B$15)))</f>
        <v/>
      </c>
      <c r="T48" s="16">
        <f>S48*MIN(P48,0.8*$B$13/1000)</f>
        <v/>
      </c>
      <c r="U48" s="16">
        <f>S48*Q48</f>
        <v/>
      </c>
    </row>
    <row r="49">
      <c r="A49" s="18" t="n">
        <v>70</v>
      </c>
      <c r="B49" s="19">
        <f>MIN($B$10*A49,$B$5)</f>
        <v/>
      </c>
      <c r="C49" s="16">
        <f>0.85*$B$6*B49*$B$4/1000</f>
        <v/>
      </c>
      <c r="D49" s="20">
        <f>$B$8*(A49-$F$5)/A49</f>
        <v/>
      </c>
      <c r="E49" s="19">
        <f>MAX(-$B$7,MIN($B$7,$B$8*D49))</f>
        <v/>
      </c>
      <c r="F49" s="16">
        <f>IF($F$5&lt;B49,$E$5*(E49-0.85*$B$6),$E$5*E49)/1000</f>
        <v/>
      </c>
      <c r="G49" s="20">
        <f>$B$8*(A49-$F$6)/A49</f>
        <v/>
      </c>
      <c r="H49" s="19">
        <f>MAX(-$B$7,MIN($B$7,$B$8*G49))</f>
        <v/>
      </c>
      <c r="I49" s="16">
        <f>IF($F$6&lt;B49,$E$6*(H49-0.85*$B$6),$E$6*H49)/1000</f>
        <v/>
      </c>
      <c r="J49" s="20">
        <f>$B$8*(A49-$F$7)/A49</f>
        <v/>
      </c>
      <c r="K49" s="19">
        <f>MAX(-$B$7,MIN($B$7,$B$8*J49))</f>
        <v/>
      </c>
      <c r="L49" s="16">
        <f>IF($F$7&lt;B49,$E$7*(K49-0.85*$B$6),$E$7*K49)/1000</f>
        <v/>
      </c>
      <c r="M49" s="20">
        <f>$B$8*(A49-$F$8)/A49</f>
        <v/>
      </c>
      <c r="N49" s="19">
        <f>MAX(-$B$7,MIN($B$7,$B$8*M49))</f>
        <v/>
      </c>
      <c r="O49" s="16">
        <f>IF($F$8&lt;B49,$E$8*(N49-0.85*$B$6),$E$8*N49)/1000</f>
        <v/>
      </c>
      <c r="P49" s="16">
        <f>C49+F49+I49+L49+O49</f>
        <v/>
      </c>
      <c r="Q49" s="16">
        <f>(C49*($B$5/2-B49/2)+F49*($B$5/2-$F$5)+I49*($B$5/2-$F$6)+L49*($B$5/2-$F$7)+O49*($B$5/2-$F$8))/1000</f>
        <v/>
      </c>
      <c r="R49" s="20">
        <f>$B$8*($B$14-A49)/A49</f>
        <v/>
      </c>
      <c r="S49" s="17">
        <f>IF(R49&lt;=$B$15,0.65,IF(R49&gt;=0.005,0.9,0.65+(R49-$B$15)*0.25/(0.005-$B$15)))</f>
        <v/>
      </c>
      <c r="T49" s="16">
        <f>S49*MIN(P49,0.8*$B$13/1000)</f>
        <v/>
      </c>
      <c r="U49" s="16">
        <f>S49*Q49</f>
        <v/>
      </c>
    </row>
    <row r="50">
      <c r="A50" s="18" t="n">
        <v>60</v>
      </c>
      <c r="B50" s="19">
        <f>MIN($B$10*A50,$B$5)</f>
        <v/>
      </c>
      <c r="C50" s="16">
        <f>0.85*$B$6*B50*$B$4/1000</f>
        <v/>
      </c>
      <c r="D50" s="20">
        <f>$B$8*(A50-$F$5)/A50</f>
        <v/>
      </c>
      <c r="E50" s="19">
        <f>MAX(-$B$7,MIN($B$7,$B$8*D50))</f>
        <v/>
      </c>
      <c r="F50" s="16">
        <f>IF($F$5&lt;B50,$E$5*(E50-0.85*$B$6),$E$5*E50)/1000</f>
        <v/>
      </c>
      <c r="G50" s="20">
        <f>$B$8*(A50-$F$6)/A50</f>
        <v/>
      </c>
      <c r="H50" s="19">
        <f>MAX(-$B$7,MIN($B$7,$B$8*G50))</f>
        <v/>
      </c>
      <c r="I50" s="16">
        <f>IF($F$6&lt;B50,$E$6*(H50-0.85*$B$6),$E$6*H50)/1000</f>
        <v/>
      </c>
      <c r="J50" s="20">
        <f>$B$8*(A50-$F$7)/A50</f>
        <v/>
      </c>
      <c r="K50" s="19">
        <f>MAX(-$B$7,MIN($B$7,$B$8*J50))</f>
        <v/>
      </c>
      <c r="L50" s="16">
        <f>IF($F$7&lt;B50,$E$7*(K50-0.85*$B$6),$E$7*K50)/1000</f>
        <v/>
      </c>
      <c r="M50" s="20">
        <f>$B$8*(A50-$F$8)/A50</f>
        <v/>
      </c>
      <c r="N50" s="19">
        <f>MAX(-$B$7,MIN($B$7,$B$8*M50))</f>
        <v/>
      </c>
      <c r="O50" s="16">
        <f>IF($F$8&lt;B50,$E$8*(N50-0.85*$B$6),$E$8*N50)/1000</f>
        <v/>
      </c>
      <c r="P50" s="16">
        <f>C50+F50+I50+L50+O50</f>
        <v/>
      </c>
      <c r="Q50" s="16">
        <f>(C50*($B$5/2-B50/2)+F50*($B$5/2-$F$5)+I50*($B$5/2-$F$6)+L50*($B$5/2-$F$7)+O50*($B$5/2-$F$8))/1000</f>
        <v/>
      </c>
      <c r="R50" s="20">
        <f>$B$8*($B$14-A50)/A50</f>
        <v/>
      </c>
      <c r="S50" s="17">
        <f>IF(R50&lt;=$B$15,0.65,IF(R50&gt;=0.005,0.9,0.65+(R50-$B$15)*0.25/(0.005-$B$15)))</f>
        <v/>
      </c>
      <c r="T50" s="16">
        <f>S50*MIN(P50,0.8*$B$13/1000)</f>
        <v/>
      </c>
      <c r="U50" s="16">
        <f>S50*Q50</f>
        <v/>
      </c>
    </row>
    <row r="51">
      <c r="A51" s="18" t="n">
        <v>50</v>
      </c>
      <c r="B51" s="19">
        <f>MIN($B$10*A51,$B$5)</f>
        <v/>
      </c>
      <c r="C51" s="16">
        <f>0.85*$B$6*B51*$B$4/1000</f>
        <v/>
      </c>
      <c r="D51" s="20">
        <f>$B$8*(A51-$F$5)/A51</f>
        <v/>
      </c>
      <c r="E51" s="19">
        <f>MAX(-$B$7,MIN($B$7,$B$8*D51))</f>
        <v/>
      </c>
      <c r="F51" s="16">
        <f>IF($F$5&lt;B51,$E$5*(E51-0.85*$B$6),$E$5*E51)/1000</f>
        <v/>
      </c>
      <c r="G51" s="20">
        <f>$B$8*(A51-$F$6)/A51</f>
        <v/>
      </c>
      <c r="H51" s="19">
        <f>MAX(-$B$7,MIN($B$7,$B$8*G51))</f>
        <v/>
      </c>
      <c r="I51" s="16">
        <f>IF($F$6&lt;B51,$E$6*(H51-0.85*$B$6),$E$6*H51)/1000</f>
        <v/>
      </c>
      <c r="J51" s="20">
        <f>$B$8*(A51-$F$7)/A51</f>
        <v/>
      </c>
      <c r="K51" s="19">
        <f>MAX(-$B$7,MIN($B$7,$B$8*J51))</f>
        <v/>
      </c>
      <c r="L51" s="16">
        <f>IF($F$7&lt;B51,$E$7*(K51-0.85*$B$6),$E$7*K51)/1000</f>
        <v/>
      </c>
      <c r="M51" s="20">
        <f>$B$8*(A51-$F$8)/A51</f>
        <v/>
      </c>
      <c r="N51" s="19">
        <f>MAX(-$B$7,MIN($B$7,$B$8*M51))</f>
        <v/>
      </c>
      <c r="O51" s="16">
        <f>IF($F$8&lt;B51,$E$8*(N51-0.85*$B$6),$E$8*N51)/1000</f>
        <v/>
      </c>
      <c r="P51" s="16">
        <f>C51+F51+I51+L51+O51</f>
        <v/>
      </c>
      <c r="Q51" s="16">
        <f>(C51*($B$5/2-B51/2)+F51*($B$5/2-$F$5)+I51*($B$5/2-$F$6)+L51*($B$5/2-$F$7)+O51*($B$5/2-$F$8))/1000</f>
        <v/>
      </c>
      <c r="R51" s="20">
        <f>$B$8*($B$14-A51)/A51</f>
        <v/>
      </c>
      <c r="S51" s="17">
        <f>IF(R51&lt;=$B$15,0.65,IF(R51&gt;=0.005,0.9,0.65+(R51-$B$15)*0.25/(0.005-$B$15)))</f>
        <v/>
      </c>
      <c r="T51" s="16">
        <f>S51*MIN(P51,0.8*$B$13/1000)</f>
        <v/>
      </c>
      <c r="U51" s="16">
        <f>S51*Q51</f>
        <v/>
      </c>
    </row>
    <row r="52">
      <c r="A52" s="18" t="n">
        <v>40</v>
      </c>
      <c r="B52" s="19">
        <f>MIN($B$10*A52,$B$5)</f>
        <v/>
      </c>
      <c r="C52" s="16">
        <f>0.85*$B$6*B52*$B$4/1000</f>
        <v/>
      </c>
      <c r="D52" s="20">
        <f>$B$8*(A52-$F$5)/A52</f>
        <v/>
      </c>
      <c r="E52" s="19">
        <f>MAX(-$B$7,MIN($B$7,$B$8*D52))</f>
        <v/>
      </c>
      <c r="F52" s="16">
        <f>IF($F$5&lt;B52,$E$5*(E52-0.85*$B$6),$E$5*E52)/1000</f>
        <v/>
      </c>
      <c r="G52" s="20">
        <f>$B$8*(A52-$F$6)/A52</f>
        <v/>
      </c>
      <c r="H52" s="19">
        <f>MAX(-$B$7,MIN($B$7,$B$8*G52))</f>
        <v/>
      </c>
      <c r="I52" s="16">
        <f>IF($F$6&lt;B52,$E$6*(H52-0.85*$B$6),$E$6*H52)/1000</f>
        <v/>
      </c>
      <c r="J52" s="20">
        <f>$B$8*(A52-$F$7)/A52</f>
        <v/>
      </c>
      <c r="K52" s="19">
        <f>MAX(-$B$7,MIN($B$7,$B$8*J52))</f>
        <v/>
      </c>
      <c r="L52" s="16">
        <f>IF($F$7&lt;B52,$E$7*(K52-0.85*$B$6),$E$7*K52)/1000</f>
        <v/>
      </c>
      <c r="M52" s="20">
        <f>$B$8*(A52-$F$8)/A52</f>
        <v/>
      </c>
      <c r="N52" s="19">
        <f>MAX(-$B$7,MIN($B$7,$B$8*M52))</f>
        <v/>
      </c>
      <c r="O52" s="16">
        <f>IF($F$8&lt;B52,$E$8*(N52-0.85*$B$6),$E$8*N52)/1000</f>
        <v/>
      </c>
      <c r="P52" s="16">
        <f>C52+F52+I52+L52+O52</f>
        <v/>
      </c>
      <c r="Q52" s="16">
        <f>(C52*($B$5/2-B52/2)+F52*($B$5/2-$F$5)+I52*($B$5/2-$F$6)+L52*($B$5/2-$F$7)+O52*($B$5/2-$F$8))/1000</f>
        <v/>
      </c>
      <c r="R52" s="20">
        <f>$B$8*($B$14-A52)/A52</f>
        <v/>
      </c>
      <c r="S52" s="17">
        <f>IF(R52&lt;=$B$15,0.65,IF(R52&gt;=0.005,0.9,0.65+(R52-$B$15)*0.25/(0.005-$B$15)))</f>
        <v/>
      </c>
      <c r="T52" s="16">
        <f>S52*MIN(P52,0.8*$B$13/1000)</f>
        <v/>
      </c>
      <c r="U52" s="16">
        <f>S52*Q52</f>
        <v/>
      </c>
    </row>
    <row r="53">
      <c r="A53" s="15" t="inlineStr">
        <is>
          <t>Tracc. pura</t>
        </is>
      </c>
      <c r="P53" s="16">
        <f>-B12*B7/1000</f>
        <v/>
      </c>
      <c r="Q53" s="16" t="n">
        <v>0</v>
      </c>
      <c r="S53" s="17" t="n">
        <v>0.9</v>
      </c>
      <c r="T53" s="16">
        <f>0.9*(-B12*B7/1000)</f>
        <v/>
      </c>
      <c r="U53" s="16" t="n">
        <v>0</v>
      </c>
    </row>
  </sheetData>
  <mergeCells count="5">
    <mergeCell ref="A1:I1"/>
    <mergeCell ref="D12:F12"/>
    <mergeCell ref="D3:F3"/>
    <mergeCell ref="A17:U17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21" t="inlineStr">
        <is>
          <t>CÓMO SE CONSTRUYE EL DIAGRAMA (paso a paso)</t>
        </is>
      </c>
    </row>
    <row r="3" ht="28" customHeight="1">
      <c r="B3" s="22" t="inlineStr">
        <is>
          <t>IDEA: cada valor del eje neutro 'c' representa un modo de falla distinto y da un punto (M, P). Barriendo c desde grande (compresión) a pequeño (tracción) se dibuja toda la curva.</t>
        </is>
      </c>
    </row>
    <row r="4" ht="16" customHeight="1">
      <c r="B4" s="23" t="inlineStr"/>
    </row>
    <row r="5" ht="16" customHeight="1">
      <c r="B5" s="22" t="inlineStr">
        <is>
          <t>PARA CADA c:</t>
        </is>
      </c>
    </row>
    <row r="6" ht="16" customHeight="1">
      <c r="B6" s="23" t="inlineStr">
        <is>
          <t>1) a = β1·c  (altura del bloque de Whitney, tope = h).</t>
        </is>
      </c>
    </row>
    <row r="7" ht="16" customHeight="1">
      <c r="B7" s="23" t="inlineStr">
        <is>
          <t>2) Cc = 0.85·f'c·a·b  (fuerza de compresión del concreto).</t>
        </is>
      </c>
    </row>
    <row r="8" ht="16" customHeight="1">
      <c r="B8" s="23" t="inlineStr">
        <is>
          <t>3) Para cada capa de acero: εs = εcu·(c − d)/c   (+ = compresión, − = tracción).</t>
        </is>
      </c>
    </row>
    <row r="9" ht="16" customHeight="1">
      <c r="B9" s="23" t="inlineStr">
        <is>
          <t>4) fs = Es·εs, pero limitado a ±fy (no puede pasar la fluencia).</t>
        </is>
      </c>
    </row>
    <row r="10" ht="28" customHeight="1">
      <c r="B10" s="23" t="inlineStr">
        <is>
          <t>5) Fuerza de la capa: F = As·fs.  Si la barra está DENTRO del bloque (d&lt;a) se resta 0.85f'c: F = As·(fs − 0.85f'c).</t>
        </is>
      </c>
    </row>
    <row r="11" ht="16" customHeight="1">
      <c r="B11" s="23" t="inlineStr">
        <is>
          <t>6) Pn = Cc + ΣF     (suma de todas las fuerzas).</t>
        </is>
      </c>
    </row>
    <row r="12" ht="16" customHeight="1">
      <c r="B12" s="23" t="inlineStr">
        <is>
          <t>7) Mn = Cc·(h/2 − a/2) + ΣF·(h/2 − d)   (momentos respecto al centro de la sección).</t>
        </is>
      </c>
    </row>
    <row r="13" ht="16" customHeight="1">
      <c r="B13" s="23" t="inlineStr"/>
    </row>
    <row r="14" ht="16" customHeight="1">
      <c r="B14" s="22" t="inlineStr">
        <is>
          <t>PUNTOS CLAVE:</t>
        </is>
      </c>
    </row>
    <row r="15" ht="16" customHeight="1">
      <c r="B15" s="23" t="inlineStr">
        <is>
          <t>• Compresión pura: Po = 0.85·f'c·(Ag − Ast) + fy·Ast.</t>
        </is>
      </c>
    </row>
    <row r="16" ht="16" customHeight="1">
      <c r="B16" s="23" t="inlineStr">
        <is>
          <t>• Balanceado: c_b = εcu/(εcu+εy)·d  → aquí Mn es máximo.</t>
        </is>
      </c>
    </row>
    <row r="17" ht="16" customHeight="1">
      <c r="B17" s="23" t="inlineStr">
        <is>
          <t>• Flexión pura: el c que hace Pn = 0.</t>
        </is>
      </c>
    </row>
    <row r="18" ht="16" customHeight="1">
      <c r="B18" s="23" t="inlineStr">
        <is>
          <t>• Tracción pura: Pnt = −As·fy.</t>
        </is>
      </c>
    </row>
    <row r="19" ht="16" customHeight="1">
      <c r="B19" s="23" t="inlineStr"/>
    </row>
    <row r="20" ht="16" customHeight="1">
      <c r="B20" s="22" t="inlineStr">
        <is>
          <t>CURVA DE DISEÑO (roja):</t>
        </is>
      </c>
    </row>
    <row r="21" ht="28" customHeight="1">
      <c r="B21" s="23" t="inlineStr">
        <is>
          <t>• φ varía con εt (deformación del acero más traccionado): 0.65 (compresión) → 0.90 (tracción), transición lineal.</t>
        </is>
      </c>
    </row>
    <row r="22" ht="16" customHeight="1">
      <c r="B22" s="23" t="inlineStr">
        <is>
          <t>• Tope de compresión: φPn ≤ 0.65·0.80·Po.</t>
        </is>
      </c>
    </row>
    <row r="23" ht="16" customHeight="1">
      <c r="B23" s="23" t="inlineStr"/>
    </row>
    <row r="24" ht="16" customHeight="1">
      <c r="B24" s="22" t="inlineStr">
        <is>
          <t>CÓMO USAR ESTE ARCHIVO:</t>
        </is>
      </c>
    </row>
    <row r="25" ht="16" customHeight="1">
      <c r="B25" s="23" t="inlineStr">
        <is>
          <t>1) Edita las celdas amarillas: b, h, f'c, fy y las capas de acero (As y d).</t>
        </is>
      </c>
    </row>
    <row r="26" ht="16" customHeight="1">
      <c r="B26" s="23" t="inlineStr">
        <is>
          <t>2) La tabla y la gráfica se recalculan solas.</t>
        </is>
      </c>
    </row>
    <row r="27" ht="28" customHeight="1">
      <c r="B27" s="23" t="inlineStr">
        <is>
          <t>3) Escribe tu Pu y Mu en DEMANDA: si el punto verde cae DENTRO de la curva roja → la columna cumple.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2026-07-08T14:16:35Z</dcterms:created>
  <dcterms:modified xsi:type="dcterms:W3CDTF">2026-07-08T14:16:35Z</dcterms:modified>
</cp:coreProperties>
</file>