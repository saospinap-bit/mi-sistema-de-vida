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grama" sheetId="1" state="visible" r:id="rId1"/>
    <sheet name="Cómo us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2"/>
    </font>
    <font>
      <b val="1"/>
      <color rgb="00000000"/>
      <sz val="11"/>
    </font>
    <font>
      <color rgb="00000000"/>
      <sz val="11"/>
    </font>
    <font>
      <color rgb="00555555"/>
      <sz val="8"/>
    </font>
    <font>
      <b val="1"/>
      <color rgb="00FFFFFF"/>
      <sz val="11"/>
    </font>
    <font>
      <b val="1"/>
      <color rgb="00FFFFFF"/>
      <sz val="10"/>
    </font>
    <font>
      <b val="1"/>
      <color rgb="00FFFFFF"/>
      <sz val="8"/>
    </font>
    <font>
      <b val="1"/>
      <sz val="9"/>
    </font>
    <font>
      <b val="1"/>
      <color rgb="001F3A5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0392B"/>
      </patternFill>
    </fill>
    <fill>
      <patternFill patternType="solid">
        <fgColor rgb="00ECF0F1"/>
      </patternFill>
    </fill>
    <fill>
      <patternFill patternType="solid">
        <fgColor rgb="00FEF9E7"/>
      </patternFill>
    </fill>
    <fill>
      <patternFill patternType="solid">
        <fgColor rgb="001E8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164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Diagrama de Interacción  P - M</a:t>
            </a:r>
          </a:p>
        </rich>
      </tx>
    </title>
    <plotArea>
      <scatterChart>
        <ser>
          <idx val="0"/>
          <order val="0"/>
          <tx>
            <v>Nominal</v>
          </tx>
          <spPr>
            <a:ln w="26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'Diagrama'!$P$34:$P$71</f>
            </numRef>
          </xVal>
          <yVal>
            <numRef>
              <f>'Diagrama'!$Q$34:$Q$71</f>
            </numRef>
          </yVal>
        </ser>
        <ser>
          <idx val="1"/>
          <order val="1"/>
          <tx>
            <v>Diseño (phi)</v>
          </tx>
          <spPr>
            <a:ln w="26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'Diagrama'!$T$34:$T$71</f>
            </numRef>
          </xVal>
          <yVal>
            <numRef>
              <f>'Diagrama'!$U$34:$U$71</f>
            </numRef>
          </yVal>
        </ser>
        <ser>
          <idx val="2"/>
          <order val="2"/>
          <tx>
            <v>6 puntos clave</v>
          </tx>
          <spPr>
            <a:ln>
              <a:noFill/>
              <a:prstDash val="solid"/>
            </a:ln>
          </spPr>
          <marker>
            <symbol val="diamond"/>
            <size val="10"/>
            <spPr>
              <a:solidFill>
                <a:srgbClr val="1E8A4E"/>
              </a:solidFill>
              <a:ln>
                <a:prstDash val="solid"/>
              </a:ln>
            </spPr>
          </marker>
          <xVal>
            <numRef>
              <f>'Diagrama'!$P$75:$P$80</f>
            </numRef>
          </xVal>
          <yVal>
            <numRef>
              <f>'Diagrama'!$Q$75:$Q$80</f>
            </numRef>
          </yVal>
        </ser>
        <ser>
          <idx val="3"/>
          <order val="3"/>
          <tx>
            <v>Demanda (Mu,Pu)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E67E22"/>
              </a:solidFill>
              <a:ln>
                <a:prstDash val="solid"/>
              </a:ln>
            </spPr>
          </marker>
          <xVal>
            <numRef>
              <f>'Diagrama'!$B$18</f>
            </numRef>
          </xVal>
          <yVal>
            <numRef>
              <f>'Diagrama'!$B$19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(kN·m)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 (kN)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12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9" customWidth="1" min="4" max="4"/>
    <col width="8" customWidth="1" min="5" max="5"/>
    <col width="7" customWidth="1" min="6" max="6"/>
  </cols>
  <sheetData>
    <row r="1" ht="22" customHeight="1">
      <c r="A1" s="1" t="inlineStr">
        <is>
          <t>DIAGRAMA DE INTERACCIÓN P-M  ·  columna rectangular (flexión eje fuerte)</t>
        </is>
      </c>
    </row>
    <row r="3">
      <c r="A3" s="2" t="inlineStr">
        <is>
          <t>DATOS DE LA SECCIÓN (edita amarillo)</t>
        </is>
      </c>
      <c r="D3" s="2" t="inlineStr">
        <is>
          <t>CAPAS DE ACERO (As y d desde arriba)</t>
        </is>
      </c>
    </row>
    <row r="4">
      <c r="A4" s="3" t="inlineStr">
        <is>
          <t>b (mm)</t>
        </is>
      </c>
      <c r="B4" s="4" t="n">
        <v>400</v>
      </c>
      <c r="D4" s="5" t="inlineStr">
        <is>
          <t>Capa</t>
        </is>
      </c>
      <c r="E4" s="5" t="inlineStr">
        <is>
          <t>As(mm2)</t>
        </is>
      </c>
      <c r="F4" s="5" t="inlineStr">
        <is>
          <t>d(mm)</t>
        </is>
      </c>
    </row>
    <row r="5">
      <c r="A5" s="3" t="inlineStr">
        <is>
          <t>h (mm)</t>
        </is>
      </c>
      <c r="B5" s="4" t="n">
        <v>500</v>
      </c>
      <c r="D5" s="6" t="inlineStr">
        <is>
          <t>Sup 3#8</t>
        </is>
      </c>
      <c r="E5" s="4" t="n">
        <v>1530</v>
      </c>
      <c r="F5" s="4" t="n">
        <v>65</v>
      </c>
    </row>
    <row r="6">
      <c r="A6" s="3" t="inlineStr">
        <is>
          <t>f'c (MPa)</t>
        </is>
      </c>
      <c r="B6" s="4" t="n">
        <v>21</v>
      </c>
      <c r="D6" s="6" t="inlineStr">
        <is>
          <t>Med-1 2#7</t>
        </is>
      </c>
      <c r="E6" s="4" t="n">
        <v>774</v>
      </c>
      <c r="F6" s="4" t="n">
        <v>188</v>
      </c>
    </row>
    <row r="7">
      <c r="A7" s="3" t="inlineStr">
        <is>
          <t>fy (MPa)</t>
        </is>
      </c>
      <c r="B7" s="4" t="n">
        <v>420</v>
      </c>
      <c r="D7" s="6" t="inlineStr">
        <is>
          <t>Med-2 2#7</t>
        </is>
      </c>
      <c r="E7" s="4" t="n">
        <v>774</v>
      </c>
      <c r="F7" s="4" t="n">
        <v>312</v>
      </c>
    </row>
    <row r="8">
      <c r="A8" s="3" t="inlineStr">
        <is>
          <t>Es (MPa)</t>
        </is>
      </c>
      <c r="B8" s="4" t="n">
        <v>200000</v>
      </c>
      <c r="D8" s="6" t="inlineStr">
        <is>
          <t>Inf 3#8</t>
        </is>
      </c>
      <c r="E8" s="4" t="n">
        <v>1530</v>
      </c>
      <c r="F8" s="4" t="n">
        <v>435</v>
      </c>
    </row>
    <row r="9">
      <c r="A9" s="3" t="inlineStr">
        <is>
          <t>ecu</t>
        </is>
      </c>
      <c r="B9" s="4" t="n">
        <v>0.003</v>
      </c>
    </row>
    <row r="10">
      <c r="A10" s="3" t="inlineStr">
        <is>
          <t>beta1</t>
        </is>
      </c>
      <c r="B10" s="7">
        <f>IF(B6&lt;=28,0.85,MAX(0.65,0.85-0.05*(B6-28)/7))</f>
        <v/>
      </c>
      <c r="D10" s="8" t="inlineStr">
        <is>
          <t>Pon As=0 en capas que no uses</t>
        </is>
      </c>
    </row>
    <row r="11">
      <c r="A11" s="3" t="inlineStr">
        <is>
          <t>Ag (mm2)</t>
        </is>
      </c>
      <c r="B11" s="9">
        <f>B4*B5</f>
        <v/>
      </c>
    </row>
    <row r="12">
      <c r="A12" s="3" t="inlineStr">
        <is>
          <t>Ast (mm2)</t>
        </is>
      </c>
      <c r="B12" s="9">
        <f>SUM(E5:E8)</f>
        <v/>
      </c>
    </row>
    <row r="13">
      <c r="A13" s="3" t="inlineStr">
        <is>
          <t>Po (N)</t>
        </is>
      </c>
      <c r="B13" s="9">
        <f>0.85*B6*(B11-B12)+B7*B12</f>
        <v/>
      </c>
    </row>
    <row r="14">
      <c r="A14" s="3" t="inlineStr">
        <is>
          <t>d_max (mm)</t>
        </is>
      </c>
      <c r="B14" s="9">
        <f>MAX(F5:F8)</f>
        <v/>
      </c>
    </row>
    <row r="15">
      <c r="A15" s="3" t="inlineStr">
        <is>
          <t>ey=fy/Es</t>
        </is>
      </c>
      <c r="B15" s="10">
        <f>B7/B8</f>
        <v/>
      </c>
    </row>
    <row r="16">
      <c r="A16" s="3" t="inlineStr">
        <is>
          <t>c_balanceado</t>
        </is>
      </c>
      <c r="B16" s="9">
        <f>0.003/(0.003+B15)*B14</f>
        <v/>
      </c>
    </row>
    <row r="17">
      <c r="A17" s="3" t="inlineStr">
        <is>
          <t>c flexión pura*</t>
        </is>
      </c>
      <c r="B17" s="4" t="n">
        <v>127</v>
      </c>
    </row>
    <row r="18">
      <c r="A18" s="3" t="inlineStr">
        <is>
          <t>Pu (kN)</t>
        </is>
      </c>
      <c r="B18" s="4" t="n">
        <v>1800</v>
      </c>
    </row>
    <row r="19">
      <c r="A19" s="3" t="inlineStr">
        <is>
          <t>Mu (kN·m)</t>
        </is>
      </c>
      <c r="B19" s="4" t="n">
        <v>300</v>
      </c>
    </row>
    <row r="20">
      <c r="A20" s="8" t="inlineStr">
        <is>
          <t>*ajusta c flexión hasta que su P≈0 (fila abajo)</t>
        </is>
      </c>
    </row>
    <row r="22">
      <c r="A22" s="11" t="inlineStr">
        <is>
          <t>► 6 PUNTOS CLAVE (resumen)</t>
        </is>
      </c>
    </row>
    <row r="23">
      <c r="A23" s="5" t="inlineStr">
        <is>
          <t>Punto</t>
        </is>
      </c>
      <c r="B23" s="5" t="inlineStr">
        <is>
          <t>c (mm)</t>
        </is>
      </c>
      <c r="C23" s="5" t="inlineStr">
        <is>
          <t>M (kN·m)</t>
        </is>
      </c>
      <c r="D23" s="5" t="inlineStr">
        <is>
          <t>P (kN)</t>
        </is>
      </c>
    </row>
    <row r="24">
      <c r="A24" s="3" t="inlineStr">
        <is>
          <t>Compresión pura</t>
        </is>
      </c>
      <c r="B24" s="9">
        <f>A75</f>
        <v/>
      </c>
      <c r="C24" s="12">
        <f>Q75</f>
        <v/>
      </c>
      <c r="D24" s="12">
        <f>P75</f>
        <v/>
      </c>
    </row>
    <row r="25">
      <c r="A25" s="3" t="inlineStr">
        <is>
          <t>Alta compresión</t>
        </is>
      </c>
      <c r="B25" s="9">
        <f>A76</f>
        <v/>
      </c>
      <c r="C25" s="12">
        <f>Q76</f>
        <v/>
      </c>
      <c r="D25" s="12">
        <f>P76</f>
        <v/>
      </c>
    </row>
    <row r="26">
      <c r="A26" s="3" t="inlineStr">
        <is>
          <t>Balanceado</t>
        </is>
      </c>
      <c r="B26" s="9">
        <f>A77</f>
        <v/>
      </c>
      <c r="C26" s="12">
        <f>Q77</f>
        <v/>
      </c>
      <c r="D26" s="12">
        <f>P77</f>
        <v/>
      </c>
    </row>
    <row r="27">
      <c r="A27" s="3" t="inlineStr">
        <is>
          <t>Transición</t>
        </is>
      </c>
      <c r="B27" s="9">
        <f>A78</f>
        <v/>
      </c>
      <c r="C27" s="12">
        <f>Q78</f>
        <v/>
      </c>
      <c r="D27" s="12">
        <f>P78</f>
        <v/>
      </c>
    </row>
    <row r="28">
      <c r="A28" s="3" t="inlineStr">
        <is>
          <t>Flexión pura</t>
        </is>
      </c>
      <c r="B28" s="9">
        <f>A79</f>
        <v/>
      </c>
      <c r="C28" s="12">
        <f>Q79</f>
        <v/>
      </c>
      <c r="D28" s="12">
        <f>P79</f>
        <v/>
      </c>
    </row>
    <row r="29">
      <c r="A29" s="3" t="inlineStr">
        <is>
          <t>Tracción pura</t>
        </is>
      </c>
      <c r="B29" s="9">
        <f>A80</f>
        <v/>
      </c>
      <c r="C29" s="12">
        <f>Q80</f>
        <v/>
      </c>
      <c r="D29" s="12">
        <f>P80</f>
        <v/>
      </c>
    </row>
    <row r="32">
      <c r="A32" s="13" t="inlineStr">
        <is>
          <t>TABLA (curva suave) — NO editar, son fórmulas. c grande=compresión pura, c chico=tracción pura.</t>
        </is>
      </c>
    </row>
    <row r="33">
      <c r="A33" s="14" t="inlineStr">
        <is>
          <t>c(mm)</t>
        </is>
      </c>
      <c r="B33" s="14" t="inlineStr">
        <is>
          <t>a</t>
        </is>
      </c>
      <c r="C33" s="14" t="inlineStr">
        <is>
          <t>Cc</t>
        </is>
      </c>
      <c r="D33" s="14" t="inlineStr">
        <is>
          <t>es1</t>
        </is>
      </c>
      <c r="E33" s="14" t="inlineStr">
        <is>
          <t>fs1</t>
        </is>
      </c>
      <c r="F33" s="14" t="inlineStr">
        <is>
          <t>F1</t>
        </is>
      </c>
      <c r="G33" s="14" t="inlineStr">
        <is>
          <t>es2</t>
        </is>
      </c>
      <c r="H33" s="14" t="inlineStr">
        <is>
          <t>fs2</t>
        </is>
      </c>
      <c r="I33" s="14" t="inlineStr">
        <is>
          <t>F2</t>
        </is>
      </c>
      <c r="J33" s="14" t="inlineStr">
        <is>
          <t>es3</t>
        </is>
      </c>
      <c r="K33" s="14" t="inlineStr">
        <is>
          <t>fs3</t>
        </is>
      </c>
      <c r="L33" s="14" t="inlineStr">
        <is>
          <t>F3</t>
        </is>
      </c>
      <c r="M33" s="14" t="inlineStr">
        <is>
          <t>es4</t>
        </is>
      </c>
      <c r="N33" s="14" t="inlineStr">
        <is>
          <t>fs4</t>
        </is>
      </c>
      <c r="O33" s="14" t="inlineStr">
        <is>
          <t>F4</t>
        </is>
      </c>
      <c r="P33" s="14" t="inlineStr">
        <is>
          <t>Pn</t>
        </is>
      </c>
      <c r="Q33" s="14" t="inlineStr">
        <is>
          <t>Mn</t>
        </is>
      </c>
      <c r="R33" s="14" t="inlineStr">
        <is>
          <t>et</t>
        </is>
      </c>
      <c r="S33" s="14" t="inlineStr">
        <is>
          <t>phi</t>
        </is>
      </c>
      <c r="T33" s="14" t="inlineStr">
        <is>
          <t>phiPn</t>
        </is>
      </c>
      <c r="U33" s="14" t="inlineStr">
        <is>
          <t>phiMn</t>
        </is>
      </c>
    </row>
    <row r="34">
      <c r="A34" s="9" t="n">
        <v>100000</v>
      </c>
      <c r="B34" s="15">
        <f>MIN($B$10*A34,$B$5)</f>
        <v/>
      </c>
      <c r="C34" s="16">
        <f>0.85*$B$6*B34*$B$4/1000</f>
        <v/>
      </c>
      <c r="D34" s="17">
        <f>$B$9*(A34-$F$5)/A34</f>
        <v/>
      </c>
      <c r="E34" s="15">
        <f>MAX(-$B$7,MIN($B$7,$B$8*D34))</f>
        <v/>
      </c>
      <c r="F34" s="16">
        <f>IF($F$5&lt;B34,$E$5*(E34-0.85*$B$6),$E$5*E34)/1000</f>
        <v/>
      </c>
      <c r="G34" s="17">
        <f>$B$9*(A34-$F$6)/A34</f>
        <v/>
      </c>
      <c r="H34" s="15">
        <f>MAX(-$B$7,MIN($B$7,$B$8*G34))</f>
        <v/>
      </c>
      <c r="I34" s="16">
        <f>IF($F$6&lt;B34,$E$6*(H34-0.85*$B$6),$E$6*H34)/1000</f>
        <v/>
      </c>
      <c r="J34" s="17">
        <f>$B$9*(A34-$F$7)/A34</f>
        <v/>
      </c>
      <c r="K34" s="15">
        <f>MAX(-$B$7,MIN($B$7,$B$8*J34))</f>
        <v/>
      </c>
      <c r="L34" s="16">
        <f>IF($F$7&lt;B34,$E$7*(K34-0.85*$B$6),$E$7*K34)/1000</f>
        <v/>
      </c>
      <c r="M34" s="17">
        <f>$B$9*(A34-$F$8)/A34</f>
        <v/>
      </c>
      <c r="N34" s="15">
        <f>MAX(-$B$7,MIN($B$7,$B$8*M34))</f>
        <v/>
      </c>
      <c r="O34" s="16">
        <f>IF($F$8&lt;B34,$E$8*(N34-0.85*$B$6),$E$8*N34)/1000</f>
        <v/>
      </c>
      <c r="P34" s="16">
        <f>C34+F34+I34+L34+O34</f>
        <v/>
      </c>
      <c r="Q34" s="16">
        <f>(C34*($B$5/2-B34/2)+F34*($B$5/2-$F$5)+I34*($B$5/2-$F$6)+L34*($B$5/2-$F$7)+O34*($B$5/2-$F$8))/1000</f>
        <v/>
      </c>
      <c r="R34" s="17">
        <f>$B$9*($B$14-A34)/A34</f>
        <v/>
      </c>
      <c r="S34" s="18">
        <f>IF(R34&lt;=$B$15,0.65,IF(R34&gt;=0.005,0.9,0.65+(R34-$B$15)*0.25/(0.005-$B$15)))</f>
        <v/>
      </c>
      <c r="T34" s="16">
        <f>S34*MIN(P34,0.8*$B$13/1000)</f>
        <v/>
      </c>
      <c r="U34" s="16">
        <f>S34*Q34</f>
        <v/>
      </c>
    </row>
    <row r="35">
      <c r="A35" s="9" t="n">
        <v>3000</v>
      </c>
      <c r="B35" s="15">
        <f>MIN($B$10*A35,$B$5)</f>
        <v/>
      </c>
      <c r="C35" s="16">
        <f>0.85*$B$6*B35*$B$4/1000</f>
        <v/>
      </c>
      <c r="D35" s="17">
        <f>$B$9*(A35-$F$5)/A35</f>
        <v/>
      </c>
      <c r="E35" s="15">
        <f>MAX(-$B$7,MIN($B$7,$B$8*D35))</f>
        <v/>
      </c>
      <c r="F35" s="16">
        <f>IF($F$5&lt;B35,$E$5*(E35-0.85*$B$6),$E$5*E35)/1000</f>
        <v/>
      </c>
      <c r="G35" s="17">
        <f>$B$9*(A35-$F$6)/A35</f>
        <v/>
      </c>
      <c r="H35" s="15">
        <f>MAX(-$B$7,MIN($B$7,$B$8*G35))</f>
        <v/>
      </c>
      <c r="I35" s="16">
        <f>IF($F$6&lt;B35,$E$6*(H35-0.85*$B$6),$E$6*H35)/1000</f>
        <v/>
      </c>
      <c r="J35" s="17">
        <f>$B$9*(A35-$F$7)/A35</f>
        <v/>
      </c>
      <c r="K35" s="15">
        <f>MAX(-$B$7,MIN($B$7,$B$8*J35))</f>
        <v/>
      </c>
      <c r="L35" s="16">
        <f>IF($F$7&lt;B35,$E$7*(K35-0.85*$B$6),$E$7*K35)/1000</f>
        <v/>
      </c>
      <c r="M35" s="17">
        <f>$B$9*(A35-$F$8)/A35</f>
        <v/>
      </c>
      <c r="N35" s="15">
        <f>MAX(-$B$7,MIN($B$7,$B$8*M35))</f>
        <v/>
      </c>
      <c r="O35" s="16">
        <f>IF($F$8&lt;B35,$E$8*(N35-0.85*$B$6),$E$8*N35)/1000</f>
        <v/>
      </c>
      <c r="P35" s="16">
        <f>C35+F35+I35+L35+O35</f>
        <v/>
      </c>
      <c r="Q35" s="16">
        <f>(C35*($B$5/2-B35/2)+F35*($B$5/2-$F$5)+I35*($B$5/2-$F$6)+L35*($B$5/2-$F$7)+O35*($B$5/2-$F$8))/1000</f>
        <v/>
      </c>
      <c r="R35" s="17">
        <f>$B$9*($B$14-A35)/A35</f>
        <v/>
      </c>
      <c r="S35" s="18">
        <f>IF(R35&lt;=$B$15,0.65,IF(R35&gt;=0.005,0.9,0.65+(R35-$B$15)*0.25/(0.005-$B$15)))</f>
        <v/>
      </c>
      <c r="T35" s="16">
        <f>S35*MIN(P35,0.8*$B$13/1000)</f>
        <v/>
      </c>
      <c r="U35" s="16">
        <f>S35*Q35</f>
        <v/>
      </c>
    </row>
    <row r="36">
      <c r="A36" s="9" t="n">
        <v>1200</v>
      </c>
      <c r="B36" s="15">
        <f>MIN($B$10*A36,$B$5)</f>
        <v/>
      </c>
      <c r="C36" s="16">
        <f>0.85*$B$6*B36*$B$4/1000</f>
        <v/>
      </c>
      <c r="D36" s="17">
        <f>$B$9*(A36-$F$5)/A36</f>
        <v/>
      </c>
      <c r="E36" s="15">
        <f>MAX(-$B$7,MIN($B$7,$B$8*D36))</f>
        <v/>
      </c>
      <c r="F36" s="16">
        <f>IF($F$5&lt;B36,$E$5*(E36-0.85*$B$6),$E$5*E36)/1000</f>
        <v/>
      </c>
      <c r="G36" s="17">
        <f>$B$9*(A36-$F$6)/A36</f>
        <v/>
      </c>
      <c r="H36" s="15">
        <f>MAX(-$B$7,MIN($B$7,$B$8*G36))</f>
        <v/>
      </c>
      <c r="I36" s="16">
        <f>IF($F$6&lt;B36,$E$6*(H36-0.85*$B$6),$E$6*H36)/1000</f>
        <v/>
      </c>
      <c r="J36" s="17">
        <f>$B$9*(A36-$F$7)/A36</f>
        <v/>
      </c>
      <c r="K36" s="15">
        <f>MAX(-$B$7,MIN($B$7,$B$8*J36))</f>
        <v/>
      </c>
      <c r="L36" s="16">
        <f>IF($F$7&lt;B36,$E$7*(K36-0.85*$B$6),$E$7*K36)/1000</f>
        <v/>
      </c>
      <c r="M36" s="17">
        <f>$B$9*(A36-$F$8)/A36</f>
        <v/>
      </c>
      <c r="N36" s="15">
        <f>MAX(-$B$7,MIN($B$7,$B$8*M36))</f>
        <v/>
      </c>
      <c r="O36" s="16">
        <f>IF($F$8&lt;B36,$E$8*(N36-0.85*$B$6),$E$8*N36)/1000</f>
        <v/>
      </c>
      <c r="P36" s="16">
        <f>C36+F36+I36+L36+O36</f>
        <v/>
      </c>
      <c r="Q36" s="16">
        <f>(C36*($B$5/2-B36/2)+F36*($B$5/2-$F$5)+I36*($B$5/2-$F$6)+L36*($B$5/2-$F$7)+O36*($B$5/2-$F$8))/1000</f>
        <v/>
      </c>
      <c r="R36" s="17">
        <f>$B$9*($B$14-A36)/A36</f>
        <v/>
      </c>
      <c r="S36" s="18">
        <f>IF(R36&lt;=$B$15,0.65,IF(R36&gt;=0.005,0.9,0.65+(R36-$B$15)*0.25/(0.005-$B$15)))</f>
        <v/>
      </c>
      <c r="T36" s="16">
        <f>S36*MIN(P36,0.8*$B$13/1000)</f>
        <v/>
      </c>
      <c r="U36" s="16">
        <f>S36*Q36</f>
        <v/>
      </c>
    </row>
    <row r="37">
      <c r="A37" s="9" t="n">
        <v>900</v>
      </c>
      <c r="B37" s="15">
        <f>MIN($B$10*A37,$B$5)</f>
        <v/>
      </c>
      <c r="C37" s="16">
        <f>0.85*$B$6*B37*$B$4/1000</f>
        <v/>
      </c>
      <c r="D37" s="17">
        <f>$B$9*(A37-$F$5)/A37</f>
        <v/>
      </c>
      <c r="E37" s="15">
        <f>MAX(-$B$7,MIN($B$7,$B$8*D37))</f>
        <v/>
      </c>
      <c r="F37" s="16">
        <f>IF($F$5&lt;B37,$E$5*(E37-0.85*$B$6),$E$5*E37)/1000</f>
        <v/>
      </c>
      <c r="G37" s="17">
        <f>$B$9*(A37-$F$6)/A37</f>
        <v/>
      </c>
      <c r="H37" s="15">
        <f>MAX(-$B$7,MIN($B$7,$B$8*G37))</f>
        <v/>
      </c>
      <c r="I37" s="16">
        <f>IF($F$6&lt;B37,$E$6*(H37-0.85*$B$6),$E$6*H37)/1000</f>
        <v/>
      </c>
      <c r="J37" s="17">
        <f>$B$9*(A37-$F$7)/A37</f>
        <v/>
      </c>
      <c r="K37" s="15">
        <f>MAX(-$B$7,MIN($B$7,$B$8*J37))</f>
        <v/>
      </c>
      <c r="L37" s="16">
        <f>IF($F$7&lt;B37,$E$7*(K37-0.85*$B$6),$E$7*K37)/1000</f>
        <v/>
      </c>
      <c r="M37" s="17">
        <f>$B$9*(A37-$F$8)/A37</f>
        <v/>
      </c>
      <c r="N37" s="15">
        <f>MAX(-$B$7,MIN($B$7,$B$8*M37))</f>
        <v/>
      </c>
      <c r="O37" s="16">
        <f>IF($F$8&lt;B37,$E$8*(N37-0.85*$B$6),$E$8*N37)/1000</f>
        <v/>
      </c>
      <c r="P37" s="16">
        <f>C37+F37+I37+L37+O37</f>
        <v/>
      </c>
      <c r="Q37" s="16">
        <f>(C37*($B$5/2-B37/2)+F37*($B$5/2-$F$5)+I37*($B$5/2-$F$6)+L37*($B$5/2-$F$7)+O37*($B$5/2-$F$8))/1000</f>
        <v/>
      </c>
      <c r="R37" s="17">
        <f>$B$9*($B$14-A37)/A37</f>
        <v/>
      </c>
      <c r="S37" s="18">
        <f>IF(R37&lt;=$B$15,0.65,IF(R37&gt;=0.005,0.9,0.65+(R37-$B$15)*0.25/(0.005-$B$15)))</f>
        <v/>
      </c>
      <c r="T37" s="16">
        <f>S37*MIN(P37,0.8*$B$13/1000)</f>
        <v/>
      </c>
      <c r="U37" s="16">
        <f>S37*Q37</f>
        <v/>
      </c>
    </row>
    <row r="38">
      <c r="A38" s="9" t="n">
        <v>750</v>
      </c>
      <c r="B38" s="15">
        <f>MIN($B$10*A38,$B$5)</f>
        <v/>
      </c>
      <c r="C38" s="16">
        <f>0.85*$B$6*B38*$B$4/1000</f>
        <v/>
      </c>
      <c r="D38" s="17">
        <f>$B$9*(A38-$F$5)/A38</f>
        <v/>
      </c>
      <c r="E38" s="15">
        <f>MAX(-$B$7,MIN($B$7,$B$8*D38))</f>
        <v/>
      </c>
      <c r="F38" s="16">
        <f>IF($F$5&lt;B38,$E$5*(E38-0.85*$B$6),$E$5*E38)/1000</f>
        <v/>
      </c>
      <c r="G38" s="17">
        <f>$B$9*(A38-$F$6)/A38</f>
        <v/>
      </c>
      <c r="H38" s="15">
        <f>MAX(-$B$7,MIN($B$7,$B$8*G38))</f>
        <v/>
      </c>
      <c r="I38" s="16">
        <f>IF($F$6&lt;B38,$E$6*(H38-0.85*$B$6),$E$6*H38)/1000</f>
        <v/>
      </c>
      <c r="J38" s="17">
        <f>$B$9*(A38-$F$7)/A38</f>
        <v/>
      </c>
      <c r="K38" s="15">
        <f>MAX(-$B$7,MIN($B$7,$B$8*J38))</f>
        <v/>
      </c>
      <c r="L38" s="16">
        <f>IF($F$7&lt;B38,$E$7*(K38-0.85*$B$6),$E$7*K38)/1000</f>
        <v/>
      </c>
      <c r="M38" s="17">
        <f>$B$9*(A38-$F$8)/A38</f>
        <v/>
      </c>
      <c r="N38" s="15">
        <f>MAX(-$B$7,MIN($B$7,$B$8*M38))</f>
        <v/>
      </c>
      <c r="O38" s="16">
        <f>IF($F$8&lt;B38,$E$8*(N38-0.85*$B$6),$E$8*N38)/1000</f>
        <v/>
      </c>
      <c r="P38" s="16">
        <f>C38+F38+I38+L38+O38</f>
        <v/>
      </c>
      <c r="Q38" s="16">
        <f>(C38*($B$5/2-B38/2)+F38*($B$5/2-$F$5)+I38*($B$5/2-$F$6)+L38*($B$5/2-$F$7)+O38*($B$5/2-$F$8))/1000</f>
        <v/>
      </c>
      <c r="R38" s="17">
        <f>$B$9*($B$14-A38)/A38</f>
        <v/>
      </c>
      <c r="S38" s="18">
        <f>IF(R38&lt;=$B$15,0.65,IF(R38&gt;=0.005,0.9,0.65+(R38-$B$15)*0.25/(0.005-$B$15)))</f>
        <v/>
      </c>
      <c r="T38" s="16">
        <f>S38*MIN(P38,0.8*$B$13/1000)</f>
        <v/>
      </c>
      <c r="U38" s="16">
        <f>S38*Q38</f>
        <v/>
      </c>
    </row>
    <row r="39">
      <c r="A39" s="9" t="n">
        <v>650</v>
      </c>
      <c r="B39" s="15">
        <f>MIN($B$10*A39,$B$5)</f>
        <v/>
      </c>
      <c r="C39" s="16">
        <f>0.85*$B$6*B39*$B$4/1000</f>
        <v/>
      </c>
      <c r="D39" s="17">
        <f>$B$9*(A39-$F$5)/A39</f>
        <v/>
      </c>
      <c r="E39" s="15">
        <f>MAX(-$B$7,MIN($B$7,$B$8*D39))</f>
        <v/>
      </c>
      <c r="F39" s="16">
        <f>IF($F$5&lt;B39,$E$5*(E39-0.85*$B$6),$E$5*E39)/1000</f>
        <v/>
      </c>
      <c r="G39" s="17">
        <f>$B$9*(A39-$F$6)/A39</f>
        <v/>
      </c>
      <c r="H39" s="15">
        <f>MAX(-$B$7,MIN($B$7,$B$8*G39))</f>
        <v/>
      </c>
      <c r="I39" s="16">
        <f>IF($F$6&lt;B39,$E$6*(H39-0.85*$B$6),$E$6*H39)/1000</f>
        <v/>
      </c>
      <c r="J39" s="17">
        <f>$B$9*(A39-$F$7)/A39</f>
        <v/>
      </c>
      <c r="K39" s="15">
        <f>MAX(-$B$7,MIN($B$7,$B$8*J39))</f>
        <v/>
      </c>
      <c r="L39" s="16">
        <f>IF($F$7&lt;B39,$E$7*(K39-0.85*$B$6),$E$7*K39)/1000</f>
        <v/>
      </c>
      <c r="M39" s="17">
        <f>$B$9*(A39-$F$8)/A39</f>
        <v/>
      </c>
      <c r="N39" s="15">
        <f>MAX(-$B$7,MIN($B$7,$B$8*M39))</f>
        <v/>
      </c>
      <c r="O39" s="16">
        <f>IF($F$8&lt;B39,$E$8*(N39-0.85*$B$6),$E$8*N39)/1000</f>
        <v/>
      </c>
      <c r="P39" s="16">
        <f>C39+F39+I39+L39+O39</f>
        <v/>
      </c>
      <c r="Q39" s="16">
        <f>(C39*($B$5/2-B39/2)+F39*($B$5/2-$F$5)+I39*($B$5/2-$F$6)+L39*($B$5/2-$F$7)+O39*($B$5/2-$F$8))/1000</f>
        <v/>
      </c>
      <c r="R39" s="17">
        <f>$B$9*($B$14-A39)/A39</f>
        <v/>
      </c>
      <c r="S39" s="18">
        <f>IF(R39&lt;=$B$15,0.65,IF(R39&gt;=0.005,0.9,0.65+(R39-$B$15)*0.25/(0.005-$B$15)))</f>
        <v/>
      </c>
      <c r="T39" s="16">
        <f>S39*MIN(P39,0.8*$B$13/1000)</f>
        <v/>
      </c>
      <c r="U39" s="16">
        <f>S39*Q39</f>
        <v/>
      </c>
    </row>
    <row r="40">
      <c r="A40" s="9" t="n">
        <v>600</v>
      </c>
      <c r="B40" s="15">
        <f>MIN($B$10*A40,$B$5)</f>
        <v/>
      </c>
      <c r="C40" s="16">
        <f>0.85*$B$6*B40*$B$4/1000</f>
        <v/>
      </c>
      <c r="D40" s="17">
        <f>$B$9*(A40-$F$5)/A40</f>
        <v/>
      </c>
      <c r="E40" s="15">
        <f>MAX(-$B$7,MIN($B$7,$B$8*D40))</f>
        <v/>
      </c>
      <c r="F40" s="16">
        <f>IF($F$5&lt;B40,$E$5*(E40-0.85*$B$6),$E$5*E40)/1000</f>
        <v/>
      </c>
      <c r="G40" s="17">
        <f>$B$9*(A40-$F$6)/A40</f>
        <v/>
      </c>
      <c r="H40" s="15">
        <f>MAX(-$B$7,MIN($B$7,$B$8*G40))</f>
        <v/>
      </c>
      <c r="I40" s="16">
        <f>IF($F$6&lt;B40,$E$6*(H40-0.85*$B$6),$E$6*H40)/1000</f>
        <v/>
      </c>
      <c r="J40" s="17">
        <f>$B$9*(A40-$F$7)/A40</f>
        <v/>
      </c>
      <c r="K40" s="15">
        <f>MAX(-$B$7,MIN($B$7,$B$8*J40))</f>
        <v/>
      </c>
      <c r="L40" s="16">
        <f>IF($F$7&lt;B40,$E$7*(K40-0.85*$B$6),$E$7*K40)/1000</f>
        <v/>
      </c>
      <c r="M40" s="17">
        <f>$B$9*(A40-$F$8)/A40</f>
        <v/>
      </c>
      <c r="N40" s="15">
        <f>MAX(-$B$7,MIN($B$7,$B$8*M40))</f>
        <v/>
      </c>
      <c r="O40" s="16">
        <f>IF($F$8&lt;B40,$E$8*(N40-0.85*$B$6),$E$8*N40)/1000</f>
        <v/>
      </c>
      <c r="P40" s="16">
        <f>C40+F40+I40+L40+O40</f>
        <v/>
      </c>
      <c r="Q40" s="16">
        <f>(C40*($B$5/2-B40/2)+F40*($B$5/2-$F$5)+I40*($B$5/2-$F$6)+L40*($B$5/2-$F$7)+O40*($B$5/2-$F$8))/1000</f>
        <v/>
      </c>
      <c r="R40" s="17">
        <f>$B$9*($B$14-A40)/A40</f>
        <v/>
      </c>
      <c r="S40" s="18">
        <f>IF(R40&lt;=$B$15,0.65,IF(R40&gt;=0.005,0.9,0.65+(R40-$B$15)*0.25/(0.005-$B$15)))</f>
        <v/>
      </c>
      <c r="T40" s="16">
        <f>S40*MIN(P40,0.8*$B$13/1000)</f>
        <v/>
      </c>
      <c r="U40" s="16">
        <f>S40*Q40</f>
        <v/>
      </c>
    </row>
    <row r="41">
      <c r="A41" s="9" t="n">
        <v>550</v>
      </c>
      <c r="B41" s="15">
        <f>MIN($B$10*A41,$B$5)</f>
        <v/>
      </c>
      <c r="C41" s="16">
        <f>0.85*$B$6*B41*$B$4/1000</f>
        <v/>
      </c>
      <c r="D41" s="17">
        <f>$B$9*(A41-$F$5)/A41</f>
        <v/>
      </c>
      <c r="E41" s="15">
        <f>MAX(-$B$7,MIN($B$7,$B$8*D41))</f>
        <v/>
      </c>
      <c r="F41" s="16">
        <f>IF($F$5&lt;B41,$E$5*(E41-0.85*$B$6),$E$5*E41)/1000</f>
        <v/>
      </c>
      <c r="G41" s="17">
        <f>$B$9*(A41-$F$6)/A41</f>
        <v/>
      </c>
      <c r="H41" s="15">
        <f>MAX(-$B$7,MIN($B$7,$B$8*G41))</f>
        <v/>
      </c>
      <c r="I41" s="16">
        <f>IF($F$6&lt;B41,$E$6*(H41-0.85*$B$6),$E$6*H41)/1000</f>
        <v/>
      </c>
      <c r="J41" s="17">
        <f>$B$9*(A41-$F$7)/A41</f>
        <v/>
      </c>
      <c r="K41" s="15">
        <f>MAX(-$B$7,MIN($B$7,$B$8*J41))</f>
        <v/>
      </c>
      <c r="L41" s="16">
        <f>IF($F$7&lt;B41,$E$7*(K41-0.85*$B$6),$E$7*K41)/1000</f>
        <v/>
      </c>
      <c r="M41" s="17">
        <f>$B$9*(A41-$F$8)/A41</f>
        <v/>
      </c>
      <c r="N41" s="15">
        <f>MAX(-$B$7,MIN($B$7,$B$8*M41))</f>
        <v/>
      </c>
      <c r="O41" s="16">
        <f>IF($F$8&lt;B41,$E$8*(N41-0.85*$B$6),$E$8*N41)/1000</f>
        <v/>
      </c>
      <c r="P41" s="16">
        <f>C41+F41+I41+L41+O41</f>
        <v/>
      </c>
      <c r="Q41" s="16">
        <f>(C41*($B$5/2-B41/2)+F41*($B$5/2-$F$5)+I41*($B$5/2-$F$6)+L41*($B$5/2-$F$7)+O41*($B$5/2-$F$8))/1000</f>
        <v/>
      </c>
      <c r="R41" s="17">
        <f>$B$9*($B$14-A41)/A41</f>
        <v/>
      </c>
      <c r="S41" s="18">
        <f>IF(R41&lt;=$B$15,0.65,IF(R41&gt;=0.005,0.9,0.65+(R41-$B$15)*0.25/(0.005-$B$15)))</f>
        <v/>
      </c>
      <c r="T41" s="16">
        <f>S41*MIN(P41,0.8*$B$13/1000)</f>
        <v/>
      </c>
      <c r="U41" s="16">
        <f>S41*Q41</f>
        <v/>
      </c>
    </row>
    <row r="42">
      <c r="A42" s="9" t="n">
        <v>500</v>
      </c>
      <c r="B42" s="15">
        <f>MIN($B$10*A42,$B$5)</f>
        <v/>
      </c>
      <c r="C42" s="16">
        <f>0.85*$B$6*B42*$B$4/1000</f>
        <v/>
      </c>
      <c r="D42" s="17">
        <f>$B$9*(A42-$F$5)/A42</f>
        <v/>
      </c>
      <c r="E42" s="15">
        <f>MAX(-$B$7,MIN($B$7,$B$8*D42))</f>
        <v/>
      </c>
      <c r="F42" s="16">
        <f>IF($F$5&lt;B42,$E$5*(E42-0.85*$B$6),$E$5*E42)/1000</f>
        <v/>
      </c>
      <c r="G42" s="17">
        <f>$B$9*(A42-$F$6)/A42</f>
        <v/>
      </c>
      <c r="H42" s="15">
        <f>MAX(-$B$7,MIN($B$7,$B$8*G42))</f>
        <v/>
      </c>
      <c r="I42" s="16">
        <f>IF($F$6&lt;B42,$E$6*(H42-0.85*$B$6),$E$6*H42)/1000</f>
        <v/>
      </c>
      <c r="J42" s="17">
        <f>$B$9*(A42-$F$7)/A42</f>
        <v/>
      </c>
      <c r="K42" s="15">
        <f>MAX(-$B$7,MIN($B$7,$B$8*J42))</f>
        <v/>
      </c>
      <c r="L42" s="16">
        <f>IF($F$7&lt;B42,$E$7*(K42-0.85*$B$6),$E$7*K42)/1000</f>
        <v/>
      </c>
      <c r="M42" s="17">
        <f>$B$9*(A42-$F$8)/A42</f>
        <v/>
      </c>
      <c r="N42" s="15">
        <f>MAX(-$B$7,MIN($B$7,$B$8*M42))</f>
        <v/>
      </c>
      <c r="O42" s="16">
        <f>IF($F$8&lt;B42,$E$8*(N42-0.85*$B$6),$E$8*N42)/1000</f>
        <v/>
      </c>
      <c r="P42" s="16">
        <f>C42+F42+I42+L42+O42</f>
        <v/>
      </c>
      <c r="Q42" s="16">
        <f>(C42*($B$5/2-B42/2)+F42*($B$5/2-$F$5)+I42*($B$5/2-$F$6)+L42*($B$5/2-$F$7)+O42*($B$5/2-$F$8))/1000</f>
        <v/>
      </c>
      <c r="R42" s="17">
        <f>$B$9*($B$14-A42)/A42</f>
        <v/>
      </c>
      <c r="S42" s="18">
        <f>IF(R42&lt;=$B$15,0.65,IF(R42&gt;=0.005,0.9,0.65+(R42-$B$15)*0.25/(0.005-$B$15)))</f>
        <v/>
      </c>
      <c r="T42" s="16">
        <f>S42*MIN(P42,0.8*$B$13/1000)</f>
        <v/>
      </c>
      <c r="U42" s="16">
        <f>S42*Q42</f>
        <v/>
      </c>
    </row>
    <row r="43">
      <c r="A43" s="9" t="n">
        <v>470</v>
      </c>
      <c r="B43" s="15">
        <f>MIN($B$10*A43,$B$5)</f>
        <v/>
      </c>
      <c r="C43" s="16">
        <f>0.85*$B$6*B43*$B$4/1000</f>
        <v/>
      </c>
      <c r="D43" s="17">
        <f>$B$9*(A43-$F$5)/A43</f>
        <v/>
      </c>
      <c r="E43" s="15">
        <f>MAX(-$B$7,MIN($B$7,$B$8*D43))</f>
        <v/>
      </c>
      <c r="F43" s="16">
        <f>IF($F$5&lt;B43,$E$5*(E43-0.85*$B$6),$E$5*E43)/1000</f>
        <v/>
      </c>
      <c r="G43" s="17">
        <f>$B$9*(A43-$F$6)/A43</f>
        <v/>
      </c>
      <c r="H43" s="15">
        <f>MAX(-$B$7,MIN($B$7,$B$8*G43))</f>
        <v/>
      </c>
      <c r="I43" s="16">
        <f>IF($F$6&lt;B43,$E$6*(H43-0.85*$B$6),$E$6*H43)/1000</f>
        <v/>
      </c>
      <c r="J43" s="17">
        <f>$B$9*(A43-$F$7)/A43</f>
        <v/>
      </c>
      <c r="K43" s="15">
        <f>MAX(-$B$7,MIN($B$7,$B$8*J43))</f>
        <v/>
      </c>
      <c r="L43" s="16">
        <f>IF($F$7&lt;B43,$E$7*(K43-0.85*$B$6),$E$7*K43)/1000</f>
        <v/>
      </c>
      <c r="M43" s="17">
        <f>$B$9*(A43-$F$8)/A43</f>
        <v/>
      </c>
      <c r="N43" s="15">
        <f>MAX(-$B$7,MIN($B$7,$B$8*M43))</f>
        <v/>
      </c>
      <c r="O43" s="16">
        <f>IF($F$8&lt;B43,$E$8*(N43-0.85*$B$6),$E$8*N43)/1000</f>
        <v/>
      </c>
      <c r="P43" s="16">
        <f>C43+F43+I43+L43+O43</f>
        <v/>
      </c>
      <c r="Q43" s="16">
        <f>(C43*($B$5/2-B43/2)+F43*($B$5/2-$F$5)+I43*($B$5/2-$F$6)+L43*($B$5/2-$F$7)+O43*($B$5/2-$F$8))/1000</f>
        <v/>
      </c>
      <c r="R43" s="17">
        <f>$B$9*($B$14-A43)/A43</f>
        <v/>
      </c>
      <c r="S43" s="18">
        <f>IF(R43&lt;=$B$15,0.65,IF(R43&gt;=0.005,0.9,0.65+(R43-$B$15)*0.25/(0.005-$B$15)))</f>
        <v/>
      </c>
      <c r="T43" s="16">
        <f>S43*MIN(P43,0.8*$B$13/1000)</f>
        <v/>
      </c>
      <c r="U43" s="16">
        <f>S43*Q43</f>
        <v/>
      </c>
    </row>
    <row r="44">
      <c r="A44" s="9" t="n">
        <v>440</v>
      </c>
      <c r="B44" s="15">
        <f>MIN($B$10*A44,$B$5)</f>
        <v/>
      </c>
      <c r="C44" s="16">
        <f>0.85*$B$6*B44*$B$4/1000</f>
        <v/>
      </c>
      <c r="D44" s="17">
        <f>$B$9*(A44-$F$5)/A44</f>
        <v/>
      </c>
      <c r="E44" s="15">
        <f>MAX(-$B$7,MIN($B$7,$B$8*D44))</f>
        <v/>
      </c>
      <c r="F44" s="16">
        <f>IF($F$5&lt;B44,$E$5*(E44-0.85*$B$6),$E$5*E44)/1000</f>
        <v/>
      </c>
      <c r="G44" s="17">
        <f>$B$9*(A44-$F$6)/A44</f>
        <v/>
      </c>
      <c r="H44" s="15">
        <f>MAX(-$B$7,MIN($B$7,$B$8*G44))</f>
        <v/>
      </c>
      <c r="I44" s="16">
        <f>IF($F$6&lt;B44,$E$6*(H44-0.85*$B$6),$E$6*H44)/1000</f>
        <v/>
      </c>
      <c r="J44" s="17">
        <f>$B$9*(A44-$F$7)/A44</f>
        <v/>
      </c>
      <c r="K44" s="15">
        <f>MAX(-$B$7,MIN($B$7,$B$8*J44))</f>
        <v/>
      </c>
      <c r="L44" s="16">
        <f>IF($F$7&lt;B44,$E$7*(K44-0.85*$B$6),$E$7*K44)/1000</f>
        <v/>
      </c>
      <c r="M44" s="17">
        <f>$B$9*(A44-$F$8)/A44</f>
        <v/>
      </c>
      <c r="N44" s="15">
        <f>MAX(-$B$7,MIN($B$7,$B$8*M44))</f>
        <v/>
      </c>
      <c r="O44" s="16">
        <f>IF($F$8&lt;B44,$E$8*(N44-0.85*$B$6),$E$8*N44)/1000</f>
        <v/>
      </c>
      <c r="P44" s="16">
        <f>C44+F44+I44+L44+O44</f>
        <v/>
      </c>
      <c r="Q44" s="16">
        <f>(C44*($B$5/2-B44/2)+F44*($B$5/2-$F$5)+I44*($B$5/2-$F$6)+L44*($B$5/2-$F$7)+O44*($B$5/2-$F$8))/1000</f>
        <v/>
      </c>
      <c r="R44" s="17">
        <f>$B$9*($B$14-A44)/A44</f>
        <v/>
      </c>
      <c r="S44" s="18">
        <f>IF(R44&lt;=$B$15,0.65,IF(R44&gt;=0.005,0.9,0.65+(R44-$B$15)*0.25/(0.005-$B$15)))</f>
        <v/>
      </c>
      <c r="T44" s="16">
        <f>S44*MIN(P44,0.8*$B$13/1000)</f>
        <v/>
      </c>
      <c r="U44" s="16">
        <f>S44*Q44</f>
        <v/>
      </c>
    </row>
    <row r="45">
      <c r="A45" s="9" t="n">
        <v>410</v>
      </c>
      <c r="B45" s="15">
        <f>MIN($B$10*A45,$B$5)</f>
        <v/>
      </c>
      <c r="C45" s="16">
        <f>0.85*$B$6*B45*$B$4/1000</f>
        <v/>
      </c>
      <c r="D45" s="17">
        <f>$B$9*(A45-$F$5)/A45</f>
        <v/>
      </c>
      <c r="E45" s="15">
        <f>MAX(-$B$7,MIN($B$7,$B$8*D45))</f>
        <v/>
      </c>
      <c r="F45" s="16">
        <f>IF($F$5&lt;B45,$E$5*(E45-0.85*$B$6),$E$5*E45)/1000</f>
        <v/>
      </c>
      <c r="G45" s="17">
        <f>$B$9*(A45-$F$6)/A45</f>
        <v/>
      </c>
      <c r="H45" s="15">
        <f>MAX(-$B$7,MIN($B$7,$B$8*G45))</f>
        <v/>
      </c>
      <c r="I45" s="16">
        <f>IF($F$6&lt;B45,$E$6*(H45-0.85*$B$6),$E$6*H45)/1000</f>
        <v/>
      </c>
      <c r="J45" s="17">
        <f>$B$9*(A45-$F$7)/A45</f>
        <v/>
      </c>
      <c r="K45" s="15">
        <f>MAX(-$B$7,MIN($B$7,$B$8*J45))</f>
        <v/>
      </c>
      <c r="L45" s="16">
        <f>IF($F$7&lt;B45,$E$7*(K45-0.85*$B$6),$E$7*K45)/1000</f>
        <v/>
      </c>
      <c r="M45" s="17">
        <f>$B$9*(A45-$F$8)/A45</f>
        <v/>
      </c>
      <c r="N45" s="15">
        <f>MAX(-$B$7,MIN($B$7,$B$8*M45))</f>
        <v/>
      </c>
      <c r="O45" s="16">
        <f>IF($F$8&lt;B45,$E$8*(N45-0.85*$B$6),$E$8*N45)/1000</f>
        <v/>
      </c>
      <c r="P45" s="16">
        <f>C45+F45+I45+L45+O45</f>
        <v/>
      </c>
      <c r="Q45" s="16">
        <f>(C45*($B$5/2-B45/2)+F45*($B$5/2-$F$5)+I45*($B$5/2-$F$6)+L45*($B$5/2-$F$7)+O45*($B$5/2-$F$8))/1000</f>
        <v/>
      </c>
      <c r="R45" s="17">
        <f>$B$9*($B$14-A45)/A45</f>
        <v/>
      </c>
      <c r="S45" s="18">
        <f>IF(R45&lt;=$B$15,0.65,IF(R45&gt;=0.005,0.9,0.65+(R45-$B$15)*0.25/(0.005-$B$15)))</f>
        <v/>
      </c>
      <c r="T45" s="16">
        <f>S45*MIN(P45,0.8*$B$13/1000)</f>
        <v/>
      </c>
      <c r="U45" s="16">
        <f>S45*Q45</f>
        <v/>
      </c>
    </row>
    <row r="46">
      <c r="A46" s="9" t="n">
        <v>380</v>
      </c>
      <c r="B46" s="15">
        <f>MIN($B$10*A46,$B$5)</f>
        <v/>
      </c>
      <c r="C46" s="16">
        <f>0.85*$B$6*B46*$B$4/1000</f>
        <v/>
      </c>
      <c r="D46" s="17">
        <f>$B$9*(A46-$F$5)/A46</f>
        <v/>
      </c>
      <c r="E46" s="15">
        <f>MAX(-$B$7,MIN($B$7,$B$8*D46))</f>
        <v/>
      </c>
      <c r="F46" s="16">
        <f>IF($F$5&lt;B46,$E$5*(E46-0.85*$B$6),$E$5*E46)/1000</f>
        <v/>
      </c>
      <c r="G46" s="17">
        <f>$B$9*(A46-$F$6)/A46</f>
        <v/>
      </c>
      <c r="H46" s="15">
        <f>MAX(-$B$7,MIN($B$7,$B$8*G46))</f>
        <v/>
      </c>
      <c r="I46" s="16">
        <f>IF($F$6&lt;B46,$E$6*(H46-0.85*$B$6),$E$6*H46)/1000</f>
        <v/>
      </c>
      <c r="J46" s="17">
        <f>$B$9*(A46-$F$7)/A46</f>
        <v/>
      </c>
      <c r="K46" s="15">
        <f>MAX(-$B$7,MIN($B$7,$B$8*J46))</f>
        <v/>
      </c>
      <c r="L46" s="16">
        <f>IF($F$7&lt;B46,$E$7*(K46-0.85*$B$6),$E$7*K46)/1000</f>
        <v/>
      </c>
      <c r="M46" s="17">
        <f>$B$9*(A46-$F$8)/A46</f>
        <v/>
      </c>
      <c r="N46" s="15">
        <f>MAX(-$B$7,MIN($B$7,$B$8*M46))</f>
        <v/>
      </c>
      <c r="O46" s="16">
        <f>IF($F$8&lt;B46,$E$8*(N46-0.85*$B$6),$E$8*N46)/1000</f>
        <v/>
      </c>
      <c r="P46" s="16">
        <f>C46+F46+I46+L46+O46</f>
        <v/>
      </c>
      <c r="Q46" s="16">
        <f>(C46*($B$5/2-B46/2)+F46*($B$5/2-$F$5)+I46*($B$5/2-$F$6)+L46*($B$5/2-$F$7)+O46*($B$5/2-$F$8))/1000</f>
        <v/>
      </c>
      <c r="R46" s="17">
        <f>$B$9*($B$14-A46)/A46</f>
        <v/>
      </c>
      <c r="S46" s="18">
        <f>IF(R46&lt;=$B$15,0.65,IF(R46&gt;=0.005,0.9,0.65+(R46-$B$15)*0.25/(0.005-$B$15)))</f>
        <v/>
      </c>
      <c r="T46" s="16">
        <f>S46*MIN(P46,0.8*$B$13/1000)</f>
        <v/>
      </c>
      <c r="U46" s="16">
        <f>S46*Q46</f>
        <v/>
      </c>
    </row>
    <row r="47">
      <c r="A47" s="9" t="n">
        <v>350</v>
      </c>
      <c r="B47" s="15">
        <f>MIN($B$10*A47,$B$5)</f>
        <v/>
      </c>
      <c r="C47" s="16">
        <f>0.85*$B$6*B47*$B$4/1000</f>
        <v/>
      </c>
      <c r="D47" s="17">
        <f>$B$9*(A47-$F$5)/A47</f>
        <v/>
      </c>
      <c r="E47" s="15">
        <f>MAX(-$B$7,MIN($B$7,$B$8*D47))</f>
        <v/>
      </c>
      <c r="F47" s="16">
        <f>IF($F$5&lt;B47,$E$5*(E47-0.85*$B$6),$E$5*E47)/1000</f>
        <v/>
      </c>
      <c r="G47" s="17">
        <f>$B$9*(A47-$F$6)/A47</f>
        <v/>
      </c>
      <c r="H47" s="15">
        <f>MAX(-$B$7,MIN($B$7,$B$8*G47))</f>
        <v/>
      </c>
      <c r="I47" s="16">
        <f>IF($F$6&lt;B47,$E$6*(H47-0.85*$B$6),$E$6*H47)/1000</f>
        <v/>
      </c>
      <c r="J47" s="17">
        <f>$B$9*(A47-$F$7)/A47</f>
        <v/>
      </c>
      <c r="K47" s="15">
        <f>MAX(-$B$7,MIN($B$7,$B$8*J47))</f>
        <v/>
      </c>
      <c r="L47" s="16">
        <f>IF($F$7&lt;B47,$E$7*(K47-0.85*$B$6),$E$7*K47)/1000</f>
        <v/>
      </c>
      <c r="M47" s="17">
        <f>$B$9*(A47-$F$8)/A47</f>
        <v/>
      </c>
      <c r="N47" s="15">
        <f>MAX(-$B$7,MIN($B$7,$B$8*M47))</f>
        <v/>
      </c>
      <c r="O47" s="16">
        <f>IF($F$8&lt;B47,$E$8*(N47-0.85*$B$6),$E$8*N47)/1000</f>
        <v/>
      </c>
      <c r="P47" s="16">
        <f>C47+F47+I47+L47+O47</f>
        <v/>
      </c>
      <c r="Q47" s="16">
        <f>(C47*($B$5/2-B47/2)+F47*($B$5/2-$F$5)+I47*($B$5/2-$F$6)+L47*($B$5/2-$F$7)+O47*($B$5/2-$F$8))/1000</f>
        <v/>
      </c>
      <c r="R47" s="17">
        <f>$B$9*($B$14-A47)/A47</f>
        <v/>
      </c>
      <c r="S47" s="18">
        <f>IF(R47&lt;=$B$15,0.65,IF(R47&gt;=0.005,0.9,0.65+(R47-$B$15)*0.25/(0.005-$B$15)))</f>
        <v/>
      </c>
      <c r="T47" s="16">
        <f>S47*MIN(P47,0.8*$B$13/1000)</f>
        <v/>
      </c>
      <c r="U47" s="16">
        <f>S47*Q47</f>
        <v/>
      </c>
    </row>
    <row r="48">
      <c r="A48" s="9" t="n">
        <v>320</v>
      </c>
      <c r="B48" s="15">
        <f>MIN($B$10*A48,$B$5)</f>
        <v/>
      </c>
      <c r="C48" s="16">
        <f>0.85*$B$6*B48*$B$4/1000</f>
        <v/>
      </c>
      <c r="D48" s="17">
        <f>$B$9*(A48-$F$5)/A48</f>
        <v/>
      </c>
      <c r="E48" s="15">
        <f>MAX(-$B$7,MIN($B$7,$B$8*D48))</f>
        <v/>
      </c>
      <c r="F48" s="16">
        <f>IF($F$5&lt;B48,$E$5*(E48-0.85*$B$6),$E$5*E48)/1000</f>
        <v/>
      </c>
      <c r="G48" s="17">
        <f>$B$9*(A48-$F$6)/A48</f>
        <v/>
      </c>
      <c r="H48" s="15">
        <f>MAX(-$B$7,MIN($B$7,$B$8*G48))</f>
        <v/>
      </c>
      <c r="I48" s="16">
        <f>IF($F$6&lt;B48,$E$6*(H48-0.85*$B$6),$E$6*H48)/1000</f>
        <v/>
      </c>
      <c r="J48" s="17">
        <f>$B$9*(A48-$F$7)/A48</f>
        <v/>
      </c>
      <c r="K48" s="15">
        <f>MAX(-$B$7,MIN($B$7,$B$8*J48))</f>
        <v/>
      </c>
      <c r="L48" s="16">
        <f>IF($F$7&lt;B48,$E$7*(K48-0.85*$B$6),$E$7*K48)/1000</f>
        <v/>
      </c>
      <c r="M48" s="17">
        <f>$B$9*(A48-$F$8)/A48</f>
        <v/>
      </c>
      <c r="N48" s="15">
        <f>MAX(-$B$7,MIN($B$7,$B$8*M48))</f>
        <v/>
      </c>
      <c r="O48" s="16">
        <f>IF($F$8&lt;B48,$E$8*(N48-0.85*$B$6),$E$8*N48)/1000</f>
        <v/>
      </c>
      <c r="P48" s="16">
        <f>C48+F48+I48+L48+O48</f>
        <v/>
      </c>
      <c r="Q48" s="16">
        <f>(C48*($B$5/2-B48/2)+F48*($B$5/2-$F$5)+I48*($B$5/2-$F$6)+L48*($B$5/2-$F$7)+O48*($B$5/2-$F$8))/1000</f>
        <v/>
      </c>
      <c r="R48" s="17">
        <f>$B$9*($B$14-A48)/A48</f>
        <v/>
      </c>
      <c r="S48" s="18">
        <f>IF(R48&lt;=$B$15,0.65,IF(R48&gt;=0.005,0.9,0.65+(R48-$B$15)*0.25/(0.005-$B$15)))</f>
        <v/>
      </c>
      <c r="T48" s="16">
        <f>S48*MIN(P48,0.8*$B$13/1000)</f>
        <v/>
      </c>
      <c r="U48" s="16">
        <f>S48*Q48</f>
        <v/>
      </c>
    </row>
    <row r="49">
      <c r="A49" s="9" t="n">
        <v>300</v>
      </c>
      <c r="B49" s="15">
        <f>MIN($B$10*A49,$B$5)</f>
        <v/>
      </c>
      <c r="C49" s="16">
        <f>0.85*$B$6*B49*$B$4/1000</f>
        <v/>
      </c>
      <c r="D49" s="17">
        <f>$B$9*(A49-$F$5)/A49</f>
        <v/>
      </c>
      <c r="E49" s="15">
        <f>MAX(-$B$7,MIN($B$7,$B$8*D49))</f>
        <v/>
      </c>
      <c r="F49" s="16">
        <f>IF($F$5&lt;B49,$E$5*(E49-0.85*$B$6),$E$5*E49)/1000</f>
        <v/>
      </c>
      <c r="G49" s="17">
        <f>$B$9*(A49-$F$6)/A49</f>
        <v/>
      </c>
      <c r="H49" s="15">
        <f>MAX(-$B$7,MIN($B$7,$B$8*G49))</f>
        <v/>
      </c>
      <c r="I49" s="16">
        <f>IF($F$6&lt;B49,$E$6*(H49-0.85*$B$6),$E$6*H49)/1000</f>
        <v/>
      </c>
      <c r="J49" s="17">
        <f>$B$9*(A49-$F$7)/A49</f>
        <v/>
      </c>
      <c r="K49" s="15">
        <f>MAX(-$B$7,MIN($B$7,$B$8*J49))</f>
        <v/>
      </c>
      <c r="L49" s="16">
        <f>IF($F$7&lt;B49,$E$7*(K49-0.85*$B$6),$E$7*K49)/1000</f>
        <v/>
      </c>
      <c r="M49" s="17">
        <f>$B$9*(A49-$F$8)/A49</f>
        <v/>
      </c>
      <c r="N49" s="15">
        <f>MAX(-$B$7,MIN($B$7,$B$8*M49))</f>
        <v/>
      </c>
      <c r="O49" s="16">
        <f>IF($F$8&lt;B49,$E$8*(N49-0.85*$B$6),$E$8*N49)/1000</f>
        <v/>
      </c>
      <c r="P49" s="16">
        <f>C49+F49+I49+L49+O49</f>
        <v/>
      </c>
      <c r="Q49" s="16">
        <f>(C49*($B$5/2-B49/2)+F49*($B$5/2-$F$5)+I49*($B$5/2-$F$6)+L49*($B$5/2-$F$7)+O49*($B$5/2-$F$8))/1000</f>
        <v/>
      </c>
      <c r="R49" s="17">
        <f>$B$9*($B$14-A49)/A49</f>
        <v/>
      </c>
      <c r="S49" s="18">
        <f>IF(R49&lt;=$B$15,0.65,IF(R49&gt;=0.005,0.9,0.65+(R49-$B$15)*0.25/(0.005-$B$15)))</f>
        <v/>
      </c>
      <c r="T49" s="16">
        <f>S49*MIN(P49,0.8*$B$13/1000)</f>
        <v/>
      </c>
      <c r="U49" s="16">
        <f>S49*Q49</f>
        <v/>
      </c>
    </row>
    <row r="50">
      <c r="A50" s="9" t="n">
        <v>285</v>
      </c>
      <c r="B50" s="15">
        <f>MIN($B$10*A50,$B$5)</f>
        <v/>
      </c>
      <c r="C50" s="16">
        <f>0.85*$B$6*B50*$B$4/1000</f>
        <v/>
      </c>
      <c r="D50" s="17">
        <f>$B$9*(A50-$F$5)/A50</f>
        <v/>
      </c>
      <c r="E50" s="15">
        <f>MAX(-$B$7,MIN($B$7,$B$8*D50))</f>
        <v/>
      </c>
      <c r="F50" s="16">
        <f>IF($F$5&lt;B50,$E$5*(E50-0.85*$B$6),$E$5*E50)/1000</f>
        <v/>
      </c>
      <c r="G50" s="17">
        <f>$B$9*(A50-$F$6)/A50</f>
        <v/>
      </c>
      <c r="H50" s="15">
        <f>MAX(-$B$7,MIN($B$7,$B$8*G50))</f>
        <v/>
      </c>
      <c r="I50" s="16">
        <f>IF($F$6&lt;B50,$E$6*(H50-0.85*$B$6),$E$6*H50)/1000</f>
        <v/>
      </c>
      <c r="J50" s="17">
        <f>$B$9*(A50-$F$7)/A50</f>
        <v/>
      </c>
      <c r="K50" s="15">
        <f>MAX(-$B$7,MIN($B$7,$B$8*J50))</f>
        <v/>
      </c>
      <c r="L50" s="16">
        <f>IF($F$7&lt;B50,$E$7*(K50-0.85*$B$6),$E$7*K50)/1000</f>
        <v/>
      </c>
      <c r="M50" s="17">
        <f>$B$9*(A50-$F$8)/A50</f>
        <v/>
      </c>
      <c r="N50" s="15">
        <f>MAX(-$B$7,MIN($B$7,$B$8*M50))</f>
        <v/>
      </c>
      <c r="O50" s="16">
        <f>IF($F$8&lt;B50,$E$8*(N50-0.85*$B$6),$E$8*N50)/1000</f>
        <v/>
      </c>
      <c r="P50" s="16">
        <f>C50+F50+I50+L50+O50</f>
        <v/>
      </c>
      <c r="Q50" s="16">
        <f>(C50*($B$5/2-B50/2)+F50*($B$5/2-$F$5)+I50*($B$5/2-$F$6)+L50*($B$5/2-$F$7)+O50*($B$5/2-$F$8))/1000</f>
        <v/>
      </c>
      <c r="R50" s="17">
        <f>$B$9*($B$14-A50)/A50</f>
        <v/>
      </c>
      <c r="S50" s="18">
        <f>IF(R50&lt;=$B$15,0.65,IF(R50&gt;=0.005,0.9,0.65+(R50-$B$15)*0.25/(0.005-$B$15)))</f>
        <v/>
      </c>
      <c r="T50" s="16">
        <f>S50*MIN(P50,0.8*$B$13/1000)</f>
        <v/>
      </c>
      <c r="U50" s="16">
        <f>S50*Q50</f>
        <v/>
      </c>
    </row>
    <row r="51">
      <c r="A51" s="9" t="n">
        <v>270</v>
      </c>
      <c r="B51" s="15">
        <f>MIN($B$10*A51,$B$5)</f>
        <v/>
      </c>
      <c r="C51" s="16">
        <f>0.85*$B$6*B51*$B$4/1000</f>
        <v/>
      </c>
      <c r="D51" s="17">
        <f>$B$9*(A51-$F$5)/A51</f>
        <v/>
      </c>
      <c r="E51" s="15">
        <f>MAX(-$B$7,MIN($B$7,$B$8*D51))</f>
        <v/>
      </c>
      <c r="F51" s="16">
        <f>IF($F$5&lt;B51,$E$5*(E51-0.85*$B$6),$E$5*E51)/1000</f>
        <v/>
      </c>
      <c r="G51" s="17">
        <f>$B$9*(A51-$F$6)/A51</f>
        <v/>
      </c>
      <c r="H51" s="15">
        <f>MAX(-$B$7,MIN($B$7,$B$8*G51))</f>
        <v/>
      </c>
      <c r="I51" s="16">
        <f>IF($F$6&lt;B51,$E$6*(H51-0.85*$B$6),$E$6*H51)/1000</f>
        <v/>
      </c>
      <c r="J51" s="17">
        <f>$B$9*(A51-$F$7)/A51</f>
        <v/>
      </c>
      <c r="K51" s="15">
        <f>MAX(-$B$7,MIN($B$7,$B$8*J51))</f>
        <v/>
      </c>
      <c r="L51" s="16">
        <f>IF($F$7&lt;B51,$E$7*(K51-0.85*$B$6),$E$7*K51)/1000</f>
        <v/>
      </c>
      <c r="M51" s="17">
        <f>$B$9*(A51-$F$8)/A51</f>
        <v/>
      </c>
      <c r="N51" s="15">
        <f>MAX(-$B$7,MIN($B$7,$B$8*M51))</f>
        <v/>
      </c>
      <c r="O51" s="16">
        <f>IF($F$8&lt;B51,$E$8*(N51-0.85*$B$6),$E$8*N51)/1000</f>
        <v/>
      </c>
      <c r="P51" s="16">
        <f>C51+F51+I51+L51+O51</f>
        <v/>
      </c>
      <c r="Q51" s="16">
        <f>(C51*($B$5/2-B51/2)+F51*($B$5/2-$F$5)+I51*($B$5/2-$F$6)+L51*($B$5/2-$F$7)+O51*($B$5/2-$F$8))/1000</f>
        <v/>
      </c>
      <c r="R51" s="17">
        <f>$B$9*($B$14-A51)/A51</f>
        <v/>
      </c>
      <c r="S51" s="18">
        <f>IF(R51&lt;=$B$15,0.65,IF(R51&gt;=0.005,0.9,0.65+(R51-$B$15)*0.25/(0.005-$B$15)))</f>
        <v/>
      </c>
      <c r="T51" s="16">
        <f>S51*MIN(P51,0.8*$B$13/1000)</f>
        <v/>
      </c>
      <c r="U51" s="16">
        <f>S51*Q51</f>
        <v/>
      </c>
    </row>
    <row r="52">
      <c r="A52" s="9" t="n">
        <v>256</v>
      </c>
      <c r="B52" s="15">
        <f>MIN($B$10*A52,$B$5)</f>
        <v/>
      </c>
      <c r="C52" s="16">
        <f>0.85*$B$6*B52*$B$4/1000</f>
        <v/>
      </c>
      <c r="D52" s="17">
        <f>$B$9*(A52-$F$5)/A52</f>
        <v/>
      </c>
      <c r="E52" s="15">
        <f>MAX(-$B$7,MIN($B$7,$B$8*D52))</f>
        <v/>
      </c>
      <c r="F52" s="16">
        <f>IF($F$5&lt;B52,$E$5*(E52-0.85*$B$6),$E$5*E52)/1000</f>
        <v/>
      </c>
      <c r="G52" s="17">
        <f>$B$9*(A52-$F$6)/A52</f>
        <v/>
      </c>
      <c r="H52" s="15">
        <f>MAX(-$B$7,MIN($B$7,$B$8*G52))</f>
        <v/>
      </c>
      <c r="I52" s="16">
        <f>IF($F$6&lt;B52,$E$6*(H52-0.85*$B$6),$E$6*H52)/1000</f>
        <v/>
      </c>
      <c r="J52" s="17">
        <f>$B$9*(A52-$F$7)/A52</f>
        <v/>
      </c>
      <c r="K52" s="15">
        <f>MAX(-$B$7,MIN($B$7,$B$8*J52))</f>
        <v/>
      </c>
      <c r="L52" s="16">
        <f>IF($F$7&lt;B52,$E$7*(K52-0.85*$B$6),$E$7*K52)/1000</f>
        <v/>
      </c>
      <c r="M52" s="17">
        <f>$B$9*(A52-$F$8)/A52</f>
        <v/>
      </c>
      <c r="N52" s="15">
        <f>MAX(-$B$7,MIN($B$7,$B$8*M52))</f>
        <v/>
      </c>
      <c r="O52" s="16">
        <f>IF($F$8&lt;B52,$E$8*(N52-0.85*$B$6),$E$8*N52)/1000</f>
        <v/>
      </c>
      <c r="P52" s="16">
        <f>C52+F52+I52+L52+O52</f>
        <v/>
      </c>
      <c r="Q52" s="16">
        <f>(C52*($B$5/2-B52/2)+F52*($B$5/2-$F$5)+I52*($B$5/2-$F$6)+L52*($B$5/2-$F$7)+O52*($B$5/2-$F$8))/1000</f>
        <v/>
      </c>
      <c r="R52" s="17">
        <f>$B$9*($B$14-A52)/A52</f>
        <v/>
      </c>
      <c r="S52" s="18">
        <f>IF(R52&lt;=$B$15,0.65,IF(R52&gt;=0.005,0.9,0.65+(R52-$B$15)*0.25/(0.005-$B$15)))</f>
        <v/>
      </c>
      <c r="T52" s="16">
        <f>S52*MIN(P52,0.8*$B$13/1000)</f>
        <v/>
      </c>
      <c r="U52" s="16">
        <f>S52*Q52</f>
        <v/>
      </c>
    </row>
    <row r="53">
      <c r="A53" s="9" t="n">
        <v>245</v>
      </c>
      <c r="B53" s="15">
        <f>MIN($B$10*A53,$B$5)</f>
        <v/>
      </c>
      <c r="C53" s="16">
        <f>0.85*$B$6*B53*$B$4/1000</f>
        <v/>
      </c>
      <c r="D53" s="17">
        <f>$B$9*(A53-$F$5)/A53</f>
        <v/>
      </c>
      <c r="E53" s="15">
        <f>MAX(-$B$7,MIN($B$7,$B$8*D53))</f>
        <v/>
      </c>
      <c r="F53" s="16">
        <f>IF($F$5&lt;B53,$E$5*(E53-0.85*$B$6),$E$5*E53)/1000</f>
        <v/>
      </c>
      <c r="G53" s="17">
        <f>$B$9*(A53-$F$6)/A53</f>
        <v/>
      </c>
      <c r="H53" s="15">
        <f>MAX(-$B$7,MIN($B$7,$B$8*G53))</f>
        <v/>
      </c>
      <c r="I53" s="16">
        <f>IF($F$6&lt;B53,$E$6*(H53-0.85*$B$6),$E$6*H53)/1000</f>
        <v/>
      </c>
      <c r="J53" s="17">
        <f>$B$9*(A53-$F$7)/A53</f>
        <v/>
      </c>
      <c r="K53" s="15">
        <f>MAX(-$B$7,MIN($B$7,$B$8*J53))</f>
        <v/>
      </c>
      <c r="L53" s="16">
        <f>IF($F$7&lt;B53,$E$7*(K53-0.85*$B$6),$E$7*K53)/1000</f>
        <v/>
      </c>
      <c r="M53" s="17">
        <f>$B$9*(A53-$F$8)/A53</f>
        <v/>
      </c>
      <c r="N53" s="15">
        <f>MAX(-$B$7,MIN($B$7,$B$8*M53))</f>
        <v/>
      </c>
      <c r="O53" s="16">
        <f>IF($F$8&lt;B53,$E$8*(N53-0.85*$B$6),$E$8*N53)/1000</f>
        <v/>
      </c>
      <c r="P53" s="16">
        <f>C53+F53+I53+L53+O53</f>
        <v/>
      </c>
      <c r="Q53" s="16">
        <f>(C53*($B$5/2-B53/2)+F53*($B$5/2-$F$5)+I53*($B$5/2-$F$6)+L53*($B$5/2-$F$7)+O53*($B$5/2-$F$8))/1000</f>
        <v/>
      </c>
      <c r="R53" s="17">
        <f>$B$9*($B$14-A53)/A53</f>
        <v/>
      </c>
      <c r="S53" s="18">
        <f>IF(R53&lt;=$B$15,0.65,IF(R53&gt;=0.005,0.9,0.65+(R53-$B$15)*0.25/(0.005-$B$15)))</f>
        <v/>
      </c>
      <c r="T53" s="16">
        <f>S53*MIN(P53,0.8*$B$13/1000)</f>
        <v/>
      </c>
      <c r="U53" s="16">
        <f>S53*Q53</f>
        <v/>
      </c>
    </row>
    <row r="54">
      <c r="A54" s="9" t="n">
        <v>230</v>
      </c>
      <c r="B54" s="15">
        <f>MIN($B$10*A54,$B$5)</f>
        <v/>
      </c>
      <c r="C54" s="16">
        <f>0.85*$B$6*B54*$B$4/1000</f>
        <v/>
      </c>
      <c r="D54" s="17">
        <f>$B$9*(A54-$F$5)/A54</f>
        <v/>
      </c>
      <c r="E54" s="15">
        <f>MAX(-$B$7,MIN($B$7,$B$8*D54))</f>
        <v/>
      </c>
      <c r="F54" s="16">
        <f>IF($F$5&lt;B54,$E$5*(E54-0.85*$B$6),$E$5*E54)/1000</f>
        <v/>
      </c>
      <c r="G54" s="17">
        <f>$B$9*(A54-$F$6)/A54</f>
        <v/>
      </c>
      <c r="H54" s="15">
        <f>MAX(-$B$7,MIN($B$7,$B$8*G54))</f>
        <v/>
      </c>
      <c r="I54" s="16">
        <f>IF($F$6&lt;B54,$E$6*(H54-0.85*$B$6),$E$6*H54)/1000</f>
        <v/>
      </c>
      <c r="J54" s="17">
        <f>$B$9*(A54-$F$7)/A54</f>
        <v/>
      </c>
      <c r="K54" s="15">
        <f>MAX(-$B$7,MIN($B$7,$B$8*J54))</f>
        <v/>
      </c>
      <c r="L54" s="16">
        <f>IF($F$7&lt;B54,$E$7*(K54-0.85*$B$6),$E$7*K54)/1000</f>
        <v/>
      </c>
      <c r="M54" s="17">
        <f>$B$9*(A54-$F$8)/A54</f>
        <v/>
      </c>
      <c r="N54" s="15">
        <f>MAX(-$B$7,MIN($B$7,$B$8*M54))</f>
        <v/>
      </c>
      <c r="O54" s="16">
        <f>IF($F$8&lt;B54,$E$8*(N54-0.85*$B$6),$E$8*N54)/1000</f>
        <v/>
      </c>
      <c r="P54" s="16">
        <f>C54+F54+I54+L54+O54</f>
        <v/>
      </c>
      <c r="Q54" s="16">
        <f>(C54*($B$5/2-B54/2)+F54*($B$5/2-$F$5)+I54*($B$5/2-$F$6)+L54*($B$5/2-$F$7)+O54*($B$5/2-$F$8))/1000</f>
        <v/>
      </c>
      <c r="R54" s="17">
        <f>$B$9*($B$14-A54)/A54</f>
        <v/>
      </c>
      <c r="S54" s="18">
        <f>IF(R54&lt;=$B$15,0.65,IF(R54&gt;=0.005,0.9,0.65+(R54-$B$15)*0.25/(0.005-$B$15)))</f>
        <v/>
      </c>
      <c r="T54" s="16">
        <f>S54*MIN(P54,0.8*$B$13/1000)</f>
        <v/>
      </c>
      <c r="U54" s="16">
        <f>S54*Q54</f>
        <v/>
      </c>
    </row>
    <row r="55">
      <c r="A55" s="9" t="n">
        <v>215</v>
      </c>
      <c r="B55" s="15">
        <f>MIN($B$10*A55,$B$5)</f>
        <v/>
      </c>
      <c r="C55" s="16">
        <f>0.85*$B$6*B55*$B$4/1000</f>
        <v/>
      </c>
      <c r="D55" s="17">
        <f>$B$9*(A55-$F$5)/A55</f>
        <v/>
      </c>
      <c r="E55" s="15">
        <f>MAX(-$B$7,MIN($B$7,$B$8*D55))</f>
        <v/>
      </c>
      <c r="F55" s="16">
        <f>IF($F$5&lt;B55,$E$5*(E55-0.85*$B$6),$E$5*E55)/1000</f>
        <v/>
      </c>
      <c r="G55" s="17">
        <f>$B$9*(A55-$F$6)/A55</f>
        <v/>
      </c>
      <c r="H55" s="15">
        <f>MAX(-$B$7,MIN($B$7,$B$8*G55))</f>
        <v/>
      </c>
      <c r="I55" s="16">
        <f>IF($F$6&lt;B55,$E$6*(H55-0.85*$B$6),$E$6*H55)/1000</f>
        <v/>
      </c>
      <c r="J55" s="17">
        <f>$B$9*(A55-$F$7)/A55</f>
        <v/>
      </c>
      <c r="K55" s="15">
        <f>MAX(-$B$7,MIN($B$7,$B$8*J55))</f>
        <v/>
      </c>
      <c r="L55" s="16">
        <f>IF($F$7&lt;B55,$E$7*(K55-0.85*$B$6),$E$7*K55)/1000</f>
        <v/>
      </c>
      <c r="M55" s="17">
        <f>$B$9*(A55-$F$8)/A55</f>
        <v/>
      </c>
      <c r="N55" s="15">
        <f>MAX(-$B$7,MIN($B$7,$B$8*M55))</f>
        <v/>
      </c>
      <c r="O55" s="16">
        <f>IF($F$8&lt;B55,$E$8*(N55-0.85*$B$6),$E$8*N55)/1000</f>
        <v/>
      </c>
      <c r="P55" s="16">
        <f>C55+F55+I55+L55+O55</f>
        <v/>
      </c>
      <c r="Q55" s="16">
        <f>(C55*($B$5/2-B55/2)+F55*($B$5/2-$F$5)+I55*($B$5/2-$F$6)+L55*($B$5/2-$F$7)+O55*($B$5/2-$F$8))/1000</f>
        <v/>
      </c>
      <c r="R55" s="17">
        <f>$B$9*($B$14-A55)/A55</f>
        <v/>
      </c>
      <c r="S55" s="18">
        <f>IF(R55&lt;=$B$15,0.65,IF(R55&gt;=0.005,0.9,0.65+(R55-$B$15)*0.25/(0.005-$B$15)))</f>
        <v/>
      </c>
      <c r="T55" s="16">
        <f>S55*MIN(P55,0.8*$B$13/1000)</f>
        <v/>
      </c>
      <c r="U55" s="16">
        <f>S55*Q55</f>
        <v/>
      </c>
    </row>
    <row r="56">
      <c r="A56" s="9" t="n">
        <v>200</v>
      </c>
      <c r="B56" s="15">
        <f>MIN($B$10*A56,$B$5)</f>
        <v/>
      </c>
      <c r="C56" s="16">
        <f>0.85*$B$6*B56*$B$4/1000</f>
        <v/>
      </c>
      <c r="D56" s="17">
        <f>$B$9*(A56-$F$5)/A56</f>
        <v/>
      </c>
      <c r="E56" s="15">
        <f>MAX(-$B$7,MIN($B$7,$B$8*D56))</f>
        <v/>
      </c>
      <c r="F56" s="16">
        <f>IF($F$5&lt;B56,$E$5*(E56-0.85*$B$6),$E$5*E56)/1000</f>
        <v/>
      </c>
      <c r="G56" s="17">
        <f>$B$9*(A56-$F$6)/A56</f>
        <v/>
      </c>
      <c r="H56" s="15">
        <f>MAX(-$B$7,MIN($B$7,$B$8*G56))</f>
        <v/>
      </c>
      <c r="I56" s="16">
        <f>IF($F$6&lt;B56,$E$6*(H56-0.85*$B$6),$E$6*H56)/1000</f>
        <v/>
      </c>
      <c r="J56" s="17">
        <f>$B$9*(A56-$F$7)/A56</f>
        <v/>
      </c>
      <c r="K56" s="15">
        <f>MAX(-$B$7,MIN($B$7,$B$8*J56))</f>
        <v/>
      </c>
      <c r="L56" s="16">
        <f>IF($F$7&lt;B56,$E$7*(K56-0.85*$B$6),$E$7*K56)/1000</f>
        <v/>
      </c>
      <c r="M56" s="17">
        <f>$B$9*(A56-$F$8)/A56</f>
        <v/>
      </c>
      <c r="N56" s="15">
        <f>MAX(-$B$7,MIN($B$7,$B$8*M56))</f>
        <v/>
      </c>
      <c r="O56" s="16">
        <f>IF($F$8&lt;B56,$E$8*(N56-0.85*$B$6),$E$8*N56)/1000</f>
        <v/>
      </c>
      <c r="P56" s="16">
        <f>C56+F56+I56+L56+O56</f>
        <v/>
      </c>
      <c r="Q56" s="16">
        <f>(C56*($B$5/2-B56/2)+F56*($B$5/2-$F$5)+I56*($B$5/2-$F$6)+L56*($B$5/2-$F$7)+O56*($B$5/2-$F$8))/1000</f>
        <v/>
      </c>
      <c r="R56" s="17">
        <f>$B$9*($B$14-A56)/A56</f>
        <v/>
      </c>
      <c r="S56" s="18">
        <f>IF(R56&lt;=$B$15,0.65,IF(R56&gt;=0.005,0.9,0.65+(R56-$B$15)*0.25/(0.005-$B$15)))</f>
        <v/>
      </c>
      <c r="T56" s="16">
        <f>S56*MIN(P56,0.8*$B$13/1000)</f>
        <v/>
      </c>
      <c r="U56" s="16">
        <f>S56*Q56</f>
        <v/>
      </c>
    </row>
    <row r="57">
      <c r="A57" s="9" t="n">
        <v>185</v>
      </c>
      <c r="B57" s="15">
        <f>MIN($B$10*A57,$B$5)</f>
        <v/>
      </c>
      <c r="C57" s="16">
        <f>0.85*$B$6*B57*$B$4/1000</f>
        <v/>
      </c>
      <c r="D57" s="17">
        <f>$B$9*(A57-$F$5)/A57</f>
        <v/>
      </c>
      <c r="E57" s="15">
        <f>MAX(-$B$7,MIN($B$7,$B$8*D57))</f>
        <v/>
      </c>
      <c r="F57" s="16">
        <f>IF($F$5&lt;B57,$E$5*(E57-0.85*$B$6),$E$5*E57)/1000</f>
        <v/>
      </c>
      <c r="G57" s="17">
        <f>$B$9*(A57-$F$6)/A57</f>
        <v/>
      </c>
      <c r="H57" s="15">
        <f>MAX(-$B$7,MIN($B$7,$B$8*G57))</f>
        <v/>
      </c>
      <c r="I57" s="16">
        <f>IF($F$6&lt;B57,$E$6*(H57-0.85*$B$6),$E$6*H57)/1000</f>
        <v/>
      </c>
      <c r="J57" s="17">
        <f>$B$9*(A57-$F$7)/A57</f>
        <v/>
      </c>
      <c r="K57" s="15">
        <f>MAX(-$B$7,MIN($B$7,$B$8*J57))</f>
        <v/>
      </c>
      <c r="L57" s="16">
        <f>IF($F$7&lt;B57,$E$7*(K57-0.85*$B$6),$E$7*K57)/1000</f>
        <v/>
      </c>
      <c r="M57" s="17">
        <f>$B$9*(A57-$F$8)/A57</f>
        <v/>
      </c>
      <c r="N57" s="15">
        <f>MAX(-$B$7,MIN($B$7,$B$8*M57))</f>
        <v/>
      </c>
      <c r="O57" s="16">
        <f>IF($F$8&lt;B57,$E$8*(N57-0.85*$B$6),$E$8*N57)/1000</f>
        <v/>
      </c>
      <c r="P57" s="16">
        <f>C57+F57+I57+L57+O57</f>
        <v/>
      </c>
      <c r="Q57" s="16">
        <f>(C57*($B$5/2-B57/2)+F57*($B$5/2-$F$5)+I57*($B$5/2-$F$6)+L57*($B$5/2-$F$7)+O57*($B$5/2-$F$8))/1000</f>
        <v/>
      </c>
      <c r="R57" s="17">
        <f>$B$9*($B$14-A57)/A57</f>
        <v/>
      </c>
      <c r="S57" s="18">
        <f>IF(R57&lt;=$B$15,0.65,IF(R57&gt;=0.005,0.9,0.65+(R57-$B$15)*0.25/(0.005-$B$15)))</f>
        <v/>
      </c>
      <c r="T57" s="16">
        <f>S57*MIN(P57,0.8*$B$13/1000)</f>
        <v/>
      </c>
      <c r="U57" s="16">
        <f>S57*Q57</f>
        <v/>
      </c>
    </row>
    <row r="58">
      <c r="A58" s="9" t="n">
        <v>170</v>
      </c>
      <c r="B58" s="15">
        <f>MIN($B$10*A58,$B$5)</f>
        <v/>
      </c>
      <c r="C58" s="16">
        <f>0.85*$B$6*B58*$B$4/1000</f>
        <v/>
      </c>
      <c r="D58" s="17">
        <f>$B$9*(A58-$F$5)/A58</f>
        <v/>
      </c>
      <c r="E58" s="15">
        <f>MAX(-$B$7,MIN($B$7,$B$8*D58))</f>
        <v/>
      </c>
      <c r="F58" s="16">
        <f>IF($F$5&lt;B58,$E$5*(E58-0.85*$B$6),$E$5*E58)/1000</f>
        <v/>
      </c>
      <c r="G58" s="17">
        <f>$B$9*(A58-$F$6)/A58</f>
        <v/>
      </c>
      <c r="H58" s="15">
        <f>MAX(-$B$7,MIN($B$7,$B$8*G58))</f>
        <v/>
      </c>
      <c r="I58" s="16">
        <f>IF($F$6&lt;B58,$E$6*(H58-0.85*$B$6),$E$6*H58)/1000</f>
        <v/>
      </c>
      <c r="J58" s="17">
        <f>$B$9*(A58-$F$7)/A58</f>
        <v/>
      </c>
      <c r="K58" s="15">
        <f>MAX(-$B$7,MIN($B$7,$B$8*J58))</f>
        <v/>
      </c>
      <c r="L58" s="16">
        <f>IF($F$7&lt;B58,$E$7*(K58-0.85*$B$6),$E$7*K58)/1000</f>
        <v/>
      </c>
      <c r="M58" s="17">
        <f>$B$9*(A58-$F$8)/A58</f>
        <v/>
      </c>
      <c r="N58" s="15">
        <f>MAX(-$B$7,MIN($B$7,$B$8*M58))</f>
        <v/>
      </c>
      <c r="O58" s="16">
        <f>IF($F$8&lt;B58,$E$8*(N58-0.85*$B$6),$E$8*N58)/1000</f>
        <v/>
      </c>
      <c r="P58" s="16">
        <f>C58+F58+I58+L58+O58</f>
        <v/>
      </c>
      <c r="Q58" s="16">
        <f>(C58*($B$5/2-B58/2)+F58*($B$5/2-$F$5)+I58*($B$5/2-$F$6)+L58*($B$5/2-$F$7)+O58*($B$5/2-$F$8))/1000</f>
        <v/>
      </c>
      <c r="R58" s="17">
        <f>$B$9*($B$14-A58)/A58</f>
        <v/>
      </c>
      <c r="S58" s="18">
        <f>IF(R58&lt;=$B$15,0.65,IF(R58&gt;=0.005,0.9,0.65+(R58-$B$15)*0.25/(0.005-$B$15)))</f>
        <v/>
      </c>
      <c r="T58" s="16">
        <f>S58*MIN(P58,0.8*$B$13/1000)</f>
        <v/>
      </c>
      <c r="U58" s="16">
        <f>S58*Q58</f>
        <v/>
      </c>
    </row>
    <row r="59">
      <c r="A59" s="9" t="n">
        <v>158</v>
      </c>
      <c r="B59" s="15">
        <f>MIN($B$10*A59,$B$5)</f>
        <v/>
      </c>
      <c r="C59" s="16">
        <f>0.85*$B$6*B59*$B$4/1000</f>
        <v/>
      </c>
      <c r="D59" s="17">
        <f>$B$9*(A59-$F$5)/A59</f>
        <v/>
      </c>
      <c r="E59" s="15">
        <f>MAX(-$B$7,MIN($B$7,$B$8*D59))</f>
        <v/>
      </c>
      <c r="F59" s="16">
        <f>IF($F$5&lt;B59,$E$5*(E59-0.85*$B$6),$E$5*E59)/1000</f>
        <v/>
      </c>
      <c r="G59" s="17">
        <f>$B$9*(A59-$F$6)/A59</f>
        <v/>
      </c>
      <c r="H59" s="15">
        <f>MAX(-$B$7,MIN($B$7,$B$8*G59))</f>
        <v/>
      </c>
      <c r="I59" s="16">
        <f>IF($F$6&lt;B59,$E$6*(H59-0.85*$B$6),$E$6*H59)/1000</f>
        <v/>
      </c>
      <c r="J59" s="17">
        <f>$B$9*(A59-$F$7)/A59</f>
        <v/>
      </c>
      <c r="K59" s="15">
        <f>MAX(-$B$7,MIN($B$7,$B$8*J59))</f>
        <v/>
      </c>
      <c r="L59" s="16">
        <f>IF($F$7&lt;B59,$E$7*(K59-0.85*$B$6),$E$7*K59)/1000</f>
        <v/>
      </c>
      <c r="M59" s="17">
        <f>$B$9*(A59-$F$8)/A59</f>
        <v/>
      </c>
      <c r="N59" s="15">
        <f>MAX(-$B$7,MIN($B$7,$B$8*M59))</f>
        <v/>
      </c>
      <c r="O59" s="16">
        <f>IF($F$8&lt;B59,$E$8*(N59-0.85*$B$6),$E$8*N59)/1000</f>
        <v/>
      </c>
      <c r="P59" s="16">
        <f>C59+F59+I59+L59+O59</f>
        <v/>
      </c>
      <c r="Q59" s="16">
        <f>(C59*($B$5/2-B59/2)+F59*($B$5/2-$F$5)+I59*($B$5/2-$F$6)+L59*($B$5/2-$F$7)+O59*($B$5/2-$F$8))/1000</f>
        <v/>
      </c>
      <c r="R59" s="17">
        <f>$B$9*($B$14-A59)/A59</f>
        <v/>
      </c>
      <c r="S59" s="18">
        <f>IF(R59&lt;=$B$15,0.65,IF(R59&gt;=0.005,0.9,0.65+(R59-$B$15)*0.25/(0.005-$B$15)))</f>
        <v/>
      </c>
      <c r="T59" s="16">
        <f>S59*MIN(P59,0.8*$B$13/1000)</f>
        <v/>
      </c>
      <c r="U59" s="16">
        <f>S59*Q59</f>
        <v/>
      </c>
    </row>
    <row r="60">
      <c r="A60" s="9" t="n">
        <v>145</v>
      </c>
      <c r="B60" s="15">
        <f>MIN($B$10*A60,$B$5)</f>
        <v/>
      </c>
      <c r="C60" s="16">
        <f>0.85*$B$6*B60*$B$4/1000</f>
        <v/>
      </c>
      <c r="D60" s="17">
        <f>$B$9*(A60-$F$5)/A60</f>
        <v/>
      </c>
      <c r="E60" s="15">
        <f>MAX(-$B$7,MIN($B$7,$B$8*D60))</f>
        <v/>
      </c>
      <c r="F60" s="16">
        <f>IF($F$5&lt;B60,$E$5*(E60-0.85*$B$6),$E$5*E60)/1000</f>
        <v/>
      </c>
      <c r="G60" s="17">
        <f>$B$9*(A60-$F$6)/A60</f>
        <v/>
      </c>
      <c r="H60" s="15">
        <f>MAX(-$B$7,MIN($B$7,$B$8*G60))</f>
        <v/>
      </c>
      <c r="I60" s="16">
        <f>IF($F$6&lt;B60,$E$6*(H60-0.85*$B$6),$E$6*H60)/1000</f>
        <v/>
      </c>
      <c r="J60" s="17">
        <f>$B$9*(A60-$F$7)/A60</f>
        <v/>
      </c>
      <c r="K60" s="15">
        <f>MAX(-$B$7,MIN($B$7,$B$8*J60))</f>
        <v/>
      </c>
      <c r="L60" s="16">
        <f>IF($F$7&lt;B60,$E$7*(K60-0.85*$B$6),$E$7*K60)/1000</f>
        <v/>
      </c>
      <c r="M60" s="17">
        <f>$B$9*(A60-$F$8)/A60</f>
        <v/>
      </c>
      <c r="N60" s="15">
        <f>MAX(-$B$7,MIN($B$7,$B$8*M60))</f>
        <v/>
      </c>
      <c r="O60" s="16">
        <f>IF($F$8&lt;B60,$E$8*(N60-0.85*$B$6),$E$8*N60)/1000</f>
        <v/>
      </c>
      <c r="P60" s="16">
        <f>C60+F60+I60+L60+O60</f>
        <v/>
      </c>
      <c r="Q60" s="16">
        <f>(C60*($B$5/2-B60/2)+F60*($B$5/2-$F$5)+I60*($B$5/2-$F$6)+L60*($B$5/2-$F$7)+O60*($B$5/2-$F$8))/1000</f>
        <v/>
      </c>
      <c r="R60" s="17">
        <f>$B$9*($B$14-A60)/A60</f>
        <v/>
      </c>
      <c r="S60" s="18">
        <f>IF(R60&lt;=$B$15,0.65,IF(R60&gt;=0.005,0.9,0.65+(R60-$B$15)*0.25/(0.005-$B$15)))</f>
        <v/>
      </c>
      <c r="T60" s="16">
        <f>S60*MIN(P60,0.8*$B$13/1000)</f>
        <v/>
      </c>
      <c r="U60" s="16">
        <f>S60*Q60</f>
        <v/>
      </c>
    </row>
    <row r="61">
      <c r="A61" s="9" t="n">
        <v>133</v>
      </c>
      <c r="B61" s="15">
        <f>MIN($B$10*A61,$B$5)</f>
        <v/>
      </c>
      <c r="C61" s="16">
        <f>0.85*$B$6*B61*$B$4/1000</f>
        <v/>
      </c>
      <c r="D61" s="17">
        <f>$B$9*(A61-$F$5)/A61</f>
        <v/>
      </c>
      <c r="E61" s="15">
        <f>MAX(-$B$7,MIN($B$7,$B$8*D61))</f>
        <v/>
      </c>
      <c r="F61" s="16">
        <f>IF($F$5&lt;B61,$E$5*(E61-0.85*$B$6),$E$5*E61)/1000</f>
        <v/>
      </c>
      <c r="G61" s="17">
        <f>$B$9*(A61-$F$6)/A61</f>
        <v/>
      </c>
      <c r="H61" s="15">
        <f>MAX(-$B$7,MIN($B$7,$B$8*G61))</f>
        <v/>
      </c>
      <c r="I61" s="16">
        <f>IF($F$6&lt;B61,$E$6*(H61-0.85*$B$6),$E$6*H61)/1000</f>
        <v/>
      </c>
      <c r="J61" s="17">
        <f>$B$9*(A61-$F$7)/A61</f>
        <v/>
      </c>
      <c r="K61" s="15">
        <f>MAX(-$B$7,MIN($B$7,$B$8*J61))</f>
        <v/>
      </c>
      <c r="L61" s="16">
        <f>IF($F$7&lt;B61,$E$7*(K61-0.85*$B$6),$E$7*K61)/1000</f>
        <v/>
      </c>
      <c r="M61" s="17">
        <f>$B$9*(A61-$F$8)/A61</f>
        <v/>
      </c>
      <c r="N61" s="15">
        <f>MAX(-$B$7,MIN($B$7,$B$8*M61))</f>
        <v/>
      </c>
      <c r="O61" s="16">
        <f>IF($F$8&lt;B61,$E$8*(N61-0.85*$B$6),$E$8*N61)/1000</f>
        <v/>
      </c>
      <c r="P61" s="16">
        <f>C61+F61+I61+L61+O61</f>
        <v/>
      </c>
      <c r="Q61" s="16">
        <f>(C61*($B$5/2-B61/2)+F61*($B$5/2-$F$5)+I61*($B$5/2-$F$6)+L61*($B$5/2-$F$7)+O61*($B$5/2-$F$8))/1000</f>
        <v/>
      </c>
      <c r="R61" s="17">
        <f>$B$9*($B$14-A61)/A61</f>
        <v/>
      </c>
      <c r="S61" s="18">
        <f>IF(R61&lt;=$B$15,0.65,IF(R61&gt;=0.005,0.9,0.65+(R61-$B$15)*0.25/(0.005-$B$15)))</f>
        <v/>
      </c>
      <c r="T61" s="16">
        <f>S61*MIN(P61,0.8*$B$13/1000)</f>
        <v/>
      </c>
      <c r="U61" s="16">
        <f>S61*Q61</f>
        <v/>
      </c>
    </row>
    <row r="62">
      <c r="A62" s="9" t="n">
        <v>122</v>
      </c>
      <c r="B62" s="15">
        <f>MIN($B$10*A62,$B$5)</f>
        <v/>
      </c>
      <c r="C62" s="16">
        <f>0.85*$B$6*B62*$B$4/1000</f>
        <v/>
      </c>
      <c r="D62" s="17">
        <f>$B$9*(A62-$F$5)/A62</f>
        <v/>
      </c>
      <c r="E62" s="15">
        <f>MAX(-$B$7,MIN($B$7,$B$8*D62))</f>
        <v/>
      </c>
      <c r="F62" s="16">
        <f>IF($F$5&lt;B62,$E$5*(E62-0.85*$B$6),$E$5*E62)/1000</f>
        <v/>
      </c>
      <c r="G62" s="17">
        <f>$B$9*(A62-$F$6)/A62</f>
        <v/>
      </c>
      <c r="H62" s="15">
        <f>MAX(-$B$7,MIN($B$7,$B$8*G62))</f>
        <v/>
      </c>
      <c r="I62" s="16">
        <f>IF($F$6&lt;B62,$E$6*(H62-0.85*$B$6),$E$6*H62)/1000</f>
        <v/>
      </c>
      <c r="J62" s="17">
        <f>$B$9*(A62-$F$7)/A62</f>
        <v/>
      </c>
      <c r="K62" s="15">
        <f>MAX(-$B$7,MIN($B$7,$B$8*J62))</f>
        <v/>
      </c>
      <c r="L62" s="16">
        <f>IF($F$7&lt;B62,$E$7*(K62-0.85*$B$6),$E$7*K62)/1000</f>
        <v/>
      </c>
      <c r="M62" s="17">
        <f>$B$9*(A62-$F$8)/A62</f>
        <v/>
      </c>
      <c r="N62" s="15">
        <f>MAX(-$B$7,MIN($B$7,$B$8*M62))</f>
        <v/>
      </c>
      <c r="O62" s="16">
        <f>IF($F$8&lt;B62,$E$8*(N62-0.85*$B$6),$E$8*N62)/1000</f>
        <v/>
      </c>
      <c r="P62" s="16">
        <f>C62+F62+I62+L62+O62</f>
        <v/>
      </c>
      <c r="Q62" s="16">
        <f>(C62*($B$5/2-B62/2)+F62*($B$5/2-$F$5)+I62*($B$5/2-$F$6)+L62*($B$5/2-$F$7)+O62*($B$5/2-$F$8))/1000</f>
        <v/>
      </c>
      <c r="R62" s="17">
        <f>$B$9*($B$14-A62)/A62</f>
        <v/>
      </c>
      <c r="S62" s="18">
        <f>IF(R62&lt;=$B$15,0.65,IF(R62&gt;=0.005,0.9,0.65+(R62-$B$15)*0.25/(0.005-$B$15)))</f>
        <v/>
      </c>
      <c r="T62" s="16">
        <f>S62*MIN(P62,0.8*$B$13/1000)</f>
        <v/>
      </c>
      <c r="U62" s="16">
        <f>S62*Q62</f>
        <v/>
      </c>
    </row>
    <row r="63">
      <c r="A63" s="9" t="n">
        <v>110</v>
      </c>
      <c r="B63" s="15">
        <f>MIN($B$10*A63,$B$5)</f>
        <v/>
      </c>
      <c r="C63" s="16">
        <f>0.85*$B$6*B63*$B$4/1000</f>
        <v/>
      </c>
      <c r="D63" s="17">
        <f>$B$9*(A63-$F$5)/A63</f>
        <v/>
      </c>
      <c r="E63" s="15">
        <f>MAX(-$B$7,MIN($B$7,$B$8*D63))</f>
        <v/>
      </c>
      <c r="F63" s="16">
        <f>IF($F$5&lt;B63,$E$5*(E63-0.85*$B$6),$E$5*E63)/1000</f>
        <v/>
      </c>
      <c r="G63" s="17">
        <f>$B$9*(A63-$F$6)/A63</f>
        <v/>
      </c>
      <c r="H63" s="15">
        <f>MAX(-$B$7,MIN($B$7,$B$8*G63))</f>
        <v/>
      </c>
      <c r="I63" s="16">
        <f>IF($F$6&lt;B63,$E$6*(H63-0.85*$B$6),$E$6*H63)/1000</f>
        <v/>
      </c>
      <c r="J63" s="17">
        <f>$B$9*(A63-$F$7)/A63</f>
        <v/>
      </c>
      <c r="K63" s="15">
        <f>MAX(-$B$7,MIN($B$7,$B$8*J63))</f>
        <v/>
      </c>
      <c r="L63" s="16">
        <f>IF($F$7&lt;B63,$E$7*(K63-0.85*$B$6),$E$7*K63)/1000</f>
        <v/>
      </c>
      <c r="M63" s="17">
        <f>$B$9*(A63-$F$8)/A63</f>
        <v/>
      </c>
      <c r="N63" s="15">
        <f>MAX(-$B$7,MIN($B$7,$B$8*M63))</f>
        <v/>
      </c>
      <c r="O63" s="16">
        <f>IF($F$8&lt;B63,$E$8*(N63-0.85*$B$6),$E$8*N63)/1000</f>
        <v/>
      </c>
      <c r="P63" s="16">
        <f>C63+F63+I63+L63+O63</f>
        <v/>
      </c>
      <c r="Q63" s="16">
        <f>(C63*($B$5/2-B63/2)+F63*($B$5/2-$F$5)+I63*($B$5/2-$F$6)+L63*($B$5/2-$F$7)+O63*($B$5/2-$F$8))/1000</f>
        <v/>
      </c>
      <c r="R63" s="17">
        <f>$B$9*($B$14-A63)/A63</f>
        <v/>
      </c>
      <c r="S63" s="18">
        <f>IF(R63&lt;=$B$15,0.65,IF(R63&gt;=0.005,0.9,0.65+(R63-$B$15)*0.25/(0.005-$B$15)))</f>
        <v/>
      </c>
      <c r="T63" s="16">
        <f>S63*MIN(P63,0.8*$B$13/1000)</f>
        <v/>
      </c>
      <c r="U63" s="16">
        <f>S63*Q63</f>
        <v/>
      </c>
    </row>
    <row r="64">
      <c r="A64" s="9" t="n">
        <v>100</v>
      </c>
      <c r="B64" s="15">
        <f>MIN($B$10*A64,$B$5)</f>
        <v/>
      </c>
      <c r="C64" s="16">
        <f>0.85*$B$6*B64*$B$4/1000</f>
        <v/>
      </c>
      <c r="D64" s="17">
        <f>$B$9*(A64-$F$5)/A64</f>
        <v/>
      </c>
      <c r="E64" s="15">
        <f>MAX(-$B$7,MIN($B$7,$B$8*D64))</f>
        <v/>
      </c>
      <c r="F64" s="16">
        <f>IF($F$5&lt;B64,$E$5*(E64-0.85*$B$6),$E$5*E64)/1000</f>
        <v/>
      </c>
      <c r="G64" s="17">
        <f>$B$9*(A64-$F$6)/A64</f>
        <v/>
      </c>
      <c r="H64" s="15">
        <f>MAX(-$B$7,MIN($B$7,$B$8*G64))</f>
        <v/>
      </c>
      <c r="I64" s="16">
        <f>IF($F$6&lt;B64,$E$6*(H64-0.85*$B$6),$E$6*H64)/1000</f>
        <v/>
      </c>
      <c r="J64" s="17">
        <f>$B$9*(A64-$F$7)/A64</f>
        <v/>
      </c>
      <c r="K64" s="15">
        <f>MAX(-$B$7,MIN($B$7,$B$8*J64))</f>
        <v/>
      </c>
      <c r="L64" s="16">
        <f>IF($F$7&lt;B64,$E$7*(K64-0.85*$B$6),$E$7*K64)/1000</f>
        <v/>
      </c>
      <c r="M64" s="17">
        <f>$B$9*(A64-$F$8)/A64</f>
        <v/>
      </c>
      <c r="N64" s="15">
        <f>MAX(-$B$7,MIN($B$7,$B$8*M64))</f>
        <v/>
      </c>
      <c r="O64" s="16">
        <f>IF($F$8&lt;B64,$E$8*(N64-0.85*$B$6),$E$8*N64)/1000</f>
        <v/>
      </c>
      <c r="P64" s="16">
        <f>C64+F64+I64+L64+O64</f>
        <v/>
      </c>
      <c r="Q64" s="16">
        <f>(C64*($B$5/2-B64/2)+F64*($B$5/2-$F$5)+I64*($B$5/2-$F$6)+L64*($B$5/2-$F$7)+O64*($B$5/2-$F$8))/1000</f>
        <v/>
      </c>
      <c r="R64" s="17">
        <f>$B$9*($B$14-A64)/A64</f>
        <v/>
      </c>
      <c r="S64" s="18">
        <f>IF(R64&lt;=$B$15,0.65,IF(R64&gt;=0.005,0.9,0.65+(R64-$B$15)*0.25/(0.005-$B$15)))</f>
        <v/>
      </c>
      <c r="T64" s="16">
        <f>S64*MIN(P64,0.8*$B$13/1000)</f>
        <v/>
      </c>
      <c r="U64" s="16">
        <f>S64*Q64</f>
        <v/>
      </c>
    </row>
    <row r="65">
      <c r="A65" s="9" t="n">
        <v>90</v>
      </c>
      <c r="B65" s="15">
        <f>MIN($B$10*A65,$B$5)</f>
        <v/>
      </c>
      <c r="C65" s="16">
        <f>0.85*$B$6*B65*$B$4/1000</f>
        <v/>
      </c>
      <c r="D65" s="17">
        <f>$B$9*(A65-$F$5)/A65</f>
        <v/>
      </c>
      <c r="E65" s="15">
        <f>MAX(-$B$7,MIN($B$7,$B$8*D65))</f>
        <v/>
      </c>
      <c r="F65" s="16">
        <f>IF($F$5&lt;B65,$E$5*(E65-0.85*$B$6),$E$5*E65)/1000</f>
        <v/>
      </c>
      <c r="G65" s="17">
        <f>$B$9*(A65-$F$6)/A65</f>
        <v/>
      </c>
      <c r="H65" s="15">
        <f>MAX(-$B$7,MIN($B$7,$B$8*G65))</f>
        <v/>
      </c>
      <c r="I65" s="16">
        <f>IF($F$6&lt;B65,$E$6*(H65-0.85*$B$6),$E$6*H65)/1000</f>
        <v/>
      </c>
      <c r="J65" s="17">
        <f>$B$9*(A65-$F$7)/A65</f>
        <v/>
      </c>
      <c r="K65" s="15">
        <f>MAX(-$B$7,MIN($B$7,$B$8*J65))</f>
        <v/>
      </c>
      <c r="L65" s="16">
        <f>IF($F$7&lt;B65,$E$7*(K65-0.85*$B$6),$E$7*K65)/1000</f>
        <v/>
      </c>
      <c r="M65" s="17">
        <f>$B$9*(A65-$F$8)/A65</f>
        <v/>
      </c>
      <c r="N65" s="15">
        <f>MAX(-$B$7,MIN($B$7,$B$8*M65))</f>
        <v/>
      </c>
      <c r="O65" s="16">
        <f>IF($F$8&lt;B65,$E$8*(N65-0.85*$B$6),$E$8*N65)/1000</f>
        <v/>
      </c>
      <c r="P65" s="16">
        <f>C65+F65+I65+L65+O65</f>
        <v/>
      </c>
      <c r="Q65" s="16">
        <f>(C65*($B$5/2-B65/2)+F65*($B$5/2-$F$5)+I65*($B$5/2-$F$6)+L65*($B$5/2-$F$7)+O65*($B$5/2-$F$8))/1000</f>
        <v/>
      </c>
      <c r="R65" s="17">
        <f>$B$9*($B$14-A65)/A65</f>
        <v/>
      </c>
      <c r="S65" s="18">
        <f>IF(R65&lt;=$B$15,0.65,IF(R65&gt;=0.005,0.9,0.65+(R65-$B$15)*0.25/(0.005-$B$15)))</f>
        <v/>
      </c>
      <c r="T65" s="16">
        <f>S65*MIN(P65,0.8*$B$13/1000)</f>
        <v/>
      </c>
      <c r="U65" s="16">
        <f>S65*Q65</f>
        <v/>
      </c>
    </row>
    <row r="66">
      <c r="A66" s="9" t="n">
        <v>80</v>
      </c>
      <c r="B66" s="15">
        <f>MIN($B$10*A66,$B$5)</f>
        <v/>
      </c>
      <c r="C66" s="16">
        <f>0.85*$B$6*B66*$B$4/1000</f>
        <v/>
      </c>
      <c r="D66" s="17">
        <f>$B$9*(A66-$F$5)/A66</f>
        <v/>
      </c>
      <c r="E66" s="15">
        <f>MAX(-$B$7,MIN($B$7,$B$8*D66))</f>
        <v/>
      </c>
      <c r="F66" s="16">
        <f>IF($F$5&lt;B66,$E$5*(E66-0.85*$B$6),$E$5*E66)/1000</f>
        <v/>
      </c>
      <c r="G66" s="17">
        <f>$B$9*(A66-$F$6)/A66</f>
        <v/>
      </c>
      <c r="H66" s="15">
        <f>MAX(-$B$7,MIN($B$7,$B$8*G66))</f>
        <v/>
      </c>
      <c r="I66" s="16">
        <f>IF($F$6&lt;B66,$E$6*(H66-0.85*$B$6),$E$6*H66)/1000</f>
        <v/>
      </c>
      <c r="J66" s="17">
        <f>$B$9*(A66-$F$7)/A66</f>
        <v/>
      </c>
      <c r="K66" s="15">
        <f>MAX(-$B$7,MIN($B$7,$B$8*J66))</f>
        <v/>
      </c>
      <c r="L66" s="16">
        <f>IF($F$7&lt;B66,$E$7*(K66-0.85*$B$6),$E$7*K66)/1000</f>
        <v/>
      </c>
      <c r="M66" s="17">
        <f>$B$9*(A66-$F$8)/A66</f>
        <v/>
      </c>
      <c r="N66" s="15">
        <f>MAX(-$B$7,MIN($B$7,$B$8*M66))</f>
        <v/>
      </c>
      <c r="O66" s="16">
        <f>IF($F$8&lt;B66,$E$8*(N66-0.85*$B$6),$E$8*N66)/1000</f>
        <v/>
      </c>
      <c r="P66" s="16">
        <f>C66+F66+I66+L66+O66</f>
        <v/>
      </c>
      <c r="Q66" s="16">
        <f>(C66*($B$5/2-B66/2)+F66*($B$5/2-$F$5)+I66*($B$5/2-$F$6)+L66*($B$5/2-$F$7)+O66*($B$5/2-$F$8))/1000</f>
        <v/>
      </c>
      <c r="R66" s="17">
        <f>$B$9*($B$14-A66)/A66</f>
        <v/>
      </c>
      <c r="S66" s="18">
        <f>IF(R66&lt;=$B$15,0.65,IF(R66&gt;=0.005,0.9,0.65+(R66-$B$15)*0.25/(0.005-$B$15)))</f>
        <v/>
      </c>
      <c r="T66" s="16">
        <f>S66*MIN(P66,0.8*$B$13/1000)</f>
        <v/>
      </c>
      <c r="U66" s="16">
        <f>S66*Q66</f>
        <v/>
      </c>
    </row>
    <row r="67">
      <c r="A67" s="9" t="n">
        <v>70</v>
      </c>
      <c r="B67" s="15">
        <f>MIN($B$10*A67,$B$5)</f>
        <v/>
      </c>
      <c r="C67" s="16">
        <f>0.85*$B$6*B67*$B$4/1000</f>
        <v/>
      </c>
      <c r="D67" s="17">
        <f>$B$9*(A67-$F$5)/A67</f>
        <v/>
      </c>
      <c r="E67" s="15">
        <f>MAX(-$B$7,MIN($B$7,$B$8*D67))</f>
        <v/>
      </c>
      <c r="F67" s="16">
        <f>IF($F$5&lt;B67,$E$5*(E67-0.85*$B$6),$E$5*E67)/1000</f>
        <v/>
      </c>
      <c r="G67" s="17">
        <f>$B$9*(A67-$F$6)/A67</f>
        <v/>
      </c>
      <c r="H67" s="15">
        <f>MAX(-$B$7,MIN($B$7,$B$8*G67))</f>
        <v/>
      </c>
      <c r="I67" s="16">
        <f>IF($F$6&lt;B67,$E$6*(H67-0.85*$B$6),$E$6*H67)/1000</f>
        <v/>
      </c>
      <c r="J67" s="17">
        <f>$B$9*(A67-$F$7)/A67</f>
        <v/>
      </c>
      <c r="K67" s="15">
        <f>MAX(-$B$7,MIN($B$7,$B$8*J67))</f>
        <v/>
      </c>
      <c r="L67" s="16">
        <f>IF($F$7&lt;B67,$E$7*(K67-0.85*$B$6),$E$7*K67)/1000</f>
        <v/>
      </c>
      <c r="M67" s="17">
        <f>$B$9*(A67-$F$8)/A67</f>
        <v/>
      </c>
      <c r="N67" s="15">
        <f>MAX(-$B$7,MIN($B$7,$B$8*M67))</f>
        <v/>
      </c>
      <c r="O67" s="16">
        <f>IF($F$8&lt;B67,$E$8*(N67-0.85*$B$6),$E$8*N67)/1000</f>
        <v/>
      </c>
      <c r="P67" s="16">
        <f>C67+F67+I67+L67+O67</f>
        <v/>
      </c>
      <c r="Q67" s="16">
        <f>(C67*($B$5/2-B67/2)+F67*($B$5/2-$F$5)+I67*($B$5/2-$F$6)+L67*($B$5/2-$F$7)+O67*($B$5/2-$F$8))/1000</f>
        <v/>
      </c>
      <c r="R67" s="17">
        <f>$B$9*($B$14-A67)/A67</f>
        <v/>
      </c>
      <c r="S67" s="18">
        <f>IF(R67&lt;=$B$15,0.65,IF(R67&gt;=0.005,0.9,0.65+(R67-$B$15)*0.25/(0.005-$B$15)))</f>
        <v/>
      </c>
      <c r="T67" s="16">
        <f>S67*MIN(P67,0.8*$B$13/1000)</f>
        <v/>
      </c>
      <c r="U67" s="16">
        <f>S67*Q67</f>
        <v/>
      </c>
    </row>
    <row r="68">
      <c r="A68" s="9" t="n">
        <v>60</v>
      </c>
      <c r="B68" s="15">
        <f>MIN($B$10*A68,$B$5)</f>
        <v/>
      </c>
      <c r="C68" s="16">
        <f>0.85*$B$6*B68*$B$4/1000</f>
        <v/>
      </c>
      <c r="D68" s="17">
        <f>$B$9*(A68-$F$5)/A68</f>
        <v/>
      </c>
      <c r="E68" s="15">
        <f>MAX(-$B$7,MIN($B$7,$B$8*D68))</f>
        <v/>
      </c>
      <c r="F68" s="16">
        <f>IF($F$5&lt;B68,$E$5*(E68-0.85*$B$6),$E$5*E68)/1000</f>
        <v/>
      </c>
      <c r="G68" s="17">
        <f>$B$9*(A68-$F$6)/A68</f>
        <v/>
      </c>
      <c r="H68" s="15">
        <f>MAX(-$B$7,MIN($B$7,$B$8*G68))</f>
        <v/>
      </c>
      <c r="I68" s="16">
        <f>IF($F$6&lt;B68,$E$6*(H68-0.85*$B$6),$E$6*H68)/1000</f>
        <v/>
      </c>
      <c r="J68" s="17">
        <f>$B$9*(A68-$F$7)/A68</f>
        <v/>
      </c>
      <c r="K68" s="15">
        <f>MAX(-$B$7,MIN($B$7,$B$8*J68))</f>
        <v/>
      </c>
      <c r="L68" s="16">
        <f>IF($F$7&lt;B68,$E$7*(K68-0.85*$B$6),$E$7*K68)/1000</f>
        <v/>
      </c>
      <c r="M68" s="17">
        <f>$B$9*(A68-$F$8)/A68</f>
        <v/>
      </c>
      <c r="N68" s="15">
        <f>MAX(-$B$7,MIN($B$7,$B$8*M68))</f>
        <v/>
      </c>
      <c r="O68" s="16">
        <f>IF($F$8&lt;B68,$E$8*(N68-0.85*$B$6),$E$8*N68)/1000</f>
        <v/>
      </c>
      <c r="P68" s="16">
        <f>C68+F68+I68+L68+O68</f>
        <v/>
      </c>
      <c r="Q68" s="16">
        <f>(C68*($B$5/2-B68/2)+F68*($B$5/2-$F$5)+I68*($B$5/2-$F$6)+L68*($B$5/2-$F$7)+O68*($B$5/2-$F$8))/1000</f>
        <v/>
      </c>
      <c r="R68" s="17">
        <f>$B$9*($B$14-A68)/A68</f>
        <v/>
      </c>
      <c r="S68" s="18">
        <f>IF(R68&lt;=$B$15,0.65,IF(R68&gt;=0.005,0.9,0.65+(R68-$B$15)*0.25/(0.005-$B$15)))</f>
        <v/>
      </c>
      <c r="T68" s="16">
        <f>S68*MIN(P68,0.8*$B$13/1000)</f>
        <v/>
      </c>
      <c r="U68" s="16">
        <f>S68*Q68</f>
        <v/>
      </c>
    </row>
    <row r="69">
      <c r="A69" s="9" t="n">
        <v>50</v>
      </c>
      <c r="B69" s="15">
        <f>MIN($B$10*A69,$B$5)</f>
        <v/>
      </c>
      <c r="C69" s="16">
        <f>0.85*$B$6*B69*$B$4/1000</f>
        <v/>
      </c>
      <c r="D69" s="17">
        <f>$B$9*(A69-$F$5)/A69</f>
        <v/>
      </c>
      <c r="E69" s="15">
        <f>MAX(-$B$7,MIN($B$7,$B$8*D69))</f>
        <v/>
      </c>
      <c r="F69" s="16">
        <f>IF($F$5&lt;B69,$E$5*(E69-0.85*$B$6),$E$5*E69)/1000</f>
        <v/>
      </c>
      <c r="G69" s="17">
        <f>$B$9*(A69-$F$6)/A69</f>
        <v/>
      </c>
      <c r="H69" s="15">
        <f>MAX(-$B$7,MIN($B$7,$B$8*G69))</f>
        <v/>
      </c>
      <c r="I69" s="16">
        <f>IF($F$6&lt;B69,$E$6*(H69-0.85*$B$6),$E$6*H69)/1000</f>
        <v/>
      </c>
      <c r="J69" s="17">
        <f>$B$9*(A69-$F$7)/A69</f>
        <v/>
      </c>
      <c r="K69" s="15">
        <f>MAX(-$B$7,MIN($B$7,$B$8*J69))</f>
        <v/>
      </c>
      <c r="L69" s="16">
        <f>IF($F$7&lt;B69,$E$7*(K69-0.85*$B$6),$E$7*K69)/1000</f>
        <v/>
      </c>
      <c r="M69" s="17">
        <f>$B$9*(A69-$F$8)/A69</f>
        <v/>
      </c>
      <c r="N69" s="15">
        <f>MAX(-$B$7,MIN($B$7,$B$8*M69))</f>
        <v/>
      </c>
      <c r="O69" s="16">
        <f>IF($F$8&lt;B69,$E$8*(N69-0.85*$B$6),$E$8*N69)/1000</f>
        <v/>
      </c>
      <c r="P69" s="16">
        <f>C69+F69+I69+L69+O69</f>
        <v/>
      </c>
      <c r="Q69" s="16">
        <f>(C69*($B$5/2-B69/2)+F69*($B$5/2-$F$5)+I69*($B$5/2-$F$6)+L69*($B$5/2-$F$7)+O69*($B$5/2-$F$8))/1000</f>
        <v/>
      </c>
      <c r="R69" s="17">
        <f>$B$9*($B$14-A69)/A69</f>
        <v/>
      </c>
      <c r="S69" s="18">
        <f>IF(R69&lt;=$B$15,0.65,IF(R69&gt;=0.005,0.9,0.65+(R69-$B$15)*0.25/(0.005-$B$15)))</f>
        <v/>
      </c>
      <c r="T69" s="16">
        <f>S69*MIN(P69,0.8*$B$13/1000)</f>
        <v/>
      </c>
      <c r="U69" s="16">
        <f>S69*Q69</f>
        <v/>
      </c>
    </row>
    <row r="70">
      <c r="A70" s="9" t="n">
        <v>40</v>
      </c>
      <c r="B70" s="15">
        <f>MIN($B$10*A70,$B$5)</f>
        <v/>
      </c>
      <c r="C70" s="16">
        <f>0.85*$B$6*B70*$B$4/1000</f>
        <v/>
      </c>
      <c r="D70" s="17">
        <f>$B$9*(A70-$F$5)/A70</f>
        <v/>
      </c>
      <c r="E70" s="15">
        <f>MAX(-$B$7,MIN($B$7,$B$8*D70))</f>
        <v/>
      </c>
      <c r="F70" s="16">
        <f>IF($F$5&lt;B70,$E$5*(E70-0.85*$B$6),$E$5*E70)/1000</f>
        <v/>
      </c>
      <c r="G70" s="17">
        <f>$B$9*(A70-$F$6)/A70</f>
        <v/>
      </c>
      <c r="H70" s="15">
        <f>MAX(-$B$7,MIN($B$7,$B$8*G70))</f>
        <v/>
      </c>
      <c r="I70" s="16">
        <f>IF($F$6&lt;B70,$E$6*(H70-0.85*$B$6),$E$6*H70)/1000</f>
        <v/>
      </c>
      <c r="J70" s="17">
        <f>$B$9*(A70-$F$7)/A70</f>
        <v/>
      </c>
      <c r="K70" s="15">
        <f>MAX(-$B$7,MIN($B$7,$B$8*J70))</f>
        <v/>
      </c>
      <c r="L70" s="16">
        <f>IF($F$7&lt;B70,$E$7*(K70-0.85*$B$6),$E$7*K70)/1000</f>
        <v/>
      </c>
      <c r="M70" s="17">
        <f>$B$9*(A70-$F$8)/A70</f>
        <v/>
      </c>
      <c r="N70" s="15">
        <f>MAX(-$B$7,MIN($B$7,$B$8*M70))</f>
        <v/>
      </c>
      <c r="O70" s="16">
        <f>IF($F$8&lt;B70,$E$8*(N70-0.85*$B$6),$E$8*N70)/1000</f>
        <v/>
      </c>
      <c r="P70" s="16">
        <f>C70+F70+I70+L70+O70</f>
        <v/>
      </c>
      <c r="Q70" s="16">
        <f>(C70*($B$5/2-B70/2)+F70*($B$5/2-$F$5)+I70*($B$5/2-$F$6)+L70*($B$5/2-$F$7)+O70*($B$5/2-$F$8))/1000</f>
        <v/>
      </c>
      <c r="R70" s="17">
        <f>$B$9*($B$14-A70)/A70</f>
        <v/>
      </c>
      <c r="S70" s="18">
        <f>IF(R70&lt;=$B$15,0.65,IF(R70&gt;=0.005,0.9,0.65+(R70-$B$15)*0.25/(0.005-$B$15)))</f>
        <v/>
      </c>
      <c r="T70" s="16">
        <f>S70*MIN(P70,0.8*$B$13/1000)</f>
        <v/>
      </c>
      <c r="U70" s="16">
        <f>S70*Q70</f>
        <v/>
      </c>
    </row>
    <row r="71">
      <c r="A71" s="9" t="n">
        <v>0.001</v>
      </c>
      <c r="B71" s="15">
        <f>MIN($B$10*A71,$B$5)</f>
        <v/>
      </c>
      <c r="C71" s="16">
        <f>0.85*$B$6*B71*$B$4/1000</f>
        <v/>
      </c>
      <c r="D71" s="17">
        <f>$B$9*(A71-$F$5)/A71</f>
        <v/>
      </c>
      <c r="E71" s="15">
        <f>MAX(-$B$7,MIN($B$7,$B$8*D71))</f>
        <v/>
      </c>
      <c r="F71" s="16">
        <f>IF($F$5&lt;B71,$E$5*(E71-0.85*$B$6),$E$5*E71)/1000</f>
        <v/>
      </c>
      <c r="G71" s="17">
        <f>$B$9*(A71-$F$6)/A71</f>
        <v/>
      </c>
      <c r="H71" s="15">
        <f>MAX(-$B$7,MIN($B$7,$B$8*G71))</f>
        <v/>
      </c>
      <c r="I71" s="16">
        <f>IF($F$6&lt;B71,$E$6*(H71-0.85*$B$6),$E$6*H71)/1000</f>
        <v/>
      </c>
      <c r="J71" s="17">
        <f>$B$9*(A71-$F$7)/A71</f>
        <v/>
      </c>
      <c r="K71" s="15">
        <f>MAX(-$B$7,MIN($B$7,$B$8*J71))</f>
        <v/>
      </c>
      <c r="L71" s="16">
        <f>IF($F$7&lt;B71,$E$7*(K71-0.85*$B$6),$E$7*K71)/1000</f>
        <v/>
      </c>
      <c r="M71" s="17">
        <f>$B$9*(A71-$F$8)/A71</f>
        <v/>
      </c>
      <c r="N71" s="15">
        <f>MAX(-$B$7,MIN($B$7,$B$8*M71))</f>
        <v/>
      </c>
      <c r="O71" s="16">
        <f>IF($F$8&lt;B71,$E$8*(N71-0.85*$B$6),$E$8*N71)/1000</f>
        <v/>
      </c>
      <c r="P71" s="16">
        <f>C71+F71+I71+L71+O71</f>
        <v/>
      </c>
      <c r="Q71" s="16">
        <f>(C71*($B$5/2-B71/2)+F71*($B$5/2-$F$5)+I71*($B$5/2-$F$6)+L71*($B$5/2-$F$7)+O71*($B$5/2-$F$8))/1000</f>
        <v/>
      </c>
      <c r="R71" s="17">
        <f>$B$9*($B$14-A71)/A71</f>
        <v/>
      </c>
      <c r="S71" s="18">
        <f>IF(R71&lt;=$B$15,0.65,IF(R71&gt;=0.005,0.9,0.65+(R71-$B$15)*0.25/(0.005-$B$15)))</f>
        <v/>
      </c>
      <c r="T71" s="16">
        <f>S71*MIN(P71,0.8*$B$13/1000)</f>
        <v/>
      </c>
      <c r="U71" s="16">
        <f>S71*Q71</f>
        <v/>
      </c>
    </row>
    <row r="73">
      <c r="A73" s="19" t="inlineStr">
        <is>
          <t>6 PUNTOS CLAVE (cálculo)</t>
        </is>
      </c>
    </row>
    <row r="74">
      <c r="A74" s="20" t="inlineStr">
        <is>
          <t>c(mm)</t>
        </is>
      </c>
      <c r="B74" s="20" t="inlineStr">
        <is>
          <t>a</t>
        </is>
      </c>
      <c r="C74" s="20" t="inlineStr">
        <is>
          <t>Cc</t>
        </is>
      </c>
      <c r="D74" s="20" t="inlineStr">
        <is>
          <t>es1</t>
        </is>
      </c>
      <c r="E74" s="20" t="inlineStr">
        <is>
          <t>fs1</t>
        </is>
      </c>
      <c r="F74" s="20" t="inlineStr">
        <is>
          <t>F1</t>
        </is>
      </c>
      <c r="G74" s="20" t="inlineStr">
        <is>
          <t>es2</t>
        </is>
      </c>
      <c r="H74" s="20" t="inlineStr">
        <is>
          <t>fs2</t>
        </is>
      </c>
      <c r="I74" s="20" t="inlineStr">
        <is>
          <t>F2</t>
        </is>
      </c>
      <c r="J74" s="20" t="inlineStr">
        <is>
          <t>es3</t>
        </is>
      </c>
      <c r="K74" s="20" t="inlineStr">
        <is>
          <t>fs3</t>
        </is>
      </c>
      <c r="L74" s="20" t="inlineStr">
        <is>
          <t>F3</t>
        </is>
      </c>
      <c r="M74" s="20" t="inlineStr">
        <is>
          <t>es4</t>
        </is>
      </c>
      <c r="N74" s="20" t="inlineStr">
        <is>
          <t>fs4</t>
        </is>
      </c>
      <c r="O74" s="20" t="inlineStr">
        <is>
          <t>F4</t>
        </is>
      </c>
      <c r="P74" s="20" t="inlineStr">
        <is>
          <t>Pn</t>
        </is>
      </c>
      <c r="Q74" s="20" t="inlineStr">
        <is>
          <t>Mn</t>
        </is>
      </c>
      <c r="R74" s="20" t="inlineStr">
        <is>
          <t>et</t>
        </is>
      </c>
      <c r="S74" s="20" t="inlineStr">
        <is>
          <t>phi</t>
        </is>
      </c>
      <c r="T74" s="20" t="inlineStr">
        <is>
          <t>phiPn</t>
        </is>
      </c>
      <c r="U74" s="20" t="inlineStr">
        <is>
          <t>phiMn</t>
        </is>
      </c>
    </row>
    <row r="75">
      <c r="A75" s="9" t="n">
        <v>100000</v>
      </c>
      <c r="B75" s="15">
        <f>MIN($B$10*A75,$B$5)</f>
        <v/>
      </c>
      <c r="C75" s="16">
        <f>0.85*$B$6*B75*$B$4/1000</f>
        <v/>
      </c>
      <c r="D75" s="17">
        <f>$B$9*(A75-$F$5)/A75</f>
        <v/>
      </c>
      <c r="E75" s="15">
        <f>MAX(-$B$7,MIN($B$7,$B$8*D75))</f>
        <v/>
      </c>
      <c r="F75" s="16">
        <f>IF($F$5&lt;B75,$E$5*(E75-0.85*$B$6),$E$5*E75)/1000</f>
        <v/>
      </c>
      <c r="G75" s="17">
        <f>$B$9*(A75-$F$6)/A75</f>
        <v/>
      </c>
      <c r="H75" s="15">
        <f>MAX(-$B$7,MIN($B$7,$B$8*G75))</f>
        <v/>
      </c>
      <c r="I75" s="16">
        <f>IF($F$6&lt;B75,$E$6*(H75-0.85*$B$6),$E$6*H75)/1000</f>
        <v/>
      </c>
      <c r="J75" s="17">
        <f>$B$9*(A75-$F$7)/A75</f>
        <v/>
      </c>
      <c r="K75" s="15">
        <f>MAX(-$B$7,MIN($B$7,$B$8*J75))</f>
        <v/>
      </c>
      <c r="L75" s="16">
        <f>IF($F$7&lt;B75,$E$7*(K75-0.85*$B$6),$E$7*K75)/1000</f>
        <v/>
      </c>
      <c r="M75" s="17">
        <f>$B$9*(A75-$F$8)/A75</f>
        <v/>
      </c>
      <c r="N75" s="15">
        <f>MAX(-$B$7,MIN($B$7,$B$8*M75))</f>
        <v/>
      </c>
      <c r="O75" s="16">
        <f>IF($F$8&lt;B75,$E$8*(N75-0.85*$B$6),$E$8*N75)/1000</f>
        <v/>
      </c>
      <c r="P75" s="16">
        <f>C75+F75+I75+L75+O75</f>
        <v/>
      </c>
      <c r="Q75" s="16">
        <f>(C75*($B$5/2-B75/2)+F75*($B$5/2-$F$5)+I75*($B$5/2-$F$6)+L75*($B$5/2-$F$7)+O75*($B$5/2-$F$8))/1000</f>
        <v/>
      </c>
      <c r="R75" s="17">
        <f>$B$9*($B$14-A75)/A75</f>
        <v/>
      </c>
      <c r="S75" s="18">
        <f>IF(R75&lt;=$B$15,0.65,IF(R75&gt;=0.005,0.9,0.65+(R75-$B$15)*0.25/(0.005-$B$15)))</f>
        <v/>
      </c>
      <c r="T75" s="16">
        <f>S75*MIN(P75,0.8*$B$13/1000)</f>
        <v/>
      </c>
      <c r="U75" s="16">
        <f>S75*Q75</f>
        <v/>
      </c>
      <c r="V75" s="21" t="inlineStr">
        <is>
          <t>Compresión pura</t>
        </is>
      </c>
    </row>
    <row r="76">
      <c r="A76" s="9" t="n">
        <v>400</v>
      </c>
      <c r="B76" s="15">
        <f>MIN($B$10*A76,$B$5)</f>
        <v/>
      </c>
      <c r="C76" s="16">
        <f>0.85*$B$6*B76*$B$4/1000</f>
        <v/>
      </c>
      <c r="D76" s="17">
        <f>$B$9*(A76-$F$5)/A76</f>
        <v/>
      </c>
      <c r="E76" s="15">
        <f>MAX(-$B$7,MIN($B$7,$B$8*D76))</f>
        <v/>
      </c>
      <c r="F76" s="16">
        <f>IF($F$5&lt;B76,$E$5*(E76-0.85*$B$6),$E$5*E76)/1000</f>
        <v/>
      </c>
      <c r="G76" s="17">
        <f>$B$9*(A76-$F$6)/A76</f>
        <v/>
      </c>
      <c r="H76" s="15">
        <f>MAX(-$B$7,MIN($B$7,$B$8*G76))</f>
        <v/>
      </c>
      <c r="I76" s="16">
        <f>IF($F$6&lt;B76,$E$6*(H76-0.85*$B$6),$E$6*H76)/1000</f>
        <v/>
      </c>
      <c r="J76" s="17">
        <f>$B$9*(A76-$F$7)/A76</f>
        <v/>
      </c>
      <c r="K76" s="15">
        <f>MAX(-$B$7,MIN($B$7,$B$8*J76))</f>
        <v/>
      </c>
      <c r="L76" s="16">
        <f>IF($F$7&lt;B76,$E$7*(K76-0.85*$B$6),$E$7*K76)/1000</f>
        <v/>
      </c>
      <c r="M76" s="17">
        <f>$B$9*(A76-$F$8)/A76</f>
        <v/>
      </c>
      <c r="N76" s="15">
        <f>MAX(-$B$7,MIN($B$7,$B$8*M76))</f>
        <v/>
      </c>
      <c r="O76" s="16">
        <f>IF($F$8&lt;B76,$E$8*(N76-0.85*$B$6),$E$8*N76)/1000</f>
        <v/>
      </c>
      <c r="P76" s="16">
        <f>C76+F76+I76+L76+O76</f>
        <v/>
      </c>
      <c r="Q76" s="16">
        <f>(C76*($B$5/2-B76/2)+F76*($B$5/2-$F$5)+I76*($B$5/2-$F$6)+L76*($B$5/2-$F$7)+O76*($B$5/2-$F$8))/1000</f>
        <v/>
      </c>
      <c r="R76" s="17">
        <f>$B$9*($B$14-A76)/A76</f>
        <v/>
      </c>
      <c r="S76" s="18">
        <f>IF(R76&lt;=$B$15,0.65,IF(R76&gt;=0.005,0.9,0.65+(R76-$B$15)*0.25/(0.005-$B$15)))</f>
        <v/>
      </c>
      <c r="T76" s="16">
        <f>S76*MIN(P76,0.8*$B$13/1000)</f>
        <v/>
      </c>
      <c r="U76" s="16">
        <f>S76*Q76</f>
        <v/>
      </c>
      <c r="V76" s="21" t="inlineStr">
        <is>
          <t>Alta compresión (c=400)</t>
        </is>
      </c>
    </row>
    <row r="77">
      <c r="A77" s="9">
        <f>$B$16</f>
        <v/>
      </c>
      <c r="B77" s="15">
        <f>MIN($B$10*A77,$B$5)</f>
        <v/>
      </c>
      <c r="C77" s="16">
        <f>0.85*$B$6*B77*$B$4/1000</f>
        <v/>
      </c>
      <c r="D77" s="17">
        <f>$B$9*(A77-$F$5)/A77</f>
        <v/>
      </c>
      <c r="E77" s="15">
        <f>MAX(-$B$7,MIN($B$7,$B$8*D77))</f>
        <v/>
      </c>
      <c r="F77" s="16">
        <f>IF($F$5&lt;B77,$E$5*(E77-0.85*$B$6),$E$5*E77)/1000</f>
        <v/>
      </c>
      <c r="G77" s="17">
        <f>$B$9*(A77-$F$6)/A77</f>
        <v/>
      </c>
      <c r="H77" s="15">
        <f>MAX(-$B$7,MIN($B$7,$B$8*G77))</f>
        <v/>
      </c>
      <c r="I77" s="16">
        <f>IF($F$6&lt;B77,$E$6*(H77-0.85*$B$6),$E$6*H77)/1000</f>
        <v/>
      </c>
      <c r="J77" s="17">
        <f>$B$9*(A77-$F$7)/A77</f>
        <v/>
      </c>
      <c r="K77" s="15">
        <f>MAX(-$B$7,MIN($B$7,$B$8*J77))</f>
        <v/>
      </c>
      <c r="L77" s="16">
        <f>IF($F$7&lt;B77,$E$7*(K77-0.85*$B$6),$E$7*K77)/1000</f>
        <v/>
      </c>
      <c r="M77" s="17">
        <f>$B$9*(A77-$F$8)/A77</f>
        <v/>
      </c>
      <c r="N77" s="15">
        <f>MAX(-$B$7,MIN($B$7,$B$8*M77))</f>
        <v/>
      </c>
      <c r="O77" s="16">
        <f>IF($F$8&lt;B77,$E$8*(N77-0.85*$B$6),$E$8*N77)/1000</f>
        <v/>
      </c>
      <c r="P77" s="16">
        <f>C77+F77+I77+L77+O77</f>
        <v/>
      </c>
      <c r="Q77" s="16">
        <f>(C77*($B$5/2-B77/2)+F77*($B$5/2-$F$5)+I77*($B$5/2-$F$6)+L77*($B$5/2-$F$7)+O77*($B$5/2-$F$8))/1000</f>
        <v/>
      </c>
      <c r="R77" s="17">
        <f>$B$9*($B$14-A77)/A77</f>
        <v/>
      </c>
      <c r="S77" s="18">
        <f>IF(R77&lt;=$B$15,0.65,IF(R77&gt;=0.005,0.9,0.65+(R77-$B$15)*0.25/(0.005-$B$15)))</f>
        <v/>
      </c>
      <c r="T77" s="16">
        <f>S77*MIN(P77,0.8*$B$13/1000)</f>
        <v/>
      </c>
      <c r="U77" s="16">
        <f>S77*Q77</f>
        <v/>
      </c>
      <c r="V77" s="21" t="inlineStr">
        <is>
          <t>Balanceado</t>
        </is>
      </c>
    </row>
    <row r="78">
      <c r="A78" s="9" t="n">
        <v>200</v>
      </c>
      <c r="B78" s="15">
        <f>MIN($B$10*A78,$B$5)</f>
        <v/>
      </c>
      <c r="C78" s="16">
        <f>0.85*$B$6*B78*$B$4/1000</f>
        <v/>
      </c>
      <c r="D78" s="17">
        <f>$B$9*(A78-$F$5)/A78</f>
        <v/>
      </c>
      <c r="E78" s="15">
        <f>MAX(-$B$7,MIN($B$7,$B$8*D78))</f>
        <v/>
      </c>
      <c r="F78" s="16">
        <f>IF($F$5&lt;B78,$E$5*(E78-0.85*$B$6),$E$5*E78)/1000</f>
        <v/>
      </c>
      <c r="G78" s="17">
        <f>$B$9*(A78-$F$6)/A78</f>
        <v/>
      </c>
      <c r="H78" s="15">
        <f>MAX(-$B$7,MIN($B$7,$B$8*G78))</f>
        <v/>
      </c>
      <c r="I78" s="16">
        <f>IF($F$6&lt;B78,$E$6*(H78-0.85*$B$6),$E$6*H78)/1000</f>
        <v/>
      </c>
      <c r="J78" s="17">
        <f>$B$9*(A78-$F$7)/A78</f>
        <v/>
      </c>
      <c r="K78" s="15">
        <f>MAX(-$B$7,MIN($B$7,$B$8*J78))</f>
        <v/>
      </c>
      <c r="L78" s="16">
        <f>IF($F$7&lt;B78,$E$7*(K78-0.85*$B$6),$E$7*K78)/1000</f>
        <v/>
      </c>
      <c r="M78" s="17">
        <f>$B$9*(A78-$F$8)/A78</f>
        <v/>
      </c>
      <c r="N78" s="15">
        <f>MAX(-$B$7,MIN($B$7,$B$8*M78))</f>
        <v/>
      </c>
      <c r="O78" s="16">
        <f>IF($F$8&lt;B78,$E$8*(N78-0.85*$B$6),$E$8*N78)/1000</f>
        <v/>
      </c>
      <c r="P78" s="16">
        <f>C78+F78+I78+L78+O78</f>
        <v/>
      </c>
      <c r="Q78" s="16">
        <f>(C78*($B$5/2-B78/2)+F78*($B$5/2-$F$5)+I78*($B$5/2-$F$6)+L78*($B$5/2-$F$7)+O78*($B$5/2-$F$8))/1000</f>
        <v/>
      </c>
      <c r="R78" s="17">
        <f>$B$9*($B$14-A78)/A78</f>
        <v/>
      </c>
      <c r="S78" s="18">
        <f>IF(R78&lt;=$B$15,0.65,IF(R78&gt;=0.005,0.9,0.65+(R78-$B$15)*0.25/(0.005-$B$15)))</f>
        <v/>
      </c>
      <c r="T78" s="16">
        <f>S78*MIN(P78,0.8*$B$13/1000)</f>
        <v/>
      </c>
      <c r="U78" s="16">
        <f>S78*Q78</f>
        <v/>
      </c>
      <c r="V78" s="21" t="inlineStr">
        <is>
          <t>Transición (c=200)</t>
        </is>
      </c>
    </row>
    <row r="79">
      <c r="A79" s="9">
        <f>$B$17</f>
        <v/>
      </c>
      <c r="B79" s="15">
        <f>MIN($B$10*A79,$B$5)</f>
        <v/>
      </c>
      <c r="C79" s="16">
        <f>0.85*$B$6*B79*$B$4/1000</f>
        <v/>
      </c>
      <c r="D79" s="17">
        <f>$B$9*(A79-$F$5)/A79</f>
        <v/>
      </c>
      <c r="E79" s="15">
        <f>MAX(-$B$7,MIN($B$7,$B$8*D79))</f>
        <v/>
      </c>
      <c r="F79" s="16">
        <f>IF($F$5&lt;B79,$E$5*(E79-0.85*$B$6),$E$5*E79)/1000</f>
        <v/>
      </c>
      <c r="G79" s="17">
        <f>$B$9*(A79-$F$6)/A79</f>
        <v/>
      </c>
      <c r="H79" s="15">
        <f>MAX(-$B$7,MIN($B$7,$B$8*G79))</f>
        <v/>
      </c>
      <c r="I79" s="16">
        <f>IF($F$6&lt;B79,$E$6*(H79-0.85*$B$6),$E$6*H79)/1000</f>
        <v/>
      </c>
      <c r="J79" s="17">
        <f>$B$9*(A79-$F$7)/A79</f>
        <v/>
      </c>
      <c r="K79" s="15">
        <f>MAX(-$B$7,MIN($B$7,$B$8*J79))</f>
        <v/>
      </c>
      <c r="L79" s="16">
        <f>IF($F$7&lt;B79,$E$7*(K79-0.85*$B$6),$E$7*K79)/1000</f>
        <v/>
      </c>
      <c r="M79" s="17">
        <f>$B$9*(A79-$F$8)/A79</f>
        <v/>
      </c>
      <c r="N79" s="15">
        <f>MAX(-$B$7,MIN($B$7,$B$8*M79))</f>
        <v/>
      </c>
      <c r="O79" s="16">
        <f>IF($F$8&lt;B79,$E$8*(N79-0.85*$B$6),$E$8*N79)/1000</f>
        <v/>
      </c>
      <c r="P79" s="16">
        <f>C79+F79+I79+L79+O79</f>
        <v/>
      </c>
      <c r="Q79" s="16">
        <f>(C79*($B$5/2-B79/2)+F79*($B$5/2-$F$5)+I79*($B$5/2-$F$6)+L79*($B$5/2-$F$7)+O79*($B$5/2-$F$8))/1000</f>
        <v/>
      </c>
      <c r="R79" s="17">
        <f>$B$9*($B$14-A79)/A79</f>
        <v/>
      </c>
      <c r="S79" s="18">
        <f>IF(R79&lt;=$B$15,0.65,IF(R79&gt;=0.005,0.9,0.65+(R79-$B$15)*0.25/(0.005-$B$15)))</f>
        <v/>
      </c>
      <c r="T79" s="16">
        <f>S79*MIN(P79,0.8*$B$13/1000)</f>
        <v/>
      </c>
      <c r="U79" s="16">
        <f>S79*Q79</f>
        <v/>
      </c>
      <c r="V79" s="21" t="inlineStr">
        <is>
          <t>Flexión pura</t>
        </is>
      </c>
    </row>
    <row r="80">
      <c r="A80" s="9" t="n">
        <v>0.001</v>
      </c>
      <c r="B80" s="15">
        <f>MIN($B$10*A80,$B$5)</f>
        <v/>
      </c>
      <c r="C80" s="16">
        <f>0.85*$B$6*B80*$B$4/1000</f>
        <v/>
      </c>
      <c r="D80" s="17">
        <f>$B$9*(A80-$F$5)/A80</f>
        <v/>
      </c>
      <c r="E80" s="15">
        <f>MAX(-$B$7,MIN($B$7,$B$8*D80))</f>
        <v/>
      </c>
      <c r="F80" s="16">
        <f>IF($F$5&lt;B80,$E$5*(E80-0.85*$B$6),$E$5*E80)/1000</f>
        <v/>
      </c>
      <c r="G80" s="17">
        <f>$B$9*(A80-$F$6)/A80</f>
        <v/>
      </c>
      <c r="H80" s="15">
        <f>MAX(-$B$7,MIN($B$7,$B$8*G80))</f>
        <v/>
      </c>
      <c r="I80" s="16">
        <f>IF($F$6&lt;B80,$E$6*(H80-0.85*$B$6),$E$6*H80)/1000</f>
        <v/>
      </c>
      <c r="J80" s="17">
        <f>$B$9*(A80-$F$7)/A80</f>
        <v/>
      </c>
      <c r="K80" s="15">
        <f>MAX(-$B$7,MIN($B$7,$B$8*J80))</f>
        <v/>
      </c>
      <c r="L80" s="16">
        <f>IF($F$7&lt;B80,$E$7*(K80-0.85*$B$6),$E$7*K80)/1000</f>
        <v/>
      </c>
      <c r="M80" s="17">
        <f>$B$9*(A80-$F$8)/A80</f>
        <v/>
      </c>
      <c r="N80" s="15">
        <f>MAX(-$B$7,MIN($B$7,$B$8*M80))</f>
        <v/>
      </c>
      <c r="O80" s="16">
        <f>IF($F$8&lt;B80,$E$8*(N80-0.85*$B$6),$E$8*N80)/1000</f>
        <v/>
      </c>
      <c r="P80" s="16">
        <f>C80+F80+I80+L80+O80</f>
        <v/>
      </c>
      <c r="Q80" s="16">
        <f>(C80*($B$5/2-B80/2)+F80*($B$5/2-$F$5)+I80*($B$5/2-$F$6)+L80*($B$5/2-$F$7)+O80*($B$5/2-$F$8))/1000</f>
        <v/>
      </c>
      <c r="R80" s="17">
        <f>$B$9*($B$14-A80)/A80</f>
        <v/>
      </c>
      <c r="S80" s="18">
        <f>IF(R80&lt;=$B$15,0.65,IF(R80&gt;=0.005,0.9,0.65+(R80-$B$15)*0.25/(0.005-$B$15)))</f>
        <v/>
      </c>
      <c r="T80" s="16">
        <f>S80*MIN(P80,0.8*$B$13/1000)</f>
        <v/>
      </c>
      <c r="U80" s="16">
        <f>S80*Q80</f>
        <v/>
      </c>
      <c r="V80" s="21" t="inlineStr">
        <is>
          <t>Tracción pura</t>
        </is>
      </c>
    </row>
  </sheetData>
  <mergeCells count="6">
    <mergeCell ref="A22:D22"/>
    <mergeCell ref="A1:F1"/>
    <mergeCell ref="A73:U73"/>
    <mergeCell ref="D3:F3"/>
    <mergeCell ref="A32:U32"/>
    <mergeCell ref="A3:B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5" customWidth="1" min="2" max="2"/>
  </cols>
  <sheetData>
    <row r="3" ht="15" customHeight="1">
      <c r="B3" s="22" t="inlineStr">
        <is>
          <t>CÓMO USAR ESTE ARCHIVO:</t>
        </is>
      </c>
    </row>
    <row r="4" ht="26" customHeight="1">
      <c r="B4" s="23" t="inlineStr">
        <is>
          <t>1) Edita las celdas amarillas: b, h, f'c, fy y las CAPAS de acero (As y d de cada fila).</t>
        </is>
      </c>
    </row>
    <row r="5" ht="26" customHeight="1">
      <c r="B5" s="23" t="inlineStr">
        <is>
          <t>2) La tabla y la GRÁFICA se recalculan solas: curva azul = nominal, roja = diseño (phi).</t>
        </is>
      </c>
    </row>
    <row r="6" ht="15" customHeight="1">
      <c r="B6" s="23" t="inlineStr">
        <is>
          <t>3) Los 6 rombos verdes son los 6 PUNTOS CLAVE (ver resumen en A22:D29).</t>
        </is>
      </c>
    </row>
    <row r="7" ht="15" customHeight="1">
      <c r="B7" s="23" t="inlineStr">
        <is>
          <t>4) Escribe tu Pu y Mu: el punto naranja te dice si cumple (dentro de la curva roja).</t>
        </is>
      </c>
    </row>
    <row r="8" ht="15" customHeight="1">
      <c r="B8" s="23" t="inlineStr"/>
    </row>
    <row r="9" ht="15" customHeight="1">
      <c r="B9" s="22" t="inlineStr">
        <is>
          <t>SOBRE 'c flexión pura' (celda B17):</t>
        </is>
      </c>
    </row>
    <row r="10" ht="15" customHeight="1">
      <c r="B10" s="23" t="inlineStr">
        <is>
          <t>- Flexión pura es el punto con P=0. Su c se halla por TANTEO.</t>
        </is>
      </c>
    </row>
    <row r="11" ht="15" customHeight="1">
      <c r="B11" s="23" t="inlineStr">
        <is>
          <t>- Cambia B17 y mira la fila 'Flexión pura' del resumen: ajusta hasta que P ≈ 0.</t>
        </is>
      </c>
    </row>
    <row r="12" ht="15" customHeight="1">
      <c r="B12" s="23" t="inlineStr">
        <is>
          <t>- Regla: si P sale POSITIVO baja el c; si sale NEGATIVO súbelo.</t>
        </is>
      </c>
    </row>
    <row r="13" ht="15" customHeight="1">
      <c r="B13" s="23" t="inlineStr"/>
    </row>
    <row r="14" ht="15" customHeight="1">
      <c r="B14" s="22" t="inlineStr">
        <is>
          <t>QUÉ HACE CADA COLUMNA (por cada valor de c):</t>
        </is>
      </c>
    </row>
    <row r="15" ht="15" customHeight="1">
      <c r="B15" s="23" t="inlineStr">
        <is>
          <t>a = beta1*c  (bloque, tope h) ; Cc = 0.85 f'c a b</t>
        </is>
      </c>
    </row>
    <row r="16" ht="15" customHeight="1">
      <c r="B16" s="23" t="inlineStr">
        <is>
          <t>es = ecu*(c-d)/c  ; fs = Es*es (limitado a +-fy)</t>
        </is>
      </c>
    </row>
    <row r="17" ht="15" customHeight="1">
      <c r="B17" s="23" t="inlineStr">
        <is>
          <t>F = As*fs   (o As*(fs-0.85 f'c) si la capa está dentro del bloque, d&lt;a)</t>
        </is>
      </c>
    </row>
    <row r="18" ht="15" customHeight="1">
      <c r="B18" s="23" t="inlineStr">
        <is>
          <t>Pn = Cc + suma de F  ; Mn = Cc*(h/2-a/2) + suma de F*(h/2-d)</t>
        </is>
      </c>
    </row>
    <row r="19" ht="15" customHeight="1">
      <c r="B19" s="23" t="inlineStr"/>
    </row>
    <row r="20" ht="15" customHeight="1">
      <c r="B20" s="22" t="inlineStr">
        <is>
          <t>LOS 6 PUNTOS CLAVE:</t>
        </is>
      </c>
    </row>
    <row r="21" ht="15" customHeight="1">
      <c r="B21" s="23" t="inlineStr">
        <is>
          <t>Compresión pura: c enorme -&gt; Po ; Balanceado: c=0.003/(0.003+ey)*d ;</t>
        </is>
      </c>
    </row>
    <row r="22" ht="15" customHeight="1">
      <c r="B22" s="23" t="inlineStr">
        <is>
          <t>Flexión pura: c que da P=0 ; Tracción pura: c casi 0 -&gt; -As*fy.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2026-07-12T02:16:10Z</dcterms:created>
  <dcterms:modified xsi:type="dcterms:W3CDTF">2026-07-12T02:16:11Z</dcterms:modified>
</cp:coreProperties>
</file>