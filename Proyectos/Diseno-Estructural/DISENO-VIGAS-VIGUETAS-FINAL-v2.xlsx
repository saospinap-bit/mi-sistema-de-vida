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rregularidades" sheetId="2" state="visible" r:id="rId2"/>
    <sheet xmlns:r="http://schemas.openxmlformats.org/officeDocument/2006/relationships" name="Vigas de Carga VC" sheetId="3" state="visible" r:id="rId3"/>
    <sheet xmlns:r="http://schemas.openxmlformats.org/officeDocument/2006/relationships" name="Vigas de Rigidez VR" sheetId="4" state="visible" r:id="rId4"/>
    <sheet xmlns:r="http://schemas.openxmlformats.org/officeDocument/2006/relationships" name="Diseno Viguetas Entrepiso" sheetId="5" state="visible" r:id="rId5"/>
    <sheet xmlns:r="http://schemas.openxmlformats.org/officeDocument/2006/relationships" name="Diseno Viguetas Cubierta" sheetId="6" state="visible" r:id="rId6"/>
    <sheet xmlns:r="http://schemas.openxmlformats.org/officeDocument/2006/relationships" name="Riostras Cimentacion" sheetId="7" state="visible" r:id="rId7"/>
    <sheet xmlns:r="http://schemas.openxmlformats.org/officeDocument/2006/relationships" name="Despiece y Longitud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1">
    <font>
      <name val="Calibri"/>
      <family val="2"/>
      <color theme="1"/>
      <sz val="11"/>
      <scheme val="minor"/>
    </font>
    <font>
      <name val="Aptos Narrow"/>
      <b val="1"/>
      <sz val="14"/>
    </font>
    <font>
      <name val="Aptos Narrow"/>
      <b val="1"/>
      <sz val="12"/>
    </font>
    <font>
      <name val="Aptos Narrow"/>
      <sz val="11"/>
    </font>
    <font>
      <name val="Aptos Narrow"/>
      <b val="1"/>
      <sz val="11"/>
    </font>
    <font>
      <name val="Aptos Narrow"/>
      <i val="1"/>
      <sz val="9"/>
    </font>
    <font>
      <name val="Aptos Narrow"/>
      <b val="1"/>
      <sz val="13"/>
    </font>
    <font>
      <name val="Aptos Narrow"/>
      <sz val="10"/>
    </font>
    <font>
      <name val="Aptos Narrow"/>
      <b val="1"/>
      <sz val="10"/>
    </font>
    <font>
      <name val="Calibri"/>
      <sz val="10"/>
    </font>
    <font>
      <name val="Calibri"/>
      <b val="1"/>
      <color rgb="FFFFFFFF"/>
      <sz val="10"/>
    </font>
    <font>
      <name val="Calibri"/>
      <b val="1"/>
      <sz val="10"/>
    </font>
    <font>
      <name val="Calibri"/>
      <i val="1"/>
      <color rgb="FF555555"/>
      <sz val="9"/>
    </font>
    <font>
      <name val="Calibri"/>
      <b val="1"/>
      <color rgb="FFFFFFFF"/>
      <sz val="14"/>
    </font>
    <font>
      <b val="1"/>
      <color rgb="001F4E78"/>
      <sz val="14"/>
    </font>
    <font>
      <color rgb="00555555"/>
      <sz val="11"/>
    </font>
    <font>
      <b val="1"/>
      <color rgb="00FFFFFF"/>
    </font>
    <font>
      <b val="1"/>
    </font>
    <font>
      <sz val="10"/>
    </font>
    <font>
      <b val="1"/>
      <color rgb="001F4E78"/>
      <sz val="13"/>
    </font>
    <font>
      <i val="1"/>
      <color rgb="00555555"/>
      <sz val="9"/>
    </font>
  </fonts>
  <fills count="18">
    <fill>
      <patternFill/>
    </fill>
    <fill>
      <patternFill patternType="gray125"/>
    </fill>
    <fill>
      <patternFill patternType="solid">
        <fgColor rgb="FF8EAADB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404040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0" fillId="10" borderId="12" applyAlignment="1" pivotButton="0" quotePrefix="0" xfId="0">
      <alignment horizontal="center" vertical="center" wrapText="1"/>
    </xf>
    <xf numFmtId="0" fontId="10" fillId="11" borderId="12" applyAlignment="1" pivotButton="0" quotePrefix="0" xfId="0">
      <alignment horizontal="center" vertical="center" wrapText="1"/>
    </xf>
    <xf numFmtId="0" fontId="10" fillId="12" borderId="12" applyAlignment="1" pivotButton="0" quotePrefix="0" xfId="0">
      <alignment horizontal="center" vertical="center" wrapText="1"/>
    </xf>
    <xf numFmtId="0" fontId="10" fillId="9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3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9" borderId="12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center" wrapText="1"/>
    </xf>
    <xf numFmtId="0" fontId="10" fillId="12" borderId="1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10" borderId="12" applyAlignment="1" pivotButton="0" quotePrefix="0" xfId="0">
      <alignment horizontal="left" vertical="center" wrapText="1"/>
    </xf>
    <xf numFmtId="0" fontId="10" fillId="11" borderId="12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14" borderId="17" applyAlignment="1" pivotButton="0" quotePrefix="0" xfId="0">
      <alignment horizontal="left" vertical="center" wrapText="1"/>
    </xf>
    <xf numFmtId="0" fontId="17" fillId="15" borderId="17" applyAlignment="1" pivotButton="0" quotePrefix="0" xfId="0">
      <alignment horizontal="left" vertical="center" wrapText="1"/>
    </xf>
    <xf numFmtId="0" fontId="0" fillId="0" borderId="17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17" fillId="16" borderId="17" applyAlignment="1" pivotButton="0" quotePrefix="0" xfId="0">
      <alignment horizontal="center" vertical="center" wrapText="1"/>
    </xf>
    <xf numFmtId="0" fontId="17" fillId="15" borderId="17" applyAlignment="1" pivotButton="0" quotePrefix="0" xfId="0">
      <alignment horizontal="center" vertical="center" wrapText="1"/>
    </xf>
    <xf numFmtId="0" fontId="16" fillId="14" borderId="17" applyAlignment="1" pivotButton="0" quotePrefix="0" xfId="0">
      <alignment horizontal="center" vertical="center" wrapText="1"/>
    </xf>
    <xf numFmtId="2" fontId="0" fillId="16" borderId="17" applyAlignment="1" pivotButton="0" quotePrefix="0" xfId="0">
      <alignment horizontal="center" vertical="center" wrapText="1"/>
    </xf>
    <xf numFmtId="0" fontId="0" fillId="16" borderId="17" applyAlignment="1" pivotButton="0" quotePrefix="0" xfId="0">
      <alignment horizontal="center" vertical="center" wrapText="1"/>
    </xf>
    <xf numFmtId="1" fontId="0" fillId="16" borderId="17" applyAlignment="1" pivotButton="0" quotePrefix="0" xfId="0">
      <alignment horizontal="center" vertical="center" wrapText="1"/>
    </xf>
    <xf numFmtId="164" fontId="0" fillId="16" borderId="17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 wrapText="1"/>
    </xf>
    <xf numFmtId="165" fontId="0" fillId="0" borderId="17" applyAlignment="1" pivotButton="0" quotePrefix="0" xfId="0">
      <alignment horizontal="center" vertical="center" wrapText="1"/>
    </xf>
    <xf numFmtId="166" fontId="0" fillId="0" borderId="17" applyAlignment="1" pivotButton="0" quotePrefix="0" xfId="0">
      <alignment horizontal="center" vertical="center" wrapText="1"/>
    </xf>
    <xf numFmtId="1" fontId="0" fillId="0" borderId="17" applyAlignment="1" pivotButton="0" quotePrefix="0" xfId="0">
      <alignment horizontal="center" vertical="center" wrapText="1"/>
    </xf>
    <xf numFmtId="1" fontId="0" fillId="17" borderId="17" applyAlignment="1" pivotButton="0" quotePrefix="0" xfId="0">
      <alignment horizontal="center" vertical="center" wrapText="1"/>
    </xf>
    <xf numFmtId="0" fontId="0" fillId="17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64" fontId="17" fillId="17" borderId="17" applyAlignment="1" pivotButton="0" quotePrefix="0" xfId="0">
      <alignment horizontal="center" vertical="center" wrapText="1"/>
    </xf>
    <xf numFmtId="2" fontId="0" fillId="0" borderId="1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95" customWidth="1" style="33" min="2" max="2"/>
  </cols>
  <sheetData>
    <row r="1">
      <c r="A1" s="62" t="inlineStr">
        <is>
          <t>MEMORIA DE CALCULO ESTRUCTURAL - DISENO DE ELEMENTOS</t>
        </is>
      </c>
    </row>
    <row r="2">
      <c r="A2" s="63" t="inlineStr">
        <is>
          <t>Grupo 6 - Edificio residencial - Santa Marta - NSR-10 / ACI 318</t>
        </is>
      </c>
    </row>
    <row r="3">
      <c r="A3" s="63" t="inlineStr">
        <is>
          <t>f'c = 28 MPa   |   fy = 420 MPa   |   Sistema porticos DMO   |   R = 5.0</t>
        </is>
      </c>
    </row>
    <row r="5">
      <c r="A5" s="64" t="inlineStr">
        <is>
          <t>Hoja</t>
        </is>
      </c>
      <c r="B5" s="64" t="inlineStr">
        <is>
          <t>Contenido</t>
        </is>
      </c>
    </row>
    <row r="6">
      <c r="A6" s="65" t="inlineStr">
        <is>
          <t>Irregularidades</t>
        </is>
      </c>
      <c r="B6" s="66" t="inlineStr">
        <is>
          <t>Sistema, R0, Omega0, irregularidades en planta y altura, R final (con formulas).</t>
        </is>
      </c>
    </row>
    <row r="7">
      <c r="A7" s="65" t="inlineStr">
        <is>
          <t>Vigas de Carga VC</t>
        </is>
      </c>
      <c r="B7" s="66" t="inlineStr">
        <is>
          <t>9 grupos por LONGITUD (0.30x0.40), diseno con la mayor solicitacion. Flexion +/-, cortante, cortante por capacidad y torsion.</t>
        </is>
      </c>
    </row>
    <row r="8">
      <c r="A8" s="65" t="inlineStr">
        <is>
          <t>Vigas de Rigidez VR</t>
        </is>
      </c>
      <c r="B8" s="66" t="inlineStr">
        <is>
          <t>8 grupos por LONGITUD (0.35x0.40). Mismo calculo completo.</t>
        </is>
      </c>
    </row>
    <row r="9">
      <c r="A9" s="65" t="inlineStr">
        <is>
          <t>Diseno Viguetas Entrepiso</t>
        </is>
      </c>
      <c r="B9" s="66" t="inlineStr">
        <is>
          <t>Viguetas (viga T) por luz - carga de entrepiso, coeficientes de continuidad NSR-10.</t>
        </is>
      </c>
    </row>
    <row r="10">
      <c r="A10" s="65" t="inlineStr">
        <is>
          <t>Diseno Viguetas Cubierta</t>
        </is>
      </c>
      <c r="B10" s="66" t="inlineStr">
        <is>
          <t>Viguetas de cubierta (terraza social, L=5 kN/m2 gobierna).</t>
        </is>
      </c>
    </row>
    <row r="11">
      <c r="A11" s="65" t="inlineStr">
        <is>
          <t>Riostras Cimentacion</t>
        </is>
      </c>
      <c r="B11" s="66" t="inlineStr">
        <is>
          <t>Vigas de amarre R-1..R-8 por longitud, NSR-10 A.3.6.4.2 (fuerza 0.25*Aa*Pu).</t>
        </is>
      </c>
    </row>
    <row r="12">
      <c r="A12" s="65" t="inlineStr">
        <is>
          <t>Despiece y Longitudes</t>
        </is>
      </c>
      <c r="B12" s="66" t="inlineStr">
        <is>
          <t>Longitudes de desarrollo, ganchos, cortes de barras y estribos de confinamiento.</t>
        </is>
      </c>
    </row>
    <row r="14">
      <c r="A14" s="67" t="inlineStr">
        <is>
          <t>METODOLOGIA</t>
        </is>
      </c>
    </row>
    <row r="15">
      <c r="B15" s="68" t="inlineStr">
        <is>
          <t>1. Fuerzas tomadas de 'Element Forces - Frames' del SAP2000, en las 10 combinaciones de diseno (C1..C10).</t>
        </is>
      </c>
    </row>
    <row r="16">
      <c r="B16" s="68" t="inlineStr">
        <is>
          <t>2. Combinaciones: C1=1.4D; C2=1.2D+1.6L; C3/C4=1.2D+1.0L +/- Ex; C5/C6=1.2D+1.0L +/- Ey; C7/C8=0.9D +/- Ex; C9/C10=0.9D +/- Ey.</t>
        </is>
      </c>
    </row>
    <row r="17">
      <c r="B17" s="68" t="inlineStr">
        <is>
          <t>3. Reduccion del sismo por R=5: gravedad = promedio del par, sismo = semidiferencia; M diseno = gravedad + sismo/R.</t>
        </is>
      </c>
    </row>
    <row r="18">
      <c r="B18" s="68" t="inlineStr">
        <is>
          <t>4. Envolvente por elemento (M- mas negativo, M+ mas positivo, |V| y |T| maximos).</t>
        </is>
      </c>
    </row>
    <row r="19">
      <c r="B19" s="68" t="inlineStr">
        <is>
          <t>5. AGRUPACION: las vigas con la MISMA longitud total forman un grupo (VC 9 grupos, VR 8 grupos); el grupo se disena con su MAYOR solicitacion de la envolvente.</t>
        </is>
      </c>
    </row>
    <row r="20">
      <c r="B20" s="68" t="inlineStr">
        <is>
          <t>6. Las derivas se verifican con la fuerza sismica SIN reducir; el diseno de elementos usa E/R (NSR-10).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B2:J72"/>
  <sheetViews>
    <sheetView showGridLines="0" zoomScale="110" workbookViewId="0">
      <pane ySplit="2" topLeftCell="A38" activePane="bottomLeft" state="frozen"/>
      <selection pane="bottomLeft" activeCell="A1" sqref="A1"/>
    </sheetView>
  </sheetViews>
  <sheetFormatPr baseColWidth="10" defaultColWidth="9.140625" defaultRowHeight="15"/>
  <cols>
    <col width="2" customWidth="1" style="33" min="1" max="1"/>
    <col width="40" customWidth="1" style="33" min="2" max="2"/>
    <col width="13" customWidth="1" style="33" min="3" max="3"/>
    <col width="9" customWidth="1" style="33" min="4" max="4"/>
    <col width="13" customWidth="1" style="33" min="5" max="6"/>
    <col width="12" customWidth="1" style="33" min="7" max="7"/>
    <col width="13" customWidth="1" style="33" min="8" max="8"/>
    <col width="11" customWidth="1" style="33" min="9" max="9"/>
    <col width="46" customWidth="1" style="33" min="10" max="10"/>
  </cols>
  <sheetData>
    <row r="2">
      <c r="B2" s="48" t="inlineStr">
        <is>
          <t>ANALISIS DE IRREGULARIDADES Y COEFICIENTE R  (NSR-10, A.3)</t>
        </is>
      </c>
    </row>
    <row r="4" ht="31.5" customHeight="1" s="33">
      <c r="B4" s="1" t="inlineStr">
        <is>
          <t>1. Sistema estructural y parametros sismicos</t>
        </is>
      </c>
    </row>
    <row r="5" ht="72" customHeight="1" s="33">
      <c r="B5" s="45" t="inlineStr">
        <is>
          <t>Sistema: PORTICOS RESISTENTES A MOMENTOS DE CONCRETO REFORZADO con capacidad MODERADA de disipacion de energia (DMO), en las dos direcciones, que resisten cargas gravitacionales y sismicas (NSR-10 Tabla A.3-3). Componentes: columnas (C1ESQ, C2BOR, C3INT, C4DIAG), vigas de carga VC 40x30, vigas de rigidez VR 40x35, entrepiso en losa aligerada en una direccion (vigueta h=0.34 + caseton + loseta 0.06 m). Materiales: f'c=28 MPa, fy=420 MPa. Localizacion: Santa Marta (amenaza sismica intermedia).</t>
        </is>
      </c>
      <c r="C5" s="40" t="n"/>
      <c r="D5" s="40" t="n"/>
      <c r="E5" s="40" t="n"/>
      <c r="F5" s="40" t="n"/>
      <c r="G5" s="40" t="n"/>
      <c r="H5" s="40" t="n"/>
      <c r="I5" s="40" t="n"/>
      <c r="J5" s="41" t="n"/>
    </row>
    <row r="6">
      <c r="B6" s="46" t="n"/>
      <c r="J6" s="47" t="n"/>
    </row>
    <row r="7">
      <c r="B7" s="46" t="n"/>
      <c r="J7" s="47" t="n"/>
    </row>
    <row r="8">
      <c r="B8" s="42" t="n"/>
      <c r="C8" s="43" t="n"/>
      <c r="D8" s="43" t="n"/>
      <c r="E8" s="43" t="n"/>
      <c r="F8" s="43" t="n"/>
      <c r="G8" s="43" t="n"/>
      <c r="H8" s="43" t="n"/>
      <c r="I8" s="43" t="n"/>
      <c r="J8" s="44" t="n"/>
    </row>
    <row r="10">
      <c r="B10" s="2" t="inlineStr">
        <is>
          <t>Aa / Av</t>
        </is>
      </c>
      <c r="C10" s="3" t="n">
        <v>0.15</v>
      </c>
      <c r="D10" s="3" t="n">
        <v>0.1</v>
      </c>
    </row>
    <row r="11">
      <c r="B11" s="2" t="inlineStr">
        <is>
          <t>Suelo / Fa / Fv</t>
        </is>
      </c>
      <c r="C11" s="3" t="inlineStr">
        <is>
          <t>C</t>
        </is>
      </c>
      <c r="D11" s="3" t="n">
        <v>1.2</v>
      </c>
      <c r="E11" s="3" t="n">
        <v>1.7</v>
      </c>
    </row>
    <row r="12">
      <c r="B12" s="2" t="inlineStr">
        <is>
          <t>Coef. importancia I</t>
        </is>
      </c>
      <c r="C12" s="3" t="n">
        <v>1</v>
      </c>
    </row>
    <row r="13">
      <c r="B13" s="34" t="inlineStr">
        <is>
          <t>R0 (Tabla A.3-3, DMO)</t>
        </is>
      </c>
      <c r="C13" s="3" t="n">
        <v>5</v>
      </c>
      <c r="J13" s="32" t="inlineStr">
        <is>
          <t>Portico de concreto: DES R0=7.0 - DMO R0=5.0 - DMI R0=2.5.</t>
        </is>
      </c>
    </row>
    <row r="14">
      <c r="B14" s="34" t="inlineStr">
        <is>
          <t>Omega0 sobrerresistencia</t>
        </is>
      </c>
      <c r="C14" s="3" t="n">
        <v>3</v>
      </c>
      <c r="J14" s="32" t="inlineStr">
        <is>
          <t>Para diseno de elementos por capacidad.</t>
        </is>
      </c>
    </row>
    <row r="16" ht="15.75" customHeight="1" s="33">
      <c r="B16" s="1" t="inlineStr">
        <is>
          <t>2. Irregularidades en PLANTA  -&gt;  phi_p</t>
        </is>
      </c>
    </row>
    <row r="17">
      <c r="B17" s="6" t="inlineStr">
        <is>
          <t>Tipo (A.3-6)</t>
        </is>
      </c>
      <c r="C17" s="6" t="inlineStr">
        <is>
          <t>Parametro</t>
        </is>
      </c>
      <c r="D17" s="6" t="inlineStr">
        <is>
          <t>Valor</t>
        </is>
      </c>
      <c r="E17" s="6" t="inlineStr">
        <is>
          <t>Limite</t>
        </is>
      </c>
      <c r="F17" s="6" t="inlineStr">
        <is>
          <t>Irregular?</t>
        </is>
      </c>
      <c r="G17" s="6" t="inlineStr">
        <is>
          <t>Coef.</t>
        </is>
      </c>
      <c r="J17" s="6" t="inlineStr">
        <is>
          <t>Observacion</t>
        </is>
      </c>
    </row>
    <row r="18">
      <c r="B18" s="2" t="inlineStr">
        <is>
          <t>1aP/1bP Torsional</t>
        </is>
      </c>
      <c r="C18" s="7" t="inlineStr">
        <is>
          <t>dmax/dprom</t>
        </is>
      </c>
      <c r="D18" s="7">
        <f>MAX(E68:E72,H68:H72)</f>
        <v>1.023571884</v>
      </c>
      <c r="E18" s="7" t="inlineStr">
        <is>
          <t>1.20 / 1.40</t>
        </is>
      </c>
      <c r="F18" s="7" t="str">
        <f>IF(D18&gt;1.4,"Extrema",IF(D18&gt;1.2,"Si","No"))</f>
        <v>No</v>
      </c>
      <c r="G18" s="8">
        <f>IF(D18&gt;1.4,0.8,IF(D18&gt;1.2,0.9,1))</f>
        <v>1</v>
      </c>
      <c r="J18" s="32" t="inlineStr">
        <is>
          <t>Verificado con los 183 nudos del diafragma por piso (Tabla C).</t>
        </is>
      </c>
    </row>
    <row r="19">
      <c r="B19" s="2" t="inlineStr">
        <is>
          <t>2P Retrocesos esquinas</t>
        </is>
      </c>
      <c r="C19" s="7" t="inlineStr">
        <is>
          <t>px ; py</t>
        </is>
      </c>
      <c r="D19" s="7">
        <f>MAX(C42/C40,C43/C41)</f>
        <v>0.1657285804</v>
      </c>
      <c r="E19" s="7" t="inlineStr">
        <is>
          <t>0.15</t>
        </is>
      </c>
      <c r="F19" s="7" t="str">
        <f>IF(AND(C42/C40&gt;0.15,C43/C41&gt;0.15),"Si","No")</f>
        <v>No</v>
      </c>
      <c r="G19" s="8">
        <f>IF(AND(C42/C40&gt;0.15,C43/C41&gt;0.15),0.9,1)</f>
        <v>1</v>
      </c>
    </row>
    <row r="20">
      <c r="B20" s="2" t="inlineStr">
        <is>
          <t>3P Discontinuidad diafragma</t>
        </is>
      </c>
      <c r="C20" s="7" t="inlineStr">
        <is>
          <t>Area abierta</t>
        </is>
      </c>
      <c r="D20" s="7">
        <f>C45</f>
        <v>27.03</v>
      </c>
      <c r="E20" s="7">
        <f>0.5*C40*C41</f>
        <v>292.617</v>
      </c>
      <c r="F20" s="7" t="str">
        <f>IF(C45&gt;0.5*C40*C41,"Si","No")</f>
        <v>No</v>
      </c>
      <c r="G20" s="8">
        <f>IF(C45&gt;0.5*C40*C41,0.9,1)</f>
        <v>1</v>
      </c>
    </row>
    <row r="21">
      <c r="B21" s="2" t="inlineStr">
        <is>
          <t>4P Desplaz. fuera del plano</t>
        </is>
      </c>
      <c r="C21" s="7" t="inlineStr">
        <is>
          <t>No aplica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No</t>
        </is>
      </c>
      <c r="G21" s="8" t="n">
        <v>1</v>
      </c>
    </row>
    <row r="22">
      <c r="B22" s="2" t="inlineStr">
        <is>
          <t>5P Sistemas no paralelos</t>
        </is>
      </c>
      <c r="C22" s="7" t="inlineStr">
        <is>
          <t>No aplica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No</t>
        </is>
      </c>
      <c r="G22" s="8" t="n">
        <v>1</v>
      </c>
    </row>
    <row r="23">
      <c r="B23" s="34" t="inlineStr">
        <is>
          <t>phi_p = MINIMO</t>
        </is>
      </c>
      <c r="G23" s="9">
        <f>MIN(G18:G22)</f>
        <v>1</v>
      </c>
    </row>
    <row r="25" ht="15.75" customHeight="1" s="33">
      <c r="B25" s="1" t="inlineStr">
        <is>
          <t>3. Irregularidades en ALTURA  -&gt;  phi_a</t>
        </is>
      </c>
    </row>
    <row r="26">
      <c r="B26" s="6" t="inlineStr">
        <is>
          <t>Tipo (A.3-7)</t>
        </is>
      </c>
      <c r="C26" s="6" t="inlineStr">
        <is>
          <t>Parametro</t>
        </is>
      </c>
      <c r="D26" s="6" t="inlineStr">
        <is>
          <t>Valor</t>
        </is>
      </c>
      <c r="E26" s="6" t="inlineStr">
        <is>
          <t>Limite</t>
        </is>
      </c>
      <c r="F26" s="6" t="inlineStr">
        <is>
          <t>Irregular?</t>
        </is>
      </c>
      <c r="G26" s="6" t="inlineStr">
        <is>
          <t>Coef.</t>
        </is>
      </c>
      <c r="J26" s="6" t="inlineStr">
        <is>
          <t>Observacion</t>
        </is>
      </c>
    </row>
    <row r="27">
      <c r="B27" s="2" t="inlineStr">
        <is>
          <t>1aA/1bA Piso flexible</t>
        </is>
      </c>
      <c r="C27" s="7" t="inlineStr">
        <is>
          <t>ki/ki+1 min</t>
        </is>
      </c>
      <c r="D27" s="7">
        <f>MIN(G52:G55)</f>
        <v>1.064936106</v>
      </c>
      <c r="E27" s="7" t="inlineStr">
        <is>
          <t>0.70 / 0.60</t>
        </is>
      </c>
      <c r="F27" s="7" t="str">
        <f>IF(D27&lt;0.6,"Extrema",IF(D27&lt;0.7,"Si","No"))</f>
        <v>No</v>
      </c>
      <c r="G27" s="8">
        <f>IF(D27&lt;0.6,0.8,IF(D27&lt;0.7,0.9,1))</f>
        <v>1</v>
      </c>
    </row>
    <row r="28" ht="30" customHeight="1" s="33">
      <c r="B28" s="2" t="inlineStr">
        <is>
          <t>2A Masa</t>
        </is>
      </c>
      <c r="C28" s="7" t="inlineStr">
        <is>
          <t>mi/mi+-1 max</t>
        </is>
      </c>
      <c r="D28" s="7">
        <f>MAX(H60:H63)</f>
        <v>1.323326017</v>
      </c>
      <c r="E28" s="7" t="inlineStr">
        <is>
          <t>1.50</t>
        </is>
      </c>
      <c r="F28" s="7" t="str">
        <f>IF(D28&gt;1.5,"Si","No")</f>
        <v>No</v>
      </c>
      <c r="G28" s="8">
        <f>IF(D28&gt;1.5,0.9,1)</f>
        <v>1</v>
      </c>
    </row>
    <row r="29">
      <c r="B29" s="2" t="inlineStr">
        <is>
          <t>3A Geometrica vertical</t>
        </is>
      </c>
      <c r="C29" s="7" t="inlineStr">
        <is>
          <t>dim i/i+1</t>
        </is>
      </c>
      <c r="D29" s="7" t="n">
        <v>1</v>
      </c>
      <c r="E29" s="7" t="inlineStr">
        <is>
          <t>1.30</t>
        </is>
      </c>
      <c r="F29" s="7" t="inlineStr">
        <is>
          <t>No</t>
        </is>
      </c>
      <c r="G29" s="8" t="n">
        <v>1</v>
      </c>
    </row>
    <row r="30">
      <c r="B30" s="2" t="inlineStr">
        <is>
          <t>4A Desplaz. en el plano</t>
        </is>
      </c>
      <c r="C30" s="7" t="inlineStr">
        <is>
          <t>No aplica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No</t>
        </is>
      </c>
      <c r="G30" s="8" t="n">
        <v>1</v>
      </c>
    </row>
    <row r="31">
      <c r="B31" s="2" t="inlineStr">
        <is>
          <t>5aA/5bA Piso debil</t>
        </is>
      </c>
      <c r="C31" s="7" t="inlineStr">
        <is>
          <t>resist i/i+1</t>
        </is>
      </c>
      <c r="D31" s="7" t="n">
        <v>1</v>
      </c>
      <c r="E31" s="7" t="inlineStr">
        <is>
          <t>0.80 / 0.65</t>
        </is>
      </c>
      <c r="F31" s="7" t="inlineStr">
        <is>
          <t>No</t>
        </is>
      </c>
      <c r="G31" s="8" t="n">
        <v>1</v>
      </c>
    </row>
    <row r="32">
      <c r="B32" s="34" t="inlineStr">
        <is>
          <t>phi_a = MINIMO</t>
        </is>
      </c>
      <c r="G32" s="9">
        <f>MIN(G27:G31)</f>
        <v>1</v>
      </c>
    </row>
    <row r="34" ht="31.5" customHeight="1" s="33">
      <c r="B34" s="1" t="inlineStr">
        <is>
          <t>4. Ausencia de redundancia  -&gt;  phi_r  (A.3.3.8)</t>
        </is>
      </c>
    </row>
    <row r="35" ht="30" customHeight="1" s="33">
      <c r="B35" s="2" t="inlineStr">
        <is>
          <t>Lineas de resistencia / dir.</t>
        </is>
      </c>
      <c r="C35" s="7" t="inlineStr">
        <is>
          <t>&gt;= 2 vanos</t>
        </is>
      </c>
      <c r="D35" s="2" t="inlineStr">
        <is>
          <t>Redundante?</t>
        </is>
      </c>
      <c r="E35" s="3" t="inlineStr">
        <is>
          <t>Si</t>
        </is>
      </c>
    </row>
    <row r="36">
      <c r="B36" s="34" t="inlineStr">
        <is>
          <t>phi_r</t>
        </is>
      </c>
      <c r="C36" s="9">
        <f>IF(E35="Si",1,0.75)</f>
        <v>1</v>
      </c>
    </row>
    <row r="38" ht="31.5" customHeight="1" s="33">
      <c r="B38" s="1" t="inlineStr">
        <is>
          <t>5. Coeficiente de disipacion  R = R0 x phi_a x phi_p x phi_r</t>
        </is>
      </c>
    </row>
    <row r="40">
      <c r="B40" s="2" t="inlineStr">
        <is>
          <t>Lx planta [m]</t>
        </is>
      </c>
      <c r="C40" s="3" t="n">
        <v>36.6</v>
      </c>
    </row>
    <row r="41">
      <c r="B41" s="2" t="inlineStr">
        <is>
          <t>Ly planta [m]</t>
        </is>
      </c>
      <c r="C41" s="3" t="n">
        <v>15.99</v>
      </c>
    </row>
    <row r="42">
      <c r="B42" s="2" t="inlineStr">
        <is>
          <t>Proy. retroceso X [m]</t>
        </is>
      </c>
      <c r="C42" s="3" t="n">
        <v>5.1</v>
      </c>
    </row>
    <row r="43">
      <c r="B43" s="2" t="inlineStr">
        <is>
          <t>Proy. retroceso Y [m]</t>
        </is>
      </c>
      <c r="C43" s="3" t="n">
        <v>2.65</v>
      </c>
    </row>
    <row r="44">
      <c r="B44" s="2" t="inlineStr">
        <is>
          <t>Area planta [m2]</t>
        </is>
      </c>
      <c r="C44" s="7">
        <f>C40*C41</f>
        <v>585.234</v>
      </c>
    </row>
    <row r="45">
      <c r="B45" s="2" t="inlineStr">
        <is>
          <t>Area abierta diafragma [m2]</t>
        </is>
      </c>
      <c r="C45" s="3" t="n">
        <v>27.03</v>
      </c>
    </row>
    <row r="46" ht="17.25" customHeight="1" s="33">
      <c r="B46" s="34" t="inlineStr">
        <is>
          <t>R = R0 x phi_a x phi_p x phi_r</t>
        </is>
      </c>
      <c r="C46" s="10">
        <f>C13*G32*G23*C36</f>
        <v>5</v>
      </c>
    </row>
    <row r="47" ht="57.95" customHeight="1" s="33">
      <c r="B47" s="39" t="inlineStr">
        <is>
          <t>CONCLUSION: estructura REGULAR en planta y altura. Torsion dmax/dprom = 1.02(X) y 1.01(Y) &lt; 1.20; masa 1.32 &lt; 1.50; rigidez creciente hacia la base; diafragma &lt; 50% area; retrocesos &lt; 15%. Por tanto phi_p = phi_a = phi_r = 1.0 y R = 5.0. Las solicitaciones sismicas de DISENO de los elementos = (analisis elastico)/R; las derivas se verifican con las fuerzas sin reducir (A.6).</t>
        </is>
      </c>
      <c r="C47" s="40" t="n"/>
      <c r="D47" s="40" t="n"/>
      <c r="E47" s="40" t="n"/>
      <c r="F47" s="40" t="n"/>
      <c r="G47" s="40" t="n"/>
      <c r="H47" s="40" t="n"/>
      <c r="I47" s="40" t="n"/>
      <c r="J47" s="41" t="n"/>
    </row>
    <row r="48">
      <c r="B48" s="42" t="n"/>
      <c r="C48" s="43" t="n"/>
      <c r="D48" s="43" t="n"/>
      <c r="E48" s="43" t="n"/>
      <c r="F48" s="43" t="n"/>
      <c r="G48" s="43" t="n"/>
      <c r="H48" s="43" t="n"/>
      <c r="I48" s="43" t="n"/>
      <c r="J48" s="44" t="n"/>
    </row>
    <row r="50" ht="31.5" customHeight="1" s="33">
      <c r="B50" s="1" t="inlineStr">
        <is>
          <t>Tabla auxiliar A - Rigidez de piso  ki = Vi/Di</t>
        </is>
      </c>
    </row>
    <row r="51">
      <c r="B51" s="6" t="inlineStr">
        <is>
          <t>Piso</t>
        </is>
      </c>
      <c r="C51" s="6" t="inlineStr">
        <is>
          <t>Fx [kN]</t>
        </is>
      </c>
      <c r="D51" s="6" t="inlineStr">
        <is>
          <t>Vi [kN]</t>
        </is>
      </c>
      <c r="E51" s="6" t="inlineStr">
        <is>
          <t>Di Sx [m]</t>
        </is>
      </c>
      <c r="F51" s="6" t="inlineStr">
        <is>
          <t>ki [kN/m]</t>
        </is>
      </c>
      <c r="G51" s="6" t="inlineStr">
        <is>
          <t>ki/ki+1</t>
        </is>
      </c>
    </row>
    <row r="52">
      <c r="B52" s="7" t="n">
        <v>1</v>
      </c>
      <c r="C52" s="7" t="n">
        <v>991.55</v>
      </c>
      <c r="D52" s="7">
        <f>SUM(C52:C56)</f>
        <v>15128.72</v>
      </c>
      <c r="E52" s="7" t="n">
        <v>0.022</v>
      </c>
      <c r="F52" s="7">
        <f>D52/E52</f>
        <v>687669.0909</v>
      </c>
      <c r="G52" s="7">
        <f>F52/F53</f>
        <v>1.410636191</v>
      </c>
    </row>
    <row r="53">
      <c r="B53" s="7" t="n">
        <v>2</v>
      </c>
      <c r="C53" s="7" t="n">
        <v>2477.8</v>
      </c>
      <c r="D53" s="7">
        <f>SUM(C53:C56)</f>
        <v>14137.17</v>
      </c>
      <c r="E53" s="7" t="n">
        <v>0.029</v>
      </c>
      <c r="F53" s="7">
        <f>D53/E53</f>
        <v>487488.6207</v>
      </c>
      <c r="G53" s="7">
        <f>F53/F54</f>
        <v>1.087083105</v>
      </c>
    </row>
    <row r="54">
      <c r="B54" s="7" t="n">
        <v>3</v>
      </c>
      <c r="C54" s="7" t="n">
        <v>3658.6</v>
      </c>
      <c r="D54" s="7">
        <f>SUM(C54:C56)</f>
        <v>11659.37</v>
      </c>
      <c r="E54" s="7" t="n">
        <v>0.026</v>
      </c>
      <c r="F54" s="7">
        <f>D54/E54</f>
        <v>448437.3077</v>
      </c>
      <c r="G54" s="7">
        <f>F54/F55</f>
        <v>1.064936106</v>
      </c>
    </row>
    <row r="55">
      <c r="B55" s="7" t="n">
        <v>4</v>
      </c>
      <c r="C55" s="7" t="n">
        <v>4849.66</v>
      </c>
      <c r="D55" s="7">
        <f>SUM(C55:C56)</f>
        <v>8000.77</v>
      </c>
      <c r="E55" s="7" t="n">
        <v>0.019</v>
      </c>
      <c r="F55" s="7">
        <f>D55/E55</f>
        <v>421093.1579</v>
      </c>
      <c r="G55" s="7">
        <f>F55/F56</f>
        <v>1.870865889</v>
      </c>
    </row>
    <row r="56">
      <c r="B56" s="7" t="n">
        <v>5</v>
      </c>
      <c r="C56" s="7" t="n">
        <v>3151.11</v>
      </c>
      <c r="D56" s="7">
        <f>SUM(C56:C56)</f>
        <v>3151.11</v>
      </c>
      <c r="E56" s="7" t="n">
        <v>0.014</v>
      </c>
      <c r="F56" s="7">
        <f>D56/E56</f>
        <v>225079.2857</v>
      </c>
      <c r="G56" s="7" t="inlineStr">
        <is>
          <t>-</t>
        </is>
      </c>
    </row>
    <row r="58" ht="15.75" customHeight="1" s="33">
      <c r="B58" s="1" t="inlineStr">
        <is>
          <t>Tabla auxiliar B - Masa por piso</t>
        </is>
      </c>
    </row>
    <row r="59">
      <c r="B59" s="6" t="inlineStr">
        <is>
          <t>Piso</t>
        </is>
      </c>
      <c r="C59" s="6" t="inlineStr">
        <is>
          <t>Peso mi [kN]</t>
        </is>
      </c>
      <c r="D59" s="6" t="inlineStr">
        <is>
          <t>mi/mi-1</t>
        </is>
      </c>
      <c r="E59" s="6" t="inlineStr">
        <is>
          <t>mi/mi+1</t>
        </is>
      </c>
      <c r="H59" s="6" t="inlineStr">
        <is>
          <t>max ratio</t>
        </is>
      </c>
    </row>
    <row r="60">
      <c r="B60" s="7" t="n">
        <v>1</v>
      </c>
      <c r="C60" s="7" t="n">
        <v>7257.69</v>
      </c>
      <c r="D60" s="7" t="inlineStr">
        <is>
          <t>-</t>
        </is>
      </c>
      <c r="E60" s="7">
        <f>C60/C61</f>
        <v>0.7556716842</v>
      </c>
      <c r="H60" s="7">
        <f>E60</f>
        <v>0.7556716842</v>
      </c>
    </row>
    <row r="61">
      <c r="B61" s="7" t="n">
        <v>2</v>
      </c>
      <c r="C61" s="7" t="n">
        <v>9604.290000000001</v>
      </c>
      <c r="D61" s="7">
        <f>C61/C60</f>
        <v>1.323326017</v>
      </c>
      <c r="E61" s="7">
        <f>C61/C62</f>
        <v>1</v>
      </c>
      <c r="H61" s="7">
        <f>MAX(D61,E61)</f>
        <v>1.323326017</v>
      </c>
    </row>
    <row r="62">
      <c r="B62" s="7" t="n">
        <v>3</v>
      </c>
      <c r="C62" s="7" t="n">
        <v>9604.290000000001</v>
      </c>
      <c r="D62" s="7">
        <f>C62/C61</f>
        <v>1</v>
      </c>
      <c r="E62" s="7">
        <f>C62/C63</f>
        <v>1</v>
      </c>
      <c r="H62" s="7">
        <f>MAX(D62,E62)</f>
        <v>1</v>
      </c>
    </row>
    <row r="63">
      <c r="B63" s="7" t="n">
        <v>4</v>
      </c>
      <c r="C63" s="7" t="n">
        <v>9604.290000000001</v>
      </c>
      <c r="D63" s="7">
        <f>C63/C62</f>
        <v>1</v>
      </c>
      <c r="E63" s="7" t="inlineStr">
        <is>
          <t>-</t>
        </is>
      </c>
      <c r="H63" s="7">
        <f>D63</f>
        <v>1</v>
      </c>
    </row>
    <row r="64">
      <c r="B64" s="7" t="inlineStr">
        <is>
          <t>Cubierta</t>
        </is>
      </c>
      <c r="C64" s="7" t="n">
        <v>5003.58</v>
      </c>
    </row>
    <row r="66" ht="31.5" customHeight="1" s="33">
      <c r="B66" s="1" t="inlineStr">
        <is>
          <t>Tabla auxiliar C - Torsion  A = dmax/dprom (valores reales del modelo)</t>
        </is>
      </c>
    </row>
    <row r="67">
      <c r="B67" s="6" t="inlineStr">
        <is>
          <t>Piso</t>
        </is>
      </c>
      <c r="C67" s="6" t="inlineStr">
        <is>
          <t>dmax Sx</t>
        </is>
      </c>
      <c r="D67" s="6" t="inlineStr">
        <is>
          <t>dmin Sx</t>
        </is>
      </c>
      <c r="E67" s="6" t="inlineStr">
        <is>
          <t>Ax</t>
        </is>
      </c>
      <c r="F67" s="6" t="inlineStr">
        <is>
          <t>dmax Sy</t>
        </is>
      </c>
      <c r="G67" s="6" t="inlineStr">
        <is>
          <t>dmin Sy</t>
        </is>
      </c>
      <c r="H67" s="6" t="inlineStr">
        <is>
          <t>Ay</t>
        </is>
      </c>
    </row>
    <row r="68">
      <c r="B68" s="7" t="n">
        <v>1</v>
      </c>
      <c r="C68" s="7" t="n">
        <v>0.0241</v>
      </c>
      <c r="D68" s="7" t="n">
        <v>0.02299</v>
      </c>
      <c r="E68" s="7">
        <f>C68/((C68+D68)/2)</f>
        <v>1.023571884</v>
      </c>
      <c r="F68" s="7" t="n">
        <v>0.02097</v>
      </c>
      <c r="G68" s="7" t="n">
        <v>0.02042</v>
      </c>
      <c r="H68" s="7">
        <f>F68/((F68+G68)/2)</f>
        <v>1.013288234</v>
      </c>
    </row>
    <row r="69">
      <c r="B69" s="7" t="n">
        <v>2</v>
      </c>
      <c r="C69" s="7" t="n">
        <v>0.05468</v>
      </c>
      <c r="D69" s="7" t="n">
        <v>0.05224</v>
      </c>
      <c r="E69" s="7">
        <f>C69/((C69+D69)/2)</f>
        <v>1.022820801</v>
      </c>
      <c r="F69" s="7" t="n">
        <v>0.04338</v>
      </c>
      <c r="G69" s="7" t="n">
        <v>0.04217</v>
      </c>
      <c r="H69" s="7">
        <f>F69/((F69+G69)/2)</f>
        <v>1.014143776</v>
      </c>
    </row>
    <row r="70">
      <c r="B70" s="7" t="n">
        <v>3</v>
      </c>
      <c r="C70" s="7" t="n">
        <v>0.08198</v>
      </c>
      <c r="D70" s="7" t="n">
        <v>0.0784</v>
      </c>
      <c r="E70" s="7">
        <f>C70/((C70+D70)/2)</f>
        <v>1.022321985</v>
      </c>
      <c r="F70" s="7" t="n">
        <v>0.0625</v>
      </c>
      <c r="G70" s="7" t="n">
        <v>0.06073</v>
      </c>
      <c r="H70" s="7">
        <f>F70/((F70+G70)/2)</f>
        <v>1.014363386</v>
      </c>
    </row>
    <row r="71">
      <c r="B71" s="7" t="n">
        <v>4</v>
      </c>
      <c r="C71" s="7" t="n">
        <v>0.1017</v>
      </c>
      <c r="D71" s="7" t="n">
        <v>0.09732</v>
      </c>
      <c r="E71" s="7">
        <f>C71/((C71+D71)/2)</f>
        <v>1.022007838</v>
      </c>
      <c r="F71" s="7" t="n">
        <v>0.07592</v>
      </c>
      <c r="G71" s="7" t="n">
        <v>0.07375</v>
      </c>
      <c r="H71" s="7">
        <f>F71/((F71+G71)/2)</f>
        <v>1.014498564</v>
      </c>
    </row>
    <row r="72">
      <c r="B72" s="7" t="n">
        <v>5</v>
      </c>
      <c r="C72" s="7" t="n">
        <v>0.11288</v>
      </c>
      <c r="D72" s="7" t="n">
        <v>0.10807</v>
      </c>
      <c r="E72" s="7">
        <f>C72/((C72+D72)/2)</f>
        <v>1.021769631</v>
      </c>
      <c r="F72" s="7" t="n">
        <v>0.08278000000000001</v>
      </c>
      <c r="G72" s="7" t="n">
        <v>0.08041</v>
      </c>
      <c r="H72" s="7">
        <f>F72/((F72+G72)/2)</f>
        <v>1.014522949</v>
      </c>
    </row>
  </sheetData>
  <mergeCells count="3">
    <mergeCell ref="B47:J48"/>
    <mergeCell ref="B5:J8"/>
    <mergeCell ref="B2:J2"/>
  </mergeCells>
  <printOptions horizontalCentered="1"/>
  <pageMargins left="0.4" right="0.4" top="0.7" bottom="0.7" header="0.3" footer="0.3"/>
  <pageSetup orientation="landscape" fitToHeight="0"/>
  <headerFooter>
    <oddHeader>&amp;L&amp;"Aptos Narrow"&amp;8 EDIFICIO RESIDENCIAL SANTA MARTA&amp;R&amp;"Aptos Narrow"&amp;8 SSS Construcciones y Consultorias SAS</oddHeader>
    <oddFooter>&amp;C&amp;8 Pagina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pane xSplit="6" ySplit="13" topLeftCell="G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33" min="1" max="1"/>
    <col width="9" customWidth="1" style="33" min="2" max="2"/>
    <col width="11" customWidth="1" style="33" min="3" max="3"/>
    <col width="7" customWidth="1" style="33" min="4" max="4"/>
    <col width="6" customWidth="1" style="33" min="5" max="5"/>
    <col width="6" customWidth="1" style="33" min="6" max="6"/>
    <col width="11" customWidth="1" style="33" min="7" max="7"/>
    <col width="11" customWidth="1" style="33" min="8" max="8"/>
    <col width="11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  <col width="11" customWidth="1" style="33" min="21" max="21"/>
    <col width="11" customWidth="1" style="33" min="22" max="22"/>
    <col width="11" customWidth="1" style="33" min="23" max="23"/>
    <col width="11" customWidth="1" style="33" min="24" max="24"/>
    <col width="11" customWidth="1" style="33" min="25" max="25"/>
    <col width="11" customWidth="1" style="33" min="26" max="26"/>
    <col width="11" customWidth="1" style="33" min="27" max="27"/>
    <col width="11" customWidth="1" style="33" min="28" max="28"/>
    <col width="11" customWidth="1" style="33" min="29" max="29"/>
    <col width="11" customWidth="1" style="33" min="30" max="30"/>
    <col width="11" customWidth="1" style="33" min="31" max="31"/>
    <col width="11" customWidth="1" style="33" min="32" max="32"/>
    <col width="11" customWidth="1" style="33" min="33" max="33"/>
    <col width="11" customWidth="1" style="33" min="34" max="34"/>
    <col width="11" customWidth="1" style="33" min="35" max="35"/>
    <col width="11" customWidth="1" style="33" min="36" max="36"/>
    <col width="11" customWidth="1" style="33" min="37" max="37"/>
    <col width="11" customWidth="1" style="33" min="38" max="38"/>
    <col width="11" customWidth="1" style="33" min="39" max="39"/>
    <col width="11" customWidth="1" style="33" min="40" max="40"/>
    <col width="11" customWidth="1" style="33" min="41" max="41"/>
  </cols>
  <sheetData>
    <row r="1">
      <c r="A1" s="69" t="inlineStr">
        <is>
          <t>DISENO DE VIGAS DE CARGA  VC 0.30x0.40</t>
        </is>
      </c>
    </row>
    <row r="2">
      <c r="A2" s="70" t="inlineStr">
        <is>
          <t>Agrupadas por longitud (9 grupos), diseno con la mayor solicitacion de la envolvente. d, As, estribos, capacidad y torsion con formulas.</t>
        </is>
      </c>
    </row>
    <row r="3">
      <c r="A3" s="71" t="inlineStr">
        <is>
          <t>Criterio de agrupacion: se agrupan las vigas con la MISMA longitud total; cada grupo se disena con su MAYOR solicitacion (envolvente de todas las condiciones de apoyo). Celdas azules = ENTRADA (envolvente del modelo SAP). El resto se calcula solo.</t>
        </is>
      </c>
    </row>
    <row r="4">
      <c r="A4" s="67" t="inlineStr">
        <is>
          <t>DATOS COMUNES (editables)</t>
        </is>
      </c>
    </row>
    <row r="5">
      <c r="A5" s="67" t="inlineStr">
        <is>
          <t>f'c [MPa]</t>
        </is>
      </c>
      <c r="B5" s="72" t="n">
        <v>28</v>
      </c>
    </row>
    <row r="6">
      <c r="A6" s="67" t="inlineStr">
        <is>
          <t>fy [MPa]</t>
        </is>
      </c>
      <c r="B6" s="72" t="n">
        <v>420</v>
      </c>
    </row>
    <row r="7">
      <c r="A7" s="67" t="inlineStr">
        <is>
          <t>recub [mm]</t>
        </is>
      </c>
      <c r="B7" s="72" t="n">
        <v>40</v>
      </c>
    </row>
    <row r="8">
      <c r="A8" s="67" t="inlineStr">
        <is>
          <t>db long #5 [mm]</t>
        </is>
      </c>
      <c r="B8" s="72" t="n">
        <v>15.9</v>
      </c>
    </row>
    <row r="9">
      <c r="A9" s="67" t="inlineStr">
        <is>
          <t>Ab #5 [mm2]</t>
        </is>
      </c>
      <c r="B9" s="72" t="n">
        <v>199</v>
      </c>
    </row>
    <row r="10">
      <c r="A10" s="67" t="inlineStr">
        <is>
          <t>db estribo #3 [mm]</t>
        </is>
      </c>
      <c r="B10" s="72" t="n">
        <v>9.5</v>
      </c>
    </row>
    <row r="11">
      <c r="A11" s="67" t="inlineStr">
        <is>
          <t>Av 2 ramas #3 [mm2]</t>
        </is>
      </c>
      <c r="B11" s="72" t="n">
        <v>142</v>
      </c>
    </row>
    <row r="12">
      <c r="A12" s="73" t="inlineStr">
        <is>
          <t>IDENTIFICACION</t>
        </is>
      </c>
      <c r="E12" s="73" t="inlineStr">
        <is>
          <t>GEOMETRIA</t>
        </is>
      </c>
      <c r="G12" s="73" t="inlineStr">
        <is>
          <t>SOLICITACIONES (envolvente SAP, sismo/R=5)</t>
        </is>
      </c>
      <c r="K12" s="73" t="inlineStr">
        <is>
          <t>FLEXION NEGATIVA (acero superior)</t>
        </is>
      </c>
      <c r="V12" s="73" t="inlineStr">
        <is>
          <t>FLEXION POSITIVA (acero inferior)</t>
        </is>
      </c>
      <c r="AD12" s="73" t="inlineStr">
        <is>
          <t>CORTANTE (phi=0.75)</t>
        </is>
      </c>
      <c r="AI12" s="73" t="inlineStr">
        <is>
          <t>TORSION (phi=0.75)</t>
        </is>
      </c>
      <c r="AL12" s="73" t="inlineStr">
        <is>
          <t>CORTANTE POR CAPACIDAD (DMO)</t>
        </is>
      </c>
    </row>
    <row r="13">
      <c r="A13" s="74" t="inlineStr">
        <is>
          <t>Grupo</t>
        </is>
      </c>
      <c r="B13" s="74" t="inlineStr">
        <is>
          <t>L = Ln [m]</t>
        </is>
      </c>
      <c r="C13" s="74" t="inlineStr">
        <is>
          <t>Cond. apoyo</t>
        </is>
      </c>
      <c r="D13" s="74" t="inlineStr">
        <is>
          <t>N vigas</t>
        </is>
      </c>
      <c r="E13" s="74" t="inlineStr">
        <is>
          <t>b [m]</t>
        </is>
      </c>
      <c r="F13" s="74" t="inlineStr">
        <is>
          <t>h [m]</t>
        </is>
      </c>
      <c r="G13" s="74" t="inlineStr">
        <is>
          <t>Mu- [kN.m]</t>
        </is>
      </c>
      <c r="H13" s="74" t="inlineStr">
        <is>
          <t>Mu+ [kN.m]</t>
        </is>
      </c>
      <c r="I13" s="74" t="inlineStr">
        <is>
          <t>Vu [kN]</t>
        </is>
      </c>
      <c r="J13" s="74" t="inlineStr">
        <is>
          <t>Tu [kN.m]</t>
        </is>
      </c>
      <c r="K13" s="74" t="inlineStr">
        <is>
          <t>d [mm]</t>
        </is>
      </c>
      <c r="L13" s="74" t="inlineStr">
        <is>
          <t>Rn-</t>
        </is>
      </c>
      <c r="M13" s="74" t="inlineStr">
        <is>
          <t>rho-</t>
        </is>
      </c>
      <c r="N13" s="74" t="inlineStr">
        <is>
          <t>As- req [mm2]</t>
        </is>
      </c>
      <c r="O13" s="74" t="inlineStr">
        <is>
          <t>As min [mm2]</t>
        </is>
      </c>
      <c r="P13" s="74" t="inlineStr">
        <is>
          <t>As- dise [mm2]</t>
        </is>
      </c>
      <c r="Q13" s="74" t="inlineStr">
        <is>
          <t>N #5 sup</t>
        </is>
      </c>
      <c r="R13" s="74" t="inlineStr">
        <is>
          <t>As- coloc [mm2]</t>
        </is>
      </c>
      <c r="S13" s="74" t="inlineStr">
        <is>
          <t>a- [mm]</t>
        </is>
      </c>
      <c r="T13" s="74" t="inlineStr">
        <is>
          <t>phiMn- [kN.m]</t>
        </is>
      </c>
      <c r="U13" s="74" t="inlineStr">
        <is>
          <t>Check -</t>
        </is>
      </c>
      <c r="V13" s="74" t="inlineStr">
        <is>
          <t>Rn+</t>
        </is>
      </c>
      <c r="W13" s="74" t="inlineStr">
        <is>
          <t>rho+</t>
        </is>
      </c>
      <c r="X13" s="74" t="inlineStr">
        <is>
          <t>As+ req [mm2]</t>
        </is>
      </c>
      <c r="Y13" s="74" t="inlineStr">
        <is>
          <t>As+ dise [mm2]</t>
        </is>
      </c>
      <c r="Z13" s="74" t="inlineStr">
        <is>
          <t>N #5 inf</t>
        </is>
      </c>
      <c r="AA13" s="74" t="inlineStr">
        <is>
          <t>As+ coloc [mm2]</t>
        </is>
      </c>
      <c r="AB13" s="74" t="inlineStr">
        <is>
          <t>phiMn+ [kN.m]</t>
        </is>
      </c>
      <c r="AC13" s="74" t="inlineStr">
        <is>
          <t>Check +</t>
        </is>
      </c>
      <c r="AD13" s="74" t="inlineStr">
        <is>
          <t>Vc [kN]</t>
        </is>
      </c>
      <c r="AE13" s="74" t="inlineStr">
        <is>
          <t>Vs req [kN]</t>
        </is>
      </c>
      <c r="AF13" s="74" t="inlineStr">
        <is>
          <t>s estribo #3 [mm]</t>
        </is>
      </c>
      <c r="AG13" s="74" t="inlineStr">
        <is>
          <t>Vs max [kN]</t>
        </is>
      </c>
      <c r="AH13" s="74" t="inlineStr">
        <is>
          <t>Check cortante</t>
        </is>
      </c>
      <c r="AI13" s="74" t="inlineStr">
        <is>
          <t>T umbral [kN.m]</t>
        </is>
      </c>
      <c r="AJ13" s="74" t="inlineStr">
        <is>
          <t>Requiere torsion?</t>
        </is>
      </c>
      <c r="AK13" s="74" t="inlineStr">
        <is>
          <t>At/s [mm2/mm]</t>
        </is>
      </c>
      <c r="AL13" s="74" t="inlineStr">
        <is>
          <t>Mpr- [kN.m]</t>
        </is>
      </c>
      <c r="AM13" s="74" t="inlineStr">
        <is>
          <t>Mpr+ [kN.m]</t>
        </is>
      </c>
      <c r="AN13" s="74" t="inlineStr">
        <is>
          <t>Ve [kN]</t>
        </is>
      </c>
      <c r="AO13" s="74" t="inlineStr">
        <is>
          <t>V diseno [kN]</t>
        </is>
      </c>
    </row>
    <row r="14">
      <c r="A14" s="72" t="inlineStr">
        <is>
          <t>VC-1</t>
        </is>
      </c>
      <c r="B14" s="75" t="n">
        <v>2.5</v>
      </c>
      <c r="C14" s="76" t="inlineStr">
        <is>
          <t>Todos</t>
        </is>
      </c>
      <c r="D14" s="77" t="n">
        <v>70</v>
      </c>
      <c r="E14" s="75" t="n">
        <v>0.3</v>
      </c>
      <c r="F14" s="75" t="n">
        <v>0.4</v>
      </c>
      <c r="G14" s="78" t="n">
        <v>117.9</v>
      </c>
      <c r="H14" s="78" t="n">
        <v>106.4</v>
      </c>
      <c r="I14" s="78" t="n">
        <v>96.90000000000001</v>
      </c>
      <c r="J14" s="78" t="n">
        <v>1.7</v>
      </c>
      <c r="K14" s="79">
        <f>F14*1000-$B$7-$B$10-$B$8/2</f>
        <v>342.55</v>
      </c>
      <c r="L14" s="80">
        <f>G14*1000000/(0.9*(E14*1000)*K14^2)</f>
        <v>3.721363531</v>
      </c>
      <c r="M14" s="81">
        <f>(0.85*$B$5/$B$6)*(1-SQRT(1-2*L14/(0.85*$B$5)))</f>
        <v>0.009688654252</v>
      </c>
      <c r="N14" s="82">
        <f>M14*(E14*1000)*K14</f>
        <v>995.6545542</v>
      </c>
      <c r="O14" s="82">
        <f>MAX(0.25*SQRT($B$5)/$B$6,1.4/$B$6)*(E14*1000)*K14</f>
        <v>342.55</v>
      </c>
      <c r="P14" s="82">
        <f>MAX(N14,O14)</f>
        <v>995.6545542</v>
      </c>
      <c r="Q14" s="83">
        <f>ROUNDUP(P14/$B$9,0)</f>
        <v>6</v>
      </c>
      <c r="R14" s="82">
        <f>Q14*$B$9</f>
        <v>1194</v>
      </c>
      <c r="S14" s="79">
        <f>R14*$B$6/(0.85*$B$5*(E14*1000))</f>
        <v>70.23529412</v>
      </c>
      <c r="T14" s="79">
        <f>0.9*R14*$B$6*(K14-S14/2)/1000000</f>
        <v>138.7540587</v>
      </c>
      <c r="U14" s="84" t="str">
        <f>IF(AND(T14&gt;=G14,P14&lt;=0.025*(E14*1000)*K14,P14&gt;=O14),"CUMPLE","REVISAR")</f>
        <v>CUMPLE</v>
      </c>
      <c r="V14" s="80">
        <f>H14*1000000/(0.9*(E14*1000)*K14^2)</f>
        <v>3.358380659</v>
      </c>
      <c r="W14" s="81">
        <f>(0.85*$B$5/$B$6)*(1-SQRT(1-2*V14/(0.85*$B$5)))</f>
        <v>0.008657486195</v>
      </c>
      <c r="X14" s="82">
        <f>W14*(E14*1000)*K14</f>
        <v>889.6865688</v>
      </c>
      <c r="Y14" s="82">
        <f>MAX(X14,O14)</f>
        <v>889.6865688</v>
      </c>
      <c r="Z14" s="83">
        <f>ROUNDUP(Y14/$B$9,0)</f>
        <v>5</v>
      </c>
      <c r="AA14" s="82">
        <f>Z14*$B$9</f>
        <v>995</v>
      </c>
      <c r="AB14" s="79">
        <f>0.9*AA14*$B$6*(K14-(AA14*$B$6/(0.85*$B$5*(E14*1000)))/2)/1000000</f>
        <v>117.829732</v>
      </c>
      <c r="AC14" s="84" t="str">
        <f>IF(AB14&gt;=H14,"CUMPLE","REVISAR")</f>
        <v>CUMPLE</v>
      </c>
      <c r="AD14" s="79">
        <f>0.17*SQRT($B$5)*(E14*1000)*K14/1000</f>
        <v>92.44281538</v>
      </c>
      <c r="AE14" s="79">
        <f>MAX(I14/0.75-AD14,0)</f>
        <v>36.75718462</v>
      </c>
      <c r="AF14" s="83">
        <f>IF(AE14&gt;0,MIN($B$11*$B$6*K14/(AE14*1000),MIN(K14/4,6*$B$8,150)),MIN(K14/4,6*$B$8,150))</f>
        <v>85.6375</v>
      </c>
      <c r="AG14" s="79">
        <f>0.66*SQRT($B$5)*(E14*1000)*K14/1000</f>
        <v>358.8956362</v>
      </c>
      <c r="AH14" s="84" t="str">
        <f>IF(AE14&lt;=AG14,"CUMPLE","AUMENTAR SECCION")</f>
        <v>CUMPLE</v>
      </c>
      <c r="AI14" s="79">
        <f>0.75*0.083*SQRT($B$5)*(((E14*1000)*(F14*1000))^2/(2*((E14*1000)+(F14*1000))))/1000000</f>
        <v>3.388073536</v>
      </c>
      <c r="AJ14" s="85" t="str">
        <f>IF(J14&gt;AI14,"SI - disenar","No - despreciable")</f>
        <v>No - despreciable</v>
      </c>
      <c r="AK14" s="80">
        <f>IF(J14&gt;AI14,J14*1000000/(0.75*2*0.85*((E14*1000-2*$B$7)*(F14*1000-2*$B$7))*$B$6),0)</f>
        <v>0</v>
      </c>
      <c r="AL14" s="79">
        <f>1.25*R14*$B$6*(K14-(1.25*R14*$B$6/(0.85*$B$5*(E14*1000)))/2)/1000000</f>
        <v>187.2105962</v>
      </c>
      <c r="AM14" s="79">
        <f>1.25*AA14*$B$6*(K14-(1.25*AA14*$B$6/(0.85*$B$5*(E14*1000)))/2)/1000000</f>
        <v>159.8306178</v>
      </c>
      <c r="AN14" s="79">
        <f>(AL14+AM14)/B14</f>
        <v>138.8164856</v>
      </c>
      <c r="AO14" s="79">
        <f>MAX(I14,AN14)</f>
        <v>138.8164856</v>
      </c>
    </row>
    <row r="15">
      <c r="A15" s="72" t="inlineStr">
        <is>
          <t>VC-2</t>
        </is>
      </c>
      <c r="B15" s="75" t="n">
        <v>2.6</v>
      </c>
      <c r="C15" s="76" t="inlineStr">
        <is>
          <t>Todos</t>
        </is>
      </c>
      <c r="D15" s="77" t="n">
        <v>110</v>
      </c>
      <c r="E15" s="75" t="n">
        <v>0.3</v>
      </c>
      <c r="F15" s="75" t="n">
        <v>0.4</v>
      </c>
      <c r="G15" s="78" t="n">
        <v>112.6</v>
      </c>
      <c r="H15" s="78" t="n">
        <v>103.3</v>
      </c>
      <c r="I15" s="78" t="n">
        <v>91.7</v>
      </c>
      <c r="J15" s="78" t="n">
        <v>6</v>
      </c>
      <c r="K15" s="79">
        <f>F15*1000-$B$7-$B$10-$B$8/2</f>
        <v>342.55</v>
      </c>
      <c r="L15" s="80">
        <f>G15*1000000/(0.9*(E15*1000)*K15^2)</f>
        <v>3.554075772</v>
      </c>
      <c r="M15" s="81">
        <f>(0.85*$B$5/$B$6)*(1-SQRT(1-2*L15/(0.85*$B$5)))</f>
        <v>0.00921063658</v>
      </c>
      <c r="N15" s="82">
        <f>M15*(E15*1000)*K15</f>
        <v>946.5310681</v>
      </c>
      <c r="O15" s="82">
        <f>MAX(0.25*SQRT($B$5)/$B$6,1.4/$B$6)*(E15*1000)*K15</f>
        <v>342.55</v>
      </c>
      <c r="P15" s="82">
        <f>MAX(N15,O15)</f>
        <v>946.5310681</v>
      </c>
      <c r="Q15" s="83">
        <f>ROUNDUP(P15/$B$9,0)</f>
        <v>5</v>
      </c>
      <c r="R15" s="82">
        <f>Q15*$B$9</f>
        <v>995</v>
      </c>
      <c r="S15" s="79">
        <f>R15*$B$6/(0.85*$B$5*(E15*1000))</f>
        <v>58.52941176</v>
      </c>
      <c r="T15" s="79">
        <f>0.9*R15*$B$6*(K15-S15/2)/1000000</f>
        <v>117.829732</v>
      </c>
      <c r="U15" s="84" t="str">
        <f>IF(AND(T15&gt;=G15,P15&lt;=0.025*(E15*1000)*K15,P15&gt;=O15),"CUMPLE","REVISAR")</f>
        <v>CUMPLE</v>
      </c>
      <c r="V15" s="80">
        <f>H15*1000000/(0.9*(E15*1000)*K15^2)</f>
        <v>3.260533102</v>
      </c>
      <c r="W15" s="81">
        <f>(0.85*$B$5/$B$6)*(1-SQRT(1-2*V15/(0.85*$B$5)))</f>
        <v>0.008383287347</v>
      </c>
      <c r="X15" s="82">
        <f>W15*(E15*1000)*K15</f>
        <v>861.5085242</v>
      </c>
      <c r="Y15" s="82">
        <f>MAX(X15,O15)</f>
        <v>861.5085242</v>
      </c>
      <c r="Z15" s="83">
        <f>ROUNDUP(Y15/$B$9,0)</f>
        <v>5</v>
      </c>
      <c r="AA15" s="82">
        <f>Z15*$B$9</f>
        <v>995</v>
      </c>
      <c r="AB15" s="79">
        <f>0.9*AA15*$B$6*(K15-(AA15*$B$6/(0.85*$B$5*(E15*1000)))/2)/1000000</f>
        <v>117.829732</v>
      </c>
      <c r="AC15" s="84" t="str">
        <f>IF(AB15&gt;=H15,"CUMPLE","REVISAR")</f>
        <v>CUMPLE</v>
      </c>
      <c r="AD15" s="79">
        <f>0.17*SQRT($B$5)*(E15*1000)*K15/1000</f>
        <v>92.44281538</v>
      </c>
      <c r="AE15" s="79">
        <f>MAX(I15/0.75-AD15,0)</f>
        <v>29.82385128</v>
      </c>
      <c r="AF15" s="83">
        <f>IF(AE15&gt;0,MIN($B$11*$B$6*K15/(AE15*1000),MIN(K15/4,6*$B$8,150)),MIN(K15/4,6*$B$8,150))</f>
        <v>85.6375</v>
      </c>
      <c r="AG15" s="79">
        <f>0.66*SQRT($B$5)*(E15*1000)*K15/1000</f>
        <v>358.8956362</v>
      </c>
      <c r="AH15" s="84" t="str">
        <f>IF(AE15&lt;=AG15,"CUMPLE","AUMENTAR SECCION")</f>
        <v>CUMPLE</v>
      </c>
      <c r="AI15" s="79">
        <f>0.75*0.083*SQRT($B$5)*(((E15*1000)*(F15*1000))^2/(2*((E15*1000)+(F15*1000))))/1000000</f>
        <v>3.388073536</v>
      </c>
      <c r="AJ15" s="85" t="str">
        <f>IF(J15&gt;AI15,"SI - disenar","No - despreciable")</f>
        <v>SI - disenar</v>
      </c>
      <c r="AK15" s="80">
        <f>IF(J15&gt;AI15,J15*1000000/(0.75*2*0.85*((E15*1000-2*$B$7)*(F15*1000-2*$B$7))*$B$6),0)</f>
        <v>0.1591545709</v>
      </c>
      <c r="AL15" s="79">
        <f>1.25*R15*$B$6*(K15-(1.25*R15*$B$6/(0.85*$B$5*(E15*1000)))/2)/1000000</f>
        <v>159.8306178</v>
      </c>
      <c r="AM15" s="79">
        <f>1.25*AA15*$B$6*(K15-(1.25*AA15*$B$6/(0.85*$B$5*(E15*1000)))/2)/1000000</f>
        <v>159.8306178</v>
      </c>
      <c r="AN15" s="79">
        <f>(AL15+AM15)/B15</f>
        <v>122.9466291</v>
      </c>
      <c r="AO15" s="79">
        <f>MAX(I15,AN15)</f>
        <v>122.9466291</v>
      </c>
    </row>
    <row r="16">
      <c r="A16" s="72" t="inlineStr">
        <is>
          <t>VC-3</t>
        </is>
      </c>
      <c r="B16" s="75" t="n">
        <v>2.65</v>
      </c>
      <c r="C16" s="76" t="inlineStr">
        <is>
          <t>Todos</t>
        </is>
      </c>
      <c r="D16" s="77" t="n">
        <v>20</v>
      </c>
      <c r="E16" s="75" t="n">
        <v>0.3</v>
      </c>
      <c r="F16" s="75" t="n">
        <v>0.4</v>
      </c>
      <c r="G16" s="78" t="n">
        <v>107.9</v>
      </c>
      <c r="H16" s="78" t="n">
        <v>104.9</v>
      </c>
      <c r="I16" s="78" t="n">
        <v>76</v>
      </c>
      <c r="J16" s="78" t="n">
        <v>6</v>
      </c>
      <c r="K16" s="79">
        <f>F16*1000-$B$7-$B$10-$B$8/2</f>
        <v>342.55</v>
      </c>
      <c r="L16" s="80">
        <f>G16*1000000/(0.9*(E16*1000)*K16^2)</f>
        <v>3.405726251</v>
      </c>
      <c r="M16" s="81">
        <f>(0.85*$B$5/$B$6)*(1-SQRT(1-2*L16/(0.85*$B$5)))</f>
        <v>0.008790726834</v>
      </c>
      <c r="N16" s="82">
        <f>M16*(E16*1000)*K16</f>
        <v>903.3790431</v>
      </c>
      <c r="O16" s="82">
        <f>MAX(0.25*SQRT($B$5)/$B$6,1.4/$B$6)*(E16*1000)*K16</f>
        <v>342.55</v>
      </c>
      <c r="P16" s="82">
        <f>MAX(N16,O16)</f>
        <v>903.3790431</v>
      </c>
      <c r="Q16" s="83">
        <f>ROUNDUP(P16/$B$9,0)</f>
        <v>5</v>
      </c>
      <c r="R16" s="82">
        <f>Q16*$B$9</f>
        <v>995</v>
      </c>
      <c r="S16" s="79">
        <f>R16*$B$6/(0.85*$B$5*(E16*1000))</f>
        <v>58.52941176</v>
      </c>
      <c r="T16" s="79">
        <f>0.9*R16*$B$6*(K16-S16/2)/1000000</f>
        <v>117.829732</v>
      </c>
      <c r="U16" s="84" t="str">
        <f>IF(AND(T16&gt;=G16,P16&lt;=0.025*(E16*1000)*K16,P16&gt;=O16),"CUMPLE","REVISAR")</f>
        <v>CUMPLE</v>
      </c>
      <c r="V16" s="80">
        <f>H16*1000000/(0.9*(E16*1000)*K16^2)</f>
        <v>3.311035067</v>
      </c>
      <c r="W16" s="81">
        <f>(0.85*$B$5/$B$6)*(1-SQRT(1-2*V16/(0.85*$B$5)))</f>
        <v>0.008524614319</v>
      </c>
      <c r="X16" s="82">
        <f>W16*(E16*1000)*K16</f>
        <v>876.0319905</v>
      </c>
      <c r="Y16" s="82">
        <f>MAX(X16,O16)</f>
        <v>876.0319905</v>
      </c>
      <c r="Z16" s="83">
        <f>ROUNDUP(Y16/$B$9,0)</f>
        <v>5</v>
      </c>
      <c r="AA16" s="82">
        <f>Z16*$B$9</f>
        <v>995</v>
      </c>
      <c r="AB16" s="79">
        <f>0.9*AA16*$B$6*(K16-(AA16*$B$6/(0.85*$B$5*(E16*1000)))/2)/1000000</f>
        <v>117.829732</v>
      </c>
      <c r="AC16" s="84" t="str">
        <f>IF(AB16&gt;=H16,"CUMPLE","REVISAR")</f>
        <v>CUMPLE</v>
      </c>
      <c r="AD16" s="79">
        <f>0.17*SQRT($B$5)*(E16*1000)*K16/1000</f>
        <v>92.44281538</v>
      </c>
      <c r="AE16" s="79">
        <f>MAX(I16/0.75-AD16,0)</f>
        <v>8.89051795</v>
      </c>
      <c r="AF16" s="83">
        <f>IF(AE16&gt;0,MIN($B$11*$B$6*K16/(AE16*1000),MIN(K16/4,6*$B$8,150)),MIN(K16/4,6*$B$8,150))</f>
        <v>85.6375</v>
      </c>
      <c r="AG16" s="79">
        <f>0.66*SQRT($B$5)*(E16*1000)*K16/1000</f>
        <v>358.8956362</v>
      </c>
      <c r="AH16" s="84" t="str">
        <f>IF(AE16&lt;=AG16,"CUMPLE","AUMENTAR SECCION")</f>
        <v>CUMPLE</v>
      </c>
      <c r="AI16" s="79">
        <f>0.75*0.083*SQRT($B$5)*(((E16*1000)*(F16*1000))^2/(2*((E16*1000)+(F16*1000))))/1000000</f>
        <v>3.388073536</v>
      </c>
      <c r="AJ16" s="85" t="str">
        <f>IF(J16&gt;AI16,"SI - disenar","No - despreciable")</f>
        <v>SI - disenar</v>
      </c>
      <c r="AK16" s="80">
        <f>IF(J16&gt;AI16,J16*1000000/(0.75*2*0.85*((E16*1000-2*$B$7)*(F16*1000-2*$B$7))*$B$6),0)</f>
        <v>0.1591545709</v>
      </c>
      <c r="AL16" s="79">
        <f>1.25*R16*$B$6*(K16-(1.25*R16*$B$6/(0.85*$B$5*(E16*1000)))/2)/1000000</f>
        <v>159.8306178</v>
      </c>
      <c r="AM16" s="79">
        <f>1.25*AA16*$B$6*(K16-(1.25*AA16*$B$6/(0.85*$B$5*(E16*1000)))/2)/1000000</f>
        <v>159.8306178</v>
      </c>
      <c r="AN16" s="79">
        <f>(AL16+AM16)/B16</f>
        <v>120.6268814</v>
      </c>
      <c r="AO16" s="79">
        <f>MAX(I16,AN16)</f>
        <v>120.6268814</v>
      </c>
    </row>
    <row r="17">
      <c r="A17" s="72" t="inlineStr">
        <is>
          <t>VC-4</t>
        </is>
      </c>
      <c r="B17" s="75" t="n">
        <v>3.75</v>
      </c>
      <c r="C17" s="76" t="inlineStr">
        <is>
          <t>Todos</t>
        </is>
      </c>
      <c r="D17" s="77" t="n">
        <v>40</v>
      </c>
      <c r="E17" s="75" t="n">
        <v>0.3</v>
      </c>
      <c r="F17" s="75" t="n">
        <v>0.4</v>
      </c>
      <c r="G17" s="78" t="n">
        <v>95</v>
      </c>
      <c r="H17" s="78" t="n">
        <v>91.09999999999999</v>
      </c>
      <c r="I17" s="78" t="n">
        <v>52.2</v>
      </c>
      <c r="J17" s="78" t="n">
        <v>1.5</v>
      </c>
      <c r="K17" s="79">
        <f>F17*1000-$B$7-$B$10-$B$8/2</f>
        <v>342.55</v>
      </c>
      <c r="L17" s="80">
        <f>G17*1000000/(0.9*(E17*1000)*K17^2)</f>
        <v>2.99855416</v>
      </c>
      <c r="M17" s="81">
        <f>(0.85*$B$5/$B$6)*(1-SQRT(1-2*L17/(0.85*$B$5)))</f>
        <v>0.007656693712</v>
      </c>
      <c r="N17" s="82">
        <f>M17*(E17*1000)*K17</f>
        <v>786.8401293</v>
      </c>
      <c r="O17" s="82">
        <f>MAX(0.25*SQRT($B$5)/$B$6,1.4/$B$6)*(E17*1000)*K17</f>
        <v>342.55</v>
      </c>
      <c r="P17" s="82">
        <f>MAX(N17,O17)</f>
        <v>786.8401293</v>
      </c>
      <c r="Q17" s="83">
        <f>ROUNDUP(P17/$B$9,0)</f>
        <v>4</v>
      </c>
      <c r="R17" s="82">
        <f>Q17*$B$9</f>
        <v>796</v>
      </c>
      <c r="S17" s="79">
        <f>R17*$B$6/(0.85*$B$5*(E17*1000))</f>
        <v>46.82352941</v>
      </c>
      <c r="T17" s="79">
        <f>0.9*R17*$B$6*(K17-S17/2)/1000000</f>
        <v>96.02486534</v>
      </c>
      <c r="U17" s="84" t="str">
        <f>IF(AND(T17&gt;=G17,P17&lt;=0.025*(E17*1000)*K17,P17&gt;=O17),"CUMPLE","REVISAR")</f>
        <v>CUMPLE</v>
      </c>
      <c r="V17" s="80">
        <f>H17*1000000/(0.9*(E17*1000)*K17^2)</f>
        <v>2.87545562</v>
      </c>
      <c r="W17" s="81">
        <f>(0.85*$B$5/$B$6)*(1-SQRT(1-2*V17/(0.85*$B$5)))</f>
        <v>0.007318976598</v>
      </c>
      <c r="X17" s="82">
        <f>W17*(E17*1000)*K17</f>
        <v>752.1346301</v>
      </c>
      <c r="Y17" s="82">
        <f>MAX(X17,O17)</f>
        <v>752.1346301</v>
      </c>
      <c r="Z17" s="83">
        <f>ROUNDUP(Y17/$B$9,0)</f>
        <v>4</v>
      </c>
      <c r="AA17" s="82">
        <f>Z17*$B$9</f>
        <v>796</v>
      </c>
      <c r="AB17" s="79">
        <f>0.9*AA17*$B$6*(K17-(AA17*$B$6/(0.85*$B$5*(E17*1000)))/2)/1000000</f>
        <v>96.02486534</v>
      </c>
      <c r="AC17" s="84" t="str">
        <f>IF(AB17&gt;=H17,"CUMPLE","REVISAR")</f>
        <v>CUMPLE</v>
      </c>
      <c r="AD17" s="79">
        <f>0.17*SQRT($B$5)*(E17*1000)*K17/1000</f>
        <v>92.44281538</v>
      </c>
      <c r="AE17" s="79">
        <f>MAX(I17/0.75-AD17,0)</f>
        <v>0</v>
      </c>
      <c r="AF17" s="83">
        <f>IF(AE17&gt;0,MIN($B$11*$B$6*K17/(AE17*1000),MIN(K17/4,6*$B$8,150)),MIN(K17/4,6*$B$8,150))</f>
        <v>85.6375</v>
      </c>
      <c r="AG17" s="79">
        <f>0.66*SQRT($B$5)*(E17*1000)*K17/1000</f>
        <v>358.8956362</v>
      </c>
      <c r="AH17" s="84" t="str">
        <f>IF(AE17&lt;=AG17,"CUMPLE","AUMENTAR SECCION")</f>
        <v>CUMPLE</v>
      </c>
      <c r="AI17" s="79">
        <f>0.75*0.083*SQRT($B$5)*(((E17*1000)*(F17*1000))^2/(2*((E17*1000)+(F17*1000))))/1000000</f>
        <v>3.388073536</v>
      </c>
      <c r="AJ17" s="85" t="str">
        <f>IF(J17&gt;AI17,"SI - disenar","No - despreciable")</f>
        <v>No - despreciable</v>
      </c>
      <c r="AK17" s="80">
        <f>IF(J17&gt;AI17,J17*1000000/(0.75*2*0.85*((E17*1000-2*$B$7)*(F17*1000-2*$B$7))*$B$6),0)</f>
        <v>0</v>
      </c>
      <c r="AL17" s="79">
        <f>1.25*R17*$B$6*(K17-(1.25*R17*$B$6/(0.85*$B$5*(E17*1000)))/2)/1000000</f>
        <v>130.9219244</v>
      </c>
      <c r="AM17" s="79">
        <f>1.25*AA17*$B$6*(K17-(1.25*AA17*$B$6/(0.85*$B$5*(E17*1000)))/2)/1000000</f>
        <v>130.9219244</v>
      </c>
      <c r="AN17" s="79">
        <f>(AL17+AM17)/B17</f>
        <v>69.82502635</v>
      </c>
      <c r="AO17" s="79">
        <f>MAX(I17,AN17)</f>
        <v>69.82502635</v>
      </c>
    </row>
    <row r="18">
      <c r="A18" s="72" t="inlineStr">
        <is>
          <t>VC-5</t>
        </is>
      </c>
      <c r="B18" s="75" t="n">
        <v>3.81</v>
      </c>
      <c r="C18" s="76" t="inlineStr">
        <is>
          <t>Todos</t>
        </is>
      </c>
      <c r="D18" s="77" t="n">
        <v>20</v>
      </c>
      <c r="E18" s="75" t="n">
        <v>0.3</v>
      </c>
      <c r="F18" s="75" t="n">
        <v>0.4</v>
      </c>
      <c r="G18" s="78" t="n">
        <v>91.3</v>
      </c>
      <c r="H18" s="78" t="n">
        <v>83.5</v>
      </c>
      <c r="I18" s="78" t="n">
        <v>46.6</v>
      </c>
      <c r="J18" s="78" t="n">
        <v>1.8</v>
      </c>
      <c r="K18" s="79">
        <f>F18*1000-$B$7-$B$10-$B$8/2</f>
        <v>342.55</v>
      </c>
      <c r="L18" s="80">
        <f>G18*1000000/(0.9*(E18*1000)*K18^2)</f>
        <v>2.881768366</v>
      </c>
      <c r="M18" s="81">
        <f>(0.85*$B$5/$B$6)*(1-SQRT(1-2*L18/(0.85*$B$5)))</f>
        <v>0.007336239182</v>
      </c>
      <c r="N18" s="82">
        <f>M18*(E18*1000)*K18</f>
        <v>753.9086195</v>
      </c>
      <c r="O18" s="82">
        <f>MAX(0.25*SQRT($B$5)/$B$6,1.4/$B$6)*(E18*1000)*K18</f>
        <v>342.55</v>
      </c>
      <c r="P18" s="82">
        <f>MAX(N18,O18)</f>
        <v>753.9086195</v>
      </c>
      <c r="Q18" s="83">
        <f>ROUNDUP(P18/$B$9,0)</f>
        <v>4</v>
      </c>
      <c r="R18" s="82">
        <f>Q18*$B$9</f>
        <v>796</v>
      </c>
      <c r="S18" s="79">
        <f>R18*$B$6/(0.85*$B$5*(E18*1000))</f>
        <v>46.82352941</v>
      </c>
      <c r="T18" s="79">
        <f>0.9*R18*$B$6*(K18-S18/2)/1000000</f>
        <v>96.02486534</v>
      </c>
      <c r="U18" s="84" t="str">
        <f>IF(AND(T18&gt;=G18,P18&lt;=0.025*(E18*1000)*K18,P18&gt;=O18),"CUMPLE","REVISAR")</f>
        <v>CUMPLE</v>
      </c>
      <c r="V18" s="80">
        <f>H18*1000000/(0.9*(E18*1000)*K18^2)</f>
        <v>2.635571288</v>
      </c>
      <c r="W18" s="81">
        <f>(0.85*$B$5/$B$6)*(1-SQRT(1-2*V18/(0.85*$B$5)))</f>
        <v>0.006667414591</v>
      </c>
      <c r="X18" s="82">
        <f>W18*(E18*1000)*K18</f>
        <v>685.1768605</v>
      </c>
      <c r="Y18" s="82">
        <f>MAX(X18,O18)</f>
        <v>685.1768605</v>
      </c>
      <c r="Z18" s="83">
        <f>ROUNDUP(Y18/$B$9,0)</f>
        <v>4</v>
      </c>
      <c r="AA18" s="82">
        <f>Z18*$B$9</f>
        <v>796</v>
      </c>
      <c r="AB18" s="79">
        <f>0.9*AA18*$B$6*(K18-(AA18*$B$6/(0.85*$B$5*(E18*1000)))/2)/1000000</f>
        <v>96.02486534</v>
      </c>
      <c r="AC18" s="84" t="str">
        <f>IF(AB18&gt;=H18,"CUMPLE","REVISAR")</f>
        <v>CUMPLE</v>
      </c>
      <c r="AD18" s="79">
        <f>0.17*SQRT($B$5)*(E18*1000)*K18/1000</f>
        <v>92.44281538</v>
      </c>
      <c r="AE18" s="79">
        <f>MAX(I18/0.75-AD18,0)</f>
        <v>0</v>
      </c>
      <c r="AF18" s="83">
        <f>IF(AE18&gt;0,MIN($B$11*$B$6*K18/(AE18*1000),MIN(K18/4,6*$B$8,150)),MIN(K18/4,6*$B$8,150))</f>
        <v>85.6375</v>
      </c>
      <c r="AG18" s="79">
        <f>0.66*SQRT($B$5)*(E18*1000)*K18/1000</f>
        <v>358.8956362</v>
      </c>
      <c r="AH18" s="84" t="str">
        <f>IF(AE18&lt;=AG18,"CUMPLE","AUMENTAR SECCION")</f>
        <v>CUMPLE</v>
      </c>
      <c r="AI18" s="79">
        <f>0.75*0.083*SQRT($B$5)*(((E18*1000)*(F18*1000))^2/(2*((E18*1000)+(F18*1000))))/1000000</f>
        <v>3.388073536</v>
      </c>
      <c r="AJ18" s="85" t="str">
        <f>IF(J18&gt;AI18,"SI - disenar","No - despreciable")</f>
        <v>No - despreciable</v>
      </c>
      <c r="AK18" s="80">
        <f>IF(J18&gt;AI18,J18*1000000/(0.75*2*0.85*((E18*1000-2*$B$7)*(F18*1000-2*$B$7))*$B$6),0)</f>
        <v>0</v>
      </c>
      <c r="AL18" s="79">
        <f>1.25*R18*$B$6*(K18-(1.25*R18*$B$6/(0.85*$B$5*(E18*1000)))/2)/1000000</f>
        <v>130.9219244</v>
      </c>
      <c r="AM18" s="79">
        <f>1.25*AA18*$B$6*(K18-(1.25*AA18*$B$6/(0.85*$B$5*(E18*1000)))/2)/1000000</f>
        <v>130.9219244</v>
      </c>
      <c r="AN18" s="79">
        <f>(AL18+AM18)/B18</f>
        <v>68.72541964</v>
      </c>
      <c r="AO18" s="79">
        <f>MAX(I18,AN18)</f>
        <v>68.72541964</v>
      </c>
    </row>
    <row r="19">
      <c r="A19" s="72" t="inlineStr">
        <is>
          <t>VC-6</t>
        </is>
      </c>
      <c r="B19" s="75" t="n">
        <v>3.85</v>
      </c>
      <c r="C19" s="76" t="inlineStr">
        <is>
          <t>Todos</t>
        </is>
      </c>
      <c r="D19" s="77" t="n">
        <v>60</v>
      </c>
      <c r="E19" s="75" t="n">
        <v>0.3</v>
      </c>
      <c r="F19" s="75" t="n">
        <v>0.4</v>
      </c>
      <c r="G19" s="78" t="n">
        <v>105.9</v>
      </c>
      <c r="H19" s="78" t="n">
        <v>100.7</v>
      </c>
      <c r="I19" s="78" t="n">
        <v>56.4</v>
      </c>
      <c r="J19" s="78" t="n">
        <v>5.7</v>
      </c>
      <c r="K19" s="79">
        <f>F19*1000-$B$7-$B$10-$B$8/2</f>
        <v>342.55</v>
      </c>
      <c r="L19" s="80">
        <f>G19*1000000/(0.9*(E19*1000)*K19^2)</f>
        <v>3.342598795</v>
      </c>
      <c r="M19" s="81">
        <f>(0.85*$B$5/$B$6)*(1-SQRT(1-2*L19/(0.85*$B$5)))</f>
        <v>0.008613154747</v>
      </c>
      <c r="N19" s="82">
        <f>M19*(E19*1000)*K19</f>
        <v>885.1308476</v>
      </c>
      <c r="O19" s="82">
        <f>MAX(0.25*SQRT($B$5)/$B$6,1.4/$B$6)*(E19*1000)*K19</f>
        <v>342.55</v>
      </c>
      <c r="P19" s="82">
        <f>MAX(N19,O19)</f>
        <v>885.1308476</v>
      </c>
      <c r="Q19" s="83">
        <f>ROUNDUP(P19/$B$9,0)</f>
        <v>5</v>
      </c>
      <c r="R19" s="82">
        <f>Q19*$B$9</f>
        <v>995</v>
      </c>
      <c r="S19" s="79">
        <f>R19*$B$6/(0.85*$B$5*(E19*1000))</f>
        <v>58.52941176</v>
      </c>
      <c r="T19" s="79">
        <f>0.9*R19*$B$6*(K19-S19/2)/1000000</f>
        <v>117.829732</v>
      </c>
      <c r="U19" s="84" t="str">
        <f>IF(AND(T19&gt;=G19,P19&lt;=0.025*(E19*1000)*K19,P19&gt;=O19),"CUMPLE","REVISAR")</f>
        <v>CUMPLE</v>
      </c>
      <c r="V19" s="80">
        <f>H19*1000000/(0.9*(E19*1000)*K19^2)</f>
        <v>3.178467409</v>
      </c>
      <c r="W19" s="81">
        <f>(0.85*$B$5/$B$6)*(1-SQRT(1-2*V19/(0.85*$B$5)))</f>
        <v>0.008154509126</v>
      </c>
      <c r="X19" s="82">
        <f>W19*(E19*1000)*K19</f>
        <v>837.9981303</v>
      </c>
      <c r="Y19" s="82">
        <f>MAX(X19,O19)</f>
        <v>837.9981303</v>
      </c>
      <c r="Z19" s="83">
        <f>ROUNDUP(Y19/$B$9,0)</f>
        <v>5</v>
      </c>
      <c r="AA19" s="82">
        <f>Z19*$B$9</f>
        <v>995</v>
      </c>
      <c r="AB19" s="79">
        <f>0.9*AA19*$B$6*(K19-(AA19*$B$6/(0.85*$B$5*(E19*1000)))/2)/1000000</f>
        <v>117.829732</v>
      </c>
      <c r="AC19" s="84" t="str">
        <f>IF(AB19&gt;=H19,"CUMPLE","REVISAR")</f>
        <v>CUMPLE</v>
      </c>
      <c r="AD19" s="79">
        <f>0.17*SQRT($B$5)*(E19*1000)*K19/1000</f>
        <v>92.44281538</v>
      </c>
      <c r="AE19" s="79">
        <f>MAX(I19/0.75-AD19,0)</f>
        <v>0</v>
      </c>
      <c r="AF19" s="83">
        <f>IF(AE19&gt;0,MIN($B$11*$B$6*K19/(AE19*1000),MIN(K19/4,6*$B$8,150)),MIN(K19/4,6*$B$8,150))</f>
        <v>85.6375</v>
      </c>
      <c r="AG19" s="79">
        <f>0.66*SQRT($B$5)*(E19*1000)*K19/1000</f>
        <v>358.8956362</v>
      </c>
      <c r="AH19" s="84" t="str">
        <f>IF(AE19&lt;=AG19,"CUMPLE","AUMENTAR SECCION")</f>
        <v>CUMPLE</v>
      </c>
      <c r="AI19" s="79">
        <f>0.75*0.083*SQRT($B$5)*(((E19*1000)*(F19*1000))^2/(2*((E19*1000)+(F19*1000))))/1000000</f>
        <v>3.388073536</v>
      </c>
      <c r="AJ19" s="85" t="str">
        <f>IF(J19&gt;AI19,"SI - disenar","No - despreciable")</f>
        <v>SI - disenar</v>
      </c>
      <c r="AK19" s="80">
        <f>IF(J19&gt;AI19,J19*1000000/(0.75*2*0.85*((E19*1000-2*$B$7)*(F19*1000-2*$B$7))*$B$6),0)</f>
        <v>0.1511968424</v>
      </c>
      <c r="AL19" s="79">
        <f>1.25*R19*$B$6*(K19-(1.25*R19*$B$6/(0.85*$B$5*(E19*1000)))/2)/1000000</f>
        <v>159.8306178</v>
      </c>
      <c r="AM19" s="79">
        <f>1.25*AA19*$B$6*(K19-(1.25*AA19*$B$6/(0.85*$B$5*(E19*1000)))/2)/1000000</f>
        <v>159.8306178</v>
      </c>
      <c r="AN19" s="79">
        <f>(AL19+AM19)/B19</f>
        <v>83.02889238</v>
      </c>
      <c r="AO19" s="79">
        <f>MAX(I19,AN19)</f>
        <v>83.02889238</v>
      </c>
    </row>
    <row r="20">
      <c r="A20" s="72" t="inlineStr">
        <is>
          <t>VC-7</t>
        </is>
      </c>
      <c r="B20" s="75" t="n">
        <v>3.9</v>
      </c>
      <c r="C20" s="76" t="inlineStr">
        <is>
          <t>Todos</t>
        </is>
      </c>
      <c r="D20" s="77" t="n">
        <v>40</v>
      </c>
      <c r="E20" s="75" t="n">
        <v>0.3</v>
      </c>
      <c r="F20" s="75" t="n">
        <v>0.4</v>
      </c>
      <c r="G20" s="78" t="n">
        <v>106.1</v>
      </c>
      <c r="H20" s="78" t="n">
        <v>96.2</v>
      </c>
      <c r="I20" s="78" t="n">
        <v>60.7</v>
      </c>
      <c r="J20" s="78" t="n">
        <v>16.7</v>
      </c>
      <c r="K20" s="79">
        <f>F20*1000-$B$7-$B$10-$B$8/2</f>
        <v>342.55</v>
      </c>
      <c r="L20" s="80">
        <f>G20*1000000/(0.9*(E20*1000)*K20^2)</f>
        <v>3.34891154</v>
      </c>
      <c r="M20" s="81">
        <f>(0.85*$B$5/$B$6)*(1-SQRT(1-2*L20/(0.85*$B$5)))</f>
        <v>0.008630882417</v>
      </c>
      <c r="N20" s="82">
        <f>M20*(E20*1000)*K20</f>
        <v>886.9526316</v>
      </c>
      <c r="O20" s="82">
        <f>MAX(0.25*SQRT($B$5)/$B$6,1.4/$B$6)*(E20*1000)*K20</f>
        <v>342.55</v>
      </c>
      <c r="P20" s="82">
        <f>MAX(N20,O20)</f>
        <v>886.9526316</v>
      </c>
      <c r="Q20" s="83">
        <f>ROUNDUP(P20/$B$9,0)</f>
        <v>5</v>
      </c>
      <c r="R20" s="82">
        <f>Q20*$B$9</f>
        <v>995</v>
      </c>
      <c r="S20" s="79">
        <f>R20*$B$6/(0.85*$B$5*(E20*1000))</f>
        <v>58.52941176</v>
      </c>
      <c r="T20" s="79">
        <f>0.9*R20*$B$6*(K20-S20/2)/1000000</f>
        <v>117.829732</v>
      </c>
      <c r="U20" s="84" t="str">
        <f>IF(AND(T20&gt;=G20,P20&lt;=0.025*(E20*1000)*K20,P20&gt;=O20),"CUMPLE","REVISAR")</f>
        <v>CUMPLE</v>
      </c>
      <c r="V20" s="80">
        <f>H20*1000000/(0.9*(E20*1000)*K20^2)</f>
        <v>3.036430633</v>
      </c>
      <c r="W20" s="81">
        <f>(0.85*$B$5/$B$6)*(1-SQRT(1-2*V20/(0.85*$B$5)))</f>
        <v>0.007761075848</v>
      </c>
      <c r="X20" s="82">
        <f>W20*(E20*1000)*K20</f>
        <v>797.5669596</v>
      </c>
      <c r="Y20" s="82">
        <f>MAX(X20,O20)</f>
        <v>797.5669596</v>
      </c>
      <c r="Z20" s="83">
        <f>ROUNDUP(Y20/$B$9,0)</f>
        <v>5</v>
      </c>
      <c r="AA20" s="82">
        <f>Z20*$B$9</f>
        <v>995</v>
      </c>
      <c r="AB20" s="79">
        <f>0.9*AA20*$B$6*(K20-(AA20*$B$6/(0.85*$B$5*(E20*1000)))/2)/1000000</f>
        <v>117.829732</v>
      </c>
      <c r="AC20" s="84" t="str">
        <f>IF(AB20&gt;=H20,"CUMPLE","REVISAR")</f>
        <v>CUMPLE</v>
      </c>
      <c r="AD20" s="79">
        <f>0.17*SQRT($B$5)*(E20*1000)*K20/1000</f>
        <v>92.44281538</v>
      </c>
      <c r="AE20" s="79">
        <f>MAX(I20/0.75-AD20,0)</f>
        <v>0</v>
      </c>
      <c r="AF20" s="83">
        <f>IF(AE20&gt;0,MIN($B$11*$B$6*K20/(AE20*1000),MIN(K20/4,6*$B$8,150)),MIN(K20/4,6*$B$8,150))</f>
        <v>85.6375</v>
      </c>
      <c r="AG20" s="79">
        <f>0.66*SQRT($B$5)*(E20*1000)*K20/1000</f>
        <v>358.8956362</v>
      </c>
      <c r="AH20" s="84" t="str">
        <f>IF(AE20&lt;=AG20,"CUMPLE","AUMENTAR SECCION")</f>
        <v>CUMPLE</v>
      </c>
      <c r="AI20" s="79">
        <f>0.75*0.083*SQRT($B$5)*(((E20*1000)*(F20*1000))^2/(2*((E20*1000)+(F20*1000))))/1000000</f>
        <v>3.388073536</v>
      </c>
      <c r="AJ20" s="85" t="str">
        <f>IF(J20&gt;AI20,"SI - disenar","No - despreciable")</f>
        <v>SI - disenar</v>
      </c>
      <c r="AK20" s="80">
        <f>IF(J20&gt;AI20,J20*1000000/(0.75*2*0.85*((E20*1000-2*$B$7)*(F20*1000-2*$B$7))*$B$6),0)</f>
        <v>0.4429802224</v>
      </c>
      <c r="AL20" s="79">
        <f>1.25*R20*$B$6*(K20-(1.25*R20*$B$6/(0.85*$B$5*(E20*1000)))/2)/1000000</f>
        <v>159.8306178</v>
      </c>
      <c r="AM20" s="79">
        <f>1.25*AA20*$B$6*(K20-(1.25*AA20*$B$6/(0.85*$B$5*(E20*1000)))/2)/1000000</f>
        <v>159.8306178</v>
      </c>
      <c r="AN20" s="79">
        <f>(AL20+AM20)/B20</f>
        <v>81.9644194</v>
      </c>
      <c r="AO20" s="79">
        <f>MAX(I20,AN20)</f>
        <v>81.9644194</v>
      </c>
    </row>
    <row r="21">
      <c r="A21" s="72" t="inlineStr">
        <is>
          <t>VC-8</t>
        </is>
      </c>
      <c r="B21" s="75" t="n">
        <v>4</v>
      </c>
      <c r="C21" s="76" t="inlineStr">
        <is>
          <t>Todos</t>
        </is>
      </c>
      <c r="D21" s="77" t="n">
        <v>70</v>
      </c>
      <c r="E21" s="75" t="n">
        <v>0.3</v>
      </c>
      <c r="F21" s="75" t="n">
        <v>0.4</v>
      </c>
      <c r="G21" s="78" t="n">
        <v>96.90000000000001</v>
      </c>
      <c r="H21" s="78" t="n">
        <v>92.7</v>
      </c>
      <c r="I21" s="78" t="n">
        <v>52.3</v>
      </c>
      <c r="J21" s="78" t="n">
        <v>5.5</v>
      </c>
      <c r="K21" s="79">
        <f>F21*1000-$B$7-$B$10-$B$8/2</f>
        <v>342.55</v>
      </c>
      <c r="L21" s="80">
        <f>G21*1000000/(0.9*(E21*1000)*K21^2)</f>
        <v>3.058525243</v>
      </c>
      <c r="M21" s="81">
        <f>(0.85*$B$5/$B$6)*(1-SQRT(1-2*L21/(0.85*$B$5)))</f>
        <v>0.007822068442</v>
      </c>
      <c r="N21" s="82">
        <f>M21*(E21*1000)*K21</f>
        <v>803.8348634</v>
      </c>
      <c r="O21" s="82">
        <f>MAX(0.25*SQRT($B$5)/$B$6,1.4/$B$6)*(E21*1000)*K21</f>
        <v>342.55</v>
      </c>
      <c r="P21" s="82">
        <f>MAX(N21,O21)</f>
        <v>803.8348634</v>
      </c>
      <c r="Q21" s="83">
        <f>ROUNDUP(P21/$B$9,0)</f>
        <v>5</v>
      </c>
      <c r="R21" s="82">
        <f>Q21*$B$9</f>
        <v>995</v>
      </c>
      <c r="S21" s="79">
        <f>R21*$B$6/(0.85*$B$5*(E21*1000))</f>
        <v>58.52941176</v>
      </c>
      <c r="T21" s="79">
        <f>0.9*R21*$B$6*(K21-S21/2)/1000000</f>
        <v>117.829732</v>
      </c>
      <c r="U21" s="84" t="str">
        <f>IF(AND(T21&gt;=G21,P21&lt;=0.025*(E21*1000)*K21,P21&gt;=O21),"CUMPLE","REVISAR")</f>
        <v>CUMPLE</v>
      </c>
      <c r="V21" s="80">
        <f>H21*1000000/(0.9*(E21*1000)*K21^2)</f>
        <v>2.925957585</v>
      </c>
      <c r="W21" s="81">
        <f>(0.85*$B$5/$B$6)*(1-SQRT(1-2*V21/(0.85*$B$5)))</f>
        <v>0.007457246828</v>
      </c>
      <c r="X21" s="82">
        <f>W21*(E21*1000)*K21</f>
        <v>766.3439703</v>
      </c>
      <c r="Y21" s="82">
        <f>MAX(X21,O21)</f>
        <v>766.3439703</v>
      </c>
      <c r="Z21" s="83">
        <f>ROUNDUP(Y21/$B$9,0)</f>
        <v>4</v>
      </c>
      <c r="AA21" s="82">
        <f>Z21*$B$9</f>
        <v>796</v>
      </c>
      <c r="AB21" s="79">
        <f>0.9*AA21*$B$6*(K21-(AA21*$B$6/(0.85*$B$5*(E21*1000)))/2)/1000000</f>
        <v>96.02486534</v>
      </c>
      <c r="AC21" s="84" t="str">
        <f>IF(AB21&gt;=H21,"CUMPLE","REVISAR")</f>
        <v>CUMPLE</v>
      </c>
      <c r="AD21" s="79">
        <f>0.17*SQRT($B$5)*(E21*1000)*K21/1000</f>
        <v>92.44281538</v>
      </c>
      <c r="AE21" s="79">
        <f>MAX(I21/0.75-AD21,0)</f>
        <v>0</v>
      </c>
      <c r="AF21" s="83">
        <f>IF(AE21&gt;0,MIN($B$11*$B$6*K21/(AE21*1000),MIN(K21/4,6*$B$8,150)),MIN(K21/4,6*$B$8,150))</f>
        <v>85.6375</v>
      </c>
      <c r="AG21" s="79">
        <f>0.66*SQRT($B$5)*(E21*1000)*K21/1000</f>
        <v>358.8956362</v>
      </c>
      <c r="AH21" s="84" t="str">
        <f>IF(AE21&lt;=AG21,"CUMPLE","AUMENTAR SECCION")</f>
        <v>CUMPLE</v>
      </c>
      <c r="AI21" s="79">
        <f>0.75*0.083*SQRT($B$5)*(((E21*1000)*(F21*1000))^2/(2*((E21*1000)+(F21*1000))))/1000000</f>
        <v>3.388073536</v>
      </c>
      <c r="AJ21" s="85" t="str">
        <f>IF(J21&gt;AI21,"SI - disenar","No - despreciable")</f>
        <v>SI - disenar</v>
      </c>
      <c r="AK21" s="80">
        <f>IF(J21&gt;AI21,J21*1000000/(0.75*2*0.85*((E21*1000-2*$B$7)*(F21*1000-2*$B$7))*$B$6),0)</f>
        <v>0.14589169</v>
      </c>
      <c r="AL21" s="79">
        <f>1.25*R21*$B$6*(K21-(1.25*R21*$B$6/(0.85*$B$5*(E21*1000)))/2)/1000000</f>
        <v>159.8306178</v>
      </c>
      <c r="AM21" s="79">
        <f>1.25*AA21*$B$6*(K21-(1.25*AA21*$B$6/(0.85*$B$5*(E21*1000)))/2)/1000000</f>
        <v>130.9219244</v>
      </c>
      <c r="AN21" s="79">
        <f>(AL21+AM21)/B21</f>
        <v>72.68813556</v>
      </c>
      <c r="AO21" s="79">
        <f>MAX(I21,AN21)</f>
        <v>72.68813556</v>
      </c>
    </row>
    <row r="22">
      <c r="A22" s="72" t="inlineStr">
        <is>
          <t>VC-9</t>
        </is>
      </c>
      <c r="B22" s="75" t="n">
        <v>5.1</v>
      </c>
      <c r="C22" s="76" t="inlineStr">
        <is>
          <t>Todos</t>
        </is>
      </c>
      <c r="D22" s="77" t="n">
        <v>20</v>
      </c>
      <c r="E22" s="75" t="n">
        <v>0.3</v>
      </c>
      <c r="F22" s="75" t="n">
        <v>0.4</v>
      </c>
      <c r="G22" s="78" t="n">
        <v>80.8</v>
      </c>
      <c r="H22" s="78" t="n">
        <v>76</v>
      </c>
      <c r="I22" s="78" t="n">
        <v>34.2</v>
      </c>
      <c r="J22" s="78" t="n">
        <v>0.6</v>
      </c>
      <c r="K22" s="79">
        <f>F22*1000-$B$7-$B$10-$B$8/2</f>
        <v>342.55</v>
      </c>
      <c r="L22" s="80">
        <f>G22*1000000/(0.9*(E22*1000)*K22^2)</f>
        <v>2.550349222</v>
      </c>
      <c r="M22" s="81">
        <f>(0.85*$B$5/$B$6)*(1-SQRT(1-2*L22/(0.85*$B$5)))</f>
        <v>0.006437973288</v>
      </c>
      <c r="N22" s="82">
        <f>M22*(E22*1000)*K22</f>
        <v>661.598325</v>
      </c>
      <c r="O22" s="82">
        <f>MAX(0.25*SQRT($B$5)/$B$6,1.4/$B$6)*(E22*1000)*K22</f>
        <v>342.55</v>
      </c>
      <c r="P22" s="82">
        <f>MAX(N22,O22)</f>
        <v>661.598325</v>
      </c>
      <c r="Q22" s="83">
        <f>ROUNDUP(P22/$B$9,0)</f>
        <v>4</v>
      </c>
      <c r="R22" s="82">
        <f>Q22*$B$9</f>
        <v>796</v>
      </c>
      <c r="S22" s="79">
        <f>R22*$B$6/(0.85*$B$5*(E22*1000))</f>
        <v>46.82352941</v>
      </c>
      <c r="T22" s="79">
        <f>0.9*R22*$B$6*(K22-S22/2)/1000000</f>
        <v>96.02486534</v>
      </c>
      <c r="U22" s="84" t="str">
        <f>IF(AND(T22&gt;=G22,P22&lt;=0.025*(E22*1000)*K22,P22&gt;=O22),"CUMPLE","REVISAR")</f>
        <v>CUMPLE</v>
      </c>
      <c r="V22" s="80">
        <f>H22*1000000/(0.9*(E22*1000)*K22^2)</f>
        <v>2.398843328</v>
      </c>
      <c r="W22" s="81">
        <f>(0.85*$B$5/$B$6)*(1-SQRT(1-2*V22/(0.85*$B$5)))</f>
        <v>0.006032644691</v>
      </c>
      <c r="X22" s="82">
        <f>W22*(E22*1000)*K22</f>
        <v>619.9447317</v>
      </c>
      <c r="Y22" s="82">
        <f>MAX(X22,O22)</f>
        <v>619.9447317</v>
      </c>
      <c r="Z22" s="83">
        <f>ROUNDUP(Y22/$B$9,0)</f>
        <v>4</v>
      </c>
      <c r="AA22" s="82">
        <f>Z22*$B$9</f>
        <v>796</v>
      </c>
      <c r="AB22" s="79">
        <f>0.9*AA22*$B$6*(K22-(AA22*$B$6/(0.85*$B$5*(E22*1000)))/2)/1000000</f>
        <v>96.02486534</v>
      </c>
      <c r="AC22" s="84" t="str">
        <f>IF(AB22&gt;=H22,"CUMPLE","REVISAR")</f>
        <v>CUMPLE</v>
      </c>
      <c r="AD22" s="79">
        <f>0.17*SQRT($B$5)*(E22*1000)*K22/1000</f>
        <v>92.44281538</v>
      </c>
      <c r="AE22" s="79">
        <f>MAX(I22/0.75-AD22,0)</f>
        <v>0</v>
      </c>
      <c r="AF22" s="83">
        <f>IF(AE22&gt;0,MIN($B$11*$B$6*K22/(AE22*1000),MIN(K22/4,6*$B$8,150)),MIN(K22/4,6*$B$8,150))</f>
        <v>85.6375</v>
      </c>
      <c r="AG22" s="79">
        <f>0.66*SQRT($B$5)*(E22*1000)*K22/1000</f>
        <v>358.8956362</v>
      </c>
      <c r="AH22" s="84" t="str">
        <f>IF(AE22&lt;=AG22,"CUMPLE","AUMENTAR SECCION")</f>
        <v>CUMPLE</v>
      </c>
      <c r="AI22" s="79">
        <f>0.75*0.083*SQRT($B$5)*(((E22*1000)*(F22*1000))^2/(2*((E22*1000)+(F22*1000))))/1000000</f>
        <v>3.388073536</v>
      </c>
      <c r="AJ22" s="85" t="str">
        <f>IF(J22&gt;AI22,"SI - disenar","No - despreciable")</f>
        <v>No - despreciable</v>
      </c>
      <c r="AK22" s="80">
        <f>IF(J22&gt;AI22,J22*1000000/(0.75*2*0.85*((E22*1000-2*$B$7)*(F22*1000-2*$B$7))*$B$6),0)</f>
        <v>0</v>
      </c>
      <c r="AL22" s="79">
        <f>1.25*R22*$B$6*(K22-(1.25*R22*$B$6/(0.85*$B$5*(E22*1000)))/2)/1000000</f>
        <v>130.9219244</v>
      </c>
      <c r="AM22" s="79">
        <f>1.25*AA22*$B$6*(K22-(1.25*AA22*$B$6/(0.85*$B$5*(E22*1000)))/2)/1000000</f>
        <v>130.9219244</v>
      </c>
      <c r="AN22" s="79">
        <f>(AL22+AM22)/B22</f>
        <v>51.34193114</v>
      </c>
      <c r="AO22" s="79">
        <f>MAX(I22,AN22)</f>
        <v>51.34193114</v>
      </c>
    </row>
    <row r="24">
      <c r="A24" s="71" t="inlineStr">
        <is>
          <t>Nota: 'CUMPLE' verifica phiMn&gt;=Mu, cuantia&lt;=0.025 y As&gt;=As_min. El cortante por capacidad (DMO, C.21) toma V diseno=max(Vu,Ve) con Ve=(Mpr-+Mpr+)/Ln. En los apoyos se colocan las barras superiores (As-) y en el centro las inferiores (As+); estribos #3 a la separacion 's estribo' en zona de confinamiento (2h) y d/2 en el resto.</t>
        </is>
      </c>
    </row>
  </sheetData>
  <mergeCells count="8">
    <mergeCell ref="E12:F12"/>
    <mergeCell ref="V12:AC12"/>
    <mergeCell ref="AD12:AH12"/>
    <mergeCell ref="A12:D12"/>
    <mergeCell ref="K12:U12"/>
    <mergeCell ref="G12:J12"/>
    <mergeCell ref="AL12:AO12"/>
    <mergeCell ref="AI12:A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pane xSplit="6" ySplit="13" topLeftCell="G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33" min="1" max="1"/>
    <col width="9" customWidth="1" style="33" min="2" max="2"/>
    <col width="11" customWidth="1" style="33" min="3" max="3"/>
    <col width="7" customWidth="1" style="33" min="4" max="4"/>
    <col width="6" customWidth="1" style="33" min="5" max="5"/>
    <col width="6" customWidth="1" style="33" min="6" max="6"/>
    <col width="11" customWidth="1" style="33" min="7" max="7"/>
    <col width="11" customWidth="1" style="33" min="8" max="8"/>
    <col width="11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  <col width="11" customWidth="1" style="33" min="21" max="21"/>
    <col width="11" customWidth="1" style="33" min="22" max="22"/>
    <col width="11" customWidth="1" style="33" min="23" max="23"/>
    <col width="11" customWidth="1" style="33" min="24" max="24"/>
    <col width="11" customWidth="1" style="33" min="25" max="25"/>
    <col width="11" customWidth="1" style="33" min="26" max="26"/>
    <col width="11" customWidth="1" style="33" min="27" max="27"/>
    <col width="11" customWidth="1" style="33" min="28" max="28"/>
    <col width="11" customWidth="1" style="33" min="29" max="29"/>
    <col width="11" customWidth="1" style="33" min="30" max="30"/>
    <col width="11" customWidth="1" style="33" min="31" max="31"/>
    <col width="11" customWidth="1" style="33" min="32" max="32"/>
    <col width="11" customWidth="1" style="33" min="33" max="33"/>
    <col width="11" customWidth="1" style="33" min="34" max="34"/>
    <col width="11" customWidth="1" style="33" min="35" max="35"/>
    <col width="11" customWidth="1" style="33" min="36" max="36"/>
    <col width="11" customWidth="1" style="33" min="37" max="37"/>
    <col width="11" customWidth="1" style="33" min="38" max="38"/>
    <col width="11" customWidth="1" style="33" min="39" max="39"/>
    <col width="11" customWidth="1" style="33" min="40" max="40"/>
    <col width="11" customWidth="1" style="33" min="41" max="41"/>
  </cols>
  <sheetData>
    <row r="1">
      <c r="A1" s="69" t="inlineStr">
        <is>
          <t>DISENO DE VIGAS DE RIGIDEZ / RIOSTRAS  VR 0.35x0.40</t>
        </is>
      </c>
    </row>
    <row r="2">
      <c r="A2" s="70" t="inlineStr">
        <is>
          <t>Agrupadas por longitud (8 grupos), diseno con la mayor solicitacion de la envolvente. d, As, estribos, capacidad y torsion con formulas.</t>
        </is>
      </c>
    </row>
    <row r="3">
      <c r="A3" s="71" t="inlineStr">
        <is>
          <t>Criterio de agrupacion: se agrupan las vigas con la MISMA longitud total; cada grupo se disena con su MAYOR solicitacion (envolvente de todas las condiciones de apoyo). Celdas azules = ENTRADA (envolvente del modelo SAP). El resto se calcula solo.</t>
        </is>
      </c>
    </row>
    <row r="4">
      <c r="A4" s="67" t="inlineStr">
        <is>
          <t>DATOS COMUNES (editables)</t>
        </is>
      </c>
    </row>
    <row r="5">
      <c r="A5" s="67" t="inlineStr">
        <is>
          <t>f'c [MPa]</t>
        </is>
      </c>
      <c r="B5" s="72" t="n">
        <v>28</v>
      </c>
    </row>
    <row r="6">
      <c r="A6" s="67" t="inlineStr">
        <is>
          <t>fy [MPa]</t>
        </is>
      </c>
      <c r="B6" s="72" t="n">
        <v>420</v>
      </c>
    </row>
    <row r="7">
      <c r="A7" s="67" t="inlineStr">
        <is>
          <t>recub [mm]</t>
        </is>
      </c>
      <c r="B7" s="72" t="n">
        <v>40</v>
      </c>
    </row>
    <row r="8">
      <c r="A8" s="67" t="inlineStr">
        <is>
          <t>db long #5 [mm]</t>
        </is>
      </c>
      <c r="B8" s="72" t="n">
        <v>15.9</v>
      </c>
    </row>
    <row r="9">
      <c r="A9" s="67" t="inlineStr">
        <is>
          <t>Ab #5 [mm2]</t>
        </is>
      </c>
      <c r="B9" s="72" t="n">
        <v>199</v>
      </c>
    </row>
    <row r="10">
      <c r="A10" s="67" t="inlineStr">
        <is>
          <t>db estribo #3 [mm]</t>
        </is>
      </c>
      <c r="B10" s="72" t="n">
        <v>9.5</v>
      </c>
    </row>
    <row r="11">
      <c r="A11" s="67" t="inlineStr">
        <is>
          <t>Av 2 ramas #3 [mm2]</t>
        </is>
      </c>
      <c r="B11" s="72" t="n">
        <v>142</v>
      </c>
    </row>
    <row r="12">
      <c r="A12" s="73" t="inlineStr">
        <is>
          <t>IDENTIFICACION</t>
        </is>
      </c>
      <c r="E12" s="73" t="inlineStr">
        <is>
          <t>GEOMETRIA</t>
        </is>
      </c>
      <c r="G12" s="73" t="inlineStr">
        <is>
          <t>SOLICITACIONES (envolvente SAP, sismo/R=5)</t>
        </is>
      </c>
      <c r="K12" s="73" t="inlineStr">
        <is>
          <t>FLEXION NEGATIVA (acero superior)</t>
        </is>
      </c>
      <c r="V12" s="73" t="inlineStr">
        <is>
          <t>FLEXION POSITIVA (acero inferior)</t>
        </is>
      </c>
      <c r="AD12" s="73" t="inlineStr">
        <is>
          <t>CORTANTE (phi=0.75)</t>
        </is>
      </c>
      <c r="AI12" s="73" t="inlineStr">
        <is>
          <t>TORSION (phi=0.75)</t>
        </is>
      </c>
      <c r="AL12" s="73" t="inlineStr">
        <is>
          <t>CORTANTE POR CAPACIDAD (DMO)</t>
        </is>
      </c>
    </row>
    <row r="13">
      <c r="A13" s="74" t="inlineStr">
        <is>
          <t>Grupo</t>
        </is>
      </c>
      <c r="B13" s="74" t="inlineStr">
        <is>
          <t>L = Ln [m]</t>
        </is>
      </c>
      <c r="C13" s="74" t="inlineStr">
        <is>
          <t>Cond. apoyo</t>
        </is>
      </c>
      <c r="D13" s="74" t="inlineStr">
        <is>
          <t>N vigas</t>
        </is>
      </c>
      <c r="E13" s="74" t="inlineStr">
        <is>
          <t>b [m]</t>
        </is>
      </c>
      <c r="F13" s="74" t="inlineStr">
        <is>
          <t>h [m]</t>
        </is>
      </c>
      <c r="G13" s="74" t="inlineStr">
        <is>
          <t>Mu- [kN.m]</t>
        </is>
      </c>
      <c r="H13" s="74" t="inlineStr">
        <is>
          <t>Mu+ [kN.m]</t>
        </is>
      </c>
      <c r="I13" s="74" t="inlineStr">
        <is>
          <t>Vu [kN]</t>
        </is>
      </c>
      <c r="J13" s="74" t="inlineStr">
        <is>
          <t>Tu [kN.m]</t>
        </is>
      </c>
      <c r="K13" s="74" t="inlineStr">
        <is>
          <t>d [mm]</t>
        </is>
      </c>
      <c r="L13" s="74" t="inlineStr">
        <is>
          <t>Rn-</t>
        </is>
      </c>
      <c r="M13" s="74" t="inlineStr">
        <is>
          <t>rho-</t>
        </is>
      </c>
      <c r="N13" s="74" t="inlineStr">
        <is>
          <t>As- req [mm2]</t>
        </is>
      </c>
      <c r="O13" s="74" t="inlineStr">
        <is>
          <t>As min [mm2]</t>
        </is>
      </c>
      <c r="P13" s="74" t="inlineStr">
        <is>
          <t>As- dise [mm2]</t>
        </is>
      </c>
      <c r="Q13" s="74" t="inlineStr">
        <is>
          <t>N #5 sup</t>
        </is>
      </c>
      <c r="R13" s="74" t="inlineStr">
        <is>
          <t>As- coloc [mm2]</t>
        </is>
      </c>
      <c r="S13" s="74" t="inlineStr">
        <is>
          <t>a- [mm]</t>
        </is>
      </c>
      <c r="T13" s="74" t="inlineStr">
        <is>
          <t>phiMn- [kN.m]</t>
        </is>
      </c>
      <c r="U13" s="74" t="inlineStr">
        <is>
          <t>Check -</t>
        </is>
      </c>
      <c r="V13" s="74" t="inlineStr">
        <is>
          <t>Rn+</t>
        </is>
      </c>
      <c r="W13" s="74" t="inlineStr">
        <is>
          <t>rho+</t>
        </is>
      </c>
      <c r="X13" s="74" t="inlineStr">
        <is>
          <t>As+ req [mm2]</t>
        </is>
      </c>
      <c r="Y13" s="74" t="inlineStr">
        <is>
          <t>As+ dise [mm2]</t>
        </is>
      </c>
      <c r="Z13" s="74" t="inlineStr">
        <is>
          <t>N #5 inf</t>
        </is>
      </c>
      <c r="AA13" s="74" t="inlineStr">
        <is>
          <t>As+ coloc [mm2]</t>
        </is>
      </c>
      <c r="AB13" s="74" t="inlineStr">
        <is>
          <t>phiMn+ [kN.m]</t>
        </is>
      </c>
      <c r="AC13" s="74" t="inlineStr">
        <is>
          <t>Check +</t>
        </is>
      </c>
      <c r="AD13" s="74" t="inlineStr">
        <is>
          <t>Vc [kN]</t>
        </is>
      </c>
      <c r="AE13" s="74" t="inlineStr">
        <is>
          <t>Vs req [kN]</t>
        </is>
      </c>
      <c r="AF13" s="74" t="inlineStr">
        <is>
          <t>s estribo #3 [mm]</t>
        </is>
      </c>
      <c r="AG13" s="74" t="inlineStr">
        <is>
          <t>Vs max [kN]</t>
        </is>
      </c>
      <c r="AH13" s="74" t="inlineStr">
        <is>
          <t>Check cortante</t>
        </is>
      </c>
      <c r="AI13" s="74" t="inlineStr">
        <is>
          <t>T umbral [kN.m]</t>
        </is>
      </c>
      <c r="AJ13" s="74" t="inlineStr">
        <is>
          <t>Requiere torsion?</t>
        </is>
      </c>
      <c r="AK13" s="74" t="inlineStr">
        <is>
          <t>At/s [mm2/mm]</t>
        </is>
      </c>
      <c r="AL13" s="74" t="inlineStr">
        <is>
          <t>Mpr- [kN.m]</t>
        </is>
      </c>
      <c r="AM13" s="74" t="inlineStr">
        <is>
          <t>Mpr+ [kN.m]</t>
        </is>
      </c>
      <c r="AN13" s="74" t="inlineStr">
        <is>
          <t>Ve [kN]</t>
        </is>
      </c>
      <c r="AO13" s="74" t="inlineStr">
        <is>
          <t>V diseno [kN]</t>
        </is>
      </c>
    </row>
    <row r="14">
      <c r="A14" s="72" t="inlineStr">
        <is>
          <t>VR-1</t>
        </is>
      </c>
      <c r="B14" s="75" t="n">
        <v>1.5</v>
      </c>
      <c r="C14" s="76" t="inlineStr">
        <is>
          <t>Todos</t>
        </is>
      </c>
      <c r="D14" s="77" t="n">
        <v>30</v>
      </c>
      <c r="E14" s="75" t="n">
        <v>0.35</v>
      </c>
      <c r="F14" s="75" t="n">
        <v>0.4</v>
      </c>
      <c r="G14" s="78" t="n">
        <v>22.6</v>
      </c>
      <c r="H14" s="78" t="n">
        <v>3</v>
      </c>
      <c r="I14" s="78" t="n">
        <v>16.8</v>
      </c>
      <c r="J14" s="78" t="n">
        <v>24.9</v>
      </c>
      <c r="K14" s="79">
        <f>F14*1000-$B$7-$B$10-$B$8/2</f>
        <v>342.55</v>
      </c>
      <c r="L14" s="80">
        <f>G14*1000000/(0.9*(E14*1000)*K14^2)</f>
        <v>0.6114345023</v>
      </c>
      <c r="M14" s="81">
        <f>(0.85*$B$5/$B$6)*(1-SQRT(1-2*L14/(0.85*$B$5)))</f>
        <v>0.001474992942</v>
      </c>
      <c r="N14" s="82">
        <f>M14*(E14*1000)*K14</f>
        <v>176.8405912</v>
      </c>
      <c r="O14" s="82">
        <f>MAX(0.25*SQRT($B$5)/$B$6,1.4/$B$6)*(E14*1000)*K14</f>
        <v>399.6416667</v>
      </c>
      <c r="P14" s="82">
        <f>MAX(N14,O14)</f>
        <v>399.6416667</v>
      </c>
      <c r="Q14" s="83">
        <f>ROUNDUP(P14/$B$9,0)</f>
        <v>3</v>
      </c>
      <c r="R14" s="82">
        <f>Q14*$B$9</f>
        <v>597</v>
      </c>
      <c r="S14" s="79">
        <f>R14*$B$6/(0.85*$B$5*(E14*1000))</f>
        <v>30.10084034</v>
      </c>
      <c r="T14" s="79">
        <f>0.9*R14*$B$6*(K14-S14/2)/1000000</f>
        <v>73.90552018</v>
      </c>
      <c r="U14" s="84" t="str">
        <f>IF(AND(T14&gt;=G14,P14&lt;=0.025*(E14*1000)*K14,P14&gt;=O14),"CUMPLE","REVISAR")</f>
        <v>CUMPLE</v>
      </c>
      <c r="V14" s="80">
        <f>H14*1000000/(0.9*(E14*1000)*K14^2)</f>
        <v>0.08116387199</v>
      </c>
      <c r="W14" s="81">
        <f>(0.85*$B$5/$B$6)*(1-SQRT(1-2*V14/(0.85*$B$5)))</f>
        <v>0.0001935779533</v>
      </c>
      <c r="X14" s="82">
        <f>W14*(E14*1000)*K14</f>
        <v>23.20854476</v>
      </c>
      <c r="Y14" s="82">
        <f>MAX(X14,O14)</f>
        <v>399.6416667</v>
      </c>
      <c r="Z14" s="83">
        <f>ROUNDUP(Y14/$B$9,0)</f>
        <v>3</v>
      </c>
      <c r="AA14" s="82">
        <f>Z14*$B$9</f>
        <v>597</v>
      </c>
      <c r="AB14" s="79">
        <f>0.9*AA14*$B$6*(K14-(AA14*$B$6/(0.85*$B$5*(E14*1000)))/2)/1000000</f>
        <v>73.90552018</v>
      </c>
      <c r="AC14" s="84" t="str">
        <f>IF(AB14&gt;=H14,"CUMPLE","REVISAR")</f>
        <v>CUMPLE</v>
      </c>
      <c r="AD14" s="79">
        <f>0.17*SQRT($B$5)*(E14*1000)*K14/1000</f>
        <v>107.8499513</v>
      </c>
      <c r="AE14" s="79">
        <f>MAX(I14/0.75-AD14,0)</f>
        <v>0</v>
      </c>
      <c r="AF14" s="83">
        <f>IF(AE14&gt;0,MIN($B$11*$B$6*K14/(AE14*1000),MIN(K14/4,6*$B$8,150)),MIN(K14/4,6*$B$8,150))</f>
        <v>85.6375</v>
      </c>
      <c r="AG14" s="79">
        <f>0.66*SQRT($B$5)*(E14*1000)*K14/1000</f>
        <v>418.7115756</v>
      </c>
      <c r="AH14" s="84" t="str">
        <f>IF(AE14&lt;=AG14,"CUMPLE","AUMENTAR SECCION")</f>
        <v>CUMPLE</v>
      </c>
      <c r="AI14" s="79">
        <f>0.75*0.083*SQRT($B$5)*(((E14*1000)*(F14*1000))^2/(2*((E14*1000)+(F14*1000))))/1000000</f>
        <v>4.304108233</v>
      </c>
      <c r="AJ14" s="85" t="str">
        <f>IF(J14&gt;AI14,"SI - disenar","No - despreciable")</f>
        <v>SI - disenar</v>
      </c>
      <c r="AK14" s="80">
        <f>IF(J14&gt;AI14,J14*1000000/(0.75*2*0.85*((E14*1000-2*$B$7)*(F14*1000-2*$B$7))*$B$6),0)</f>
        <v>0.5381782343</v>
      </c>
      <c r="AL14" s="79">
        <f>1.25*R14*$B$6*(K14-(1.25*R14*$B$6/(0.85*$B$5*(E14*1000)))/2)/1000000</f>
        <v>101.4672613</v>
      </c>
      <c r="AM14" s="79">
        <f>1.25*AA14*$B$6*(K14-(1.25*AA14*$B$6/(0.85*$B$5*(E14*1000)))/2)/1000000</f>
        <v>101.4672613</v>
      </c>
      <c r="AN14" s="79">
        <f>(AL14+AM14)/B14</f>
        <v>135.2896818</v>
      </c>
      <c r="AO14" s="79">
        <f>MAX(I14,AN14)</f>
        <v>135.2896818</v>
      </c>
    </row>
    <row r="15">
      <c r="A15" s="72" t="inlineStr">
        <is>
          <t>VR-2</t>
        </is>
      </c>
      <c r="B15" s="75" t="n">
        <v>2.7</v>
      </c>
      <c r="C15" s="76" t="inlineStr">
        <is>
          <t>Todos</t>
        </is>
      </c>
      <c r="D15" s="77" t="n">
        <v>15</v>
      </c>
      <c r="E15" s="75" t="n">
        <v>0.35</v>
      </c>
      <c r="F15" s="75" t="n">
        <v>0.4</v>
      </c>
      <c r="G15" s="78" t="n">
        <v>84.3</v>
      </c>
      <c r="H15" s="78" t="n">
        <v>82.8</v>
      </c>
      <c r="I15" s="78" t="n">
        <v>65.90000000000001</v>
      </c>
      <c r="J15" s="78" t="n">
        <v>2.8</v>
      </c>
      <c r="K15" s="79">
        <f>F15*1000-$B$7-$B$10-$B$8/2</f>
        <v>342.55</v>
      </c>
      <c r="L15" s="80">
        <f>G15*1000000/(0.9*(E15*1000)*K15^2)</f>
        <v>2.280704803</v>
      </c>
      <c r="M15" s="81">
        <f>(0.85*$B$5/$B$6)*(1-SQRT(1-2*L15/(0.85*$B$5)))</f>
        <v>0.005718822444</v>
      </c>
      <c r="N15" s="82">
        <f>M15*(E15*1000)*K15</f>
        <v>685.6439198</v>
      </c>
      <c r="O15" s="82">
        <f>MAX(0.25*SQRT($B$5)/$B$6,1.4/$B$6)*(E15*1000)*K15</f>
        <v>399.6416667</v>
      </c>
      <c r="P15" s="82">
        <f>MAX(N15,O15)</f>
        <v>685.6439198</v>
      </c>
      <c r="Q15" s="83">
        <f>ROUNDUP(P15/$B$9,0)</f>
        <v>4</v>
      </c>
      <c r="R15" s="82">
        <f>Q15*$B$9</f>
        <v>796</v>
      </c>
      <c r="S15" s="79">
        <f>R15*$B$6/(0.85*$B$5*(E15*1000))</f>
        <v>40.13445378</v>
      </c>
      <c r="T15" s="79">
        <f>0.9*R15*$B$6*(K15-S15/2)/1000000</f>
        <v>97.03119664</v>
      </c>
      <c r="U15" s="84" t="str">
        <f>IF(AND(T15&gt;=G15,P15&lt;=0.025*(E15*1000)*K15,P15&gt;=O15),"CUMPLE","REVISAR")</f>
        <v>CUMPLE</v>
      </c>
      <c r="V15" s="80">
        <f>H15*1000000/(0.9*(E15*1000)*K15^2)</f>
        <v>2.240122867</v>
      </c>
      <c r="W15" s="81">
        <f>(0.85*$B$5/$B$6)*(1-SQRT(1-2*V15/(0.85*$B$5)))</f>
        <v>0.005611466029</v>
      </c>
      <c r="X15" s="82">
        <f>W15*(E15*1000)*K15</f>
        <v>672.7726909</v>
      </c>
      <c r="Y15" s="82">
        <f>MAX(X15,O15)</f>
        <v>672.7726909</v>
      </c>
      <c r="Z15" s="83">
        <f>ROUNDUP(Y15/$B$9,0)</f>
        <v>4</v>
      </c>
      <c r="AA15" s="82">
        <f>Z15*$B$9</f>
        <v>796</v>
      </c>
      <c r="AB15" s="79">
        <f>0.9*AA15*$B$6*(K15-(AA15*$B$6/(0.85*$B$5*(E15*1000)))/2)/1000000</f>
        <v>97.03119664</v>
      </c>
      <c r="AC15" s="84" t="str">
        <f>IF(AB15&gt;=H15,"CUMPLE","REVISAR")</f>
        <v>CUMPLE</v>
      </c>
      <c r="AD15" s="79">
        <f>0.17*SQRT($B$5)*(E15*1000)*K15/1000</f>
        <v>107.8499513</v>
      </c>
      <c r="AE15" s="79">
        <f>MAX(I15/0.75-AD15,0)</f>
        <v>0</v>
      </c>
      <c r="AF15" s="83">
        <f>IF(AE15&gt;0,MIN($B$11*$B$6*K15/(AE15*1000),MIN(K15/4,6*$B$8,150)),MIN(K15/4,6*$B$8,150))</f>
        <v>85.6375</v>
      </c>
      <c r="AG15" s="79">
        <f>0.66*SQRT($B$5)*(E15*1000)*K15/1000</f>
        <v>418.7115756</v>
      </c>
      <c r="AH15" s="84" t="str">
        <f>IF(AE15&lt;=AG15,"CUMPLE","AUMENTAR SECCION")</f>
        <v>CUMPLE</v>
      </c>
      <c r="AI15" s="79">
        <f>0.75*0.083*SQRT($B$5)*(((E15*1000)*(F15*1000))^2/(2*((E15*1000)+(F15*1000))))/1000000</f>
        <v>4.304108233</v>
      </c>
      <c r="AJ15" s="85" t="str">
        <f>IF(J15&gt;AI15,"SI - disenar","No - despreciable")</f>
        <v>No - despreciable</v>
      </c>
      <c r="AK15" s="80">
        <f>IF(J15&gt;AI15,J15*1000000/(0.75*2*0.85*((E15*1000-2*$B$7)*(F15*1000-2*$B$7))*$B$6),0)</f>
        <v>0</v>
      </c>
      <c r="AL15" s="79">
        <f>1.25*R15*$B$6*(K15-(1.25*R15*$B$6/(0.85*$B$5*(E15*1000)))/2)/1000000</f>
        <v>132.6690274</v>
      </c>
      <c r="AM15" s="79">
        <f>1.25*AA15*$B$6*(K15-(1.25*AA15*$B$6/(0.85*$B$5*(E15*1000)))/2)/1000000</f>
        <v>132.6690274</v>
      </c>
      <c r="AN15" s="79">
        <f>(AL15+AM15)/B15</f>
        <v>98.27335359</v>
      </c>
      <c r="AO15" s="79">
        <f>MAX(I15,AN15)</f>
        <v>98.27335359</v>
      </c>
    </row>
    <row r="16">
      <c r="A16" s="72" t="inlineStr">
        <is>
          <t>VR-3</t>
        </is>
      </c>
      <c r="B16" s="75" t="n">
        <v>2.8</v>
      </c>
      <c r="C16" s="76" t="inlineStr">
        <is>
          <t>Todos</t>
        </is>
      </c>
      <c r="D16" s="77" t="n">
        <v>15</v>
      </c>
      <c r="E16" s="75" t="n">
        <v>0.35</v>
      </c>
      <c r="F16" s="75" t="n">
        <v>0.4</v>
      </c>
      <c r="G16" s="78" t="n">
        <v>83.5</v>
      </c>
      <c r="H16" s="78" t="n">
        <v>81.5</v>
      </c>
      <c r="I16" s="78" t="n">
        <v>63.5</v>
      </c>
      <c r="J16" s="78" t="n">
        <v>2.8</v>
      </c>
      <c r="K16" s="79">
        <f>F16*1000-$B$7-$B$10-$B$8/2</f>
        <v>342.55</v>
      </c>
      <c r="L16" s="80">
        <f>G16*1000000/(0.9*(E16*1000)*K16^2)</f>
        <v>2.259061104</v>
      </c>
      <c r="M16" s="81">
        <f>(0.85*$B$5/$B$6)*(1-SQRT(1-2*L16/(0.85*$B$5)))</f>
        <v>0.005661537569</v>
      </c>
      <c r="N16" s="82">
        <f>M16*(E16*1000)*K16</f>
        <v>678.775893</v>
      </c>
      <c r="O16" s="82">
        <f>MAX(0.25*SQRT($B$5)/$B$6,1.4/$B$6)*(E16*1000)*K16</f>
        <v>399.6416667</v>
      </c>
      <c r="P16" s="82">
        <f>MAX(N16,O16)</f>
        <v>678.775893</v>
      </c>
      <c r="Q16" s="83">
        <f>ROUNDUP(P16/$B$9,0)</f>
        <v>4</v>
      </c>
      <c r="R16" s="82">
        <f>Q16*$B$9</f>
        <v>796</v>
      </c>
      <c r="S16" s="79">
        <f>R16*$B$6/(0.85*$B$5*(E16*1000))</f>
        <v>40.13445378</v>
      </c>
      <c r="T16" s="79">
        <f>0.9*R16*$B$6*(K16-S16/2)/1000000</f>
        <v>97.03119664</v>
      </c>
      <c r="U16" s="84" t="str">
        <f>IF(AND(T16&gt;=G16,P16&lt;=0.025*(E16*1000)*K16,P16&gt;=O16),"CUMPLE","REVISAR")</f>
        <v>CUMPLE</v>
      </c>
      <c r="V16" s="80">
        <f>H16*1000000/(0.9*(E16*1000)*K16^2)</f>
        <v>2.204951856</v>
      </c>
      <c r="W16" s="81">
        <f>(0.85*$B$5/$B$6)*(1-SQRT(1-2*V16/(0.85*$B$5)))</f>
        <v>0.005518606073</v>
      </c>
      <c r="X16" s="82">
        <f>W16*(E16*1000)*K16</f>
        <v>661.6394787</v>
      </c>
      <c r="Y16" s="82">
        <f>MAX(X16,O16)</f>
        <v>661.6394787</v>
      </c>
      <c r="Z16" s="83">
        <f>ROUNDUP(Y16/$B$9,0)</f>
        <v>4</v>
      </c>
      <c r="AA16" s="82">
        <f>Z16*$B$9</f>
        <v>796</v>
      </c>
      <c r="AB16" s="79">
        <f>0.9*AA16*$B$6*(K16-(AA16*$B$6/(0.85*$B$5*(E16*1000)))/2)/1000000</f>
        <v>97.03119664</v>
      </c>
      <c r="AC16" s="84" t="str">
        <f>IF(AB16&gt;=H16,"CUMPLE","REVISAR")</f>
        <v>CUMPLE</v>
      </c>
      <c r="AD16" s="79">
        <f>0.17*SQRT($B$5)*(E16*1000)*K16/1000</f>
        <v>107.8499513</v>
      </c>
      <c r="AE16" s="79">
        <f>MAX(I16/0.75-AD16,0)</f>
        <v>0</v>
      </c>
      <c r="AF16" s="83">
        <f>IF(AE16&gt;0,MIN($B$11*$B$6*K16/(AE16*1000),MIN(K16/4,6*$B$8,150)),MIN(K16/4,6*$B$8,150))</f>
        <v>85.6375</v>
      </c>
      <c r="AG16" s="79">
        <f>0.66*SQRT($B$5)*(E16*1000)*K16/1000</f>
        <v>418.7115756</v>
      </c>
      <c r="AH16" s="84" t="str">
        <f>IF(AE16&lt;=AG16,"CUMPLE","AUMENTAR SECCION")</f>
        <v>CUMPLE</v>
      </c>
      <c r="AI16" s="79">
        <f>0.75*0.083*SQRT($B$5)*(((E16*1000)*(F16*1000))^2/(2*((E16*1000)+(F16*1000))))/1000000</f>
        <v>4.304108233</v>
      </c>
      <c r="AJ16" s="85" t="str">
        <f>IF(J16&gt;AI16,"SI - disenar","No - despreciable")</f>
        <v>No - despreciable</v>
      </c>
      <c r="AK16" s="80">
        <f>IF(J16&gt;AI16,J16*1000000/(0.75*2*0.85*((E16*1000-2*$B$7)*(F16*1000-2*$B$7))*$B$6),0)</f>
        <v>0</v>
      </c>
      <c r="AL16" s="79">
        <f>1.25*R16*$B$6*(K16-(1.25*R16*$B$6/(0.85*$B$5*(E16*1000)))/2)/1000000</f>
        <v>132.6690274</v>
      </c>
      <c r="AM16" s="79">
        <f>1.25*AA16*$B$6*(K16-(1.25*AA16*$B$6/(0.85*$B$5*(E16*1000)))/2)/1000000</f>
        <v>132.6690274</v>
      </c>
      <c r="AN16" s="79">
        <f>(AL16+AM16)/B16</f>
        <v>94.76359097</v>
      </c>
      <c r="AO16" s="79">
        <f>MAX(I16,AN16)</f>
        <v>94.76359097</v>
      </c>
    </row>
    <row r="17">
      <c r="A17" s="72" t="inlineStr">
        <is>
          <t>VR-4</t>
        </is>
      </c>
      <c r="B17" s="75" t="n">
        <v>2.95</v>
      </c>
      <c r="C17" s="76" t="inlineStr">
        <is>
          <t>Todos</t>
        </is>
      </c>
      <c r="D17" s="77" t="n">
        <v>10</v>
      </c>
      <c r="E17" s="75" t="n">
        <v>0.35</v>
      </c>
      <c r="F17" s="75" t="n">
        <v>0.4</v>
      </c>
      <c r="G17" s="78" t="n">
        <v>81.7</v>
      </c>
      <c r="H17" s="78" t="n">
        <v>32.9</v>
      </c>
      <c r="I17" s="78" t="n">
        <v>53.5</v>
      </c>
      <c r="J17" s="78" t="n">
        <v>2.9</v>
      </c>
      <c r="K17" s="79">
        <f>F17*1000-$B$7-$B$10-$B$8/2</f>
        <v>342.55</v>
      </c>
      <c r="L17" s="80">
        <f>G17*1000000/(0.9*(E17*1000)*K17^2)</f>
        <v>2.21036278</v>
      </c>
      <c r="M17" s="81">
        <f>(0.85*$B$5/$B$6)*(1-SQRT(1-2*L17/(0.85*$B$5)))</f>
        <v>0.005532881244</v>
      </c>
      <c r="N17" s="82">
        <f>M17*(E17*1000)*K17</f>
        <v>663.3509646</v>
      </c>
      <c r="O17" s="82">
        <f>MAX(0.25*SQRT($B$5)/$B$6,1.4/$B$6)*(E17*1000)*K17</f>
        <v>399.6416667</v>
      </c>
      <c r="P17" s="82">
        <f>MAX(N17,O17)</f>
        <v>663.3509646</v>
      </c>
      <c r="Q17" s="83">
        <f>ROUNDUP(P17/$B$9,0)</f>
        <v>4</v>
      </c>
      <c r="R17" s="82">
        <f>Q17*$B$9</f>
        <v>796</v>
      </c>
      <c r="S17" s="79">
        <f>R17*$B$6/(0.85*$B$5*(E17*1000))</f>
        <v>40.13445378</v>
      </c>
      <c r="T17" s="79">
        <f>0.9*R17*$B$6*(K17-S17/2)/1000000</f>
        <v>97.03119664</v>
      </c>
      <c r="U17" s="84" t="str">
        <f>IF(AND(T17&gt;=G17,P17&lt;=0.025*(E17*1000)*K17,P17&gt;=O17),"CUMPLE","REVISAR")</f>
        <v>CUMPLE</v>
      </c>
      <c r="V17" s="80">
        <f>H17*1000000/(0.9*(E17*1000)*K17^2)</f>
        <v>0.8900971295</v>
      </c>
      <c r="W17" s="81">
        <f>(0.85*$B$5/$B$6)*(1-SQRT(1-2*V17/(0.85*$B$5)))</f>
        <v>0.002160463612</v>
      </c>
      <c r="X17" s="82">
        <f>W17*(E17*1000)*K17</f>
        <v>259.0233836</v>
      </c>
      <c r="Y17" s="82">
        <f>MAX(X17,O17)</f>
        <v>399.6416667</v>
      </c>
      <c r="Z17" s="83">
        <f>ROUNDUP(Y17/$B$9,0)</f>
        <v>3</v>
      </c>
      <c r="AA17" s="82">
        <f>Z17*$B$9</f>
        <v>597</v>
      </c>
      <c r="AB17" s="79">
        <f>0.9*AA17*$B$6*(K17-(AA17*$B$6/(0.85*$B$5*(E17*1000)))/2)/1000000</f>
        <v>73.90552018</v>
      </c>
      <c r="AC17" s="84" t="str">
        <f>IF(AB17&gt;=H17,"CUMPLE","REVISAR")</f>
        <v>CUMPLE</v>
      </c>
      <c r="AD17" s="79">
        <f>0.17*SQRT($B$5)*(E17*1000)*K17/1000</f>
        <v>107.8499513</v>
      </c>
      <c r="AE17" s="79">
        <f>MAX(I17/0.75-AD17,0)</f>
        <v>0</v>
      </c>
      <c r="AF17" s="83">
        <f>IF(AE17&gt;0,MIN($B$11*$B$6*K17/(AE17*1000),MIN(K17/4,6*$B$8,150)),MIN(K17/4,6*$B$8,150))</f>
        <v>85.6375</v>
      </c>
      <c r="AG17" s="79">
        <f>0.66*SQRT($B$5)*(E17*1000)*K17/1000</f>
        <v>418.7115756</v>
      </c>
      <c r="AH17" s="84" t="str">
        <f>IF(AE17&lt;=AG17,"CUMPLE","AUMENTAR SECCION")</f>
        <v>CUMPLE</v>
      </c>
      <c r="AI17" s="79">
        <f>0.75*0.083*SQRT($B$5)*(((E17*1000)*(F17*1000))^2/(2*((E17*1000)+(F17*1000))))/1000000</f>
        <v>4.304108233</v>
      </c>
      <c r="AJ17" s="85" t="str">
        <f>IF(J17&gt;AI17,"SI - disenar","No - despreciable")</f>
        <v>No - despreciable</v>
      </c>
      <c r="AK17" s="80">
        <f>IF(J17&gt;AI17,J17*1000000/(0.75*2*0.85*((E17*1000-2*$B$7)*(F17*1000-2*$B$7))*$B$6),0)</f>
        <v>0</v>
      </c>
      <c r="AL17" s="79">
        <f>1.25*R17*$B$6*(K17-(1.25*R17*$B$6/(0.85*$B$5*(E17*1000)))/2)/1000000</f>
        <v>132.6690274</v>
      </c>
      <c r="AM17" s="79">
        <f>1.25*AA17*$B$6*(K17-(1.25*AA17*$B$6/(0.85*$B$5*(E17*1000)))/2)/1000000</f>
        <v>101.4672613</v>
      </c>
      <c r="AN17" s="79">
        <f>(AL17+AM17)/B17</f>
        <v>79.36823345</v>
      </c>
      <c r="AO17" s="79">
        <f>MAX(I17,AN17)</f>
        <v>79.36823345</v>
      </c>
    </row>
    <row r="18">
      <c r="A18" s="72" t="inlineStr">
        <is>
          <t>VR-5</t>
        </is>
      </c>
      <c r="B18" s="75" t="n">
        <v>3.3</v>
      </c>
      <c r="C18" s="76" t="inlineStr">
        <is>
          <t>Todos</t>
        </is>
      </c>
      <c r="D18" s="77" t="n">
        <v>10</v>
      </c>
      <c r="E18" s="75" t="n">
        <v>0.35</v>
      </c>
      <c r="F18" s="75" t="n">
        <v>0.4</v>
      </c>
      <c r="G18" s="78" t="n">
        <v>94.09999999999999</v>
      </c>
      <c r="H18" s="78" t="n">
        <v>82.2</v>
      </c>
      <c r="I18" s="78" t="n">
        <v>59.6</v>
      </c>
      <c r="J18" s="78" t="n">
        <v>1.2</v>
      </c>
      <c r="K18" s="79">
        <f>F18*1000-$B$7-$B$10-$B$8/2</f>
        <v>342.55</v>
      </c>
      <c r="L18" s="80">
        <f>G18*1000000/(0.9*(E18*1000)*K18^2)</f>
        <v>2.545840118</v>
      </c>
      <c r="M18" s="81">
        <f>(0.85*$B$5/$B$6)*(1-SQRT(1-2*L18/(0.85*$B$5)))</f>
        <v>0.006425862723</v>
      </c>
      <c r="N18" s="82">
        <f>M18*(E18*1000)*K18</f>
        <v>770.4127466</v>
      </c>
      <c r="O18" s="82">
        <f>MAX(0.25*SQRT($B$5)/$B$6,1.4/$B$6)*(E18*1000)*K18</f>
        <v>399.6416667</v>
      </c>
      <c r="P18" s="82">
        <f>MAX(N18,O18)</f>
        <v>770.4127466</v>
      </c>
      <c r="Q18" s="83">
        <f>ROUNDUP(P18/$B$9,0)</f>
        <v>4</v>
      </c>
      <c r="R18" s="82">
        <f>Q18*$B$9</f>
        <v>796</v>
      </c>
      <c r="S18" s="79">
        <f>R18*$B$6/(0.85*$B$5*(E18*1000))</f>
        <v>40.13445378</v>
      </c>
      <c r="T18" s="79">
        <f>0.9*R18*$B$6*(K18-S18/2)/1000000</f>
        <v>97.03119664</v>
      </c>
      <c r="U18" s="84" t="str">
        <f>IF(AND(T18&gt;=G18,P18&lt;=0.025*(E18*1000)*K18,P18&gt;=O18),"CUMPLE","REVISAR")</f>
        <v>CUMPLE</v>
      </c>
      <c r="V18" s="80">
        <f>H18*1000000/(0.9*(E18*1000)*K18^2)</f>
        <v>2.223890092</v>
      </c>
      <c r="W18" s="81">
        <f>(0.85*$B$5/$B$6)*(1-SQRT(1-2*V18/(0.85*$B$5)))</f>
        <v>0.005568586619</v>
      </c>
      <c r="X18" s="82">
        <f>W18*(E18*1000)*K18</f>
        <v>667.6317712</v>
      </c>
      <c r="Y18" s="82">
        <f>MAX(X18,O18)</f>
        <v>667.6317712</v>
      </c>
      <c r="Z18" s="83">
        <f>ROUNDUP(Y18/$B$9,0)</f>
        <v>4</v>
      </c>
      <c r="AA18" s="82">
        <f>Z18*$B$9</f>
        <v>796</v>
      </c>
      <c r="AB18" s="79">
        <f>0.9*AA18*$B$6*(K18-(AA18*$B$6/(0.85*$B$5*(E18*1000)))/2)/1000000</f>
        <v>97.03119664</v>
      </c>
      <c r="AC18" s="84" t="str">
        <f>IF(AB18&gt;=H18,"CUMPLE","REVISAR")</f>
        <v>CUMPLE</v>
      </c>
      <c r="AD18" s="79">
        <f>0.17*SQRT($B$5)*(E18*1000)*K18/1000</f>
        <v>107.8499513</v>
      </c>
      <c r="AE18" s="79">
        <f>MAX(I18/0.75-AD18,0)</f>
        <v>0</v>
      </c>
      <c r="AF18" s="83">
        <f>IF(AE18&gt;0,MIN($B$11*$B$6*K18/(AE18*1000),MIN(K18/4,6*$B$8,150)),MIN(K18/4,6*$B$8,150))</f>
        <v>85.6375</v>
      </c>
      <c r="AG18" s="79">
        <f>0.66*SQRT($B$5)*(E18*1000)*K18/1000</f>
        <v>418.7115756</v>
      </c>
      <c r="AH18" s="84" t="str">
        <f>IF(AE18&lt;=AG18,"CUMPLE","AUMENTAR SECCION")</f>
        <v>CUMPLE</v>
      </c>
      <c r="AI18" s="79">
        <f>0.75*0.083*SQRT($B$5)*(((E18*1000)*(F18*1000))^2/(2*((E18*1000)+(F18*1000))))/1000000</f>
        <v>4.304108233</v>
      </c>
      <c r="AJ18" s="85" t="str">
        <f>IF(J18&gt;AI18,"SI - disenar","No - despreciable")</f>
        <v>No - despreciable</v>
      </c>
      <c r="AK18" s="80">
        <f>IF(J18&gt;AI18,J18*1000000/(0.75*2*0.85*((E18*1000-2*$B$7)*(F18*1000-2*$B$7))*$B$6),0)</f>
        <v>0</v>
      </c>
      <c r="AL18" s="79">
        <f>1.25*R18*$B$6*(K18-(1.25*R18*$B$6/(0.85*$B$5*(E18*1000)))/2)/1000000</f>
        <v>132.6690274</v>
      </c>
      <c r="AM18" s="79">
        <f>1.25*AA18*$B$6*(K18-(1.25*AA18*$B$6/(0.85*$B$5*(E18*1000)))/2)/1000000</f>
        <v>132.6690274</v>
      </c>
      <c r="AN18" s="79">
        <f>(AL18+AM18)/B18</f>
        <v>80.40547112</v>
      </c>
      <c r="AO18" s="79">
        <f>MAX(I18,AN18)</f>
        <v>80.40547112</v>
      </c>
    </row>
    <row r="19">
      <c r="A19" s="72" t="inlineStr">
        <is>
          <t>VR-6</t>
        </is>
      </c>
      <c r="B19" s="75" t="n">
        <v>3.65</v>
      </c>
      <c r="C19" s="76" t="inlineStr">
        <is>
          <t>Todos</t>
        </is>
      </c>
      <c r="D19" s="77" t="n">
        <v>40</v>
      </c>
      <c r="E19" s="75" t="n">
        <v>0.35</v>
      </c>
      <c r="F19" s="75" t="n">
        <v>0.4</v>
      </c>
      <c r="G19" s="78" t="n">
        <v>84.59999999999999</v>
      </c>
      <c r="H19" s="78" t="n">
        <v>73.90000000000001</v>
      </c>
      <c r="I19" s="78" t="n">
        <v>54.5</v>
      </c>
      <c r="J19" s="78" t="n">
        <v>4</v>
      </c>
      <c r="K19" s="79">
        <f>F19*1000-$B$7-$B$10-$B$8/2</f>
        <v>342.55</v>
      </c>
      <c r="L19" s="80">
        <f>G19*1000000/(0.9*(E19*1000)*K19^2)</f>
        <v>2.28882119</v>
      </c>
      <c r="M19" s="81">
        <f>(0.85*$B$5/$B$6)*(1-SQRT(1-2*L19/(0.85*$B$5)))</f>
        <v>0.005740320884</v>
      </c>
      <c r="N19" s="82">
        <f>M19*(E19*1000)*K19</f>
        <v>688.2214216</v>
      </c>
      <c r="O19" s="82">
        <f>MAX(0.25*SQRT($B$5)/$B$6,1.4/$B$6)*(E19*1000)*K19</f>
        <v>399.6416667</v>
      </c>
      <c r="P19" s="82">
        <f>MAX(N19,O19)</f>
        <v>688.2214216</v>
      </c>
      <c r="Q19" s="83">
        <f>ROUNDUP(P19/$B$9,0)</f>
        <v>4</v>
      </c>
      <c r="R19" s="82">
        <f>Q19*$B$9</f>
        <v>796</v>
      </c>
      <c r="S19" s="79">
        <f>R19*$B$6/(0.85*$B$5*(E19*1000))</f>
        <v>40.13445378</v>
      </c>
      <c r="T19" s="79">
        <f>0.9*R19*$B$6*(K19-S19/2)/1000000</f>
        <v>97.03119664</v>
      </c>
      <c r="U19" s="84" t="str">
        <f>IF(AND(T19&gt;=G19,P19&lt;=0.025*(E19*1000)*K19,P19&gt;=O19),"CUMPLE","REVISAR")</f>
        <v>CUMPLE</v>
      </c>
      <c r="V19" s="80">
        <f>H19*1000000/(0.9*(E19*1000)*K19^2)</f>
        <v>1.999336713</v>
      </c>
      <c r="W19" s="81">
        <f>(0.85*$B$5/$B$6)*(1-SQRT(1-2*V19/(0.85*$B$5)))</f>
        <v>0.004979070925</v>
      </c>
      <c r="X19" s="82">
        <f>W19*(E19*1000)*K19</f>
        <v>596.9532609</v>
      </c>
      <c r="Y19" s="82">
        <f>MAX(X19,O19)</f>
        <v>596.9532609</v>
      </c>
      <c r="Z19" s="83">
        <f>ROUNDUP(Y19/$B$9,0)</f>
        <v>3</v>
      </c>
      <c r="AA19" s="82">
        <f>Z19*$B$9</f>
        <v>597</v>
      </c>
      <c r="AB19" s="79">
        <f>0.9*AA19*$B$6*(K19-(AA19*$B$6/(0.85*$B$5*(E19*1000)))/2)/1000000</f>
        <v>73.90552018</v>
      </c>
      <c r="AC19" s="84" t="str">
        <f>IF(AB19&gt;=H19,"CUMPLE","REVISAR")</f>
        <v>CUMPLE</v>
      </c>
      <c r="AD19" s="79">
        <f>0.17*SQRT($B$5)*(E19*1000)*K19/1000</f>
        <v>107.8499513</v>
      </c>
      <c r="AE19" s="79">
        <f>MAX(I19/0.75-AD19,0)</f>
        <v>0</v>
      </c>
      <c r="AF19" s="83">
        <f>IF(AE19&gt;0,MIN($B$11*$B$6*K19/(AE19*1000),MIN(K19/4,6*$B$8,150)),MIN(K19/4,6*$B$8,150))</f>
        <v>85.6375</v>
      </c>
      <c r="AG19" s="79">
        <f>0.66*SQRT($B$5)*(E19*1000)*K19/1000</f>
        <v>418.7115756</v>
      </c>
      <c r="AH19" s="84" t="str">
        <f>IF(AE19&lt;=AG19,"CUMPLE","AUMENTAR SECCION")</f>
        <v>CUMPLE</v>
      </c>
      <c r="AI19" s="79">
        <f>0.75*0.083*SQRT($B$5)*(((E19*1000)*(F19*1000))^2/(2*((E19*1000)+(F19*1000))))/1000000</f>
        <v>4.304108233</v>
      </c>
      <c r="AJ19" s="85" t="str">
        <f>IF(J19&gt;AI19,"SI - disenar","No - despreciable")</f>
        <v>No - despreciable</v>
      </c>
      <c r="AK19" s="80">
        <f>IF(J19&gt;AI19,J19*1000000/(0.75*2*0.85*((E19*1000-2*$B$7)*(F19*1000-2*$B$7))*$B$6),0)</f>
        <v>0</v>
      </c>
      <c r="AL19" s="79">
        <f>1.25*R19*$B$6*(K19-(1.25*R19*$B$6/(0.85*$B$5*(E19*1000)))/2)/1000000</f>
        <v>132.6690274</v>
      </c>
      <c r="AM19" s="79">
        <f>1.25*AA19*$B$6*(K19-(1.25*AA19*$B$6/(0.85*$B$5*(E19*1000)))/2)/1000000</f>
        <v>101.4672613</v>
      </c>
      <c r="AN19" s="79">
        <f>(AL19+AM19)/B19</f>
        <v>64.1469284</v>
      </c>
      <c r="AO19" s="79">
        <f>MAX(I19,AN19)</f>
        <v>64.1469284</v>
      </c>
    </row>
    <row r="20">
      <c r="A20" s="72" t="inlineStr">
        <is>
          <t>VR-7</t>
        </is>
      </c>
      <c r="B20" s="75" t="n">
        <v>4.18</v>
      </c>
      <c r="C20" s="76" t="inlineStr">
        <is>
          <t>Todos</t>
        </is>
      </c>
      <c r="D20" s="77" t="n">
        <v>20</v>
      </c>
      <c r="E20" s="75" t="n">
        <v>0.35</v>
      </c>
      <c r="F20" s="75" t="n">
        <v>0.4</v>
      </c>
      <c r="G20" s="78" t="n">
        <v>80.59999999999999</v>
      </c>
      <c r="H20" s="78" t="n">
        <v>67.09999999999999</v>
      </c>
      <c r="I20" s="78" t="n">
        <v>47.3</v>
      </c>
      <c r="J20" s="78" t="n">
        <v>0.3</v>
      </c>
      <c r="K20" s="79">
        <f>F20*1000-$B$7-$B$10-$B$8/2</f>
        <v>342.55</v>
      </c>
      <c r="L20" s="80">
        <f>G20*1000000/(0.9*(E20*1000)*K20^2)</f>
        <v>2.180602694</v>
      </c>
      <c r="M20" s="81">
        <f>(0.85*$B$5/$B$6)*(1-SQRT(1-2*L20/(0.85*$B$5)))</f>
        <v>0.005454417047</v>
      </c>
      <c r="N20" s="82">
        <f>M20*(E20*1000)*K20</f>
        <v>653.9436958</v>
      </c>
      <c r="O20" s="82">
        <f>MAX(0.25*SQRT($B$5)/$B$6,1.4/$B$6)*(E20*1000)*K20</f>
        <v>399.6416667</v>
      </c>
      <c r="P20" s="82">
        <f>MAX(N20,O20)</f>
        <v>653.9436958</v>
      </c>
      <c r="Q20" s="83">
        <f>ROUNDUP(P20/$B$9,0)</f>
        <v>4</v>
      </c>
      <c r="R20" s="82">
        <f>Q20*$B$9</f>
        <v>796</v>
      </c>
      <c r="S20" s="79">
        <f>R20*$B$6/(0.85*$B$5*(E20*1000))</f>
        <v>40.13445378</v>
      </c>
      <c r="T20" s="79">
        <f>0.9*R20*$B$6*(K20-S20/2)/1000000</f>
        <v>97.03119664</v>
      </c>
      <c r="U20" s="84" t="str">
        <f>IF(AND(T20&gt;=G20,P20&lt;=0.025*(E20*1000)*K20,P20&gt;=O20),"CUMPLE","REVISAR")</f>
        <v>CUMPLE</v>
      </c>
      <c r="V20" s="80">
        <f>H20*1000000/(0.9*(E20*1000)*K20^2)</f>
        <v>1.81536527</v>
      </c>
      <c r="W20" s="81">
        <f>(0.85*$B$5/$B$6)*(1-SQRT(1-2*V20/(0.85*$B$5)))</f>
        <v>0.004501058826</v>
      </c>
      <c r="X20" s="82">
        <f>W20*(E20*1000)*K20</f>
        <v>539.6431953</v>
      </c>
      <c r="Y20" s="82">
        <f>MAX(X20,O20)</f>
        <v>539.6431953</v>
      </c>
      <c r="Z20" s="83">
        <f>ROUNDUP(Y20/$B$9,0)</f>
        <v>3</v>
      </c>
      <c r="AA20" s="82">
        <f>Z20*$B$9</f>
        <v>597</v>
      </c>
      <c r="AB20" s="79">
        <f>0.9*AA20*$B$6*(K20-(AA20*$B$6/(0.85*$B$5*(E20*1000)))/2)/1000000</f>
        <v>73.90552018</v>
      </c>
      <c r="AC20" s="84" t="str">
        <f>IF(AB20&gt;=H20,"CUMPLE","REVISAR")</f>
        <v>CUMPLE</v>
      </c>
      <c r="AD20" s="79">
        <f>0.17*SQRT($B$5)*(E20*1000)*K20/1000</f>
        <v>107.8499513</v>
      </c>
      <c r="AE20" s="79">
        <f>MAX(I20/0.75-AD20,0)</f>
        <v>0</v>
      </c>
      <c r="AF20" s="83">
        <f>IF(AE20&gt;0,MIN($B$11*$B$6*K20/(AE20*1000),MIN(K20/4,6*$B$8,150)),MIN(K20/4,6*$B$8,150))</f>
        <v>85.6375</v>
      </c>
      <c r="AG20" s="79">
        <f>0.66*SQRT($B$5)*(E20*1000)*K20/1000</f>
        <v>418.7115756</v>
      </c>
      <c r="AH20" s="84" t="str">
        <f>IF(AE20&lt;=AG20,"CUMPLE","AUMENTAR SECCION")</f>
        <v>CUMPLE</v>
      </c>
      <c r="AI20" s="79">
        <f>0.75*0.083*SQRT($B$5)*(((E20*1000)*(F20*1000))^2/(2*((E20*1000)+(F20*1000))))/1000000</f>
        <v>4.304108233</v>
      </c>
      <c r="AJ20" s="85" t="str">
        <f>IF(J20&gt;AI20,"SI - disenar","No - despreciable")</f>
        <v>No - despreciable</v>
      </c>
      <c r="AK20" s="80">
        <f>IF(J20&gt;AI20,J20*1000000/(0.75*2*0.85*((E20*1000-2*$B$7)*(F20*1000-2*$B$7))*$B$6),0)</f>
        <v>0</v>
      </c>
      <c r="AL20" s="79">
        <f>1.25*R20*$B$6*(K20-(1.25*R20*$B$6/(0.85*$B$5*(E20*1000)))/2)/1000000</f>
        <v>132.6690274</v>
      </c>
      <c r="AM20" s="79">
        <f>1.25*AA20*$B$6*(K20-(1.25*AA20*$B$6/(0.85*$B$5*(E20*1000)))/2)/1000000</f>
        <v>101.4672613</v>
      </c>
      <c r="AN20" s="79">
        <f>(AL20+AM20)/B20</f>
        <v>56.01346619</v>
      </c>
      <c r="AO20" s="79">
        <f>MAX(I20,AN20)</f>
        <v>56.01346619</v>
      </c>
    </row>
    <row r="21">
      <c r="A21" s="72" t="inlineStr">
        <is>
          <t>VR-8</t>
        </is>
      </c>
      <c r="B21" s="75" t="n">
        <v>5.5</v>
      </c>
      <c r="C21" s="76" t="inlineStr">
        <is>
          <t>Todos</t>
        </is>
      </c>
      <c r="D21" s="77" t="n">
        <v>2</v>
      </c>
      <c r="E21" s="75" t="n">
        <v>0.35</v>
      </c>
      <c r="F21" s="75" t="n">
        <v>0.4</v>
      </c>
      <c r="G21" s="78" t="n">
        <v>41.2</v>
      </c>
      <c r="H21" s="78" t="n">
        <v>16.1</v>
      </c>
      <c r="I21" s="78" t="n">
        <v>28.7</v>
      </c>
      <c r="J21" s="78" t="n">
        <v>0.4</v>
      </c>
      <c r="K21" s="79">
        <f>F21*1000-$B$7-$B$10-$B$8/2</f>
        <v>342.55</v>
      </c>
      <c r="L21" s="80">
        <f>G21*1000000/(0.9*(E21*1000)*K21^2)</f>
        <v>1.114650509</v>
      </c>
      <c r="M21" s="81">
        <f>(0.85*$B$5/$B$6)*(1-SQRT(1-2*L21/(0.85*$B$5)))</f>
        <v>0.002719169946</v>
      </c>
      <c r="N21" s="82">
        <f>M21*(E21*1000)*K21</f>
        <v>326.0080827</v>
      </c>
      <c r="O21" s="82">
        <f>MAX(0.25*SQRT($B$5)/$B$6,1.4/$B$6)*(E21*1000)*K21</f>
        <v>399.6416667</v>
      </c>
      <c r="P21" s="82">
        <f>MAX(N21,O21)</f>
        <v>399.6416667</v>
      </c>
      <c r="Q21" s="83">
        <f>ROUNDUP(P21/$B$9,0)</f>
        <v>3</v>
      </c>
      <c r="R21" s="82">
        <f>Q21*$B$9</f>
        <v>597</v>
      </c>
      <c r="S21" s="79">
        <f>R21*$B$6/(0.85*$B$5*(E21*1000))</f>
        <v>30.10084034</v>
      </c>
      <c r="T21" s="79">
        <f>0.9*R21*$B$6*(K21-S21/2)/1000000</f>
        <v>73.90552018</v>
      </c>
      <c r="U21" s="84" t="str">
        <f>IF(AND(T21&gt;=G21,P21&lt;=0.025*(E21*1000)*K21,P21&gt;=O21),"CUMPLE","REVISAR")</f>
        <v>CUMPLE</v>
      </c>
      <c r="V21" s="80">
        <f>H21*1000000/(0.9*(E21*1000)*K21^2)</f>
        <v>0.4355794463</v>
      </c>
      <c r="W21" s="81">
        <f>(0.85*$B$5/$B$6)*(1-SQRT(1-2*V21/(0.85*$B$5)))</f>
        <v>0.001046761954</v>
      </c>
      <c r="X21" s="82">
        <f>W21*(E21*1000)*K21</f>
        <v>125.4989076</v>
      </c>
      <c r="Y21" s="82">
        <f>MAX(X21,O21)</f>
        <v>399.6416667</v>
      </c>
      <c r="Z21" s="83">
        <f>ROUNDUP(Y21/$B$9,0)</f>
        <v>3</v>
      </c>
      <c r="AA21" s="82">
        <f>Z21*$B$9</f>
        <v>597</v>
      </c>
      <c r="AB21" s="79">
        <f>0.9*AA21*$B$6*(K21-(AA21*$B$6/(0.85*$B$5*(E21*1000)))/2)/1000000</f>
        <v>73.90552018</v>
      </c>
      <c r="AC21" s="84" t="str">
        <f>IF(AB21&gt;=H21,"CUMPLE","REVISAR")</f>
        <v>CUMPLE</v>
      </c>
      <c r="AD21" s="79">
        <f>0.17*SQRT($B$5)*(E21*1000)*K21/1000</f>
        <v>107.8499513</v>
      </c>
      <c r="AE21" s="79">
        <f>MAX(I21/0.75-AD21,0)</f>
        <v>0</v>
      </c>
      <c r="AF21" s="83">
        <f>IF(AE21&gt;0,MIN($B$11*$B$6*K21/(AE21*1000),MIN(K21/4,6*$B$8,150)),MIN(K21/4,6*$B$8,150))</f>
        <v>85.6375</v>
      </c>
      <c r="AG21" s="79">
        <f>0.66*SQRT($B$5)*(E21*1000)*K21/1000</f>
        <v>418.7115756</v>
      </c>
      <c r="AH21" s="84" t="str">
        <f>IF(AE21&lt;=AG21,"CUMPLE","AUMENTAR SECCION")</f>
        <v>CUMPLE</v>
      </c>
      <c r="AI21" s="79">
        <f>0.75*0.083*SQRT($B$5)*(((E21*1000)*(F21*1000))^2/(2*((E21*1000)+(F21*1000))))/1000000</f>
        <v>4.304108233</v>
      </c>
      <c r="AJ21" s="85" t="str">
        <f>IF(J21&gt;AI21,"SI - disenar","No - despreciable")</f>
        <v>No - despreciable</v>
      </c>
      <c r="AK21" s="80">
        <f>IF(J21&gt;AI21,J21*1000000/(0.75*2*0.85*((E21*1000-2*$B$7)*(F21*1000-2*$B$7))*$B$6),0)</f>
        <v>0</v>
      </c>
      <c r="AL21" s="79">
        <f>1.25*R21*$B$6*(K21-(1.25*R21*$B$6/(0.85*$B$5*(E21*1000)))/2)/1000000</f>
        <v>101.4672613</v>
      </c>
      <c r="AM21" s="79">
        <f>1.25*AA21*$B$6*(K21-(1.25*AA21*$B$6/(0.85*$B$5*(E21*1000)))/2)/1000000</f>
        <v>101.4672613</v>
      </c>
      <c r="AN21" s="79">
        <f>(AL21+AM21)/B21</f>
        <v>36.89718594</v>
      </c>
      <c r="AO21" s="79">
        <f>MAX(I21,AN21)</f>
        <v>36.89718594</v>
      </c>
    </row>
    <row r="23">
      <c r="A23" s="71" t="inlineStr">
        <is>
          <t>Nota: 'CUMPLE' verifica phiMn&gt;=Mu, cuantia&lt;=0.025 y As&gt;=As_min. El cortante por capacidad (DMO, C.21) toma V diseno=max(Vu,Ve) con Ve=(Mpr-+Mpr+)/Ln. En los apoyos se colocan las barras superiores (As-) y en el centro las inferiores (As+); estribos #3 a la separacion 's estribo' en zona de confinamiento (2h) y d/2 en el resto.</t>
        </is>
      </c>
    </row>
  </sheetData>
  <mergeCells count="8">
    <mergeCell ref="E12:F12"/>
    <mergeCell ref="V12:AC12"/>
    <mergeCell ref="AD12:AH12"/>
    <mergeCell ref="A12:D12"/>
    <mergeCell ref="K12:U12"/>
    <mergeCell ref="G12:J12"/>
    <mergeCell ref="AL12:AO12"/>
    <mergeCell ref="AI12:A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B2:F45"/>
  <sheetViews>
    <sheetView showGridLines="0" zoomScale="110" workbookViewId="0">
      <pane xSplit="2" ySplit="4" topLeftCell="C23" activePane="bottomRight" state="frozen"/>
      <selection pane="topRight" activeCell="A1" sqref="A1"/>
      <selection pane="bottomLeft" activeCell="A1" sqref="A1"/>
      <selection pane="bottomRight" activeCell="I26" sqref="I26:I27"/>
    </sheetView>
  </sheetViews>
  <sheetFormatPr baseColWidth="10" defaultColWidth="9.140625" defaultRowHeight="15"/>
  <cols>
    <col width="2" customWidth="1" style="33" min="1" max="1"/>
    <col width="34" customWidth="1" style="33" min="2" max="2"/>
    <col width="14" customWidth="1" style="33" min="3" max="6"/>
  </cols>
  <sheetData>
    <row r="2">
      <c r="B2" s="38" t="inlineStr">
        <is>
          <t>DISENO DE VIGUETAS DE ENTREPISO  (grupos de luz en columnas)</t>
        </is>
      </c>
    </row>
    <row r="4">
      <c r="B4" s="59" t="inlineStr">
        <is>
          <t>DATOS COMUNES</t>
        </is>
      </c>
      <c r="C4" s="35" t="n"/>
      <c r="D4" s="35" t="n"/>
      <c r="E4" s="35" t="n"/>
      <c r="F4" s="36" t="n"/>
    </row>
    <row r="5">
      <c r="B5" s="23" t="inlineStr">
        <is>
          <t>f'c [MPa]</t>
        </is>
      </c>
      <c r="C5" s="24" t="n">
        <v>28</v>
      </c>
    </row>
    <row r="6">
      <c r="B6" s="12" t="inlineStr">
        <is>
          <t>fy [MPa]</t>
        </is>
      </c>
      <c r="C6" s="20" t="n">
        <v>420</v>
      </c>
    </row>
    <row r="7">
      <c r="B7" s="12" t="inlineStr">
        <is>
          <t>bw [m]</t>
        </is>
      </c>
      <c r="C7" s="20" t="n">
        <v>0.15</v>
      </c>
    </row>
    <row r="8">
      <c r="B8" s="12" t="inlineStr">
        <is>
          <t>h [m]</t>
        </is>
      </c>
      <c r="C8" s="20" t="n">
        <v>0.34</v>
      </c>
    </row>
    <row r="9">
      <c r="B9" s="12" t="inlineStr">
        <is>
          <t>hf loseta [m]</t>
        </is>
      </c>
      <c r="C9" s="20" t="n">
        <v>0.06</v>
      </c>
    </row>
    <row r="10">
      <c r="B10" s="12" t="inlineStr">
        <is>
          <t>sv [m]</t>
        </is>
      </c>
      <c r="C10" s="20" t="n">
        <v>0.8</v>
      </c>
    </row>
    <row r="11">
      <c r="B11" s="12" t="inlineStr">
        <is>
          <t>recubrimiento [m]</t>
        </is>
      </c>
      <c r="C11" s="20" t="n">
        <v>0.03</v>
      </c>
    </row>
    <row r="12">
      <c r="B12" s="12" t="inlineStr">
        <is>
          <t>Diam barra [mm]</t>
        </is>
      </c>
      <c r="C12" s="20" t="n">
        <v>12.7</v>
      </c>
    </row>
    <row r="13">
      <c r="B13" s="12" t="inlineStr">
        <is>
          <t>Area barra [mm2]</t>
        </is>
      </c>
      <c r="C13" s="20" t="n">
        <v>129</v>
      </c>
    </row>
    <row r="14">
      <c r="B14" s="12" t="inlineStr">
        <is>
          <t>wD [kN/m2]</t>
        </is>
      </c>
      <c r="C14" s="20" t="n">
        <v>7.04</v>
      </c>
    </row>
    <row r="15">
      <c r="B15" s="12" t="inlineStr">
        <is>
          <t>wL [kN/m2]</t>
        </is>
      </c>
      <c r="C15" s="20" t="n">
        <v>1.8</v>
      </c>
    </row>
    <row r="16">
      <c r="B16" s="37" t="inlineStr">
        <is>
          <t>d [mm]</t>
        </is>
      </c>
      <c r="C16" s="19">
        <f>C8*1000-C11*1000-C12/2</f>
        <v>303.65</v>
      </c>
    </row>
    <row r="17">
      <c r="B17" s="12" t="inlineStr">
        <is>
          <t>wu = (1.2D+1.6L) sv [kN/m]</t>
        </is>
      </c>
      <c r="C17" s="19">
        <f>(1.2*C14+1.6*C15)*C10</f>
        <v>9.0624</v>
      </c>
    </row>
    <row r="18">
      <c r="B18" s="12" t="inlineStr">
        <is>
          <t>As minimo [mm2]</t>
        </is>
      </c>
      <c r="C18" s="21">
        <f>MAX(0.25*SQRT(C5)/C6,1.4/C6)*C7*1000*C16</f>
        <v>151.825</v>
      </c>
    </row>
    <row r="19">
      <c r="B19" s="12" t="inlineStr">
        <is>
          <t>Vc [kN]</t>
        </is>
      </c>
      <c r="C19" s="21">
        <f>0.17*SQRT(C5)*C7*1000*C16/1000</f>
        <v>40.97250167</v>
      </c>
    </row>
    <row r="20">
      <c r="B20" s="12" t="inlineStr">
        <is>
          <t>phi 1.1 Vc [kN]</t>
        </is>
      </c>
      <c r="C20" s="21">
        <f>0.75*1.1*C19</f>
        <v>33.80231387</v>
      </c>
    </row>
    <row r="22">
      <c r="B22" s="37" t="inlineStr">
        <is>
          <t>Parametro  \  GRUPO (luz)</t>
        </is>
      </c>
      <c r="C22" s="22" t="inlineStr">
        <is>
          <t>VT-1</t>
        </is>
      </c>
      <c r="D22" s="22" t="inlineStr">
        <is>
          <t>VT-2</t>
        </is>
      </c>
      <c r="E22" s="22" t="inlineStr">
        <is>
          <t>VT-3</t>
        </is>
      </c>
      <c r="F22" s="22" t="inlineStr">
        <is>
          <t>VT-4</t>
        </is>
      </c>
    </row>
    <row r="23">
      <c r="B23" s="58" t="inlineStr">
        <is>
          <t>SOLICITACIONES (gravedad, vigueta continua)</t>
        </is>
      </c>
      <c r="C23" s="35" t="n"/>
      <c r="D23" s="35" t="n"/>
      <c r="E23" s="35" t="n"/>
      <c r="F23" s="36" t="n"/>
    </row>
    <row r="24">
      <c r="B24" s="12" t="inlineStr">
        <is>
          <t>Ln [m]</t>
        </is>
      </c>
      <c r="C24" s="20" t="n">
        <v>1.85</v>
      </c>
      <c r="D24" s="20" t="n">
        <v>3.25</v>
      </c>
      <c r="E24" s="20" t="n">
        <v>4.45</v>
      </c>
      <c r="F24" s="20" t="n">
        <v>4.8</v>
      </c>
    </row>
    <row r="25">
      <c r="B25" s="12" t="inlineStr">
        <is>
          <t>bf = min(Ln/4;bw+16hf;sv) [mm]</t>
        </is>
      </c>
      <c r="C25" s="19">
        <f>MIN(C24*1000/4,$C$7*1000+16*$C$9*1000,$C$10*1000)</f>
        <v>462.5</v>
      </c>
      <c r="D25" s="19">
        <f>MIN(D24*1000/4,$C$7*1000+16*$C$9*1000,$C$10*1000)</f>
        <v>800</v>
      </c>
      <c r="E25" s="19">
        <f>MIN(E24*1000/4,$C$7*1000+16*$C$9*1000,$C$10*1000)</f>
        <v>800</v>
      </c>
      <c r="F25" s="19">
        <f>MIN(F24*1000/4,$C$7*1000+16*$C$9*1000,$C$10*1000)</f>
        <v>800</v>
      </c>
    </row>
    <row r="26">
      <c r="B26" s="12" t="inlineStr">
        <is>
          <t>Mu(-) = wu Ln2/10 [kN.m]</t>
        </is>
      </c>
      <c r="C26" s="19">
        <f>$C$17*C24^2/10</f>
        <v>3.1016064</v>
      </c>
      <c r="D26" s="19">
        <f>$C$17*D24^2/10</f>
        <v>9.57216</v>
      </c>
      <c r="E26" s="19">
        <f>$C$17*E24^2/10</f>
        <v>17.9458176</v>
      </c>
      <c r="F26" s="19">
        <f>$C$17*F24^2/10</f>
        <v>20.8797696</v>
      </c>
    </row>
    <row r="27">
      <c r="B27" s="12" t="inlineStr">
        <is>
          <t>Mu(+) = wu Ln2/14 [kN.m]</t>
        </is>
      </c>
      <c r="C27" s="19">
        <f>$C$17*C24^2/14</f>
        <v>2.215433143</v>
      </c>
      <c r="D27" s="19">
        <f>$C$17*D24^2/14</f>
        <v>6.837257143</v>
      </c>
      <c r="E27" s="19">
        <f>$C$17*E24^2/14</f>
        <v>12.81844114</v>
      </c>
      <c r="F27" s="19">
        <f>$C$17*F24^2/14</f>
        <v>14.91412114</v>
      </c>
    </row>
    <row r="28">
      <c r="B28" s="12" t="inlineStr">
        <is>
          <t>Vu = 1.15 wu Ln/2 [kN]</t>
        </is>
      </c>
      <c r="C28" s="19">
        <f>1.15*$C$17*C24/2</f>
        <v>9.640128</v>
      </c>
      <c r="D28" s="19">
        <f>1.15*$C$17*D24/2</f>
        <v>16.93536</v>
      </c>
      <c r="E28" s="19">
        <f>1.15*$C$17*E24/2</f>
        <v>23.188416</v>
      </c>
      <c r="F28" s="19">
        <f>1.15*$C$17*F24/2</f>
        <v>25.012224</v>
      </c>
    </row>
    <row r="29">
      <c r="B29" s="58" t="inlineStr">
        <is>
          <t>FLEXION POSITIVA - viga T (loseta a compresion)</t>
        </is>
      </c>
      <c r="C29" s="35" t="n"/>
      <c r="D29" s="35" t="n"/>
      <c r="E29" s="35" t="n"/>
      <c r="F29" s="36" t="n"/>
    </row>
    <row r="30">
      <c r="B30" s="12" t="inlineStr">
        <is>
          <t>Rn(+) = Mu+/(phi bf d2)</t>
        </is>
      </c>
      <c r="C30" s="16">
        <f>C27*1000000/(0.9*C25*$C$16^2)</f>
        <v>0.05772418781</v>
      </c>
      <c r="D30" s="16">
        <f>D27*1000000/(0.9*D25*$C$16^2)</f>
        <v>0.1029918469</v>
      </c>
      <c r="E30" s="16">
        <f>E27*1000000/(0.9*E25*$C$16^2)</f>
        <v>0.1930883833</v>
      </c>
      <c r="F30" s="16">
        <f>F27*1000000/(0.9*F25*$C$16^2)</f>
        <v>0.2246562985</v>
      </c>
    </row>
    <row r="31">
      <c r="B31" s="12" t="inlineStr">
        <is>
          <t>rho(+)</t>
        </is>
      </c>
      <c r="C31" s="16">
        <f>(0.85*$C$5/$C$6)*(1-SQRT(1-2*C30/(0.85*$C$5)))</f>
        <v>0.0001376056186</v>
      </c>
      <c r="D31" s="16">
        <f>(0.85*$C$5/$C$6)*(1-SQRT(1-2*D30/(0.85*$C$5)))</f>
        <v>0.0002457515699</v>
      </c>
      <c r="E31" s="16">
        <f>(0.85*$C$5/$C$6)*(1-SQRT(1-2*E30/(0.85*$C$5)))</f>
        <v>0.0004616144332</v>
      </c>
      <c r="F31" s="16">
        <f>(0.85*$C$5/$C$6)*(1-SQRT(1-2*F30/(0.85*$C$5)))</f>
        <v>0.0005374445961</v>
      </c>
    </row>
    <row r="32">
      <c r="B32" s="12" t="inlineStr">
        <is>
          <t>As(+) [mm2]</t>
        </is>
      </c>
      <c r="C32" s="16">
        <f>C31*C25*$C$16</f>
        <v>19.32507507</v>
      </c>
      <c r="D32" s="16">
        <f>D31*D25*$C$16</f>
        <v>59.69797136</v>
      </c>
      <c r="E32" s="16">
        <f>E31*E25*$C$16</f>
        <v>112.1353781</v>
      </c>
      <c r="F32" s="16">
        <f>F31*F25*$C$16</f>
        <v>130.5560413</v>
      </c>
    </row>
    <row r="33">
      <c r="B33" s="12" t="inlineStr">
        <is>
          <t>a(+) [mm]</t>
        </is>
      </c>
      <c r="C33" s="16">
        <f>C32*$C$6/(0.85*$C$5*C25)</f>
        <v>0.7373637547</v>
      </c>
      <c r="D33" s="16">
        <f>D32*$C$6/(0.85*$C$5*D25)</f>
        <v>1.316867015</v>
      </c>
      <c r="E33" s="16">
        <f>E32*$C$6/(0.85*$C$5*E25)</f>
        <v>2.473574517</v>
      </c>
      <c r="F33" s="16">
        <f>F32*$C$6/(0.85*$C$5*F25)</f>
        <v>2.879912676</v>
      </c>
    </row>
    <row r="34">
      <c r="B34" s="12" t="inlineStr">
        <is>
          <t>a &lt;= hf ? (viga T)</t>
        </is>
      </c>
      <c r="C34" s="18" t="str">
        <f>IF(C33&lt;=$C$9*1000,"Si (T)","revisar")</f>
        <v>Si (T)</v>
      </c>
      <c r="D34" s="18" t="str">
        <f>IF(D33&lt;=$C$9*1000,"Si (T)","revisar")</f>
        <v>Si (T)</v>
      </c>
      <c r="E34" s="18" t="str">
        <f>IF(E33&lt;=$C$9*1000,"Si (T)","revisar")</f>
        <v>Si (T)</v>
      </c>
      <c r="F34" s="18" t="str">
        <f>IF(F33&lt;=$C$9*1000,"Si (T)","revisar")</f>
        <v>Si (T)</v>
      </c>
    </row>
    <row r="35">
      <c r="B35" s="12" t="inlineStr">
        <is>
          <t>As(+) diseno [mm2]</t>
        </is>
      </c>
      <c r="C35" s="19">
        <f>MAX(C32,$C$18)</f>
        <v>151.825</v>
      </c>
      <c r="D35" s="19">
        <f>MAX(D32,$C$18)</f>
        <v>151.825</v>
      </c>
      <c r="E35" s="19">
        <f>MAX(E32,$C$18)</f>
        <v>151.825</v>
      </c>
      <c r="F35" s="19">
        <f>MAX(F32,$C$18)</f>
        <v>151.825</v>
      </c>
    </row>
    <row r="36">
      <c r="B36" s="12" t="inlineStr">
        <is>
          <t>N barras(+) #4</t>
        </is>
      </c>
      <c r="C36" s="19">
        <f>ROUNDUP(C35/$C$13,0)</f>
        <v>2</v>
      </c>
      <c r="D36" s="19">
        <f>ROUNDUP(D35/$C$13,0)</f>
        <v>2</v>
      </c>
      <c r="E36" s="19">
        <f>ROUNDUP(E35/$C$13,0)</f>
        <v>2</v>
      </c>
      <c r="F36" s="19">
        <f>ROUNDUP(F35/$C$13,0)</f>
        <v>2</v>
      </c>
    </row>
    <row r="37">
      <c r="B37" s="58" t="inlineStr">
        <is>
          <t>FLEXION NEGATIVA - nervio (rectangular bw)</t>
        </is>
      </c>
      <c r="C37" s="35" t="n"/>
      <c r="D37" s="35" t="n"/>
      <c r="E37" s="35" t="n"/>
      <c r="F37" s="36" t="n"/>
    </row>
    <row r="38">
      <c r="B38" s="12" t="inlineStr">
        <is>
          <t>Rn(-) = Mu-/(phi bw d2)</t>
        </is>
      </c>
      <c r="C38" s="16">
        <f>C26*1000000/(0.9*$C$7*1000*$C$16^2)</f>
        <v>0.2491760774</v>
      </c>
      <c r="D38" s="16">
        <f>D26*1000000/(0.9*$C$7*1000*$C$16^2)</f>
        <v>0.7690057903</v>
      </c>
      <c r="E38" s="16">
        <f>E26*1000000/(0.9*$C$7*1000*$C$16^2)</f>
        <v>1.441726595</v>
      </c>
      <c r="F38" s="16">
        <f>F26*1000000/(0.9*$C$7*1000*$C$16^2)</f>
        <v>1.677433696</v>
      </c>
    </row>
    <row r="39">
      <c r="B39" s="12" t="inlineStr">
        <is>
          <t>rho(-)</t>
        </is>
      </c>
      <c r="C39" s="16">
        <f>(0.85*$C$5/$C$6)*(1-SQRT(1-2*C38/(0.85*$C$5)))</f>
        <v>0.0005964149999</v>
      </c>
      <c r="D39" s="16">
        <f>(0.85*$C$5/$C$6)*(1-SQRT(1-2*D38/(0.85*$C$5)))</f>
        <v>0.001861542708</v>
      </c>
      <c r="E39" s="16">
        <f>(0.85*$C$5/$C$6)*(1-SQRT(1-2*E38/(0.85*$C$5)))</f>
        <v>0.003543472336</v>
      </c>
      <c r="F39" s="16">
        <f>(0.85*$C$5/$C$6)*(1-SQRT(1-2*F38/(0.85*$C$5)))</f>
        <v>0.00414552547</v>
      </c>
    </row>
    <row r="40">
      <c r="B40" s="12" t="inlineStr">
        <is>
          <t>As(-) [mm2]</t>
        </is>
      </c>
      <c r="C40" s="16">
        <f>C39*$C$7*1000*$C$16</f>
        <v>27.16521221</v>
      </c>
      <c r="D40" s="16">
        <f>D39*$C$7*1000*$C$16</f>
        <v>84.78861649</v>
      </c>
      <c r="E40" s="16">
        <f>E39*$C$7*1000*$C$16</f>
        <v>161.3963062</v>
      </c>
      <c r="F40" s="16">
        <f>F39*$C$7*1000*$C$16</f>
        <v>188.8183213</v>
      </c>
    </row>
    <row r="41">
      <c r="B41" s="12" t="inlineStr">
        <is>
          <t>As(-) diseno [mm2]</t>
        </is>
      </c>
      <c r="C41" s="19">
        <f>MAX(C40,$C$18)</f>
        <v>151.825</v>
      </c>
      <c r="D41" s="19">
        <f>MAX(D40,$C$18)</f>
        <v>151.825</v>
      </c>
      <c r="E41" s="19">
        <f>MAX(E40,$C$18)</f>
        <v>161.3963062</v>
      </c>
      <c r="F41" s="19">
        <f>MAX(F40,$C$18)</f>
        <v>188.8183213</v>
      </c>
    </row>
    <row r="42">
      <c r="B42" s="12" t="inlineStr">
        <is>
          <t>N barras(-) #4</t>
        </is>
      </c>
      <c r="C42" s="19">
        <f>ROUNDUP(C41/$C$13,0)</f>
        <v>2</v>
      </c>
      <c r="D42" s="19">
        <f>ROUNDUP(D41/$C$13,0)</f>
        <v>2</v>
      </c>
      <c r="E42" s="19">
        <f>ROUNDUP(E41/$C$13,0)</f>
        <v>2</v>
      </c>
      <c r="F42" s="19">
        <f>ROUNDUP(F41/$C$13,0)</f>
        <v>2</v>
      </c>
    </row>
    <row r="43">
      <c r="B43" s="58" t="inlineStr">
        <is>
          <t>CORTANTE Y DEFLEXION</t>
        </is>
      </c>
      <c r="C43" s="35" t="n"/>
      <c r="D43" s="35" t="n"/>
      <c r="E43" s="35" t="n"/>
      <c r="F43" s="36" t="n"/>
    </row>
    <row r="44">
      <c r="B44" s="12" t="inlineStr">
        <is>
          <t>Vu &lt;= phi 1.1 Vc ?</t>
        </is>
      </c>
      <c r="C44" s="18" t="str">
        <f>IF(C28&lt;=$C$20,"Si - sin estribos","Requiere estribos")</f>
        <v>Si - sin estribos</v>
      </c>
      <c r="D44" s="18" t="str">
        <f>IF(D28&lt;=$C$20,"Si - sin estribos","Requiere estribos")</f>
        <v>Si - sin estribos</v>
      </c>
      <c r="E44" s="18" t="str">
        <f>IF(E28&lt;=$C$20,"Si - sin estribos","Requiere estribos")</f>
        <v>Si - sin estribos</v>
      </c>
      <c r="F44" s="18" t="str">
        <f>IF(F28&lt;=$C$20,"Si - sin estribos","Requiere estribos")</f>
        <v>Si - sin estribos</v>
      </c>
    </row>
    <row r="45">
      <c r="B45" s="12" t="inlineStr">
        <is>
          <t>CHECK deflexion (h&gt;=Ln/18.5)</t>
        </is>
      </c>
      <c r="C45" s="18" t="str">
        <f>IF($C$8&gt;=C24/18.5,"CUMPLE","REVISAR")</f>
        <v>CUMPLE</v>
      </c>
      <c r="D45" s="18" t="str">
        <f>IF($C$8&gt;=D24/18.5,"CUMPLE","REVISAR")</f>
        <v>CUMPLE</v>
      </c>
      <c r="E45" s="18" t="str">
        <f>IF($C$8&gt;=E24/18.5,"CUMPLE","REVISAR")</f>
        <v>CUMPLE</v>
      </c>
      <c r="F45" s="18" t="str">
        <f>IF($C$8&gt;=F24/18.5,"CUMPLE","REVISAR")</f>
        <v>CUMPLE</v>
      </c>
    </row>
  </sheetData>
  <mergeCells count="6">
    <mergeCell ref="B4:F4"/>
    <mergeCell ref="B43:F43"/>
    <mergeCell ref="B29:F29"/>
    <mergeCell ref="B2:F2"/>
    <mergeCell ref="B37:F37"/>
    <mergeCell ref="B23:F23"/>
  </mergeCells>
  <pageMargins left="0.4" right="0.4" top="0.6" bottom="0.6" header="0.3" footer="0.3"/>
  <pageSetup orientation="landscape" fitToHeight="0"/>
  <headerFooter>
    <oddHeader>&amp;LEDIFICIO RESIDENCIAL SANTA MARTA&amp;RSSS Construcciones SAS</oddHeader>
    <oddFooter>&amp;CPagina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6000"/>
    <outlinePr summaryBelow="1" summaryRight="1"/>
    <pageSetUpPr fitToPage="1"/>
  </sheetPr>
  <dimension ref="B2:F45"/>
  <sheetViews>
    <sheetView showGridLines="0" zoomScale="11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E8" sqref="E8"/>
    </sheetView>
  </sheetViews>
  <sheetFormatPr baseColWidth="10" defaultColWidth="9.140625" defaultRowHeight="15"/>
  <cols>
    <col width="2" customWidth="1" style="33" min="1" max="1"/>
    <col width="34" customWidth="1" style="33" min="2" max="2"/>
    <col width="14" customWidth="1" style="33" min="3" max="6"/>
  </cols>
  <sheetData>
    <row r="2">
      <c r="B2" s="38" t="inlineStr">
        <is>
          <t>DISENO DE VIGUETAS DE CUBIERTA  (terraza social L=5)</t>
        </is>
      </c>
    </row>
    <row r="4">
      <c r="B4" s="59" t="inlineStr">
        <is>
          <t>DATOS COMUNES</t>
        </is>
      </c>
      <c r="C4" s="36" t="n"/>
    </row>
    <row r="5">
      <c r="B5" s="12" t="inlineStr">
        <is>
          <t>f'c [MPa]</t>
        </is>
      </c>
      <c r="C5" s="20" t="n">
        <v>28</v>
      </c>
    </row>
    <row r="6">
      <c r="B6" s="12" t="inlineStr">
        <is>
          <t>fy [MPa]</t>
        </is>
      </c>
      <c r="C6" s="20" t="n">
        <v>420</v>
      </c>
    </row>
    <row r="7">
      <c r="B7" s="12" t="inlineStr">
        <is>
          <t>bw [m]</t>
        </is>
      </c>
      <c r="C7" s="20" t="n">
        <v>0.15</v>
      </c>
    </row>
    <row r="8">
      <c r="B8" s="12" t="inlineStr">
        <is>
          <t>h [m]</t>
        </is>
      </c>
      <c r="C8" s="20" t="n">
        <v>0.34</v>
      </c>
    </row>
    <row r="9">
      <c r="B9" s="12" t="inlineStr">
        <is>
          <t>hf loseta [m]</t>
        </is>
      </c>
      <c r="C9" s="20" t="n">
        <v>0.06</v>
      </c>
    </row>
    <row r="10">
      <c r="B10" s="12" t="inlineStr">
        <is>
          <t>sv [m]</t>
        </is>
      </c>
      <c r="C10" s="20" t="n">
        <v>0.8</v>
      </c>
    </row>
    <row r="11">
      <c r="B11" s="12" t="inlineStr">
        <is>
          <t>recubrimiento [m]</t>
        </is>
      </c>
      <c r="C11" s="20" t="n">
        <v>0.03</v>
      </c>
    </row>
    <row r="12">
      <c r="B12" s="12" t="inlineStr">
        <is>
          <t>Diam barra [mm]</t>
        </is>
      </c>
      <c r="C12" s="20" t="n">
        <v>12.7</v>
      </c>
    </row>
    <row r="13">
      <c r="B13" s="12" t="inlineStr">
        <is>
          <t>Area barra [mm2]</t>
        </is>
      </c>
      <c r="C13" s="20" t="n">
        <v>129</v>
      </c>
    </row>
    <row r="14">
      <c r="B14" s="12" t="inlineStr">
        <is>
          <t>wD [kN/m2]</t>
        </is>
      </c>
      <c r="C14" s="20" t="n">
        <v>4.376</v>
      </c>
    </row>
    <row r="15">
      <c r="B15" s="12" t="inlineStr">
        <is>
          <t>wL [kN/m2]</t>
        </is>
      </c>
      <c r="C15" s="20" t="n">
        <v>5</v>
      </c>
    </row>
    <row r="16">
      <c r="B16" s="37" t="inlineStr">
        <is>
          <t>d [mm]</t>
        </is>
      </c>
      <c r="C16" s="19">
        <f>C8*1000-C11*1000-C12/2</f>
        <v>303.65</v>
      </c>
    </row>
    <row r="17">
      <c r="B17" s="12" t="inlineStr">
        <is>
          <t>wu = (1.2D+1.6L) sv [kN/m]</t>
        </is>
      </c>
      <c r="C17" s="19">
        <f>(1.2*C14+1.6*C15)*C10</f>
        <v>10.60096</v>
      </c>
    </row>
    <row r="18">
      <c r="B18" s="12" t="inlineStr">
        <is>
          <t>As minimo [mm2]</t>
        </is>
      </c>
      <c r="C18" s="21">
        <f>MAX(0.25*SQRT(C5)/C6,1.4/C6)*C7*1000*C16</f>
        <v>151.825</v>
      </c>
    </row>
    <row r="19">
      <c r="B19" s="12" t="inlineStr">
        <is>
          <t>Vc [kN]</t>
        </is>
      </c>
      <c r="C19" s="21">
        <f>0.17*SQRT(C5)*C7*1000*C16/1000</f>
        <v>40.97250167</v>
      </c>
    </row>
    <row r="20">
      <c r="B20" s="12" t="inlineStr">
        <is>
          <t>phi 1.1 Vc [kN]</t>
        </is>
      </c>
      <c r="C20" s="21">
        <f>0.75*1.1*C19</f>
        <v>33.80231387</v>
      </c>
    </row>
    <row r="22">
      <c r="B22" s="37" t="inlineStr">
        <is>
          <t>Parametro  \  GRUPO (luz)</t>
        </is>
      </c>
      <c r="C22" s="22" t="inlineStr">
        <is>
          <t>VT-1</t>
        </is>
      </c>
      <c r="D22" s="22" t="inlineStr">
        <is>
          <t>VT-2</t>
        </is>
      </c>
      <c r="E22" s="22" t="inlineStr">
        <is>
          <t>VT-3</t>
        </is>
      </c>
      <c r="F22" s="22" t="inlineStr">
        <is>
          <t>VT-4</t>
        </is>
      </c>
    </row>
    <row r="23">
      <c r="B23" s="58" t="inlineStr">
        <is>
          <t>SOLICITACIONES (gravedad, vigueta continua)</t>
        </is>
      </c>
      <c r="C23" s="35" t="n"/>
      <c r="D23" s="35" t="n"/>
      <c r="E23" s="35" t="n"/>
      <c r="F23" s="36" t="n"/>
    </row>
    <row r="24">
      <c r="B24" s="12" t="inlineStr">
        <is>
          <t>Ln [m]</t>
        </is>
      </c>
      <c r="C24" s="20" t="n">
        <v>1.85</v>
      </c>
      <c r="D24" s="20" t="n">
        <v>3.25</v>
      </c>
      <c r="E24" s="20" t="n">
        <v>4.45</v>
      </c>
      <c r="F24" s="20" t="n">
        <v>4.8</v>
      </c>
    </row>
    <row r="25">
      <c r="B25" s="12" t="inlineStr">
        <is>
          <t>bf = min(Ln/4;bw+16hf;sv) [mm]</t>
        </is>
      </c>
      <c r="C25" s="19">
        <f>MIN(C24*1000/4,$C$7*1000+16*$C$9*1000,$C$10*1000)</f>
        <v>462.5</v>
      </c>
      <c r="D25" s="19">
        <f>MIN(D24*1000/4,$C$7*1000+16*$C$9*1000,$C$10*1000)</f>
        <v>800</v>
      </c>
      <c r="E25" s="19">
        <f>MIN(E24*1000/4,$C$7*1000+16*$C$9*1000,$C$10*1000)</f>
        <v>800</v>
      </c>
      <c r="F25" s="19">
        <f>MIN(F24*1000/4,$C$7*1000+16*$C$9*1000,$C$10*1000)</f>
        <v>800</v>
      </c>
    </row>
    <row r="26">
      <c r="B26" s="12" t="inlineStr">
        <is>
          <t>Mu(-) = wu Ln2/10 [kN.m]</t>
        </is>
      </c>
      <c r="C26" s="19">
        <f>$C$17*C24^2/10</f>
        <v>3.62817856</v>
      </c>
      <c r="D26" s="19">
        <f>$C$17*D24^2/10</f>
        <v>11.197264</v>
      </c>
      <c r="E26" s="19">
        <f>$C$17*E24^2/10</f>
        <v>20.99255104</v>
      </c>
      <c r="F26" s="19">
        <f>$C$17*F24^2/10</f>
        <v>24.42461184</v>
      </c>
    </row>
    <row r="27">
      <c r="B27" s="12" t="inlineStr">
        <is>
          <t>Mu(+) = wu Ln2/14 [kN.m]</t>
        </is>
      </c>
      <c r="C27" s="19">
        <f>$C$17*C24^2/14</f>
        <v>2.591556114</v>
      </c>
      <c r="D27" s="19">
        <f>$C$17*D24^2/14</f>
        <v>7.998045714</v>
      </c>
      <c r="E27" s="19">
        <f>$C$17*E24^2/14</f>
        <v>14.99467931</v>
      </c>
      <c r="F27" s="19">
        <f>$C$17*F24^2/14</f>
        <v>17.44615131</v>
      </c>
    </row>
    <row r="28">
      <c r="B28" s="12" t="inlineStr">
        <is>
          <t>Vu = 1.15 wu Ln/2 [kN]</t>
        </is>
      </c>
      <c r="C28" s="19">
        <f>1.15*$C$17*C24/2</f>
        <v>11.2767712</v>
      </c>
      <c r="D28" s="19">
        <f>1.15*$C$17*D24/2</f>
        <v>19.810544</v>
      </c>
      <c r="E28" s="19">
        <f>1.15*$C$17*E24/2</f>
        <v>27.1252064</v>
      </c>
      <c r="F28" s="19">
        <f>1.15*$C$17*F24/2</f>
        <v>29.2586496</v>
      </c>
    </row>
    <row r="29">
      <c r="B29" s="58" t="inlineStr">
        <is>
          <t>FLEXION POSITIVA - viga T (loseta a compresion)</t>
        </is>
      </c>
      <c r="C29" s="35" t="n"/>
      <c r="D29" s="35" t="n"/>
      <c r="E29" s="35" t="n"/>
      <c r="F29" s="36" t="n"/>
    </row>
    <row r="30">
      <c r="B30" s="12" t="inlineStr">
        <is>
          <t>Rn(+) = Mu+/(phi bf d2)</t>
        </is>
      </c>
      <c r="C30" s="16">
        <f>C27*1000000/(0.9*C25*$C$16^2)</f>
        <v>0.06752425472</v>
      </c>
      <c r="D30" s="16">
        <f>D27*1000000/(0.9*D25*$C$16^2)</f>
        <v>0.1204771859</v>
      </c>
      <c r="E30" s="16">
        <f>E27*1000000/(0.9*E25*$C$16^2)</f>
        <v>0.2258697727</v>
      </c>
      <c r="F30" s="16">
        <f>F27*1000000/(0.9*F25*$C$16^2)</f>
        <v>0.2627970995</v>
      </c>
    </row>
    <row r="31">
      <c r="B31" s="12" t="inlineStr">
        <is>
          <t>rho(+)</t>
        </is>
      </c>
      <c r="C31" s="16">
        <f>(0.85*$C$5/$C$6)*(1-SQRT(1-2*C30/(0.85*$C$5)))</f>
        <v>0.0001610007519</v>
      </c>
      <c r="D31" s="16">
        <f>(0.85*$C$5/$C$6)*(1-SQRT(1-2*D30/(0.85*$C$5)))</f>
        <v>0.0002875801693</v>
      </c>
      <c r="E31" s="16">
        <f>(0.85*$C$5/$C$6)*(1-SQRT(1-2*E30/(0.85*$C$5)))</f>
        <v>0.0005403615608</v>
      </c>
      <c r="F31" s="16">
        <f>(0.85*$C$5/$C$6)*(1-SQRT(1-2*F30/(0.85*$C$5)))</f>
        <v>0.0006292005562</v>
      </c>
    </row>
    <row r="32">
      <c r="B32" s="12" t="inlineStr">
        <is>
          <t>As(+) [mm2]</t>
        </is>
      </c>
      <c r="C32" s="16">
        <f>C31*C25*$C$16</f>
        <v>22.61064372</v>
      </c>
      <c r="D32" s="16">
        <f>D31*D25*$C$16</f>
        <v>69.85897472</v>
      </c>
      <c r="E32" s="16">
        <f>E31*E25*$C$16</f>
        <v>131.2646304</v>
      </c>
      <c r="F32" s="16">
        <f>F31*F25*$C$16</f>
        <v>152.8453991</v>
      </c>
    </row>
    <row r="33">
      <c r="B33" s="12" t="inlineStr">
        <is>
          <t>a(+) [mm]</t>
        </is>
      </c>
      <c r="C33" s="16">
        <f>C32*$C$6/(0.85*$C$5*C25)</f>
        <v>0.8627272644</v>
      </c>
      <c r="D33" s="16">
        <f>D32*$C$6/(0.85*$C$5*D25)</f>
        <v>1.541006795</v>
      </c>
      <c r="E33" s="16">
        <f>E32*$C$6/(0.85*$C$5*E25)</f>
        <v>2.895543317</v>
      </c>
      <c r="F33" s="16">
        <f>F32*$C$6/(0.85*$C$5*F25)</f>
        <v>3.371589686</v>
      </c>
    </row>
    <row r="34">
      <c r="B34" s="12" t="inlineStr">
        <is>
          <t>a &lt;= hf ? (viga T)</t>
        </is>
      </c>
      <c r="C34" s="18" t="str">
        <f>IF(C33&lt;=$C$9*1000,"Si (T)","revisar")</f>
        <v>Si (T)</v>
      </c>
      <c r="D34" s="18" t="str">
        <f>IF(D33&lt;=$C$9*1000,"Si (T)","revisar")</f>
        <v>Si (T)</v>
      </c>
      <c r="E34" s="18" t="str">
        <f>IF(E33&lt;=$C$9*1000,"Si (T)","revisar")</f>
        <v>Si (T)</v>
      </c>
      <c r="F34" s="18" t="str">
        <f>IF(F33&lt;=$C$9*1000,"Si (T)","revisar")</f>
        <v>Si (T)</v>
      </c>
    </row>
    <row r="35">
      <c r="B35" s="12" t="inlineStr">
        <is>
          <t>As(+) diseno [mm2]</t>
        </is>
      </c>
      <c r="C35" s="19">
        <f>MAX(C32,$C$18)</f>
        <v>151.825</v>
      </c>
      <c r="D35" s="19">
        <f>MAX(D32,$C$18)</f>
        <v>151.825</v>
      </c>
      <c r="E35" s="19">
        <f>MAX(E32,$C$18)</f>
        <v>151.825</v>
      </c>
      <c r="F35" s="19">
        <f>MAX(F32,$C$18)</f>
        <v>152.8453991</v>
      </c>
    </row>
    <row r="36">
      <c r="B36" s="12" t="inlineStr">
        <is>
          <t>N barras(+) #4</t>
        </is>
      </c>
      <c r="C36" s="19">
        <f>ROUNDUP(C35/$C$13,0)</f>
        <v>2</v>
      </c>
      <c r="D36" s="19">
        <f>ROUNDUP(D35/$C$13,0)</f>
        <v>2</v>
      </c>
      <c r="E36" s="19">
        <f>ROUNDUP(E35/$C$13,0)</f>
        <v>2</v>
      </c>
      <c r="F36" s="19">
        <f>ROUNDUP(F35/$C$13,0)</f>
        <v>2</v>
      </c>
    </row>
    <row r="37">
      <c r="B37" s="58" t="inlineStr">
        <is>
          <t>FLEXION NEGATIVA - nervio (rectangular bw)</t>
        </is>
      </c>
      <c r="C37" s="35" t="n"/>
      <c r="D37" s="35" t="n"/>
      <c r="E37" s="35" t="n"/>
      <c r="F37" s="36" t="n"/>
    </row>
    <row r="38">
      <c r="B38" s="12" t="inlineStr">
        <is>
          <t>Rn(-) = Mu-/(phi bw d2)</t>
        </is>
      </c>
      <c r="C38" s="16">
        <f>C26*1000000/(0.9*$C$7*1000*$C$16^2)</f>
        <v>0.2914796996</v>
      </c>
      <c r="D38" s="16">
        <f>D26*1000000/(0.9*$C$7*1000*$C$16^2)</f>
        <v>0.8995629881</v>
      </c>
      <c r="E38" s="16">
        <f>E26*1000000/(0.9*$C$7*1000*$C$16^2)</f>
        <v>1.686494303</v>
      </c>
      <c r="F38" s="16">
        <f>F26*1000000/(0.9*$C$7*1000*$C$16^2)</f>
        <v>1.962218343</v>
      </c>
    </row>
    <row r="39">
      <c r="B39" s="12" t="inlineStr">
        <is>
          <t>rho(-)</t>
        </is>
      </c>
      <c r="C39" s="16">
        <f>(0.85*$C$5/$C$6)*(1-SQRT(1-2*C38/(0.85*$C$5)))</f>
        <v>0.0006983018625</v>
      </c>
      <c r="D39" s="16">
        <f>(0.85*$C$5/$C$6)*(1-SQRT(1-2*D38/(0.85*$C$5)))</f>
        <v>0.002183899739</v>
      </c>
      <c r="E39" s="16">
        <f>(0.85*$C$5/$C$6)*(1-SQRT(1-2*E38/(0.85*$C$5)))</f>
        <v>0.004168806263</v>
      </c>
      <c r="F39" s="16">
        <f>(0.85*$C$5/$C$6)*(1-SQRT(1-2*F38/(0.85*$C$5)))</f>
        <v>0.004882271123</v>
      </c>
    </row>
    <row r="40">
      <c r="B40" s="12" t="inlineStr">
        <is>
          <t>As(-) [mm2]</t>
        </is>
      </c>
      <c r="C40" s="16">
        <f>C39*$C$7*1000*$C$16</f>
        <v>31.80590408</v>
      </c>
      <c r="D40" s="16">
        <f>D39*$C$7*1000*$C$16</f>
        <v>99.47117335</v>
      </c>
      <c r="E40" s="16">
        <f>E39*$C$7*1000*$C$16</f>
        <v>189.8787033</v>
      </c>
      <c r="F40" s="16">
        <f>F39*$C$7*1000*$C$16</f>
        <v>222.375244</v>
      </c>
    </row>
    <row r="41">
      <c r="B41" s="12" t="inlineStr">
        <is>
          <t>As(-) diseno [mm2]</t>
        </is>
      </c>
      <c r="C41" s="19">
        <f>MAX(C40,$C$18)</f>
        <v>151.825</v>
      </c>
      <c r="D41" s="19">
        <f>MAX(D40,$C$18)</f>
        <v>151.825</v>
      </c>
      <c r="E41" s="19">
        <f>MAX(E40,$C$18)</f>
        <v>189.8787033</v>
      </c>
      <c r="F41" s="19">
        <f>MAX(F40,$C$18)</f>
        <v>222.375244</v>
      </c>
    </row>
    <row r="42">
      <c r="B42" s="12" t="inlineStr">
        <is>
          <t>N barras(-) #4</t>
        </is>
      </c>
      <c r="C42" s="19">
        <f>ROUNDUP(C41/$C$13,0)</f>
        <v>2</v>
      </c>
      <c r="D42" s="19">
        <f>ROUNDUP(D41/$C$13,0)</f>
        <v>2</v>
      </c>
      <c r="E42" s="19">
        <f>ROUNDUP(E41/$C$13,0)</f>
        <v>2</v>
      </c>
      <c r="F42" s="19">
        <f>ROUNDUP(F41/$C$13,0)</f>
        <v>2</v>
      </c>
    </row>
    <row r="43">
      <c r="B43" s="58" t="inlineStr">
        <is>
          <t>CORTANTE Y DEFLEXION</t>
        </is>
      </c>
      <c r="C43" s="35" t="n"/>
      <c r="D43" s="35" t="n"/>
      <c r="E43" s="35" t="n"/>
      <c r="F43" s="36" t="n"/>
    </row>
    <row r="44">
      <c r="B44" s="12" t="inlineStr">
        <is>
          <t>Vu &lt;= phi 1.1 Vc ?</t>
        </is>
      </c>
      <c r="C44" s="18" t="str">
        <f>IF(C28&lt;=$C$20,"Si - sin estribos","Requiere estribos")</f>
        <v>Si - sin estribos</v>
      </c>
      <c r="D44" s="18" t="str">
        <f>IF(D28&lt;=$C$20,"Si - sin estribos","Requiere estribos")</f>
        <v>Si - sin estribos</v>
      </c>
      <c r="E44" s="18" t="str">
        <f>IF(E28&lt;=$C$20,"Si - sin estribos","Requiere estribos")</f>
        <v>Si - sin estribos</v>
      </c>
      <c r="F44" s="18" t="str">
        <f>IF(F28&lt;=$C$20,"Si - sin estribos","Requiere estribos")</f>
        <v>Si - sin estribos</v>
      </c>
    </row>
    <row r="45">
      <c r="B45" s="12" t="inlineStr">
        <is>
          <t>CHECK deflexion (h&gt;=Ln/18.5)</t>
        </is>
      </c>
      <c r="C45" s="18" t="str">
        <f>IF($C$8&gt;=C24/18.5,"CUMPLE","REVISAR")</f>
        <v>CUMPLE</v>
      </c>
      <c r="D45" s="18" t="str">
        <f>IF($C$8&gt;=D24/18.5,"CUMPLE","REVISAR")</f>
        <v>CUMPLE</v>
      </c>
      <c r="E45" s="18" t="str">
        <f>IF($C$8&gt;=E24/18.5,"CUMPLE","REVISAR")</f>
        <v>CUMPLE</v>
      </c>
      <c r="F45" s="18" t="str">
        <f>IF($C$8&gt;=F24/18.5,"CUMPLE","REVISAR")</f>
        <v>CUMPLE</v>
      </c>
    </row>
  </sheetData>
  <mergeCells count="6">
    <mergeCell ref="B43:F43"/>
    <mergeCell ref="B29:F29"/>
    <mergeCell ref="B2:F2"/>
    <mergeCell ref="B37:F37"/>
    <mergeCell ref="B23:F23"/>
    <mergeCell ref="B4:C4"/>
  </mergeCells>
  <pageMargins left="0.4" right="0.4" top="0.6" bottom="0.6" header="0.3" footer="0.3"/>
  <pageSetup orientation="landscape" fitToHeight="0"/>
  <headerFooter>
    <oddHeader>&amp;LEDIFICIO RESIDENCIAL SANTA MARTA&amp;RSSS Construcciones SAS</oddHeader>
    <oddFooter>&amp;CPagina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8" customWidth="1" style="33" min="1" max="1"/>
    <col width="8" customWidth="1" style="33" min="2" max="2"/>
    <col width="10" customWidth="1" style="33" min="3" max="3"/>
    <col width="7" customWidth="1" style="33" min="4" max="4"/>
    <col width="7" customWidth="1" style="33" min="5" max="5"/>
    <col width="9" customWidth="1" style="33" min="6" max="6"/>
    <col width="13" customWidth="1" style="33" min="7" max="7"/>
    <col width="11" customWidth="1" style="33" min="8" max="8"/>
    <col width="11" customWidth="1" style="33" min="9" max="9"/>
    <col width="11" customWidth="1" style="33" min="10" max="10"/>
    <col width="12" customWidth="1" style="33" min="11" max="11"/>
    <col width="12" customWidth="1" style="33" min="12" max="12"/>
    <col width="12" customWidth="1" style="33" min="13" max="13"/>
    <col width="12" customWidth="1" style="33" min="14" max="14"/>
    <col width="12" customWidth="1" style="33" min="15" max="15"/>
    <col width="16" customWidth="1" style="33" min="16" max="16"/>
  </cols>
  <sheetData>
    <row r="1">
      <c r="A1" s="69" t="inlineStr">
        <is>
          <t>DISENO DE RIOSTRAS DE CIMENTACION (VIGAS DE AMARRE) - NSR-10 A.3.6.4.2</t>
        </is>
      </c>
    </row>
    <row r="2">
      <c r="A2" s="71" t="inlineStr">
        <is>
          <t>El amarre resiste, en traccion o compresion, una fuerza &gt;= 0.25*Aa por la carga vertical mayorada de la columna mas cargada. Agrupacion por longitud (criterio del profesor).</t>
        </is>
      </c>
    </row>
    <row r="4">
      <c r="A4" s="67" t="inlineStr">
        <is>
          <t>DATOS COMUNES (editables)</t>
        </is>
      </c>
    </row>
    <row r="5">
      <c r="A5" s="67" t="inlineStr">
        <is>
          <t>f'c [MPa]</t>
        </is>
      </c>
      <c r="B5" s="72" t="n">
        <v>28</v>
      </c>
    </row>
    <row r="6">
      <c r="A6" s="67" t="inlineStr">
        <is>
          <t>fy [MPa]</t>
        </is>
      </c>
      <c r="B6" s="72" t="n">
        <v>420</v>
      </c>
    </row>
    <row r="7">
      <c r="A7" s="67" t="inlineStr">
        <is>
          <t>recub [mm]</t>
        </is>
      </c>
      <c r="B7" s="72" t="n">
        <v>40</v>
      </c>
    </row>
    <row r="8">
      <c r="A8" s="67" t="inlineStr">
        <is>
          <t>db #5 [mm]</t>
        </is>
      </c>
      <c r="B8" s="72" t="n">
        <v>15.9</v>
      </c>
    </row>
    <row r="9">
      <c r="A9" s="67" t="inlineStr">
        <is>
          <t>Ab #5 [mm2]</t>
        </is>
      </c>
      <c r="B9" s="72" t="n">
        <v>199</v>
      </c>
    </row>
    <row r="10">
      <c r="A10" s="67" t="inlineStr">
        <is>
          <t>Aa (Santa Marta)</t>
        </is>
      </c>
      <c r="B10" s="72" t="n">
        <v>0.15</v>
      </c>
    </row>
    <row r="11">
      <c r="A11" s="67" t="inlineStr">
        <is>
          <t>Pu columna mas cargada [kN]</t>
        </is>
      </c>
      <c r="B11" s="72" t="n">
        <v>2591</v>
      </c>
    </row>
    <row r="12">
      <c r="A12" s="67" t="inlineStr">
        <is>
          <t>b = h seccion [m]</t>
        </is>
      </c>
      <c r="B12" s="72" t="n">
        <v>0.3</v>
      </c>
    </row>
    <row r="13">
      <c r="A13" s="67" t="inlineStr">
        <is>
          <t>Fuerza de amarre N = 0.25 x Aa x Pu [kN]</t>
        </is>
      </c>
      <c r="B13" s="86">
        <f>0.25*$B$10*$B$11</f>
        <v>97.1625</v>
      </c>
    </row>
    <row r="15">
      <c r="A15" s="74" t="inlineStr">
        <is>
          <t>Grupo</t>
        </is>
      </c>
      <c r="B15" s="74" t="inlineStr">
        <is>
          <t>L [m]</t>
        </is>
      </c>
      <c r="C15" s="74" t="inlineStr">
        <is>
          <t>N riostras</t>
        </is>
      </c>
      <c r="D15" s="74" t="inlineStr">
        <is>
          <t>b [m]</t>
        </is>
      </c>
      <c r="E15" s="74" t="inlineStr">
        <is>
          <t>h [m]</t>
        </is>
      </c>
      <c r="F15" s="74" t="inlineStr">
        <is>
          <t>d [mm]</t>
        </is>
      </c>
      <c r="G15" s="74" t="inlineStr">
        <is>
          <t>As traccion req [mm2]</t>
        </is>
      </c>
      <c r="H15" s="74" t="inlineStr">
        <is>
          <t>As min [mm2]</t>
        </is>
      </c>
      <c r="I15" s="74" t="inlineStr">
        <is>
          <t>As dise [mm2]</t>
        </is>
      </c>
      <c r="J15" s="74" t="inlineStr">
        <is>
          <t>N #5 (total)</t>
        </is>
      </c>
      <c r="K15" s="74" t="inlineStr">
        <is>
          <t>As coloc [mm2]</t>
        </is>
      </c>
      <c r="L15" s="74" t="inlineStr">
        <is>
          <t>phi As fy [kN]</t>
        </is>
      </c>
      <c r="M15" s="74" t="inlineStr">
        <is>
          <t>Check acero</t>
        </is>
      </c>
      <c r="N15" s="74" t="inlineStr">
        <is>
          <t>h min = L/20 [m]</t>
        </is>
      </c>
      <c r="O15" s="74" t="inlineStr">
        <is>
          <t>Check altura</t>
        </is>
      </c>
      <c r="P15" s="74" t="inlineStr">
        <is>
          <t>Estribos #3</t>
        </is>
      </c>
    </row>
    <row r="16">
      <c r="A16" s="72" t="inlineStr">
        <is>
          <t>R-1</t>
        </is>
      </c>
      <c r="B16" s="75" t="n">
        <v>2.5</v>
      </c>
      <c r="C16" s="77" t="n">
        <v>10</v>
      </c>
      <c r="D16" s="87">
        <f>$B$12</f>
        <v>0.3</v>
      </c>
      <c r="E16" s="87">
        <f>$B$12</f>
        <v>0.3</v>
      </c>
      <c r="F16" s="79">
        <f>E16*1000-$B$7-9.5-$B$8/2</f>
        <v>242.55</v>
      </c>
      <c r="G16" s="82">
        <f>$B$13*1000/(0.9*$B$6)</f>
        <v>257.0436508</v>
      </c>
      <c r="H16" s="82">
        <f>MAX(0.25*SQRT($B$5)/$B$6,1.4/$B$6)*D16*1000*F16</f>
        <v>242.55</v>
      </c>
      <c r="I16" s="82">
        <f>MAX(G16,H16)</f>
        <v>257.0436508</v>
      </c>
      <c r="J16" s="83">
        <f>MAX(4,ROUNDUP(I16/$B$9,0))</f>
        <v>4</v>
      </c>
      <c r="K16" s="82">
        <f>J16*$B$9</f>
        <v>796</v>
      </c>
      <c r="L16" s="79">
        <f>0.9*K16*$B$6/1000</f>
        <v>300.888</v>
      </c>
      <c r="M16" s="84" t="str">
        <f>IF(L16&gt;=$B$13,"CUMPLE","REVISAR")</f>
        <v>CUMPLE</v>
      </c>
      <c r="N16" s="80">
        <f>B16/20</f>
        <v>0.125</v>
      </c>
      <c r="O16" s="84" t="str">
        <f>IF($B$12&gt;=N16,"CUMPLE","REVISAR")</f>
        <v>CUMPLE</v>
      </c>
      <c r="P16" s="85" t="inlineStr">
        <is>
          <t>#3 @150 (@100 confin)</t>
        </is>
      </c>
    </row>
    <row r="17">
      <c r="A17" s="72" t="inlineStr">
        <is>
          <t>R-2</t>
        </is>
      </c>
      <c r="B17" s="75" t="n">
        <v>2.6</v>
      </c>
      <c r="C17" s="77" t="n">
        <v>20</v>
      </c>
      <c r="D17" s="87">
        <f>$B$12</f>
        <v>0.3</v>
      </c>
      <c r="E17" s="87">
        <f>$B$12</f>
        <v>0.3</v>
      </c>
      <c r="F17" s="79">
        <f>E17*1000-$B$7-9.5-$B$8/2</f>
        <v>242.55</v>
      </c>
      <c r="G17" s="82">
        <f>$B$13*1000/(0.9*$B$6)</f>
        <v>257.0436508</v>
      </c>
      <c r="H17" s="82">
        <f>MAX(0.25*SQRT($B$5)/$B$6,1.4/$B$6)*D17*1000*F17</f>
        <v>242.55</v>
      </c>
      <c r="I17" s="82">
        <f>MAX(G17,H17)</f>
        <v>257.0436508</v>
      </c>
      <c r="J17" s="83">
        <f>MAX(4,ROUNDUP(I17/$B$9,0))</f>
        <v>4</v>
      </c>
      <c r="K17" s="82">
        <f>J17*$B$9</f>
        <v>796</v>
      </c>
      <c r="L17" s="79">
        <f>0.9*K17*$B$6/1000</f>
        <v>300.888</v>
      </c>
      <c r="M17" s="84" t="str">
        <f>IF(L17&gt;=$B$13,"CUMPLE","REVISAR")</f>
        <v>CUMPLE</v>
      </c>
      <c r="N17" s="80">
        <f>B17/20</f>
        <v>0.13</v>
      </c>
      <c r="O17" s="84" t="str">
        <f>IF($B$12&gt;=N17,"CUMPLE","REVISAR")</f>
        <v>CUMPLE</v>
      </c>
      <c r="P17" s="85" t="inlineStr">
        <is>
          <t>#3 @150 (@100 confin)</t>
        </is>
      </c>
    </row>
    <row r="18">
      <c r="A18" s="72" t="inlineStr">
        <is>
          <t>R-3</t>
        </is>
      </c>
      <c r="B18" s="75" t="n">
        <v>2.7</v>
      </c>
      <c r="C18" s="77" t="n">
        <v>5</v>
      </c>
      <c r="D18" s="87">
        <f>$B$12</f>
        <v>0.3</v>
      </c>
      <c r="E18" s="87">
        <f>$B$12</f>
        <v>0.3</v>
      </c>
      <c r="F18" s="79">
        <f>E18*1000-$B$7-9.5-$B$8/2</f>
        <v>242.55</v>
      </c>
      <c r="G18" s="82">
        <f>$B$13*1000/(0.9*$B$6)</f>
        <v>257.0436508</v>
      </c>
      <c r="H18" s="82">
        <f>MAX(0.25*SQRT($B$5)/$B$6,1.4/$B$6)*D18*1000*F18</f>
        <v>242.55</v>
      </c>
      <c r="I18" s="82">
        <f>MAX(G18,H18)</f>
        <v>257.0436508</v>
      </c>
      <c r="J18" s="83">
        <f>MAX(4,ROUNDUP(I18/$B$9,0))</f>
        <v>4</v>
      </c>
      <c r="K18" s="82">
        <f>J18*$B$9</f>
        <v>796</v>
      </c>
      <c r="L18" s="79">
        <f>0.9*K18*$B$6/1000</f>
        <v>300.888</v>
      </c>
      <c r="M18" s="84" t="str">
        <f>IF(L18&gt;=$B$13,"CUMPLE","REVISAR")</f>
        <v>CUMPLE</v>
      </c>
      <c r="N18" s="80">
        <f>B18/20</f>
        <v>0.135</v>
      </c>
      <c r="O18" s="84" t="str">
        <f>IF($B$12&gt;=N18,"CUMPLE","REVISAR")</f>
        <v>CUMPLE</v>
      </c>
      <c r="P18" s="85" t="inlineStr">
        <is>
          <t>#3 @150 (@100 confin)</t>
        </is>
      </c>
    </row>
    <row r="19">
      <c r="A19" s="72" t="inlineStr">
        <is>
          <t>R-4</t>
        </is>
      </c>
      <c r="B19" s="75" t="n">
        <v>2.8</v>
      </c>
      <c r="C19" s="77" t="n">
        <v>5</v>
      </c>
      <c r="D19" s="87">
        <f>$B$12</f>
        <v>0.3</v>
      </c>
      <c r="E19" s="87">
        <f>$B$12</f>
        <v>0.3</v>
      </c>
      <c r="F19" s="79">
        <f>E19*1000-$B$7-9.5-$B$8/2</f>
        <v>242.55</v>
      </c>
      <c r="G19" s="82">
        <f>$B$13*1000/(0.9*$B$6)</f>
        <v>257.0436508</v>
      </c>
      <c r="H19" s="82">
        <f>MAX(0.25*SQRT($B$5)/$B$6,1.4/$B$6)*D19*1000*F19</f>
        <v>242.55</v>
      </c>
      <c r="I19" s="82">
        <f>MAX(G19,H19)</f>
        <v>257.0436508</v>
      </c>
      <c r="J19" s="83">
        <f>MAX(4,ROUNDUP(I19/$B$9,0))</f>
        <v>4</v>
      </c>
      <c r="K19" s="82">
        <f>J19*$B$9</f>
        <v>796</v>
      </c>
      <c r="L19" s="79">
        <f>0.9*K19*$B$6/1000</f>
        <v>300.888</v>
      </c>
      <c r="M19" s="84" t="str">
        <f>IF(L19&gt;=$B$13,"CUMPLE","REVISAR")</f>
        <v>CUMPLE</v>
      </c>
      <c r="N19" s="80">
        <f>B19/20</f>
        <v>0.14</v>
      </c>
      <c r="O19" s="84" t="str">
        <f>IF($B$12&gt;=N19,"CUMPLE","REVISAR")</f>
        <v>CUMPLE</v>
      </c>
      <c r="P19" s="85" t="inlineStr">
        <is>
          <t>#3 @150 (@100 confin)</t>
        </is>
      </c>
    </row>
    <row r="20">
      <c r="A20" s="72" t="inlineStr">
        <is>
          <t>R-5</t>
        </is>
      </c>
      <c r="B20" s="75" t="n">
        <v>3.65</v>
      </c>
      <c r="C20" s="77" t="n">
        <v>10</v>
      </c>
      <c r="D20" s="87">
        <f>$B$12</f>
        <v>0.3</v>
      </c>
      <c r="E20" s="87">
        <f>$B$12</f>
        <v>0.3</v>
      </c>
      <c r="F20" s="79">
        <f>E20*1000-$B$7-9.5-$B$8/2</f>
        <v>242.55</v>
      </c>
      <c r="G20" s="82">
        <f>$B$13*1000/(0.9*$B$6)</f>
        <v>257.0436508</v>
      </c>
      <c r="H20" s="82">
        <f>MAX(0.25*SQRT($B$5)/$B$6,1.4/$B$6)*D20*1000*F20</f>
        <v>242.55</v>
      </c>
      <c r="I20" s="82">
        <f>MAX(G20,H20)</f>
        <v>257.0436508</v>
      </c>
      <c r="J20" s="83">
        <f>MAX(4,ROUNDUP(I20/$B$9,0))</f>
        <v>4</v>
      </c>
      <c r="K20" s="82">
        <f>J20*$B$9</f>
        <v>796</v>
      </c>
      <c r="L20" s="79">
        <f>0.9*K20*$B$6/1000</f>
        <v>300.888</v>
      </c>
      <c r="M20" s="84" t="str">
        <f>IF(L20&gt;=$B$13,"CUMPLE","REVISAR")</f>
        <v>CUMPLE</v>
      </c>
      <c r="N20" s="80">
        <f>B20/20</f>
        <v>0.1825</v>
      </c>
      <c r="O20" s="84" t="str">
        <f>IF($B$12&gt;=N20,"CUMPLE","REVISAR")</f>
        <v>CUMPLE</v>
      </c>
      <c r="P20" s="85" t="inlineStr">
        <is>
          <t>#3 @150 (@100 confin)</t>
        </is>
      </c>
    </row>
    <row r="21">
      <c r="A21" s="72" t="inlineStr">
        <is>
          <t>R-6</t>
        </is>
      </c>
      <c r="B21" s="75" t="n">
        <v>3.85</v>
      </c>
      <c r="C21" s="77" t="n">
        <v>26</v>
      </c>
      <c r="D21" s="87">
        <f>$B$12</f>
        <v>0.3</v>
      </c>
      <c r="E21" s="87">
        <f>$B$12</f>
        <v>0.3</v>
      </c>
      <c r="F21" s="79">
        <f>E21*1000-$B$7-9.5-$B$8/2</f>
        <v>242.55</v>
      </c>
      <c r="G21" s="82">
        <f>$B$13*1000/(0.9*$B$6)</f>
        <v>257.0436508</v>
      </c>
      <c r="H21" s="82">
        <f>MAX(0.25*SQRT($B$5)/$B$6,1.4/$B$6)*D21*1000*F21</f>
        <v>242.55</v>
      </c>
      <c r="I21" s="82">
        <f>MAX(G21,H21)</f>
        <v>257.0436508</v>
      </c>
      <c r="J21" s="83">
        <f>MAX(4,ROUNDUP(I21/$B$9,0))</f>
        <v>4</v>
      </c>
      <c r="K21" s="82">
        <f>J21*$B$9</f>
        <v>796</v>
      </c>
      <c r="L21" s="79">
        <f>0.9*K21*$B$6/1000</f>
        <v>300.888</v>
      </c>
      <c r="M21" s="84" t="str">
        <f>IF(L21&gt;=$B$13,"CUMPLE","REVISAR")</f>
        <v>CUMPLE</v>
      </c>
      <c r="N21" s="80">
        <f>B21/20</f>
        <v>0.1925</v>
      </c>
      <c r="O21" s="84" t="str">
        <f>IF($B$12&gt;=N21,"CUMPLE","REVISAR")</f>
        <v>CUMPLE</v>
      </c>
      <c r="P21" s="85" t="inlineStr">
        <is>
          <t>#3 @150 (@100 confin)</t>
        </is>
      </c>
    </row>
    <row r="22">
      <c r="A22" s="72" t="inlineStr">
        <is>
          <t>R-7</t>
        </is>
      </c>
      <c r="B22" s="75" t="n">
        <v>3.9</v>
      </c>
      <c r="C22" s="77" t="n">
        <v>26</v>
      </c>
      <c r="D22" s="87">
        <f>$B$12</f>
        <v>0.3</v>
      </c>
      <c r="E22" s="87">
        <f>$B$12</f>
        <v>0.3</v>
      </c>
      <c r="F22" s="79">
        <f>E22*1000-$B$7-9.5-$B$8/2</f>
        <v>242.55</v>
      </c>
      <c r="G22" s="82">
        <f>$B$13*1000/(0.9*$B$6)</f>
        <v>257.0436508</v>
      </c>
      <c r="H22" s="82">
        <f>MAX(0.25*SQRT($B$5)/$B$6,1.4/$B$6)*D22*1000*F22</f>
        <v>242.55</v>
      </c>
      <c r="I22" s="82">
        <f>MAX(G22,H22)</f>
        <v>257.0436508</v>
      </c>
      <c r="J22" s="83">
        <f>MAX(4,ROUNDUP(I22/$B$9,0))</f>
        <v>4</v>
      </c>
      <c r="K22" s="82">
        <f>J22*$B$9</f>
        <v>796</v>
      </c>
      <c r="L22" s="79">
        <f>0.9*K22*$B$6/1000</f>
        <v>300.888</v>
      </c>
      <c r="M22" s="84" t="str">
        <f>IF(L22&gt;=$B$13,"CUMPLE","REVISAR")</f>
        <v>CUMPLE</v>
      </c>
      <c r="N22" s="80">
        <f>B22/20</f>
        <v>0.195</v>
      </c>
      <c r="O22" s="84" t="str">
        <f>IF($B$12&gt;=N22,"CUMPLE","REVISAR")</f>
        <v>CUMPLE</v>
      </c>
      <c r="P22" s="85" t="inlineStr">
        <is>
          <t>#3 @150 (@100 confin)</t>
        </is>
      </c>
    </row>
    <row r="23">
      <c r="A23" s="72" t="inlineStr">
        <is>
          <t>R-8</t>
        </is>
      </c>
      <c r="B23" s="75" t="n">
        <v>4</v>
      </c>
      <c r="C23" s="77" t="n">
        <v>10</v>
      </c>
      <c r="D23" s="87">
        <f>$B$12</f>
        <v>0.3</v>
      </c>
      <c r="E23" s="87">
        <f>$B$12</f>
        <v>0.3</v>
      </c>
      <c r="F23" s="79">
        <f>E23*1000-$B$7-9.5-$B$8/2</f>
        <v>242.55</v>
      </c>
      <c r="G23" s="82">
        <f>$B$13*1000/(0.9*$B$6)</f>
        <v>257.0436508</v>
      </c>
      <c r="H23" s="82">
        <f>MAX(0.25*SQRT($B$5)/$B$6,1.4/$B$6)*D23*1000*F23</f>
        <v>242.55</v>
      </c>
      <c r="I23" s="82">
        <f>MAX(G23,H23)</f>
        <v>257.0436508</v>
      </c>
      <c r="J23" s="83">
        <f>MAX(4,ROUNDUP(I23/$B$9,0))</f>
        <v>4</v>
      </c>
      <c r="K23" s="82">
        <f>J23*$B$9</f>
        <v>796</v>
      </c>
      <c r="L23" s="79">
        <f>0.9*K23*$B$6/1000</f>
        <v>300.888</v>
      </c>
      <c r="M23" s="84" t="str">
        <f>IF(L23&gt;=$B$13,"CUMPLE","REVISAR")</f>
        <v>CUMPLE</v>
      </c>
      <c r="N23" s="80">
        <f>B23/20</f>
        <v>0.2</v>
      </c>
      <c r="O23" s="84" t="str">
        <f>IF($B$12&gt;=N23,"CUMPLE","REVISAR")</f>
        <v>CUMPLE</v>
      </c>
      <c r="P23" s="85" t="inlineStr">
        <is>
          <t>#3 @150 (@100 confin)</t>
        </is>
      </c>
    </row>
    <row r="25">
      <c r="A25" s="71" t="inlineStr">
        <is>
          <t>Nota: acero simetrico minimo 4 Nº5 (2 arriba + 2 abajo). El amarre trabaja a traccion/compresion; se verifica phi*As*fy &gt;= N. Seccion &gt;= Ln/20. * N de riostras estimado; ajustar al plano de cimentacion.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B2:I28"/>
  <sheetViews>
    <sheetView showGridLines="0" zoomScale="110" workbookViewId="0">
      <pane ySplit="2" topLeftCell="A7" activePane="bottomLeft" state="frozen"/>
      <selection pane="bottomLeft" activeCell="A1" sqref="A1"/>
    </sheetView>
  </sheetViews>
  <sheetFormatPr baseColWidth="10" defaultColWidth="9.140625" defaultRowHeight="15"/>
  <cols>
    <col width="2" customWidth="1" style="33" min="1" max="1"/>
    <col width="22" customWidth="1" style="33" min="2" max="2"/>
    <col width="11" customWidth="1" style="33" min="3" max="3"/>
    <col width="12" customWidth="1" style="33" min="4" max="5"/>
    <col width="13" customWidth="1" style="33" min="6" max="6"/>
    <col width="14" customWidth="1" style="33" min="7" max="7"/>
    <col width="15" customWidth="1" style="33" min="8" max="8"/>
    <col width="14" customWidth="1" style="33" min="9" max="9"/>
  </cols>
  <sheetData>
    <row r="2">
      <c r="B2" s="38" t="inlineStr">
        <is>
          <t>DESPIECE: LONGITUDES DE DESARROLLO, GANCHOS Y ESTRIBOS  (NSR-10 C.7 y C.12)</t>
        </is>
      </c>
    </row>
    <row r="4">
      <c r="B4" s="34" t="inlineStr">
        <is>
          <t>1. Parametros</t>
        </is>
      </c>
    </row>
    <row r="5" ht="27" customHeight="1" s="33">
      <c r="B5" s="12" t="inlineStr">
        <is>
          <t>f'c [MPa]</t>
        </is>
      </c>
      <c r="C5" s="20" t="n">
        <v>28</v>
      </c>
      <c r="D5" s="12" t="inlineStr">
        <is>
          <t>fy [MPa]</t>
        </is>
      </c>
      <c r="E5" s="20" t="n">
        <v>420</v>
      </c>
      <c r="F5" s="12" t="inlineStr">
        <is>
          <t>recubrimiento [mm]</t>
        </is>
      </c>
      <c r="G5" s="20" t="n">
        <v>40</v>
      </c>
    </row>
    <row r="6" ht="27.95" customHeight="1" s="33">
      <c r="B6" s="32" t="inlineStr">
        <is>
          <t>ldh = 0.24 (fy/raiz f'c) db  (minimo 8db y 150 mm).  ld recto: C.12.2 (caso favorable).  Gancho 90: extension 12db.  Gancho 135 (estribo): extension 6db &gt;= 75 mm.  Diametro de doblado: 6db.</t>
        </is>
      </c>
    </row>
    <row r="8" ht="45" customHeight="1" s="33">
      <c r="B8" s="34" t="inlineStr">
        <is>
          <t>2. Longitudes por diametro de barra [mm]</t>
        </is>
      </c>
    </row>
    <row r="9" ht="27" customHeight="1" s="33">
      <c r="B9" s="14" t="inlineStr">
        <is>
          <t>Barra</t>
        </is>
      </c>
      <c r="C9" s="14" t="inlineStr">
        <is>
          <t>db</t>
        </is>
      </c>
      <c r="D9" s="14" t="inlineStr">
        <is>
          <t>ld recto inf.</t>
        </is>
      </c>
      <c r="E9" s="14" t="inlineStr">
        <is>
          <t>ld recto sup.</t>
        </is>
      </c>
      <c r="F9" s="14" t="inlineStr">
        <is>
          <t>ldh (gancho)</t>
        </is>
      </c>
      <c r="G9" s="14" t="inlineStr">
        <is>
          <t>Gancho 90 (12db)</t>
        </is>
      </c>
      <c r="H9" s="14" t="inlineStr">
        <is>
          <t>Gancho 135 estribo</t>
        </is>
      </c>
      <c r="I9" s="14" t="inlineStr">
        <is>
          <t>Diam. doblado (6db)</t>
        </is>
      </c>
    </row>
    <row r="10">
      <c r="B10" s="15" t="inlineStr">
        <is>
          <t>Nº 3</t>
        </is>
      </c>
      <c r="C10" s="20" t="n">
        <v>9.5</v>
      </c>
      <c r="D10" s="16">
        <f>($E$5*1*0.8)/(1.1*SQRT($C$5)*2.5)*C10</f>
        <v>219.356836</v>
      </c>
      <c r="E10" s="16">
        <f>($E$5*1.3*0.8)/(1.1*SQRT($C$5)*2.5)*C10</f>
        <v>285.1638868</v>
      </c>
      <c r="F10" s="19">
        <f>MAX(0.24*$E$5/SQRT($C$5)*C10,8*C10,150)</f>
        <v>180.9693897</v>
      </c>
      <c r="G10" s="16">
        <f>12*C10</f>
        <v>114</v>
      </c>
      <c r="H10" s="16">
        <f>MAX(6*C10,75)</f>
        <v>75</v>
      </c>
      <c r="I10" s="16">
        <f>6*C10</f>
        <v>57</v>
      </c>
    </row>
    <row r="11">
      <c r="B11" s="15" t="inlineStr">
        <is>
          <t>Nº 4</t>
        </is>
      </c>
      <c r="C11" s="20" t="n">
        <v>12.7</v>
      </c>
      <c r="D11" s="16">
        <f>($E$5*1*0.8)/(1.1*SQRT($C$5)*2.5)*C11</f>
        <v>293.2454544</v>
      </c>
      <c r="E11" s="16">
        <f>($E$5*1.3*0.8)/(1.1*SQRT($C$5)*2.5)*C11</f>
        <v>381.2190907</v>
      </c>
      <c r="F11" s="19">
        <f>MAX(0.24*$E$5/SQRT($C$5)*C11,8*C11,150)</f>
        <v>241.9274999</v>
      </c>
      <c r="G11" s="16">
        <f>12*C11</f>
        <v>152.4</v>
      </c>
      <c r="H11" s="16">
        <f>MAX(6*C11,75)</f>
        <v>76.2</v>
      </c>
      <c r="I11" s="16">
        <f>6*C11</f>
        <v>76.2</v>
      </c>
    </row>
    <row r="12">
      <c r="B12" s="15" t="inlineStr">
        <is>
          <t>Nº 5</t>
        </is>
      </c>
      <c r="C12" s="20" t="n">
        <v>15.9</v>
      </c>
      <c r="D12" s="16">
        <f>($E$5*1*0.8)/(1.1*SQRT($C$5)*2.5)*C12</f>
        <v>367.1340728</v>
      </c>
      <c r="E12" s="16">
        <f>($E$5*1.3*0.8)/(1.1*SQRT($C$5)*2.5)*C12</f>
        <v>477.2742947</v>
      </c>
      <c r="F12" s="19">
        <f>MAX(0.24*$E$5/SQRT($C$5)*C12,8*C12,150)</f>
        <v>302.8856101</v>
      </c>
      <c r="G12" s="16">
        <f>12*C12</f>
        <v>190.8</v>
      </c>
      <c r="H12" s="16">
        <f>MAX(6*C12,75)</f>
        <v>95.4</v>
      </c>
      <c r="I12" s="16">
        <f>6*C12</f>
        <v>95.4</v>
      </c>
    </row>
    <row r="14" ht="30" customHeight="1" s="33">
      <c r="B14" s="34" t="inlineStr">
        <is>
          <t>3. Longitud de corte de cada barra</t>
        </is>
      </c>
    </row>
    <row r="15" ht="26.1" customHeight="1" s="33">
      <c r="B15" s="61" t="inlineStr">
        <is>
          <t>Barras SUPERIORES (negativo, apoyos): L = Ln/4 + ldh.   Barras INFERIORES (positivo, centro): L = Ln + 2 ldh.   (metodo del grupo, NSR-10 C.12).</t>
        </is>
      </c>
      <c r="C15" s="35" t="n"/>
      <c r="D15" s="35" t="n"/>
      <c r="E15" s="35" t="n"/>
      <c r="F15" s="35" t="n"/>
      <c r="G15" s="35" t="n"/>
      <c r="H15" s="35" t="n"/>
      <c r="I15" s="36" t="n"/>
    </row>
    <row r="16" ht="27" customHeight="1" s="33">
      <c r="B16" s="14" t="inlineStr">
        <is>
          <t>Posicion</t>
        </is>
      </c>
      <c r="C16" s="14" t="inlineStr">
        <is>
          <t>Barra</t>
        </is>
      </c>
      <c r="D16" s="14" t="inlineStr">
        <is>
          <t>Luz libre Ln [m]</t>
        </is>
      </c>
      <c r="E16" s="14" t="inlineStr">
        <is>
          <t>ldh [mm]</t>
        </is>
      </c>
      <c r="F16" s="14" t="inlineStr">
        <is>
          <t>Formula</t>
        </is>
      </c>
      <c r="G16" s="14" t="inlineStr">
        <is>
          <t>Longitud [m]</t>
        </is>
      </c>
    </row>
    <row r="17">
      <c r="B17" s="16" t="inlineStr">
        <is>
          <t>Viga superior (apoyos)</t>
        </is>
      </c>
      <c r="C17" s="16" t="inlineStr">
        <is>
          <t>Nº 4</t>
        </is>
      </c>
      <c r="D17" s="20" t="n">
        <v>5.1</v>
      </c>
      <c r="E17" s="16">
        <f>F11</f>
        <v>241.9274999</v>
      </c>
      <c r="F17" s="21" t="inlineStr">
        <is>
          <t>Ln/4 + ldh</t>
        </is>
      </c>
      <c r="G17" s="19">
        <f>(D17/4*1000+E17)/1000</f>
        <v>1.5169275</v>
      </c>
    </row>
    <row r="18">
      <c r="B18" s="16" t="inlineStr">
        <is>
          <t>Viga inferior (centro)</t>
        </is>
      </c>
      <c r="C18" s="16" t="inlineStr">
        <is>
          <t>Nº 5</t>
        </is>
      </c>
      <c r="D18" s="20" t="n">
        <v>5.1</v>
      </c>
      <c r="E18" s="16">
        <f>F12</f>
        <v>302.8856101</v>
      </c>
      <c r="F18" s="21" t="inlineStr">
        <is>
          <t>Ln + 2 ldh</t>
        </is>
      </c>
      <c r="G18" s="19">
        <f>(D18*1000+2*E18)/1000</f>
        <v>5.70577122</v>
      </c>
    </row>
    <row r="19">
      <c r="B19" s="16" t="inlineStr">
        <is>
          <t>Vigueta superior (apoyos)</t>
        </is>
      </c>
      <c r="C19" s="16" t="inlineStr">
        <is>
          <t>Nº 3</t>
        </is>
      </c>
      <c r="D19" s="20" t="n">
        <v>5.1</v>
      </c>
      <c r="E19" s="16">
        <f>F10</f>
        <v>180.9693897</v>
      </c>
      <c r="F19" s="16" t="inlineStr">
        <is>
          <t>Ln/4 + ldh</t>
        </is>
      </c>
      <c r="G19" s="19">
        <f>(D19/4*1000+E19)/1000</f>
        <v>1.45596939</v>
      </c>
    </row>
    <row r="20" ht="27.95" customHeight="1" s="33">
      <c r="B20" s="16" t="inlineStr">
        <is>
          <t>Vigueta inferior (centro)</t>
        </is>
      </c>
      <c r="C20" s="16" t="inlineStr">
        <is>
          <t>Nº 3</t>
        </is>
      </c>
      <c r="D20" s="20" t="n">
        <v>5.1</v>
      </c>
      <c r="E20" s="16">
        <f>F10</f>
        <v>180.9693897</v>
      </c>
      <c r="F20" s="16" t="inlineStr">
        <is>
          <t>Ln + 2 ldh</t>
        </is>
      </c>
      <c r="G20" s="19">
        <f>(D20*1000+2*E20)/1000</f>
        <v>5.461938779</v>
      </c>
    </row>
    <row r="22" ht="60" customHeight="1" s="33">
      <c r="B22" s="34" t="inlineStr">
        <is>
          <t>4. Estribos (Nº 3) y zonas de confinamiento (DMO C.21.3.4)</t>
        </is>
      </c>
    </row>
    <row r="23" ht="27" customHeight="1" s="33">
      <c r="B23" s="14" t="inlineStr">
        <is>
          <t>Elemento</t>
        </is>
      </c>
      <c r="C23" s="14" t="inlineStr">
        <is>
          <t>b [mm]</t>
        </is>
      </c>
      <c r="D23" s="14" t="inlineStr">
        <is>
          <t>h [mm]</t>
        </is>
      </c>
      <c r="E23" s="14" t="inlineStr">
        <is>
          <t>d [mm]</t>
        </is>
      </c>
      <c r="F23" s="14" t="inlineStr">
        <is>
          <t>Zona confin. 2h [mm]</t>
        </is>
      </c>
      <c r="G23" s="14" t="inlineStr">
        <is>
          <t>s confin. (d/4) [mm]</t>
        </is>
      </c>
      <c r="H23" s="14" t="inlineStr">
        <is>
          <t>s centro (d/2) [mm]</t>
        </is>
      </c>
      <c r="I23" s="14" t="inlineStr">
        <is>
          <t>Long. estribo [mm]</t>
        </is>
      </c>
    </row>
    <row r="24">
      <c r="B24" s="16" t="inlineStr">
        <is>
          <t>Viga de carga VC</t>
        </is>
      </c>
      <c r="C24" s="20" t="n">
        <v>300</v>
      </c>
      <c r="D24" s="20" t="n">
        <v>400</v>
      </c>
      <c r="E24" s="20" t="n">
        <v>342.6</v>
      </c>
      <c r="F24" s="16">
        <f>2*D24</f>
        <v>800</v>
      </c>
      <c r="G24" s="19">
        <f>MIN(E24/4,6*15.9,150)</f>
        <v>85.65</v>
      </c>
      <c r="H24" s="19">
        <f>E24/2</f>
        <v>171.3</v>
      </c>
      <c r="I24" s="16">
        <f>2*((C24-2*$G$5)+(D24-2*$G$5))+2*MAX(10*9.5,75)</f>
        <v>1270</v>
      </c>
    </row>
    <row r="25">
      <c r="B25" s="16" t="inlineStr">
        <is>
          <t>Riostra VR</t>
        </is>
      </c>
      <c r="C25" s="20" t="n">
        <v>350</v>
      </c>
      <c r="D25" s="20" t="n">
        <v>400</v>
      </c>
      <c r="E25" s="20" t="n">
        <v>342.6</v>
      </c>
      <c r="F25" s="16">
        <f>2*D25</f>
        <v>800</v>
      </c>
      <c r="G25" s="19">
        <f>MIN(E25/4,6*15.9,150)</f>
        <v>85.65</v>
      </c>
      <c r="H25" s="19">
        <f>E25/2</f>
        <v>171.3</v>
      </c>
      <c r="I25" s="16">
        <f>2*((C25-2*$G$5)+(D25-2*$G$5))+2*MAX(10*9.5,75)</f>
        <v>1370</v>
      </c>
    </row>
    <row r="26">
      <c r="B26" s="16" t="inlineStr">
        <is>
          <t>Vigueta</t>
        </is>
      </c>
      <c r="C26" s="20" t="n">
        <v>150</v>
      </c>
      <c r="D26" s="20" t="n">
        <v>340</v>
      </c>
      <c r="E26" s="20" t="n">
        <v>304</v>
      </c>
      <c r="F26" s="16">
        <f>2*D26</f>
        <v>680</v>
      </c>
      <c r="G26" s="19">
        <f>MIN(E26/4,6*15.9,150)</f>
        <v>76</v>
      </c>
      <c r="H26" s="19">
        <f>E26/2</f>
        <v>152</v>
      </c>
      <c r="I26" s="16">
        <f>2*((C26-2*$G$5)+(D26-2*$G$5))+2*MAX(10*9.5,75)</f>
        <v>850</v>
      </c>
    </row>
    <row r="28" ht="27.95" customHeight="1" s="33">
      <c r="B28" s="32" t="inlineStr">
        <is>
          <t>Estribos Nº 3 de dos ramas, con ganchos sismicos a 135 grados. En la zona de confinamiento (2h desde la cara de cada apoyo) se separan d/4; en el resto, d/2. La longitud del estribo incluye el perimetro interior mas los dos ganchos a 135 grados.</t>
        </is>
      </c>
    </row>
  </sheetData>
  <mergeCells count="4">
    <mergeCell ref="B28:I28"/>
    <mergeCell ref="B6:I6"/>
    <mergeCell ref="B2:I2"/>
    <mergeCell ref="B15:I15"/>
  </mergeCells>
  <printOptions horizontalCentered="1"/>
  <pageMargins left="0.4" right="0.4" top="0.7" bottom="0.7" header="0.3" footer="0.3"/>
  <pageSetup orientation="landscape" fitToHeight="0"/>
  <headerFooter>
    <oddHeader>&amp;L&amp;"Aptos Narrow"&amp;8 EDIFICIO RESIDENCIAL SANTA MARTA&amp;R&amp;"Aptos Narrow"&amp;8 SSS Construcciones y Consultorias SAS</oddHeader>
    <oddFooter>&amp;C&amp;8 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2026-06-24T19:57:17Z</dcterms:created>
  <dcterms:modified xmlns:dcterms="http://purl.org/dc/terms/" xmlns:xsi="http://www.w3.org/2001/XMLSchema-instance" xsi:type="dcterms:W3CDTF">2026-07-17T01:18:23Z</dcterms:modified>
  <cp:lastModifiedBy>Santiago Ospina Porras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0x01010052F96FF611D84E4E9999ED5C7C9C09F7</vt:lpwstr>
  </property>
</Properties>
</file>