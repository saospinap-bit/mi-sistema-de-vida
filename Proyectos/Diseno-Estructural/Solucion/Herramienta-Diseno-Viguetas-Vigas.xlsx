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guetas" sheetId="1" state="visible" r:id="rId1"/>
    <sheet name="Vigas" sheetId="2" state="visible" r:id="rId2"/>
    <sheet name="Riost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7474F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" fontId="3" fillId="5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46" customWidth="1" min="4" max="4"/>
  </cols>
  <sheetData>
    <row r="1">
      <c r="A1" s="1" t="inlineStr">
        <is>
          <t>DISENO DE VIGUETA (seccion T) - NSR-10 / ACI 318</t>
        </is>
      </c>
    </row>
    <row r="3">
      <c r="A3" s="2" t="inlineStr">
        <is>
          <t>DATOS DE ENTRADA (celdas azules)</t>
        </is>
      </c>
    </row>
    <row r="4">
      <c r="A4" s="3" t="inlineStr">
        <is>
          <t>f'c (resist. concreto)</t>
        </is>
      </c>
      <c r="B4" s="4" t="n">
        <v>21</v>
      </c>
      <c r="C4" s="5" t="inlineStr">
        <is>
          <t>MPa</t>
        </is>
      </c>
      <c r="D4" s="3" t="inlineStr"/>
    </row>
    <row r="5">
      <c r="A5" s="3" t="inlineStr">
        <is>
          <t>fy (acero longitudinal)</t>
        </is>
      </c>
      <c r="B5" s="4" t="n">
        <v>420</v>
      </c>
      <c r="C5" s="5" t="inlineStr">
        <is>
          <t>MPa</t>
        </is>
      </c>
      <c r="D5" s="3" t="inlineStr"/>
    </row>
    <row r="6">
      <c r="A6" s="3" t="inlineStr">
        <is>
          <t>fyt (acero transversal)</t>
        </is>
      </c>
      <c r="B6" s="4" t="n">
        <v>420</v>
      </c>
      <c r="C6" s="5" t="inlineStr">
        <is>
          <t>MPa</t>
        </is>
      </c>
      <c r="D6" s="3" t="inlineStr"/>
    </row>
    <row r="7">
      <c r="A7" s="3" t="inlineStr">
        <is>
          <t>bw (ancho del nervio)</t>
        </is>
      </c>
      <c r="B7" s="4" t="n">
        <v>100</v>
      </c>
      <c r="C7" s="5" t="inlineStr">
        <is>
          <t>mm</t>
        </is>
      </c>
      <c r="D7" s="3" t="inlineStr"/>
    </row>
    <row r="8">
      <c r="A8" s="3" t="inlineStr">
        <is>
          <t>h (altura total)</t>
        </is>
      </c>
      <c r="B8" s="4" t="n">
        <v>400</v>
      </c>
      <c r="C8" s="5" t="inlineStr">
        <is>
          <t>mm</t>
        </is>
      </c>
      <c r="D8" s="3" t="inlineStr"/>
    </row>
    <row r="9">
      <c r="A9" s="3" t="inlineStr">
        <is>
          <t>d (altura efectiva)</t>
        </is>
      </c>
      <c r="B9" s="4" t="n">
        <v>360</v>
      </c>
      <c r="C9" s="5" t="inlineStr">
        <is>
          <t>mm</t>
        </is>
      </c>
      <c r="D9" s="3" t="inlineStr">
        <is>
          <t>d = h - recubrimiento - estribo - db/2</t>
        </is>
      </c>
    </row>
    <row r="10">
      <c r="A10" s="3" t="inlineStr">
        <is>
          <t>hf (espesor loseta)</t>
        </is>
      </c>
      <c r="B10" s="4" t="n">
        <v>50</v>
      </c>
      <c r="C10" s="5" t="inlineStr">
        <is>
          <t>mm</t>
        </is>
      </c>
      <c r="D10" s="3" t="inlineStr"/>
    </row>
    <row r="11">
      <c r="A11" s="3" t="inlineStr">
        <is>
          <t>bf (ancho efectivo del ala)</t>
        </is>
      </c>
      <c r="B11" s="4" t="n">
        <v>850</v>
      </c>
      <c r="C11" s="5" t="inlineStr">
        <is>
          <t>mm</t>
        </is>
      </c>
      <c r="D11" s="3" t="inlineStr">
        <is>
          <t>min(L/4, bw+16hf, sep. entre nervios)</t>
        </is>
      </c>
    </row>
    <row r="12">
      <c r="A12" s="3" t="inlineStr">
        <is>
          <t>L (luz libre)</t>
        </is>
      </c>
      <c r="B12" s="4" t="n">
        <v>5000</v>
      </c>
      <c r="C12" s="5" t="inlineStr">
        <is>
          <t>mm</t>
        </is>
      </c>
      <c r="D12" s="3" t="inlineStr"/>
    </row>
    <row r="13">
      <c r="A13" s="3" t="inlineStr">
        <is>
          <t>Factor de apoyo</t>
        </is>
      </c>
      <c r="B13" s="4" t="n">
        <v>18.5</v>
      </c>
      <c r="C13" s="5" t="inlineStr">
        <is>
          <t>-</t>
        </is>
      </c>
      <c r="D13" s="3" t="inlineStr">
        <is>
          <t>16=simple, 18.5=1 extremo cont., 21=ambos cont., 8=voladizo</t>
        </is>
      </c>
    </row>
    <row r="14">
      <c r="A14" s="3" t="inlineStr">
        <is>
          <t>Mu+ (momento positivo)</t>
        </is>
      </c>
      <c r="B14" s="4" t="n">
        <v>25</v>
      </c>
      <c r="C14" s="5" t="inlineStr">
        <is>
          <t>kN*m</t>
        </is>
      </c>
      <c r="D14" s="3" t="inlineStr"/>
    </row>
    <row r="15">
      <c r="A15" s="3" t="inlineStr">
        <is>
          <t>Mu- (momento negativo)</t>
        </is>
      </c>
      <c r="B15" s="4" t="n">
        <v>30</v>
      </c>
      <c r="C15" s="5" t="inlineStr">
        <is>
          <t>kN*m</t>
        </is>
      </c>
      <c r="D15" s="3" t="inlineStr"/>
    </row>
    <row r="16">
      <c r="A16" s="3" t="inlineStr">
        <is>
          <t>Vu (cortante ultimo)</t>
        </is>
      </c>
      <c r="B16" s="4" t="n">
        <v>35</v>
      </c>
      <c r="C16" s="5" t="inlineStr">
        <is>
          <t>kN</t>
        </is>
      </c>
      <c r="D16" s="3" t="inlineStr"/>
    </row>
    <row r="17">
      <c r="A17" s="3" t="inlineStr">
        <is>
          <t>Tu (torsion ultima)</t>
        </is>
      </c>
      <c r="B17" s="4" t="n">
        <v>0.3</v>
      </c>
      <c r="C17" s="5" t="inlineStr">
        <is>
          <t>kN*m</t>
        </is>
      </c>
      <c r="D17" s="3" t="inlineStr"/>
    </row>
    <row r="18">
      <c r="A18" s="3" t="inlineStr">
        <is>
          <t>Av (area estribo, 2 ramas)</t>
        </is>
      </c>
      <c r="B18" s="4" t="n">
        <v>64</v>
      </c>
      <c r="C18" s="5" t="inlineStr">
        <is>
          <t>mm2</t>
        </is>
      </c>
      <c r="D18" s="3" t="inlineStr">
        <is>
          <t>#2 2 ramas ~= 64 mm2</t>
        </is>
      </c>
    </row>
    <row r="19">
      <c r="A19" s="3" t="inlineStr">
        <is>
          <t>phi flexion</t>
        </is>
      </c>
      <c r="B19" s="4" t="n">
        <v>0.9</v>
      </c>
      <c r="C19" s="5" t="inlineStr">
        <is>
          <t>-</t>
        </is>
      </c>
      <c r="D19" s="3" t="inlineStr"/>
    </row>
    <row r="20">
      <c r="A20" s="3" t="inlineStr">
        <is>
          <t>phi cortante/torsion</t>
        </is>
      </c>
      <c r="B20" s="4" t="n">
        <v>0.75</v>
      </c>
      <c r="C20" s="5" t="inlineStr">
        <is>
          <t>-</t>
        </is>
      </c>
      <c r="D20" s="3" t="inlineStr"/>
    </row>
    <row r="23">
      <c r="A23" s="2" t="inlineStr">
        <is>
          <t>1) FLEXION POSITIVA (+)  -&gt; acero inferior, comportamiento de viga T</t>
        </is>
      </c>
    </row>
    <row r="24">
      <c r="A24" s="3" t="inlineStr">
        <is>
          <t>Rn = Mu+/(phi*bf*d^2)</t>
        </is>
      </c>
      <c r="B24" s="6">
        <f>B14*10^6/(B19*B11*B9^2)</f>
        <v/>
      </c>
      <c r="C24" s="5" t="inlineStr">
        <is>
          <t>MPa</t>
        </is>
      </c>
      <c r="D24" s="7" t="n"/>
    </row>
    <row r="25">
      <c r="A25" s="3" t="inlineStr">
        <is>
          <t>rho</t>
        </is>
      </c>
      <c r="B25" s="8">
        <f>(0.85*B4/B5)*(1-SQRT(1-2*B24/(0.85*B4)))</f>
        <v/>
      </c>
      <c r="C25" s="5" t="inlineStr">
        <is>
          <t>-</t>
        </is>
      </c>
      <c r="D25" s="7" t="n"/>
    </row>
    <row r="26">
      <c r="A26" s="3" t="inlineStr">
        <is>
          <t>As+ requerido</t>
        </is>
      </c>
      <c r="B26" s="9">
        <f>B25*B11*B9</f>
        <v/>
      </c>
      <c r="C26" s="5" t="inlineStr">
        <is>
          <t>mm2</t>
        </is>
      </c>
      <c r="D26" s="7" t="n"/>
    </row>
    <row r="27">
      <c r="A27" s="3" t="inlineStr">
        <is>
          <t>a (profundidad bloque)</t>
        </is>
      </c>
      <c r="B27" s="10">
        <f>B26*B5/(0.85*B4*B11)</f>
        <v/>
      </c>
      <c r="C27" s="5" t="inlineStr">
        <is>
          <t>mm</t>
        </is>
      </c>
      <c r="D27" s="7" t="n"/>
    </row>
    <row r="28">
      <c r="A28" s="3" t="inlineStr">
        <is>
          <t>Comportamiento</t>
        </is>
      </c>
      <c r="B28" s="5">
        <f>IF(B27&lt;=B10,"Rectangular OK (a&lt;=hf)","Es viga T real: revisar")</f>
        <v/>
      </c>
      <c r="C28" s="5" t="inlineStr"/>
      <c r="D28" s="7" t="n"/>
    </row>
    <row r="29">
      <c r="A29" s="3" t="inlineStr">
        <is>
          <t>As minimo</t>
        </is>
      </c>
      <c r="B29" s="9">
        <f>MAX(1.4/B5,0.25*SQRT(B4)/B5)*B7*B9</f>
        <v/>
      </c>
      <c r="C29" s="5" t="inlineStr">
        <is>
          <t>mm2</t>
        </is>
      </c>
      <c r="D29" s="7" t="n"/>
    </row>
    <row r="30">
      <c r="A30" s="3" t="inlineStr">
        <is>
          <t>As+ ADOPTADO</t>
        </is>
      </c>
      <c r="B30" s="11">
        <f>MAX(B26,B29)</f>
        <v/>
      </c>
      <c r="C30" s="5" t="inlineStr">
        <is>
          <t>mm2</t>
        </is>
      </c>
      <c r="D30" s="7" t="n"/>
    </row>
    <row r="32">
      <c r="A32" s="2" t="inlineStr">
        <is>
          <t>2) FLEXION NEGATIVA (-)  -&gt; acero superior, seccion rectangular (bw)</t>
        </is>
      </c>
    </row>
    <row r="33">
      <c r="A33" s="3" t="inlineStr">
        <is>
          <t>Rn = Mu-/(phi*bw*d^2)</t>
        </is>
      </c>
      <c r="B33" s="6">
        <f>B15*10^6/(B19*B7*B9^2)</f>
        <v/>
      </c>
      <c r="C33" s="5" t="inlineStr">
        <is>
          <t>MPa</t>
        </is>
      </c>
      <c r="D33" s="7" t="n"/>
    </row>
    <row r="34">
      <c r="A34" s="3" t="inlineStr">
        <is>
          <t>rho</t>
        </is>
      </c>
      <c r="B34" s="8">
        <f>(0.85*B4/B5)*(1-SQRT(1-2*B33/(0.85*B4)))</f>
        <v/>
      </c>
      <c r="C34" s="5" t="inlineStr">
        <is>
          <t>-</t>
        </is>
      </c>
      <c r="D34" s="7" t="n"/>
    </row>
    <row r="35">
      <c r="A35" s="3" t="inlineStr">
        <is>
          <t>As- requerido</t>
        </is>
      </c>
      <c r="B35" s="9">
        <f>B34*B7*B9</f>
        <v/>
      </c>
      <c r="C35" s="5" t="inlineStr">
        <is>
          <t>mm2</t>
        </is>
      </c>
      <c r="D35" s="7" t="n"/>
    </row>
    <row r="36">
      <c r="A36" s="3" t="inlineStr">
        <is>
          <t>beta1</t>
        </is>
      </c>
      <c r="B36" s="6">
        <f>IF(B4&lt;=28,0.85,MAX(0.65,0.85-0.05*(B4-28)/7))</f>
        <v/>
      </c>
      <c r="C36" s="5" t="inlineStr">
        <is>
          <t>-</t>
        </is>
      </c>
      <c r="D36" s="7" t="n"/>
    </row>
    <row r="37">
      <c r="A37" s="3" t="inlineStr">
        <is>
          <t>rho maximo (ductil, et=0.005)</t>
        </is>
      </c>
      <c r="B37" s="8">
        <f>0.85*B36*B4/B5*(3/8)</f>
        <v/>
      </c>
      <c r="C37" s="5" t="inlineStr">
        <is>
          <t>-</t>
        </is>
      </c>
      <c r="D37" s="7" t="n"/>
    </row>
    <row r="38">
      <c r="A38" s="3" t="inlineStr">
        <is>
          <t>Chequeo ductilidad</t>
        </is>
      </c>
      <c r="B38" s="5">
        <f>IF(B34&lt;=B37,"OK ductil","Aumentar h o f'c")</f>
        <v/>
      </c>
      <c r="C38" s="5" t="inlineStr"/>
      <c r="D38" s="7" t="n"/>
    </row>
    <row r="39">
      <c r="A39" s="3" t="inlineStr">
        <is>
          <t>As- ADOPTADO</t>
        </is>
      </c>
      <c r="B39" s="11">
        <f>MAX(B35,B29)</f>
        <v/>
      </c>
      <c r="C39" s="5" t="inlineStr">
        <is>
          <t>mm2</t>
        </is>
      </c>
      <c r="D39" s="7" t="n"/>
    </row>
    <row r="41">
      <c r="A41" s="2" t="inlineStr">
        <is>
          <t>3) CORTANTE  (las viguetas admiten Vc x 1.1, NSR-10 C.8.13)</t>
        </is>
      </c>
    </row>
    <row r="42">
      <c r="A42" s="3" t="inlineStr">
        <is>
          <t>Vc = 0.17*raiz(f'c)*bw*d</t>
        </is>
      </c>
      <c r="B42" s="12">
        <f>0.17*SQRT(B4)*B7*B9/1000</f>
        <v/>
      </c>
      <c r="C42" s="5" t="inlineStr">
        <is>
          <t>kN</t>
        </is>
      </c>
      <c r="D42" s="7" t="n"/>
    </row>
    <row r="43">
      <c r="A43" s="3" t="inlineStr">
        <is>
          <t>Vc vigueta = 1.1*Vc</t>
        </is>
      </c>
      <c r="B43" s="12">
        <f>1.1*B42</f>
        <v/>
      </c>
      <c r="C43" s="5" t="inlineStr">
        <is>
          <t>kN</t>
        </is>
      </c>
      <c r="D43" s="7" t="n"/>
    </row>
    <row r="44">
      <c r="A44" s="3" t="inlineStr">
        <is>
          <t>phi*Vc</t>
        </is>
      </c>
      <c r="B44" s="12">
        <f>B20*B43</f>
        <v/>
      </c>
      <c r="C44" s="5" t="inlineStr">
        <is>
          <t>kN</t>
        </is>
      </c>
      <c r="D44" s="7" t="n"/>
    </row>
    <row r="45">
      <c r="A45" s="3" t="inlineStr">
        <is>
          <t>Vs requerido = Vu/phi - Vc</t>
        </is>
      </c>
      <c r="B45" s="12">
        <f>MAX(B16/B20-B43,0)</f>
        <v/>
      </c>
      <c r="C45" s="5" t="inlineStr">
        <is>
          <t>kN</t>
        </is>
      </c>
      <c r="D45" s="7" t="n"/>
    </row>
    <row r="46">
      <c r="A46" s="3" t="inlineStr">
        <is>
          <t>s calculado = Av*fyt*d/Vs</t>
        </is>
      </c>
      <c r="B46" s="9">
        <f>IF(B45&lt;=0,9999,B18*B6*B9/(B45*1000))</f>
        <v/>
      </c>
      <c r="C46" s="5" t="inlineStr">
        <is>
          <t>mm</t>
        </is>
      </c>
      <c r="D46" s="7" t="n"/>
    </row>
    <row r="47">
      <c r="A47" s="3" t="inlineStr">
        <is>
          <t>s maximo</t>
        </is>
      </c>
      <c r="B47" s="9">
        <f>MIN(B9/2,600)</f>
        <v/>
      </c>
      <c r="C47" s="5" t="inlineStr">
        <is>
          <t>mm</t>
        </is>
      </c>
      <c r="D47" s="7" t="n"/>
    </row>
    <row r="48">
      <c r="A48" s="3" t="inlineStr">
        <is>
          <t>RESULTADO</t>
        </is>
      </c>
      <c r="B48" s="13">
        <f>IF(B16&lt;=B44,"Concreto resiste: estribos de montaje","Estribos #2 @ "&amp;ROUND(MIN(B46,B47),0)&amp;" mm")</f>
        <v/>
      </c>
      <c r="C48" s="5" t="inlineStr"/>
      <c r="D48" s="7" t="n"/>
    </row>
    <row r="50">
      <c r="A50" s="2" t="inlineStr">
        <is>
          <t>4) TORSION  (umbral: si Tu &lt; phi*Tth se desprecia)</t>
        </is>
      </c>
    </row>
    <row r="51">
      <c r="A51" s="3" t="inlineStr">
        <is>
          <t>Acp = bw*h</t>
        </is>
      </c>
      <c r="B51" s="9">
        <f>B7*B8</f>
        <v/>
      </c>
      <c r="C51" s="5" t="inlineStr">
        <is>
          <t>mm2</t>
        </is>
      </c>
      <c r="D51" s="7" t="n"/>
    </row>
    <row r="52">
      <c r="A52" s="3" t="inlineStr">
        <is>
          <t>pcp = 2*(bw+h)</t>
        </is>
      </c>
      <c r="B52" s="9">
        <f>2*(B7+B8)</f>
        <v/>
      </c>
      <c r="C52" s="5" t="inlineStr">
        <is>
          <t>mm</t>
        </is>
      </c>
      <c r="D52" s="7" t="n"/>
    </row>
    <row r="53">
      <c r="A53" s="3" t="inlineStr">
        <is>
          <t>phi*Tth = phi*0.083*raiz(f'c)*Acp^2/pcp</t>
        </is>
      </c>
      <c r="B53" s="6">
        <f>B20*0.083*SQRT(B4)*(B51^2/B52)/10^6</f>
        <v/>
      </c>
      <c r="C53" s="5" t="inlineStr">
        <is>
          <t>kN*m</t>
        </is>
      </c>
      <c r="D53" s="7" t="n"/>
    </row>
    <row r="54">
      <c r="A54" s="3" t="inlineStr">
        <is>
          <t>RESULTADO</t>
        </is>
      </c>
      <c r="B54" s="13">
        <f>IF(B17&lt;B53,"Torsion despreciable","Disenar torsion (ver hoja Vigas)")</f>
        <v/>
      </c>
      <c r="C54" s="5" t="inlineStr"/>
      <c r="D54" s="7" t="n"/>
    </row>
    <row r="56">
      <c r="A56" s="2" t="inlineStr">
        <is>
          <t>5) DEFLEXIONES (NSR-10 C.9.5)</t>
        </is>
      </c>
    </row>
    <row r="57">
      <c r="A57" s="3" t="inlineStr">
        <is>
          <t>h minimo = L/factor</t>
        </is>
      </c>
      <c r="B57" s="9">
        <f>B12/B13</f>
        <v/>
      </c>
      <c r="C57" s="5" t="inlineStr">
        <is>
          <t>mm</t>
        </is>
      </c>
      <c r="D57" s="7" t="n"/>
    </row>
    <row r="58">
      <c r="A58" s="3" t="inlineStr">
        <is>
          <t>RESULTADO</t>
        </is>
      </c>
      <c r="B58" s="13">
        <f>IF(B8&gt;=B57,"h&gt;=hmin: no obligatorio calcular deflexiones","Calcular deflexion a largo plazo")</f>
        <v/>
      </c>
      <c r="C58" s="5" t="inlineStr"/>
      <c r="D58" s="7" t="n"/>
    </row>
    <row r="59">
      <c r="A59" s="3" t="inlineStr">
        <is>
          <t>Multiplicador largo plazo (xi=2, rho'=0)</t>
        </is>
      </c>
      <c r="B59" s="10">
        <f>2.0/(1+50*0)</f>
        <v/>
      </c>
      <c r="C59" s="5" t="inlineStr">
        <is>
          <t>-</t>
        </is>
      </c>
      <c r="D59" s="7" t="n"/>
    </row>
    <row r="61">
      <c r="A61" s="14" t="inlineStr">
        <is>
          <t>Nota: As+ usa el ala (bf) a compresion; As- usa solo bw. Verifica que a&lt;=hf para usar la formula rectangular.</t>
        </is>
      </c>
    </row>
  </sheetData>
  <mergeCells count="7">
    <mergeCell ref="A1:D1"/>
    <mergeCell ref="A23:D23"/>
    <mergeCell ref="A56:D56"/>
    <mergeCell ref="A50:D50"/>
    <mergeCell ref="A3:D3"/>
    <mergeCell ref="A41:D41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46" customWidth="1" min="4" max="4"/>
  </cols>
  <sheetData>
    <row r="1">
      <c r="A1" s="1" t="inlineStr">
        <is>
          <t>DISENO DE VIGA rectangular - flexion, cortante y torsion</t>
        </is>
      </c>
    </row>
    <row r="3">
      <c r="A3" s="2" t="inlineStr">
        <is>
          <t>DATOS DE ENTRADA (celdas azules)</t>
        </is>
      </c>
    </row>
    <row r="4">
      <c r="A4" s="3" t="inlineStr">
        <is>
          <t>f'c</t>
        </is>
      </c>
      <c r="B4" s="4" t="n">
        <v>21</v>
      </c>
      <c r="C4" s="5" t="inlineStr">
        <is>
          <t>MPa</t>
        </is>
      </c>
      <c r="D4" s="3" t="inlineStr"/>
    </row>
    <row r="5">
      <c r="A5" s="3" t="inlineStr">
        <is>
          <t>fy</t>
        </is>
      </c>
      <c r="B5" s="4" t="n">
        <v>420</v>
      </c>
      <c r="C5" s="5" t="inlineStr">
        <is>
          <t>MPa</t>
        </is>
      </c>
      <c r="D5" s="3" t="inlineStr"/>
    </row>
    <row r="6">
      <c r="A6" s="3" t="inlineStr">
        <is>
          <t>fyt</t>
        </is>
      </c>
      <c r="B6" s="4" t="n">
        <v>420</v>
      </c>
      <c r="C6" s="5" t="inlineStr">
        <is>
          <t>MPa</t>
        </is>
      </c>
      <c r="D6" s="3" t="inlineStr"/>
    </row>
    <row r="7">
      <c r="A7" s="3" t="inlineStr">
        <is>
          <t>b (ancho)</t>
        </is>
      </c>
      <c r="B7" s="4" t="n">
        <v>300</v>
      </c>
      <c r="C7" s="5" t="inlineStr">
        <is>
          <t>mm</t>
        </is>
      </c>
      <c r="D7" s="3" t="inlineStr"/>
    </row>
    <row r="8">
      <c r="A8" s="3" t="inlineStr">
        <is>
          <t>h (altura)</t>
        </is>
      </c>
      <c r="B8" s="4" t="n">
        <v>500</v>
      </c>
      <c r="C8" s="5" t="inlineStr">
        <is>
          <t>mm</t>
        </is>
      </c>
      <c r="D8" s="3" t="inlineStr"/>
    </row>
    <row r="9">
      <c r="A9" s="3" t="inlineStr">
        <is>
          <t>d (efectiva)</t>
        </is>
      </c>
      <c r="B9" s="4" t="n">
        <v>450</v>
      </c>
      <c r="C9" s="5" t="inlineStr">
        <is>
          <t>mm</t>
        </is>
      </c>
      <c r="D9" s="3" t="inlineStr"/>
    </row>
    <row r="10">
      <c r="A10" s="3" t="inlineStr">
        <is>
          <t>recubrimiento libre cc</t>
        </is>
      </c>
      <c r="B10" s="4" t="n">
        <v>40</v>
      </c>
      <c r="C10" s="5" t="inlineStr">
        <is>
          <t>mm</t>
        </is>
      </c>
      <c r="D10" s="3" t="inlineStr"/>
    </row>
    <row r="11">
      <c r="A11" s="3" t="inlineStr">
        <is>
          <t xml:space="preserve">Mu+ </t>
        </is>
      </c>
      <c r="B11" s="4" t="n">
        <v>120</v>
      </c>
      <c r="C11" s="5" t="inlineStr">
        <is>
          <t>kN*m</t>
        </is>
      </c>
      <c r="D11" s="3" t="inlineStr"/>
    </row>
    <row r="12">
      <c r="A12" s="3" t="inlineStr">
        <is>
          <t xml:space="preserve">Mu- </t>
        </is>
      </c>
      <c r="B12" s="4" t="n">
        <v>150</v>
      </c>
      <c r="C12" s="5" t="inlineStr">
        <is>
          <t>kN*m</t>
        </is>
      </c>
      <c r="D12" s="3" t="inlineStr"/>
    </row>
    <row r="13">
      <c r="A13" s="3" t="inlineStr">
        <is>
          <t xml:space="preserve">Vu </t>
        </is>
      </c>
      <c r="B13" s="4" t="n">
        <v>140</v>
      </c>
      <c r="C13" s="5" t="inlineStr">
        <is>
          <t>kN</t>
        </is>
      </c>
      <c r="D13" s="3" t="inlineStr"/>
    </row>
    <row r="14">
      <c r="A14" s="3" t="inlineStr">
        <is>
          <t xml:space="preserve">Tu </t>
        </is>
      </c>
      <c r="B14" s="4" t="n">
        <v>12</v>
      </c>
      <c r="C14" s="5" t="inlineStr">
        <is>
          <t>kN*m</t>
        </is>
      </c>
      <c r="D14" s="3" t="inlineStr"/>
    </row>
    <row r="15">
      <c r="A15" s="3" t="inlineStr">
        <is>
          <t>Av (estribo, 2 ramas)</t>
        </is>
      </c>
      <c r="B15" s="4" t="n">
        <v>142</v>
      </c>
      <c r="C15" s="5" t="inlineStr">
        <is>
          <t>mm2</t>
        </is>
      </c>
      <c r="D15" s="3" t="inlineStr">
        <is>
          <t>#3 2 ramas ~= 142 mm2</t>
        </is>
      </c>
    </row>
    <row r="16">
      <c r="A16" s="3" t="inlineStr">
        <is>
          <t>phi flexion</t>
        </is>
      </c>
      <c r="B16" s="4" t="n">
        <v>0.9</v>
      </c>
      <c r="C16" s="5" t="inlineStr">
        <is>
          <t>-</t>
        </is>
      </c>
      <c r="D16" s="3" t="inlineStr"/>
    </row>
    <row r="17">
      <c r="A17" s="3" t="inlineStr">
        <is>
          <t>phi cortante/torsion</t>
        </is>
      </c>
      <c r="B17" s="4" t="n">
        <v>0.75</v>
      </c>
      <c r="C17" s="5" t="inlineStr">
        <is>
          <t>-</t>
        </is>
      </c>
      <c r="D17" s="3" t="inlineStr"/>
    </row>
    <row r="20">
      <c r="A20" s="2" t="inlineStr">
        <is>
          <t>1) FLEXION (rectangular)</t>
        </is>
      </c>
    </row>
    <row r="21">
      <c r="A21" s="3" t="inlineStr">
        <is>
          <t xml:space="preserve">Rn+ </t>
        </is>
      </c>
      <c r="B21" s="6">
        <f>B11*10^6/(B16*B7*B9^2)</f>
        <v/>
      </c>
      <c r="C21" s="5" t="inlineStr">
        <is>
          <t>MPa</t>
        </is>
      </c>
      <c r="D21" s="7" t="n"/>
    </row>
    <row r="22">
      <c r="A22" s="3" t="inlineStr">
        <is>
          <t>rho+</t>
        </is>
      </c>
      <c r="B22" s="8">
        <f>(0.85*B4/B5)*(1-SQRT(1-2*B21/(0.85*B4)))</f>
        <v/>
      </c>
      <c r="C22" s="5" t="inlineStr">
        <is>
          <t>-</t>
        </is>
      </c>
      <c r="D22" s="7" t="n"/>
    </row>
    <row r="23">
      <c r="A23" s="3" t="inlineStr">
        <is>
          <t xml:space="preserve">As+ </t>
        </is>
      </c>
      <c r="B23" s="9">
        <f>B22*B7*B9</f>
        <v/>
      </c>
      <c r="C23" s="5" t="inlineStr">
        <is>
          <t>mm2</t>
        </is>
      </c>
      <c r="D23" s="7" t="n"/>
    </row>
    <row r="24">
      <c r="A24" s="3" t="inlineStr">
        <is>
          <t xml:space="preserve">Rn- </t>
        </is>
      </c>
      <c r="B24" s="6">
        <f>B12*10^6/(B16*B7*B9^2)</f>
        <v/>
      </c>
      <c r="C24" s="5" t="inlineStr">
        <is>
          <t>MPa</t>
        </is>
      </c>
      <c r="D24" s="7" t="n"/>
    </row>
    <row r="25">
      <c r="A25" s="3" t="inlineStr">
        <is>
          <t>rho-</t>
        </is>
      </c>
      <c r="B25" s="8">
        <f>(0.85*B4/B5)*(1-SQRT(1-2*B24/(0.85*B4)))</f>
        <v/>
      </c>
      <c r="C25" s="5" t="inlineStr">
        <is>
          <t>-</t>
        </is>
      </c>
      <c r="D25" s="7" t="n"/>
    </row>
    <row r="26">
      <c r="A26" s="3" t="inlineStr">
        <is>
          <t xml:space="preserve">As- </t>
        </is>
      </c>
      <c r="B26" s="9">
        <f>B25*B7*B9</f>
        <v/>
      </c>
      <c r="C26" s="5" t="inlineStr">
        <is>
          <t>mm2</t>
        </is>
      </c>
      <c r="D26" s="7" t="n"/>
    </row>
    <row r="27">
      <c r="A27" s="3" t="inlineStr">
        <is>
          <t>As minimo</t>
        </is>
      </c>
      <c r="B27" s="9">
        <f>MAX(1.4/B5,0.25*SQRT(B4)/B5)*B7*B9</f>
        <v/>
      </c>
      <c r="C27" s="5" t="inlineStr">
        <is>
          <t>mm2</t>
        </is>
      </c>
      <c r="D27" s="7" t="n"/>
    </row>
    <row r="28">
      <c r="A28" s="3" t="inlineStr">
        <is>
          <t>As+ ADOPTADO</t>
        </is>
      </c>
      <c r="B28" s="11">
        <f>MAX(B23,B27)</f>
        <v/>
      </c>
      <c r="C28" s="5" t="inlineStr">
        <is>
          <t>mm2</t>
        </is>
      </c>
      <c r="D28" s="7" t="n"/>
    </row>
    <row r="29">
      <c r="A29" s="3" t="inlineStr">
        <is>
          <t>As- ADOPTADO</t>
        </is>
      </c>
      <c r="B29" s="11">
        <f>MAX(B26,B27)</f>
        <v/>
      </c>
      <c r="C29" s="5" t="inlineStr">
        <is>
          <t>mm2</t>
        </is>
      </c>
      <c r="D29" s="7" t="n"/>
    </row>
    <row r="31">
      <c r="A31" s="2" t="inlineStr">
        <is>
          <t>2) CORTANTE</t>
        </is>
      </c>
    </row>
    <row r="32">
      <c r="A32" s="3" t="inlineStr">
        <is>
          <t>Vc = 0.17*raiz(f'c)*b*d</t>
        </is>
      </c>
      <c r="B32" s="12">
        <f>0.17*SQRT(B4)*B7*B9/1000</f>
        <v/>
      </c>
      <c r="C32" s="5" t="inlineStr">
        <is>
          <t>kN</t>
        </is>
      </c>
      <c r="D32" s="7" t="n"/>
    </row>
    <row r="33">
      <c r="A33" s="3" t="inlineStr">
        <is>
          <t>phi*Vc</t>
        </is>
      </c>
      <c r="B33" s="12">
        <f>B17*B32</f>
        <v/>
      </c>
      <c r="C33" s="5" t="inlineStr">
        <is>
          <t>kN</t>
        </is>
      </c>
      <c r="D33" s="7" t="n"/>
    </row>
    <row r="34">
      <c r="A34" s="3" t="inlineStr">
        <is>
          <t>phi*Vc/2</t>
        </is>
      </c>
      <c r="B34" s="12">
        <f>B17*B32/2</f>
        <v/>
      </c>
      <c r="C34" s="5" t="inlineStr">
        <is>
          <t>kN</t>
        </is>
      </c>
      <c r="D34" s="7" t="n"/>
    </row>
    <row r="35">
      <c r="A35" s="3" t="inlineStr">
        <is>
          <t>Vs requerido = Vu/phi - Vc</t>
        </is>
      </c>
      <c r="B35" s="12">
        <f>MAX(B13/B17-B32,0)</f>
        <v/>
      </c>
      <c r="C35" s="5" t="inlineStr">
        <is>
          <t>kN</t>
        </is>
      </c>
      <c r="D35" s="7" t="n"/>
    </row>
    <row r="36">
      <c r="A36" s="3" t="inlineStr">
        <is>
          <t>Limite 0.33*raiz(f'c)*b*d</t>
        </is>
      </c>
      <c r="B36" s="12">
        <f>0.33*SQRT(B4)*B7*B9/1000</f>
        <v/>
      </c>
      <c r="C36" s="5" t="inlineStr">
        <is>
          <t>kN</t>
        </is>
      </c>
      <c r="D36" s="7" t="n"/>
    </row>
    <row r="37">
      <c r="A37" s="3" t="inlineStr">
        <is>
          <t>s max (depende de Vs)</t>
        </is>
      </c>
      <c r="B37" s="9">
        <f>IF(B35&lt;=B36,MIN(B9/2,600),MIN(B9/4,300))</f>
        <v/>
      </c>
      <c r="C37" s="5" t="inlineStr">
        <is>
          <t>mm</t>
        </is>
      </c>
      <c r="D37" s="7" t="n"/>
    </row>
    <row r="38">
      <c r="A38" s="3" t="inlineStr">
        <is>
          <t>s por resistencia = Av*fyt*d/Vs</t>
        </is>
      </c>
      <c r="B38" s="9">
        <f>IF(B35&lt;=0,9999,B15*B6*B9/(B35*1000))</f>
        <v/>
      </c>
      <c r="C38" s="5" t="inlineStr">
        <is>
          <t>mm</t>
        </is>
      </c>
      <c r="D38" s="7" t="n"/>
    </row>
    <row r="39">
      <c r="A39" s="3" t="inlineStr">
        <is>
          <t>s por minimo (Av,min)</t>
        </is>
      </c>
      <c r="B39" s="9">
        <f>B15*B6/MAX(0.062*SQRT(B4)*B7,0.35*B7)</f>
        <v/>
      </c>
      <c r="C39" s="5" t="inlineStr">
        <is>
          <t>mm</t>
        </is>
      </c>
      <c r="D39" s="7" t="n"/>
    </row>
    <row r="40">
      <c r="A40" s="3" t="inlineStr">
        <is>
          <t>RESULTADO cortante</t>
        </is>
      </c>
      <c r="B40" s="13">
        <f>IF(B13&lt;=B34,"No requiere estribos","Estribos @ "&amp;ROUND(MIN(B37,B38,B39),0)&amp;" mm")</f>
        <v/>
      </c>
      <c r="C40" s="5" t="inlineStr"/>
      <c r="D40" s="7" t="n"/>
    </row>
    <row r="42">
      <c r="A42" s="2" t="inlineStr">
        <is>
          <t>3) TORSION</t>
        </is>
      </c>
    </row>
    <row r="43">
      <c r="A43" s="3" t="inlineStr">
        <is>
          <t>Acp = b*h</t>
        </is>
      </c>
      <c r="B43" s="9">
        <f>B7*B8</f>
        <v/>
      </c>
      <c r="C43" s="5" t="inlineStr">
        <is>
          <t>mm2</t>
        </is>
      </c>
      <c r="D43" s="7" t="n"/>
    </row>
    <row r="44">
      <c r="A44" s="3" t="inlineStr">
        <is>
          <t>pcp = 2*(b+h)</t>
        </is>
      </c>
      <c r="B44" s="9">
        <f>2*(B7+B8)</f>
        <v/>
      </c>
      <c r="C44" s="5" t="inlineStr">
        <is>
          <t>mm</t>
        </is>
      </c>
      <c r="D44" s="7" t="n"/>
    </row>
    <row r="45">
      <c r="A45" s="3" t="inlineStr">
        <is>
          <t>phi*Tth (umbral)</t>
        </is>
      </c>
      <c r="B45" s="12">
        <f>B17*0.083*SQRT(B4)*(B43^2/B44)/10^6</f>
        <v/>
      </c>
      <c r="C45" s="5" t="inlineStr">
        <is>
          <t>kN*m</t>
        </is>
      </c>
      <c r="D45" s="7" t="n"/>
    </row>
    <row r="46">
      <c r="A46" s="3" t="inlineStr">
        <is>
          <t>Aoh = (b-2cc)*(h-2cc)</t>
        </is>
      </c>
      <c r="B46" s="9">
        <f>(B7-2*B10)*(B8-2*B10)</f>
        <v/>
      </c>
      <c r="C46" s="5" t="inlineStr">
        <is>
          <t>mm2</t>
        </is>
      </c>
      <c r="D46" s="7" t="n"/>
    </row>
    <row r="47">
      <c r="A47" s="3" t="inlineStr">
        <is>
          <t>ph = 2*((b-2cc)+(h-2cc))</t>
        </is>
      </c>
      <c r="B47" s="9">
        <f>2*((B7-2*B10)+(B8-2*B10))</f>
        <v/>
      </c>
      <c r="C47" s="5" t="inlineStr">
        <is>
          <t>mm</t>
        </is>
      </c>
      <c r="D47" s="7" t="n"/>
    </row>
    <row r="48">
      <c r="A48" s="3" t="inlineStr">
        <is>
          <t>Ao = 0.85*Aoh</t>
        </is>
      </c>
      <c r="B48" s="9">
        <f>0.85*B46</f>
        <v/>
      </c>
      <c r="C48" s="5" t="inlineStr">
        <is>
          <t>mm2</t>
        </is>
      </c>
      <c r="D48" s="7" t="n"/>
    </row>
    <row r="49">
      <c r="A49" s="3" t="inlineStr">
        <is>
          <t xml:space="preserve">At/s (1 rama) = Tu/(phi*2*Ao*fyt) </t>
        </is>
      </c>
      <c r="B49" s="6">
        <f>IF(B14&lt;B45,0,B14*10^6/(B17*2*B48*B6))</f>
        <v/>
      </c>
      <c r="C49" s="5" t="inlineStr">
        <is>
          <t>mm2/mm</t>
        </is>
      </c>
      <c r="D49" s="7" t="n"/>
    </row>
    <row r="50">
      <c r="A50" s="3" t="inlineStr">
        <is>
          <t>Al (acero long. por torsion) = (At/s)*ph*(fyt/fy)</t>
        </is>
      </c>
      <c r="B50" s="9">
        <f>B49*B47*(B6/B5)</f>
        <v/>
      </c>
      <c r="C50" s="5" t="inlineStr">
        <is>
          <t>mm2</t>
        </is>
      </c>
      <c r="D50" s="7" t="n"/>
    </row>
    <row r="51">
      <c r="A51" s="3" t="inlineStr">
        <is>
          <t>RESULTADO torsion</t>
        </is>
      </c>
      <c r="B51" s="13">
        <f>IF(B14&lt;B45,"Despreciable","Sumar At/s a estribos y repartir Al en el perimetro")</f>
        <v/>
      </c>
      <c r="C51" s="5" t="inlineStr"/>
      <c r="D51" s="7" t="n"/>
    </row>
    <row r="53">
      <c r="A53" s="14" t="inlineStr">
        <is>
          <t>Estribo total por cortante+torsion: (Av/2)/s [cortante, por rama] + At/s [torsion]. Theta=45 (cot=1).</t>
        </is>
      </c>
    </row>
    <row r="54">
      <c r="A54" s="14" t="inlineStr">
        <is>
          <t>Si el sistema es DMO/DES, ademas verifica diseno por capacidad (cortante a partir de Mpr).</t>
        </is>
      </c>
    </row>
  </sheetData>
  <mergeCells count="5">
    <mergeCell ref="A1:D1"/>
    <mergeCell ref="A31:D31"/>
    <mergeCell ref="A20:D20"/>
    <mergeCell ref="A3:D3"/>
    <mergeCell ref="A42:D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46" customWidth="1" min="4" max="4"/>
  </cols>
  <sheetData>
    <row r="1">
      <c r="A1" s="1" t="inlineStr">
        <is>
          <t>DISENO DE RIOSTRA - flexion y cortante simple</t>
        </is>
      </c>
    </row>
    <row r="3">
      <c r="A3" s="2" t="inlineStr">
        <is>
          <t>DATOS DE ENTRADA</t>
        </is>
      </c>
    </row>
    <row r="4">
      <c r="A4" s="3" t="inlineStr">
        <is>
          <t>f'c</t>
        </is>
      </c>
      <c r="B4" s="4" t="n">
        <v>21</v>
      </c>
      <c r="C4" s="5" t="inlineStr">
        <is>
          <t>MPa</t>
        </is>
      </c>
      <c r="D4" s="3" t="inlineStr"/>
    </row>
    <row r="5">
      <c r="A5" s="3" t="inlineStr">
        <is>
          <t>fy</t>
        </is>
      </c>
      <c r="B5" s="4" t="n">
        <v>420</v>
      </c>
      <c r="C5" s="5" t="inlineStr">
        <is>
          <t>MPa</t>
        </is>
      </c>
      <c r="D5" s="3" t="inlineStr"/>
    </row>
    <row r="6">
      <c r="A6" s="3" t="inlineStr">
        <is>
          <t>fyt</t>
        </is>
      </c>
      <c r="B6" s="4" t="n">
        <v>420</v>
      </c>
      <c r="C6" s="5" t="inlineStr">
        <is>
          <t>MPa</t>
        </is>
      </c>
      <c r="D6" s="3" t="inlineStr"/>
    </row>
    <row r="7">
      <c r="A7" s="3" t="inlineStr">
        <is>
          <t>b</t>
        </is>
      </c>
      <c r="B7" s="4" t="n">
        <v>100</v>
      </c>
      <c r="C7" s="5" t="inlineStr">
        <is>
          <t>mm</t>
        </is>
      </c>
      <c r="D7" s="3" t="inlineStr"/>
    </row>
    <row r="8">
      <c r="A8" s="3" t="inlineStr">
        <is>
          <t>h</t>
        </is>
      </c>
      <c r="B8" s="4" t="n">
        <v>400</v>
      </c>
      <c r="C8" s="5" t="inlineStr">
        <is>
          <t>mm</t>
        </is>
      </c>
      <c r="D8" s="3" t="inlineStr"/>
    </row>
    <row r="9">
      <c r="A9" s="3" t="inlineStr">
        <is>
          <t>d</t>
        </is>
      </c>
      <c r="B9" s="4" t="n">
        <v>360</v>
      </c>
      <c r="C9" s="5" t="inlineStr">
        <is>
          <t>mm</t>
        </is>
      </c>
      <c r="D9" s="3" t="inlineStr"/>
    </row>
    <row r="10">
      <c r="A10" s="3" t="inlineStr">
        <is>
          <t>Mu</t>
        </is>
      </c>
      <c r="B10" s="4" t="n">
        <v>18</v>
      </c>
      <c r="C10" s="5" t="inlineStr">
        <is>
          <t>kN*m</t>
        </is>
      </c>
      <c r="D10" s="3" t="inlineStr"/>
    </row>
    <row r="11">
      <c r="A11" s="3" t="inlineStr">
        <is>
          <t>Vu</t>
        </is>
      </c>
      <c r="B11" s="4" t="n">
        <v>20</v>
      </c>
      <c r="C11" s="5" t="inlineStr">
        <is>
          <t>kN</t>
        </is>
      </c>
      <c r="D11" s="3" t="inlineStr"/>
    </row>
    <row r="12">
      <c r="A12" s="3" t="inlineStr">
        <is>
          <t>Av (estribo 2 ramas)</t>
        </is>
      </c>
      <c r="B12" s="4" t="n">
        <v>64</v>
      </c>
      <c r="C12" s="5" t="inlineStr">
        <is>
          <t>mm2</t>
        </is>
      </c>
      <c r="D12" s="3" t="inlineStr"/>
    </row>
    <row r="13">
      <c r="A13" s="3" t="inlineStr">
        <is>
          <t>phi flexion</t>
        </is>
      </c>
      <c r="B13" s="4" t="n">
        <v>0.9</v>
      </c>
      <c r="C13" s="5" t="inlineStr">
        <is>
          <t>-</t>
        </is>
      </c>
      <c r="D13" s="3" t="inlineStr"/>
    </row>
    <row r="14">
      <c r="A14" s="3" t="inlineStr">
        <is>
          <t>phi cortante</t>
        </is>
      </c>
      <c r="B14" s="4" t="n">
        <v>0.75</v>
      </c>
      <c r="C14" s="5" t="inlineStr">
        <is>
          <t>-</t>
        </is>
      </c>
      <c r="D14" s="3" t="inlineStr"/>
    </row>
    <row r="17">
      <c r="A17" s="2" t="inlineStr">
        <is>
          <t>FLEXION</t>
        </is>
      </c>
    </row>
    <row r="18">
      <c r="A18" s="3" t="inlineStr">
        <is>
          <t>Rn</t>
        </is>
      </c>
      <c r="B18" s="6">
        <f>B10*10^6/(B13*B7*B9^2)</f>
        <v/>
      </c>
      <c r="C18" s="5" t="inlineStr">
        <is>
          <t>MPa</t>
        </is>
      </c>
      <c r="D18" s="7" t="n"/>
    </row>
    <row r="19">
      <c r="A19" s="3" t="inlineStr">
        <is>
          <t>rho</t>
        </is>
      </c>
      <c r="B19" s="8">
        <f>(0.85*B4/B5)*(1-SQRT(1-2*B18/(0.85*B4)))</f>
        <v/>
      </c>
      <c r="C19" s="5" t="inlineStr">
        <is>
          <t>-</t>
        </is>
      </c>
      <c r="D19" s="7" t="n"/>
    </row>
    <row r="20">
      <c r="A20" s="3" t="inlineStr">
        <is>
          <t>As requerido</t>
        </is>
      </c>
      <c r="B20" s="9">
        <f>B19*B7*B9</f>
        <v/>
      </c>
      <c r="C20" s="5" t="inlineStr">
        <is>
          <t>mm2</t>
        </is>
      </c>
      <c r="D20" s="7" t="n"/>
    </row>
    <row r="21">
      <c r="A21" s="3" t="inlineStr">
        <is>
          <t>As minimo</t>
        </is>
      </c>
      <c r="B21" s="9">
        <f>MAX(1.4/B5,0.25*SQRT(B4)/B5)*B7*B9</f>
        <v/>
      </c>
      <c r="C21" s="5" t="inlineStr">
        <is>
          <t>mm2</t>
        </is>
      </c>
      <c r="D21" s="7" t="n"/>
    </row>
    <row r="22">
      <c r="A22" s="3" t="inlineStr">
        <is>
          <t>As ADOPTADO</t>
        </is>
      </c>
      <c r="B22" s="11">
        <f>MAX(B20,B21)</f>
        <v/>
      </c>
      <c r="C22" s="5" t="inlineStr">
        <is>
          <t>mm2</t>
        </is>
      </c>
      <c r="D22" s="7" t="n"/>
    </row>
    <row r="24">
      <c r="A24" s="2" t="inlineStr">
        <is>
          <t>CORTANTE</t>
        </is>
      </c>
    </row>
    <row r="25">
      <c r="A25" s="3" t="inlineStr">
        <is>
          <t>Vc</t>
        </is>
      </c>
      <c r="B25" s="12">
        <f>0.17*SQRT(B4)*B7*B9/1000</f>
        <v/>
      </c>
      <c r="C25" s="5" t="inlineStr">
        <is>
          <t>kN</t>
        </is>
      </c>
      <c r="D25" s="7" t="n"/>
    </row>
    <row r="26">
      <c r="A26" s="3" t="inlineStr">
        <is>
          <t>phi*Vc</t>
        </is>
      </c>
      <c r="B26" s="12">
        <f>B14*B25</f>
        <v/>
      </c>
      <c r="C26" s="5" t="inlineStr">
        <is>
          <t>kN</t>
        </is>
      </c>
      <c r="D26" s="7" t="n"/>
    </row>
    <row r="27">
      <c r="A27" s="3" t="inlineStr">
        <is>
          <t>Vs requerido</t>
        </is>
      </c>
      <c r="B27" s="12">
        <f>MAX(B11/B14-B25,0)</f>
        <v/>
      </c>
      <c r="C27" s="5" t="inlineStr">
        <is>
          <t>kN</t>
        </is>
      </c>
      <c r="D27" s="7" t="n"/>
    </row>
    <row r="28">
      <c r="A28" s="3" t="inlineStr">
        <is>
          <t>s calculado</t>
        </is>
      </c>
      <c r="B28" s="9">
        <f>IF(B27&lt;=0,9999,B12*B6*B9/(B27*1000))</f>
        <v/>
      </c>
      <c r="C28" s="5" t="inlineStr">
        <is>
          <t>mm</t>
        </is>
      </c>
      <c r="D28" s="7" t="n"/>
    </row>
    <row r="29">
      <c r="A29" s="3" t="inlineStr">
        <is>
          <t>RESULTADO</t>
        </is>
      </c>
      <c r="B29" s="13">
        <f>IF(B11&lt;=B26,"Concreto resiste","Estribos @ "&amp;ROUND(MIN(B28,B9/2),0)&amp;" mm")</f>
        <v/>
      </c>
      <c r="C29" s="5" t="inlineStr"/>
      <c r="D29" s="7" t="n"/>
    </row>
  </sheetData>
  <mergeCells count="4">
    <mergeCell ref="A1:D1"/>
    <mergeCell ref="A17:D17"/>
    <mergeCell ref="A24:D24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2026-06-19T01:06:32Z</dcterms:created>
  <dcterms:modified xsi:type="dcterms:W3CDTF">2026-06-19T01:06:32Z</dcterms:modified>
</cp:coreProperties>
</file>