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rzas por Columna" sheetId="1" state="visible" r:id="rId1"/>
    <sheet xmlns:r="http://schemas.openxmlformats.org/officeDocument/2006/relationships" name="Diseno por Tipo" sheetId="2" state="visible" r:id="rId2"/>
    <sheet xmlns:r="http://schemas.openxmlformats.org/officeDocument/2006/relationships" name="Interac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6">
    <font>
      <name val="Calibri"/>
      <family val="2"/>
      <color theme="1"/>
      <sz val="11"/>
      <scheme val="minor"/>
    </font>
    <font>
      <b val="1"/>
      <color rgb="001F4E78"/>
      <sz val="10"/>
    </font>
    <font>
      <b val="1"/>
      <color rgb="00FFFFFF"/>
    </font>
    <font>
      <b val="1"/>
    </font>
    <font>
      <b val="1"/>
      <color rgb="001F4E78"/>
      <sz val="12"/>
    </font>
    <font>
      <i val="1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9DA9BB"/>
      </left>
      <right style="thin">
        <color rgb="009DA9BB"/>
      </right>
      <top style="thin">
        <color rgb="009DA9BB"/>
      </top>
      <bottom style="thin">
        <color rgb="009DA9B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164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Interaccion C1</a:t>
            </a:r>
          </a:p>
        </rich>
      </tx>
    </title>
    <plotArea>
      <scatterChart>
        <ser>
          <idx val="0"/>
          <order val="0"/>
          <tx>
            <v>Capacidad</v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'Interaccion'!$A$4:$A$18</f>
            </numRef>
          </xVal>
          <yVal>
            <numRef>
              <f>'Interaccion'!$B$4:$B$18</f>
            </numRef>
          </yVal>
        </ser>
        <ser>
          <idx val="1"/>
          <order val="1"/>
          <tx>
            <v>Demanda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10"/>
            <spPr>
              <a:ln xmlns:a="http://schemas.openxmlformats.org/drawingml/2006/main">
                <a:prstDash val="solid"/>
              </a:ln>
            </spPr>
          </marker>
          <xVal>
            <numRef>
              <f>'Interaccion'!$A$21</f>
            </numRef>
          </xVal>
          <yVal>
            <numRef>
              <f>'Interaccion'!$B$21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Interaccion C2</a:t>
            </a:r>
          </a:p>
        </rich>
      </tx>
    </title>
    <plotArea>
      <scatterChart>
        <ser>
          <idx val="0"/>
          <order val="0"/>
          <tx>
            <v>Capacidad</v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'Interaccion'!$E$4:$E$18</f>
            </numRef>
          </xVal>
          <yVal>
            <numRef>
              <f>'Interaccion'!$F$4:$F$18</f>
            </numRef>
          </yVal>
        </ser>
        <ser>
          <idx val="1"/>
          <order val="1"/>
          <tx>
            <v>Demanda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10"/>
            <spPr>
              <a:ln xmlns:a="http://schemas.openxmlformats.org/drawingml/2006/main">
                <a:prstDash val="solid"/>
              </a:ln>
            </spPr>
          </marker>
          <xVal>
            <numRef>
              <f>'Interaccion'!$E$21</f>
            </numRef>
          </xVal>
          <yVal>
            <numRef>
              <f>'Interaccion'!$F$21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Interaccion C3</a:t>
            </a:r>
          </a:p>
        </rich>
      </tx>
    </title>
    <plotArea>
      <scatterChart>
        <ser>
          <idx val="0"/>
          <order val="0"/>
          <tx>
            <v>Capacidad</v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'Interaccion'!$I$4:$I$18</f>
            </numRef>
          </xVal>
          <yVal>
            <numRef>
              <f>'Interaccion'!$J$4:$J$18</f>
            </numRef>
          </yVal>
        </ser>
        <ser>
          <idx val="1"/>
          <order val="1"/>
          <tx>
            <v>Demanda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10"/>
            <spPr>
              <a:ln xmlns:a="http://schemas.openxmlformats.org/drawingml/2006/main">
                <a:prstDash val="solid"/>
              </a:ln>
            </spPr>
          </marker>
          <xVal>
            <numRef>
              <f>'Interaccion'!$I$21</f>
            </numRef>
          </xVal>
          <yVal>
            <numRef>
              <f>'Interaccion'!$J$21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Interaccion C4</a:t>
            </a:r>
          </a:p>
        </rich>
      </tx>
    </title>
    <plotArea>
      <scatterChart>
        <ser>
          <idx val="0"/>
          <order val="0"/>
          <tx>
            <v>Capacidad</v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xVal>
            <numRef>
              <f>'Interaccion'!$M$4:$M$18</f>
            </numRef>
          </xVal>
          <yVal>
            <numRef>
              <f>'Interaccion'!$N$4:$N$18</f>
            </numRef>
          </yVal>
        </ser>
        <ser>
          <idx val="1"/>
          <order val="1"/>
          <tx>
            <v>Demanda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10"/>
            <spPr>
              <a:ln xmlns:a="http://schemas.openxmlformats.org/drawingml/2006/main">
                <a:prstDash val="solid"/>
              </a:ln>
            </spPr>
          </marker>
          <xVal>
            <numRef>
              <f>'Interaccion'!$M$21</f>
            </numRef>
          </xVal>
          <yVal>
            <numRef>
              <f>'Interaccion'!$N$21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34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23</row>
      <rowOff>0</rowOff>
    </from>
    <ext cx="342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23</row>
      <rowOff>0</rowOff>
    </from>
    <ext cx="342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23</row>
      <rowOff>0</rowOff>
    </from>
    <ext cx="342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0" customWidth="1" min="4" max="4"/>
    <col width="8" customWidth="1" min="5" max="5"/>
  </cols>
  <sheetData>
    <row r="1">
      <c r="A1" s="1" t="inlineStr">
        <is>
          <t>FUERZAS DE DISENO POR COLUMNA (300) - envolvente con sismo/R=5. Muy(M2)=0 en el modelo -&gt; flexo-compresion uniaxial (P+M3). Tipo por defecto por banda de Pu; confirmar con planos.</t>
        </is>
      </c>
    </row>
    <row r="2">
      <c r="A2" s="2" t="inlineStr">
        <is>
          <t>Frame</t>
        </is>
      </c>
      <c r="B2" s="2" t="inlineStr">
        <is>
          <t>Pu [kN]</t>
        </is>
      </c>
      <c r="C2" s="2" t="inlineStr">
        <is>
          <t>Mux [kN.m]</t>
        </is>
      </c>
      <c r="D2" s="2" t="inlineStr">
        <is>
          <t>Vu [kN]</t>
        </is>
      </c>
      <c r="E2" s="2" t="inlineStr">
        <is>
          <t>Tipo</t>
        </is>
      </c>
    </row>
    <row r="3">
      <c r="A3" s="3" t="n">
        <v>1061</v>
      </c>
      <c r="B3" s="4" t="n">
        <v>536.7</v>
      </c>
      <c r="C3" s="4" t="n">
        <v>44.3</v>
      </c>
      <c r="D3" s="4" t="n">
        <v>20.5</v>
      </c>
      <c r="E3" s="5" t="inlineStr">
        <is>
          <t>C4</t>
        </is>
      </c>
    </row>
    <row r="4">
      <c r="A4" s="3" t="n">
        <v>1062</v>
      </c>
      <c r="B4" s="4" t="n">
        <v>418.6</v>
      </c>
      <c r="C4" s="4" t="n">
        <v>45.4</v>
      </c>
      <c r="D4" s="4" t="n">
        <v>29.6</v>
      </c>
      <c r="E4" s="5" t="inlineStr">
        <is>
          <t>C1</t>
        </is>
      </c>
    </row>
    <row r="5">
      <c r="A5" s="3" t="n">
        <v>1063</v>
      </c>
      <c r="B5" s="4" t="n">
        <v>302.6</v>
      </c>
      <c r="C5" s="4" t="n">
        <v>39.5</v>
      </c>
      <c r="D5" s="4" t="n">
        <v>24.8</v>
      </c>
      <c r="E5" s="5" t="inlineStr">
        <is>
          <t>C1</t>
        </is>
      </c>
    </row>
    <row r="6">
      <c r="A6" s="3" t="n">
        <v>1064</v>
      </c>
      <c r="B6" s="4" t="n">
        <v>194.7</v>
      </c>
      <c r="C6" s="4" t="n">
        <v>30</v>
      </c>
      <c r="D6" s="4" t="n">
        <v>17.9</v>
      </c>
      <c r="E6" s="5" t="inlineStr">
        <is>
          <t>C1</t>
        </is>
      </c>
    </row>
    <row r="7">
      <c r="A7" s="3" t="n">
        <v>1065</v>
      </c>
      <c r="B7" s="4" t="n">
        <v>107</v>
      </c>
      <c r="C7" s="4" t="n">
        <v>20.4</v>
      </c>
      <c r="D7" s="4" t="n">
        <v>11.3</v>
      </c>
      <c r="E7" s="5" t="inlineStr">
        <is>
          <t>C1</t>
        </is>
      </c>
    </row>
    <row r="8">
      <c r="A8" s="3" t="n">
        <v>1066</v>
      </c>
      <c r="B8" s="4" t="n">
        <v>970.6</v>
      </c>
      <c r="C8" s="4" t="n">
        <v>46.5</v>
      </c>
      <c r="D8" s="4" t="n">
        <v>22.4</v>
      </c>
      <c r="E8" s="5" t="inlineStr">
        <is>
          <t>C2</t>
        </is>
      </c>
    </row>
    <row r="9">
      <c r="A9" s="3" t="n">
        <v>1067</v>
      </c>
      <c r="B9" s="4" t="n">
        <v>635.2</v>
      </c>
      <c r="C9" s="4" t="n">
        <v>52.2</v>
      </c>
      <c r="D9" s="4" t="n">
        <v>33.8</v>
      </c>
      <c r="E9" s="5" t="inlineStr">
        <is>
          <t>C4</t>
        </is>
      </c>
    </row>
    <row r="10">
      <c r="A10" s="3" t="n">
        <v>1068</v>
      </c>
      <c r="B10" s="4" t="n">
        <v>437.6</v>
      </c>
      <c r="C10" s="4" t="n">
        <v>42.4</v>
      </c>
      <c r="D10" s="4" t="n">
        <v>27.1</v>
      </c>
      <c r="E10" s="5" t="inlineStr">
        <is>
          <t>C1</t>
        </is>
      </c>
    </row>
    <row r="11">
      <c r="A11" s="3" t="n">
        <v>1069</v>
      </c>
      <c r="B11" s="4" t="n">
        <v>259.7</v>
      </c>
      <c r="C11" s="4" t="n">
        <v>29.2</v>
      </c>
      <c r="D11" s="4" t="n">
        <v>17.8</v>
      </c>
      <c r="E11" s="5" t="inlineStr">
        <is>
          <t>C1</t>
        </is>
      </c>
    </row>
    <row r="12">
      <c r="A12" s="3" t="n">
        <v>1070</v>
      </c>
      <c r="B12" s="4" t="n">
        <v>116.2</v>
      </c>
      <c r="C12" s="4" t="n">
        <v>13.8</v>
      </c>
      <c r="D12" s="4" t="n">
        <v>7.6</v>
      </c>
      <c r="E12" s="5" t="inlineStr">
        <is>
          <t>C1</t>
        </is>
      </c>
    </row>
    <row r="13">
      <c r="A13" s="3" t="n">
        <v>1071</v>
      </c>
      <c r="B13" s="4" t="n">
        <v>971.3</v>
      </c>
      <c r="C13" s="4" t="n">
        <v>46.5</v>
      </c>
      <c r="D13" s="4" t="n">
        <v>22.4</v>
      </c>
      <c r="E13" s="5" t="inlineStr">
        <is>
          <t>C2</t>
        </is>
      </c>
    </row>
    <row r="14">
      <c r="A14" s="3" t="n">
        <v>1072</v>
      </c>
      <c r="B14" s="4" t="n">
        <v>635.8</v>
      </c>
      <c r="C14" s="4" t="n">
        <v>52.1</v>
      </c>
      <c r="D14" s="4" t="n">
        <v>33.8</v>
      </c>
      <c r="E14" s="5" t="inlineStr">
        <is>
          <t>C4</t>
        </is>
      </c>
    </row>
    <row r="15">
      <c r="A15" s="3" t="n">
        <v>1073</v>
      </c>
      <c r="B15" s="4" t="n">
        <v>438.1</v>
      </c>
      <c r="C15" s="4" t="n">
        <v>42.4</v>
      </c>
      <c r="D15" s="4" t="n">
        <v>27.2</v>
      </c>
      <c r="E15" s="5" t="inlineStr">
        <is>
          <t>C1</t>
        </is>
      </c>
    </row>
    <row r="16">
      <c r="A16" s="3" t="n">
        <v>1074</v>
      </c>
      <c r="B16" s="4" t="n">
        <v>260</v>
      </c>
      <c r="C16" s="4" t="n">
        <v>29.3</v>
      </c>
      <c r="D16" s="4" t="n">
        <v>17.9</v>
      </c>
      <c r="E16" s="5" t="inlineStr">
        <is>
          <t>C1</t>
        </is>
      </c>
    </row>
    <row r="17">
      <c r="A17" s="3" t="n">
        <v>1075</v>
      </c>
      <c r="B17" s="4" t="n">
        <v>116.4</v>
      </c>
      <c r="C17" s="4" t="n">
        <v>13.9</v>
      </c>
      <c r="D17" s="4" t="n">
        <v>7.7</v>
      </c>
      <c r="E17" s="5" t="inlineStr">
        <is>
          <t>C1</t>
        </is>
      </c>
    </row>
    <row r="18">
      <c r="A18" s="3" t="n">
        <v>1076</v>
      </c>
      <c r="B18" s="4" t="n">
        <v>536.7</v>
      </c>
      <c r="C18" s="4" t="n">
        <v>44.3</v>
      </c>
      <c r="D18" s="4" t="n">
        <v>20.5</v>
      </c>
      <c r="E18" s="5" t="inlineStr">
        <is>
          <t>C4</t>
        </is>
      </c>
    </row>
    <row r="19">
      <c r="A19" s="3" t="n">
        <v>1077</v>
      </c>
      <c r="B19" s="4" t="n">
        <v>418.6</v>
      </c>
      <c r="C19" s="4" t="n">
        <v>45.4</v>
      </c>
      <c r="D19" s="4" t="n">
        <v>29.6</v>
      </c>
      <c r="E19" s="5" t="inlineStr">
        <is>
          <t>C1</t>
        </is>
      </c>
    </row>
    <row r="20">
      <c r="A20" s="3" t="n">
        <v>1078</v>
      </c>
      <c r="B20" s="4" t="n">
        <v>302.6</v>
      </c>
      <c r="C20" s="4" t="n">
        <v>39.5</v>
      </c>
      <c r="D20" s="4" t="n">
        <v>24.8</v>
      </c>
      <c r="E20" s="5" t="inlineStr">
        <is>
          <t>C1</t>
        </is>
      </c>
    </row>
    <row r="21">
      <c r="A21" s="3" t="n">
        <v>1079</v>
      </c>
      <c r="B21" s="4" t="n">
        <v>194.7</v>
      </c>
      <c r="C21" s="4" t="n">
        <v>30</v>
      </c>
      <c r="D21" s="4" t="n">
        <v>17.9</v>
      </c>
      <c r="E21" s="5" t="inlineStr">
        <is>
          <t>C1</t>
        </is>
      </c>
    </row>
    <row r="22">
      <c r="A22" s="3" t="n">
        <v>1080</v>
      </c>
      <c r="B22" s="4" t="n">
        <v>106.9</v>
      </c>
      <c r="C22" s="4" t="n">
        <v>20.4</v>
      </c>
      <c r="D22" s="4" t="n">
        <v>11.3</v>
      </c>
      <c r="E22" s="5" t="inlineStr">
        <is>
          <t>C1</t>
        </is>
      </c>
    </row>
    <row r="23">
      <c r="A23" s="3" t="n">
        <v>1081</v>
      </c>
      <c r="B23" s="4" t="n">
        <v>536.7</v>
      </c>
      <c r="C23" s="4" t="n">
        <v>44.3</v>
      </c>
      <c r="D23" s="4" t="n">
        <v>20.5</v>
      </c>
      <c r="E23" s="5" t="inlineStr">
        <is>
          <t>C4</t>
        </is>
      </c>
    </row>
    <row r="24">
      <c r="A24" s="3" t="n">
        <v>1082</v>
      </c>
      <c r="B24" s="4" t="n">
        <v>418.6</v>
      </c>
      <c r="C24" s="4" t="n">
        <v>45.4</v>
      </c>
      <c r="D24" s="4" t="n">
        <v>29.6</v>
      </c>
      <c r="E24" s="5" t="inlineStr">
        <is>
          <t>C1</t>
        </is>
      </c>
    </row>
    <row r="25">
      <c r="A25" s="3" t="n">
        <v>1083</v>
      </c>
      <c r="B25" s="4" t="n">
        <v>302.6</v>
      </c>
      <c r="C25" s="4" t="n">
        <v>39.5</v>
      </c>
      <c r="D25" s="4" t="n">
        <v>24.8</v>
      </c>
      <c r="E25" s="5" t="inlineStr">
        <is>
          <t>C1</t>
        </is>
      </c>
    </row>
    <row r="26">
      <c r="A26" s="3" t="n">
        <v>1084</v>
      </c>
      <c r="B26" s="4" t="n">
        <v>194.7</v>
      </c>
      <c r="C26" s="4" t="n">
        <v>30</v>
      </c>
      <c r="D26" s="4" t="n">
        <v>17.9</v>
      </c>
      <c r="E26" s="5" t="inlineStr">
        <is>
          <t>C1</t>
        </is>
      </c>
    </row>
    <row r="27">
      <c r="A27" s="3" t="n">
        <v>1085</v>
      </c>
      <c r="B27" s="4" t="n">
        <v>106.9</v>
      </c>
      <c r="C27" s="4" t="n">
        <v>20.4</v>
      </c>
      <c r="D27" s="4" t="n">
        <v>11.3</v>
      </c>
      <c r="E27" s="5" t="inlineStr">
        <is>
          <t>C1</t>
        </is>
      </c>
    </row>
    <row r="28">
      <c r="A28" s="3" t="n">
        <v>1086</v>
      </c>
      <c r="B28" s="4" t="n">
        <v>970.6</v>
      </c>
      <c r="C28" s="4" t="n">
        <v>46.5</v>
      </c>
      <c r="D28" s="4" t="n">
        <v>22.4</v>
      </c>
      <c r="E28" s="5" t="inlineStr">
        <is>
          <t>C2</t>
        </is>
      </c>
    </row>
    <row r="29">
      <c r="A29" s="3" t="n">
        <v>1087</v>
      </c>
      <c r="B29" s="4" t="n">
        <v>635.2</v>
      </c>
      <c r="C29" s="4" t="n">
        <v>52.2</v>
      </c>
      <c r="D29" s="4" t="n">
        <v>33.8</v>
      </c>
      <c r="E29" s="5" t="inlineStr">
        <is>
          <t>C4</t>
        </is>
      </c>
    </row>
    <row r="30">
      <c r="A30" s="3" t="n">
        <v>1088</v>
      </c>
      <c r="B30" s="4" t="n">
        <v>437.6</v>
      </c>
      <c r="C30" s="4" t="n">
        <v>42.4</v>
      </c>
      <c r="D30" s="4" t="n">
        <v>27.1</v>
      </c>
      <c r="E30" s="5" t="inlineStr">
        <is>
          <t>C1</t>
        </is>
      </c>
    </row>
    <row r="31">
      <c r="A31" s="3" t="n">
        <v>1089</v>
      </c>
      <c r="B31" s="4" t="n">
        <v>259.7</v>
      </c>
      <c r="C31" s="4" t="n">
        <v>29.2</v>
      </c>
      <c r="D31" s="4" t="n">
        <v>17.8</v>
      </c>
      <c r="E31" s="5" t="inlineStr">
        <is>
          <t>C1</t>
        </is>
      </c>
    </row>
    <row r="32">
      <c r="A32" s="3" t="n">
        <v>1090</v>
      </c>
      <c r="B32" s="4" t="n">
        <v>116.2</v>
      </c>
      <c r="C32" s="4" t="n">
        <v>13.8</v>
      </c>
      <c r="D32" s="4" t="n">
        <v>7.6</v>
      </c>
      <c r="E32" s="5" t="inlineStr">
        <is>
          <t>C1</t>
        </is>
      </c>
    </row>
    <row r="33">
      <c r="A33" s="3" t="n">
        <v>1091</v>
      </c>
      <c r="B33" s="4" t="n">
        <v>971.3</v>
      </c>
      <c r="C33" s="4" t="n">
        <v>46.5</v>
      </c>
      <c r="D33" s="4" t="n">
        <v>22.4</v>
      </c>
      <c r="E33" s="5" t="inlineStr">
        <is>
          <t>C2</t>
        </is>
      </c>
    </row>
    <row r="34">
      <c r="A34" s="3" t="n">
        <v>1092</v>
      </c>
      <c r="B34" s="4" t="n">
        <v>635.8</v>
      </c>
      <c r="C34" s="4" t="n">
        <v>52.1</v>
      </c>
      <c r="D34" s="4" t="n">
        <v>33.8</v>
      </c>
      <c r="E34" s="5" t="inlineStr">
        <is>
          <t>C4</t>
        </is>
      </c>
    </row>
    <row r="35">
      <c r="A35" s="3" t="n">
        <v>1093</v>
      </c>
      <c r="B35" s="4" t="n">
        <v>438.1</v>
      </c>
      <c r="C35" s="4" t="n">
        <v>42.4</v>
      </c>
      <c r="D35" s="4" t="n">
        <v>27.2</v>
      </c>
      <c r="E35" s="5" t="inlineStr">
        <is>
          <t>C1</t>
        </is>
      </c>
    </row>
    <row r="36">
      <c r="A36" s="3" t="n">
        <v>1094</v>
      </c>
      <c r="B36" s="4" t="n">
        <v>260</v>
      </c>
      <c r="C36" s="4" t="n">
        <v>29.3</v>
      </c>
      <c r="D36" s="4" t="n">
        <v>17.9</v>
      </c>
      <c r="E36" s="5" t="inlineStr">
        <is>
          <t>C1</t>
        </is>
      </c>
    </row>
    <row r="37">
      <c r="A37" s="3" t="n">
        <v>1095</v>
      </c>
      <c r="B37" s="4" t="n">
        <v>116.4</v>
      </c>
      <c r="C37" s="4" t="n">
        <v>13.9</v>
      </c>
      <c r="D37" s="4" t="n">
        <v>7.7</v>
      </c>
      <c r="E37" s="5" t="inlineStr">
        <is>
          <t>C1</t>
        </is>
      </c>
    </row>
    <row r="38">
      <c r="A38" s="3" t="n">
        <v>1096</v>
      </c>
      <c r="B38" s="4" t="n">
        <v>536.7</v>
      </c>
      <c r="C38" s="4" t="n">
        <v>44.3</v>
      </c>
      <c r="D38" s="4" t="n">
        <v>20.5</v>
      </c>
      <c r="E38" s="5" t="inlineStr">
        <is>
          <t>C4</t>
        </is>
      </c>
    </row>
    <row r="39">
      <c r="A39" s="3" t="n">
        <v>1097</v>
      </c>
      <c r="B39" s="4" t="n">
        <v>418.6</v>
      </c>
      <c r="C39" s="4" t="n">
        <v>45.4</v>
      </c>
      <c r="D39" s="4" t="n">
        <v>29.6</v>
      </c>
      <c r="E39" s="5" t="inlineStr">
        <is>
          <t>C1</t>
        </is>
      </c>
    </row>
    <row r="40">
      <c r="A40" s="3" t="n">
        <v>1098</v>
      </c>
      <c r="B40" s="4" t="n">
        <v>302.6</v>
      </c>
      <c r="C40" s="4" t="n">
        <v>39.5</v>
      </c>
      <c r="D40" s="4" t="n">
        <v>24.8</v>
      </c>
      <c r="E40" s="5" t="inlineStr">
        <is>
          <t>C1</t>
        </is>
      </c>
    </row>
    <row r="41">
      <c r="A41" s="3" t="n">
        <v>1099</v>
      </c>
      <c r="B41" s="4" t="n">
        <v>194.7</v>
      </c>
      <c r="C41" s="4" t="n">
        <v>30</v>
      </c>
      <c r="D41" s="4" t="n">
        <v>17.9</v>
      </c>
      <c r="E41" s="5" t="inlineStr">
        <is>
          <t>C1</t>
        </is>
      </c>
    </row>
    <row r="42">
      <c r="A42" s="3" t="n">
        <v>1100</v>
      </c>
      <c r="B42" s="4" t="n">
        <v>107</v>
      </c>
      <c r="C42" s="4" t="n">
        <v>20.4</v>
      </c>
      <c r="D42" s="4" t="n">
        <v>11.3</v>
      </c>
      <c r="E42" s="5" t="inlineStr">
        <is>
          <t>C1</t>
        </is>
      </c>
    </row>
    <row r="43">
      <c r="A43" s="3" t="n">
        <v>1101</v>
      </c>
      <c r="B43" s="4" t="n">
        <v>1166.4</v>
      </c>
      <c r="C43" s="4" t="n">
        <v>153.3</v>
      </c>
      <c r="D43" s="4" t="n">
        <v>55.2</v>
      </c>
      <c r="E43" s="5" t="inlineStr">
        <is>
          <t>C2</t>
        </is>
      </c>
    </row>
    <row r="44">
      <c r="A44" s="3" t="n">
        <v>1102</v>
      </c>
      <c r="B44" s="4" t="n">
        <v>913.1</v>
      </c>
      <c r="C44" s="4" t="n">
        <v>69.2</v>
      </c>
      <c r="D44" s="4" t="n">
        <v>45.4</v>
      </c>
      <c r="E44" s="5" t="inlineStr">
        <is>
          <t>C2</t>
        </is>
      </c>
    </row>
    <row r="45">
      <c r="A45" s="3" t="n">
        <v>1103</v>
      </c>
      <c r="B45" s="4" t="n">
        <v>664.9</v>
      </c>
      <c r="C45" s="4" t="n">
        <v>69.5</v>
      </c>
      <c r="D45" s="4" t="n">
        <v>37.4</v>
      </c>
      <c r="E45" s="5" t="inlineStr">
        <is>
          <t>C4</t>
        </is>
      </c>
    </row>
    <row r="46">
      <c r="A46" s="3" t="n">
        <v>1104</v>
      </c>
      <c r="B46" s="4" t="n">
        <v>438.5</v>
      </c>
      <c r="C46" s="4" t="n">
        <v>58.6</v>
      </c>
      <c r="D46" s="4" t="n">
        <v>26</v>
      </c>
      <c r="E46" s="5" t="inlineStr">
        <is>
          <t>C1</t>
        </is>
      </c>
    </row>
    <row r="47">
      <c r="A47" s="3" t="n">
        <v>1105</v>
      </c>
      <c r="B47" s="4" t="n">
        <v>219.8</v>
      </c>
      <c r="C47" s="4" t="n">
        <v>34.1</v>
      </c>
      <c r="D47" s="4" t="n">
        <v>11.6</v>
      </c>
      <c r="E47" s="5" t="inlineStr">
        <is>
          <t>C1</t>
        </is>
      </c>
    </row>
    <row r="48">
      <c r="A48" s="3" t="n">
        <v>1106</v>
      </c>
      <c r="B48" s="4" t="n">
        <v>1248.8</v>
      </c>
      <c r="C48" s="4" t="n">
        <v>155</v>
      </c>
      <c r="D48" s="4" t="n">
        <v>56.7</v>
      </c>
      <c r="E48" s="5" t="inlineStr">
        <is>
          <t>C2</t>
        </is>
      </c>
    </row>
    <row r="49">
      <c r="A49" s="3" t="n">
        <v>1107</v>
      </c>
      <c r="B49" s="4" t="n">
        <v>969.9</v>
      </c>
      <c r="C49" s="4" t="n">
        <v>74.59999999999999</v>
      </c>
      <c r="D49" s="4" t="n">
        <v>48.8</v>
      </c>
      <c r="E49" s="5" t="inlineStr">
        <is>
          <t>C2</t>
        </is>
      </c>
    </row>
    <row r="50">
      <c r="A50" s="3" t="n">
        <v>1108</v>
      </c>
      <c r="B50" s="4" t="n">
        <v>696.7</v>
      </c>
      <c r="C50" s="4" t="n">
        <v>73.5</v>
      </c>
      <c r="D50" s="4" t="n">
        <v>40.1</v>
      </c>
      <c r="E50" s="5" t="inlineStr">
        <is>
          <t>C4</t>
        </is>
      </c>
    </row>
    <row r="51">
      <c r="A51" s="3" t="n">
        <v>1109</v>
      </c>
      <c r="B51" s="4" t="n">
        <v>448.7</v>
      </c>
      <c r="C51" s="4" t="n">
        <v>61.3</v>
      </c>
      <c r="D51" s="4" t="n">
        <v>28.1</v>
      </c>
      <c r="E51" s="5" t="inlineStr">
        <is>
          <t>C1</t>
        </is>
      </c>
    </row>
    <row r="52">
      <c r="A52" s="3" t="n">
        <v>1110</v>
      </c>
      <c r="B52" s="4" t="n">
        <v>207.9</v>
      </c>
      <c r="C52" s="4" t="n">
        <v>39.2</v>
      </c>
      <c r="D52" s="4" t="n">
        <v>14.5</v>
      </c>
      <c r="E52" s="5" t="inlineStr">
        <is>
          <t>C1</t>
        </is>
      </c>
    </row>
    <row r="53">
      <c r="A53" s="3" t="n">
        <v>1111</v>
      </c>
      <c r="B53" s="4" t="n">
        <v>1160.1</v>
      </c>
      <c r="C53" s="4" t="n">
        <v>154.8</v>
      </c>
      <c r="D53" s="4" t="n">
        <v>56.6</v>
      </c>
      <c r="E53" s="5" t="inlineStr">
        <is>
          <t>C2</t>
        </is>
      </c>
    </row>
    <row r="54">
      <c r="A54" s="3" t="n">
        <v>1112</v>
      </c>
      <c r="B54" s="4" t="n">
        <v>907.2</v>
      </c>
      <c r="C54" s="4" t="n">
        <v>74.40000000000001</v>
      </c>
      <c r="D54" s="4" t="n">
        <v>48.7</v>
      </c>
      <c r="E54" s="5" t="inlineStr">
        <is>
          <t>C2</t>
        </is>
      </c>
    </row>
    <row r="55">
      <c r="A55" s="3" t="n">
        <v>1113</v>
      </c>
      <c r="B55" s="4" t="n">
        <v>655.4</v>
      </c>
      <c r="C55" s="4" t="n">
        <v>74.09999999999999</v>
      </c>
      <c r="D55" s="4" t="n">
        <v>40.4</v>
      </c>
      <c r="E55" s="5" t="inlineStr">
        <is>
          <t>C4</t>
        </is>
      </c>
    </row>
    <row r="56">
      <c r="A56" s="3" t="n">
        <v>1114</v>
      </c>
      <c r="B56" s="4" t="n">
        <v>420.1</v>
      </c>
      <c r="C56" s="4" t="n">
        <v>62.3</v>
      </c>
      <c r="D56" s="4" t="n">
        <v>28.6</v>
      </c>
      <c r="E56" s="5" t="inlineStr">
        <is>
          <t>C1</t>
        </is>
      </c>
    </row>
    <row r="57">
      <c r="A57" s="3" t="n">
        <v>1115</v>
      </c>
      <c r="B57" s="4" t="n">
        <v>196.7</v>
      </c>
      <c r="C57" s="4" t="n">
        <v>40.5</v>
      </c>
      <c r="D57" s="4" t="n">
        <v>15.3</v>
      </c>
      <c r="E57" s="5" t="inlineStr">
        <is>
          <t>C1</t>
        </is>
      </c>
    </row>
    <row r="58">
      <c r="A58" s="3" t="n">
        <v>1116</v>
      </c>
      <c r="B58" s="4" t="n">
        <v>1301.9</v>
      </c>
      <c r="C58" s="4" t="n">
        <v>153.9</v>
      </c>
      <c r="D58" s="4" t="n">
        <v>55.8</v>
      </c>
      <c r="E58" s="5" t="inlineStr">
        <is>
          <t>C2</t>
        </is>
      </c>
    </row>
    <row r="59">
      <c r="A59" s="3" t="n">
        <v>1117</v>
      </c>
      <c r="B59" s="4" t="n">
        <v>1015.3</v>
      </c>
      <c r="C59" s="4" t="n">
        <v>71.2</v>
      </c>
      <c r="D59" s="4" t="n">
        <v>46.7</v>
      </c>
      <c r="E59" s="5" t="inlineStr">
        <is>
          <t>C2</t>
        </is>
      </c>
    </row>
    <row r="60">
      <c r="A60" s="3" t="n">
        <v>1118</v>
      </c>
      <c r="B60" s="4" t="n">
        <v>731.8</v>
      </c>
      <c r="C60" s="4" t="n">
        <v>70.8</v>
      </c>
      <c r="D60" s="4" t="n">
        <v>38.3</v>
      </c>
      <c r="E60" s="5" t="inlineStr">
        <is>
          <t>C4</t>
        </is>
      </c>
    </row>
    <row r="61">
      <c r="A61" s="3" t="n">
        <v>1119</v>
      </c>
      <c r="B61" s="4" t="n">
        <v>472.9</v>
      </c>
      <c r="C61" s="4" t="n">
        <v>59.1</v>
      </c>
      <c r="D61" s="4" t="n">
        <v>26.5</v>
      </c>
      <c r="E61" s="5" t="inlineStr">
        <is>
          <t>C1</t>
        </is>
      </c>
    </row>
    <row r="62">
      <c r="A62" s="3" t="n">
        <v>1120</v>
      </c>
      <c r="B62" s="4" t="n">
        <v>219.4</v>
      </c>
      <c r="C62" s="4" t="n">
        <v>33.9</v>
      </c>
      <c r="D62" s="4" t="n">
        <v>11.6</v>
      </c>
      <c r="E62" s="5" t="inlineStr">
        <is>
          <t>C1</t>
        </is>
      </c>
    </row>
    <row r="63">
      <c r="A63" s="3" t="n">
        <v>1121</v>
      </c>
      <c r="B63" s="4" t="n">
        <v>1301.9</v>
      </c>
      <c r="C63" s="4" t="n">
        <v>153.9</v>
      </c>
      <c r="D63" s="4" t="n">
        <v>55.8</v>
      </c>
      <c r="E63" s="5" t="inlineStr">
        <is>
          <t>C2</t>
        </is>
      </c>
    </row>
    <row r="64">
      <c r="A64" s="3" t="n">
        <v>1122</v>
      </c>
      <c r="B64" s="4" t="n">
        <v>1015.4</v>
      </c>
      <c r="C64" s="4" t="n">
        <v>71.2</v>
      </c>
      <c r="D64" s="4" t="n">
        <v>46.7</v>
      </c>
      <c r="E64" s="5" t="inlineStr">
        <is>
          <t>C2</t>
        </is>
      </c>
    </row>
    <row r="65">
      <c r="A65" s="3" t="n">
        <v>1123</v>
      </c>
      <c r="B65" s="4" t="n">
        <v>731.8</v>
      </c>
      <c r="C65" s="4" t="n">
        <v>70.8</v>
      </c>
      <c r="D65" s="4" t="n">
        <v>38.3</v>
      </c>
      <c r="E65" s="5" t="inlineStr">
        <is>
          <t>C4</t>
        </is>
      </c>
    </row>
    <row r="66">
      <c r="A66" s="3" t="n">
        <v>1124</v>
      </c>
      <c r="B66" s="4" t="n">
        <v>472.9</v>
      </c>
      <c r="C66" s="4" t="n">
        <v>59.1</v>
      </c>
      <c r="D66" s="4" t="n">
        <v>26.5</v>
      </c>
      <c r="E66" s="5" t="inlineStr">
        <is>
          <t>C1</t>
        </is>
      </c>
    </row>
    <row r="67">
      <c r="A67" s="3" t="n">
        <v>1125</v>
      </c>
      <c r="B67" s="4" t="n">
        <v>219.4</v>
      </c>
      <c r="C67" s="4" t="n">
        <v>34</v>
      </c>
      <c r="D67" s="4" t="n">
        <v>11.6</v>
      </c>
      <c r="E67" s="5" t="inlineStr">
        <is>
          <t>C1</t>
        </is>
      </c>
    </row>
    <row r="68">
      <c r="A68" s="3" t="n">
        <v>1126</v>
      </c>
      <c r="B68" s="4" t="n">
        <v>1160.1</v>
      </c>
      <c r="C68" s="4" t="n">
        <v>154.8</v>
      </c>
      <c r="D68" s="4" t="n">
        <v>56.6</v>
      </c>
      <c r="E68" s="5" t="inlineStr">
        <is>
          <t>C2</t>
        </is>
      </c>
    </row>
    <row r="69">
      <c r="A69" s="3" t="n">
        <v>1127</v>
      </c>
      <c r="B69" s="4" t="n">
        <v>907.2</v>
      </c>
      <c r="C69" s="4" t="n">
        <v>74.3</v>
      </c>
      <c r="D69" s="4" t="n">
        <v>48.7</v>
      </c>
      <c r="E69" s="5" t="inlineStr">
        <is>
          <t>C2</t>
        </is>
      </c>
    </row>
    <row r="70">
      <c r="A70" s="3" t="n">
        <v>1128</v>
      </c>
      <c r="B70" s="4" t="n">
        <v>655.4</v>
      </c>
      <c r="C70" s="4" t="n">
        <v>74.09999999999999</v>
      </c>
      <c r="D70" s="4" t="n">
        <v>40.4</v>
      </c>
      <c r="E70" s="5" t="inlineStr">
        <is>
          <t>C4</t>
        </is>
      </c>
    </row>
    <row r="71">
      <c r="A71" s="3" t="n">
        <v>1129</v>
      </c>
      <c r="B71" s="4" t="n">
        <v>420</v>
      </c>
      <c r="C71" s="4" t="n">
        <v>62.3</v>
      </c>
      <c r="D71" s="4" t="n">
        <v>28.6</v>
      </c>
      <c r="E71" s="5" t="inlineStr">
        <is>
          <t>C1</t>
        </is>
      </c>
    </row>
    <row r="72">
      <c r="A72" s="3" t="n">
        <v>1130</v>
      </c>
      <c r="B72" s="4" t="n">
        <v>196.7</v>
      </c>
      <c r="C72" s="4" t="n">
        <v>40.5</v>
      </c>
      <c r="D72" s="4" t="n">
        <v>15.3</v>
      </c>
      <c r="E72" s="5" t="inlineStr">
        <is>
          <t>C1</t>
        </is>
      </c>
    </row>
    <row r="73">
      <c r="A73" s="3" t="n">
        <v>1131</v>
      </c>
      <c r="B73" s="4" t="n">
        <v>1248.7</v>
      </c>
      <c r="C73" s="4" t="n">
        <v>155</v>
      </c>
      <c r="D73" s="4" t="n">
        <v>56.7</v>
      </c>
      <c r="E73" s="5" t="inlineStr">
        <is>
          <t>C2</t>
        </is>
      </c>
    </row>
    <row r="74">
      <c r="A74" s="3" t="n">
        <v>1132</v>
      </c>
      <c r="B74" s="4" t="n">
        <v>969.8</v>
      </c>
      <c r="C74" s="4" t="n">
        <v>74.59999999999999</v>
      </c>
      <c r="D74" s="4" t="n">
        <v>48.8</v>
      </c>
      <c r="E74" s="5" t="inlineStr">
        <is>
          <t>C2</t>
        </is>
      </c>
    </row>
    <row r="75">
      <c r="A75" s="3" t="n">
        <v>1133</v>
      </c>
      <c r="B75" s="4" t="n">
        <v>696.7</v>
      </c>
      <c r="C75" s="4" t="n">
        <v>73.5</v>
      </c>
      <c r="D75" s="4" t="n">
        <v>40.1</v>
      </c>
      <c r="E75" s="5" t="inlineStr">
        <is>
          <t>C4</t>
        </is>
      </c>
    </row>
    <row r="76">
      <c r="A76" s="3" t="n">
        <v>1134</v>
      </c>
      <c r="B76" s="4" t="n">
        <v>448.6</v>
      </c>
      <c r="C76" s="4" t="n">
        <v>61.3</v>
      </c>
      <c r="D76" s="4" t="n">
        <v>28.1</v>
      </c>
      <c r="E76" s="5" t="inlineStr">
        <is>
          <t>C1</t>
        </is>
      </c>
    </row>
    <row r="77">
      <c r="A77" s="3" t="n">
        <v>1135</v>
      </c>
      <c r="B77" s="4" t="n">
        <v>207.9</v>
      </c>
      <c r="C77" s="4" t="n">
        <v>39.2</v>
      </c>
      <c r="D77" s="4" t="n">
        <v>14.5</v>
      </c>
      <c r="E77" s="5" t="inlineStr">
        <is>
          <t>C1</t>
        </is>
      </c>
    </row>
    <row r="78">
      <c r="A78" s="3" t="n">
        <v>1136</v>
      </c>
      <c r="B78" s="4" t="n">
        <v>1166.3</v>
      </c>
      <c r="C78" s="4" t="n">
        <v>153.3</v>
      </c>
      <c r="D78" s="4" t="n">
        <v>55.2</v>
      </c>
      <c r="E78" s="5" t="inlineStr">
        <is>
          <t>C2</t>
        </is>
      </c>
    </row>
    <row r="79">
      <c r="A79" s="3" t="n">
        <v>1137</v>
      </c>
      <c r="B79" s="4" t="n">
        <v>913.1</v>
      </c>
      <c r="C79" s="4" t="n">
        <v>69.2</v>
      </c>
      <c r="D79" s="4" t="n">
        <v>45.4</v>
      </c>
      <c r="E79" s="5" t="inlineStr">
        <is>
          <t>C2</t>
        </is>
      </c>
    </row>
    <row r="80">
      <c r="A80" s="3" t="n">
        <v>1138</v>
      </c>
      <c r="B80" s="4" t="n">
        <v>664.9</v>
      </c>
      <c r="C80" s="4" t="n">
        <v>69.5</v>
      </c>
      <c r="D80" s="4" t="n">
        <v>37.4</v>
      </c>
      <c r="E80" s="5" t="inlineStr">
        <is>
          <t>C4</t>
        </is>
      </c>
    </row>
    <row r="81">
      <c r="A81" s="3" t="n">
        <v>1139</v>
      </c>
      <c r="B81" s="4" t="n">
        <v>438.4</v>
      </c>
      <c r="C81" s="4" t="n">
        <v>58.5</v>
      </c>
      <c r="D81" s="4" t="n">
        <v>26</v>
      </c>
      <c r="E81" s="5" t="inlineStr">
        <is>
          <t>C1</t>
        </is>
      </c>
    </row>
    <row r="82">
      <c r="A82" s="3" t="n">
        <v>1140</v>
      </c>
      <c r="B82" s="4" t="n">
        <v>219.8</v>
      </c>
      <c r="C82" s="4" t="n">
        <v>34.1</v>
      </c>
      <c r="D82" s="4" t="n">
        <v>11.6</v>
      </c>
      <c r="E82" s="5" t="inlineStr">
        <is>
          <t>C1</t>
        </is>
      </c>
    </row>
    <row r="83">
      <c r="A83" s="3" t="n">
        <v>1141</v>
      </c>
      <c r="B83" s="4" t="n">
        <v>1062.1</v>
      </c>
      <c r="C83" s="4" t="n">
        <v>168.3</v>
      </c>
      <c r="D83" s="4" t="n">
        <v>68.40000000000001</v>
      </c>
      <c r="E83" s="5" t="inlineStr">
        <is>
          <t>C2</t>
        </is>
      </c>
    </row>
    <row r="84">
      <c r="A84" s="3" t="n">
        <v>1142</v>
      </c>
      <c r="B84" s="4" t="n">
        <v>866.4</v>
      </c>
      <c r="C84" s="4" t="n">
        <v>120.1</v>
      </c>
      <c r="D84" s="4" t="n">
        <v>78.59999999999999</v>
      </c>
      <c r="E84" s="5" t="inlineStr">
        <is>
          <t>C4</t>
        </is>
      </c>
    </row>
    <row r="85">
      <c r="A85" s="3" t="n">
        <v>1143</v>
      </c>
      <c r="B85" s="4" t="n">
        <v>668.8</v>
      </c>
      <c r="C85" s="4" t="n">
        <v>110.9</v>
      </c>
      <c r="D85" s="4" t="n">
        <v>65.90000000000001</v>
      </c>
      <c r="E85" s="5" t="inlineStr">
        <is>
          <t>C4</t>
        </is>
      </c>
    </row>
    <row r="86">
      <c r="A86" s="3" t="n">
        <v>1144</v>
      </c>
      <c r="B86" s="4" t="n">
        <v>469</v>
      </c>
      <c r="C86" s="4" t="n">
        <v>87.09999999999999</v>
      </c>
      <c r="D86" s="4" t="n">
        <v>46.9</v>
      </c>
      <c r="E86" s="5" t="inlineStr">
        <is>
          <t>C1</t>
        </is>
      </c>
    </row>
    <row r="87">
      <c r="A87" s="3" t="n">
        <v>1145</v>
      </c>
      <c r="B87" s="4" t="n">
        <v>246.3</v>
      </c>
      <c r="C87" s="4" t="n">
        <v>56.3</v>
      </c>
      <c r="D87" s="4" t="n">
        <v>26.7</v>
      </c>
      <c r="E87" s="5" t="inlineStr">
        <is>
          <t>C1</t>
        </is>
      </c>
    </row>
    <row r="88">
      <c r="A88" s="3" t="n">
        <v>1146</v>
      </c>
      <c r="B88" s="4" t="n">
        <v>1215.4</v>
      </c>
      <c r="C88" s="4" t="n">
        <v>167</v>
      </c>
      <c r="D88" s="4" t="n">
        <v>67.3</v>
      </c>
      <c r="E88" s="5" t="inlineStr">
        <is>
          <t>C2</t>
        </is>
      </c>
    </row>
    <row r="89">
      <c r="A89" s="3" t="n">
        <v>1147</v>
      </c>
      <c r="B89" s="4" t="n">
        <v>973.3</v>
      </c>
      <c r="C89" s="4" t="n">
        <v>115.7</v>
      </c>
      <c r="D89" s="4" t="n">
        <v>75.8</v>
      </c>
      <c r="E89" s="5" t="inlineStr">
        <is>
          <t>C2</t>
        </is>
      </c>
    </row>
    <row r="90">
      <c r="A90" s="3" t="n">
        <v>1148</v>
      </c>
      <c r="B90" s="4" t="n">
        <v>729.8</v>
      </c>
      <c r="C90" s="4" t="n">
        <v>108.4</v>
      </c>
      <c r="D90" s="4" t="n">
        <v>64</v>
      </c>
      <c r="E90" s="5" t="inlineStr">
        <is>
          <t>C4</t>
        </is>
      </c>
    </row>
    <row r="91">
      <c r="A91" s="3" t="n">
        <v>1149</v>
      </c>
      <c r="B91" s="4" t="n">
        <v>491.4</v>
      </c>
      <c r="C91" s="4" t="n">
        <v>86</v>
      </c>
      <c r="D91" s="4" t="n">
        <v>46</v>
      </c>
      <c r="E91" s="5" t="inlineStr">
        <is>
          <t>C1</t>
        </is>
      </c>
    </row>
    <row r="92">
      <c r="A92" s="3" t="n">
        <v>1150</v>
      </c>
      <c r="B92" s="4" t="n">
        <v>258.7</v>
      </c>
      <c r="C92" s="4" t="n">
        <v>58.6</v>
      </c>
      <c r="D92" s="4" t="n">
        <v>27.7</v>
      </c>
      <c r="E92" s="5" t="inlineStr">
        <is>
          <t>C1</t>
        </is>
      </c>
    </row>
    <row r="93">
      <c r="A93" s="3" t="n">
        <v>1151</v>
      </c>
      <c r="B93" s="4" t="n">
        <v>1214.3</v>
      </c>
      <c r="C93" s="4" t="n">
        <v>166.9</v>
      </c>
      <c r="D93" s="4" t="n">
        <v>67.3</v>
      </c>
      <c r="E93" s="5" t="inlineStr">
        <is>
          <t>C2</t>
        </is>
      </c>
    </row>
    <row r="94">
      <c r="A94" s="3" t="n">
        <v>1152</v>
      </c>
      <c r="B94" s="4" t="n">
        <v>972.4</v>
      </c>
      <c r="C94" s="4" t="n">
        <v>115.7</v>
      </c>
      <c r="D94" s="4" t="n">
        <v>75.8</v>
      </c>
      <c r="E94" s="5" t="inlineStr">
        <is>
          <t>C2</t>
        </is>
      </c>
    </row>
    <row r="95">
      <c r="A95" s="3" t="n">
        <v>1153</v>
      </c>
      <c r="B95" s="4" t="n">
        <v>729.1</v>
      </c>
      <c r="C95" s="4" t="n">
        <v>108.4</v>
      </c>
      <c r="D95" s="4" t="n">
        <v>64</v>
      </c>
      <c r="E95" s="5" t="inlineStr">
        <is>
          <t>C4</t>
        </is>
      </c>
    </row>
    <row r="96">
      <c r="A96" s="3" t="n">
        <v>1154</v>
      </c>
      <c r="B96" s="4" t="n">
        <v>490.9</v>
      </c>
      <c r="C96" s="4" t="n">
        <v>86</v>
      </c>
      <c r="D96" s="4" t="n">
        <v>46</v>
      </c>
      <c r="E96" s="5" t="inlineStr">
        <is>
          <t>C1</t>
        </is>
      </c>
    </row>
    <row r="97">
      <c r="A97" s="3" t="n">
        <v>1155</v>
      </c>
      <c r="B97" s="4" t="n">
        <v>258.5</v>
      </c>
      <c r="C97" s="4" t="n">
        <v>58.6</v>
      </c>
      <c r="D97" s="4" t="n">
        <v>27.7</v>
      </c>
      <c r="E97" s="5" t="inlineStr">
        <is>
          <t>C1</t>
        </is>
      </c>
    </row>
    <row r="98">
      <c r="A98" s="3" t="n">
        <v>1156</v>
      </c>
      <c r="B98" s="4" t="n">
        <v>1061.9</v>
      </c>
      <c r="C98" s="4" t="n">
        <v>168.3</v>
      </c>
      <c r="D98" s="4" t="n">
        <v>68.40000000000001</v>
      </c>
      <c r="E98" s="5" t="inlineStr">
        <is>
          <t>C2</t>
        </is>
      </c>
    </row>
    <row r="99">
      <c r="A99" s="3" t="n">
        <v>1157</v>
      </c>
      <c r="B99" s="4" t="n">
        <v>866.2</v>
      </c>
      <c r="C99" s="4" t="n">
        <v>120.1</v>
      </c>
      <c r="D99" s="4" t="n">
        <v>78.59999999999999</v>
      </c>
      <c r="E99" s="5" t="inlineStr">
        <is>
          <t>C4</t>
        </is>
      </c>
    </row>
    <row r="100">
      <c r="A100" s="3" t="n">
        <v>1158</v>
      </c>
      <c r="B100" s="4" t="n">
        <v>668.7</v>
      </c>
      <c r="C100" s="4" t="n">
        <v>110.9</v>
      </c>
      <c r="D100" s="4" t="n">
        <v>65.90000000000001</v>
      </c>
      <c r="E100" s="5" t="inlineStr">
        <is>
          <t>C4</t>
        </is>
      </c>
    </row>
    <row r="101">
      <c r="A101" s="3" t="n">
        <v>1159</v>
      </c>
      <c r="B101" s="4" t="n">
        <v>469</v>
      </c>
      <c r="C101" s="4" t="n">
        <v>87.09999999999999</v>
      </c>
      <c r="D101" s="4" t="n">
        <v>46.9</v>
      </c>
      <c r="E101" s="5" t="inlineStr">
        <is>
          <t>C1</t>
        </is>
      </c>
    </row>
    <row r="102">
      <c r="A102" s="3" t="n">
        <v>1160</v>
      </c>
      <c r="B102" s="4" t="n">
        <v>246.3</v>
      </c>
      <c r="C102" s="4" t="n">
        <v>56.3</v>
      </c>
      <c r="D102" s="4" t="n">
        <v>26.7</v>
      </c>
      <c r="E102" s="5" t="inlineStr">
        <is>
          <t>C1</t>
        </is>
      </c>
    </row>
    <row r="103">
      <c r="A103" s="3" t="n">
        <v>1161</v>
      </c>
      <c r="B103" s="4" t="n">
        <v>1061.9</v>
      </c>
      <c r="C103" s="4" t="n">
        <v>168.3</v>
      </c>
      <c r="D103" s="4" t="n">
        <v>68.40000000000001</v>
      </c>
      <c r="E103" s="5" t="inlineStr">
        <is>
          <t>C2</t>
        </is>
      </c>
    </row>
    <row r="104">
      <c r="A104" s="3" t="n">
        <v>1162</v>
      </c>
      <c r="B104" s="4" t="n">
        <v>866.3</v>
      </c>
      <c r="C104" s="4" t="n">
        <v>120.1</v>
      </c>
      <c r="D104" s="4" t="n">
        <v>78.59999999999999</v>
      </c>
      <c r="E104" s="5" t="inlineStr">
        <is>
          <t>C4</t>
        </is>
      </c>
    </row>
    <row r="105">
      <c r="A105" s="3" t="n">
        <v>1163</v>
      </c>
      <c r="B105" s="4" t="n">
        <v>668.7</v>
      </c>
      <c r="C105" s="4" t="n">
        <v>110.9</v>
      </c>
      <c r="D105" s="4" t="n">
        <v>65.90000000000001</v>
      </c>
      <c r="E105" s="5" t="inlineStr">
        <is>
          <t>C4</t>
        </is>
      </c>
    </row>
    <row r="106">
      <c r="A106" s="3" t="n">
        <v>1164</v>
      </c>
      <c r="B106" s="4" t="n">
        <v>469</v>
      </c>
      <c r="C106" s="4" t="n">
        <v>87.09999999999999</v>
      </c>
      <c r="D106" s="4" t="n">
        <v>46.9</v>
      </c>
      <c r="E106" s="5" t="inlineStr">
        <is>
          <t>C1</t>
        </is>
      </c>
    </row>
    <row r="107">
      <c r="A107" s="3" t="n">
        <v>1165</v>
      </c>
      <c r="B107" s="4" t="n">
        <v>246.3</v>
      </c>
      <c r="C107" s="4" t="n">
        <v>56.3</v>
      </c>
      <c r="D107" s="4" t="n">
        <v>26.7</v>
      </c>
      <c r="E107" s="5" t="inlineStr">
        <is>
          <t>C1</t>
        </is>
      </c>
    </row>
    <row r="108">
      <c r="A108" s="3" t="n">
        <v>1166</v>
      </c>
      <c r="B108" s="4" t="n">
        <v>1214.4</v>
      </c>
      <c r="C108" s="4" t="n">
        <v>166.9</v>
      </c>
      <c r="D108" s="4" t="n">
        <v>67.3</v>
      </c>
      <c r="E108" s="5" t="inlineStr">
        <is>
          <t>C2</t>
        </is>
      </c>
    </row>
    <row r="109">
      <c r="A109" s="3" t="n">
        <v>1167</v>
      </c>
      <c r="B109" s="4" t="n">
        <v>972.4</v>
      </c>
      <c r="C109" s="4" t="n">
        <v>115.7</v>
      </c>
      <c r="D109" s="4" t="n">
        <v>75.8</v>
      </c>
      <c r="E109" s="5" t="inlineStr">
        <is>
          <t>C2</t>
        </is>
      </c>
    </row>
    <row r="110">
      <c r="A110" s="3" t="n">
        <v>1168</v>
      </c>
      <c r="B110" s="4" t="n">
        <v>729.1</v>
      </c>
      <c r="C110" s="4" t="n">
        <v>108.4</v>
      </c>
      <c r="D110" s="4" t="n">
        <v>64</v>
      </c>
      <c r="E110" s="5" t="inlineStr">
        <is>
          <t>C4</t>
        </is>
      </c>
    </row>
    <row r="111">
      <c r="A111" s="3" t="n">
        <v>1169</v>
      </c>
      <c r="B111" s="4" t="n">
        <v>491</v>
      </c>
      <c r="C111" s="4" t="n">
        <v>86</v>
      </c>
      <c r="D111" s="4" t="n">
        <v>46</v>
      </c>
      <c r="E111" s="5" t="inlineStr">
        <is>
          <t>C1</t>
        </is>
      </c>
    </row>
    <row r="112">
      <c r="A112" s="3" t="n">
        <v>1170</v>
      </c>
      <c r="B112" s="4" t="n">
        <v>258.5</v>
      </c>
      <c r="C112" s="4" t="n">
        <v>58.6</v>
      </c>
      <c r="D112" s="4" t="n">
        <v>27.7</v>
      </c>
      <c r="E112" s="5" t="inlineStr">
        <is>
          <t>C1</t>
        </is>
      </c>
    </row>
    <row r="113">
      <c r="A113" s="3" t="n">
        <v>1171</v>
      </c>
      <c r="B113" s="4" t="n">
        <v>1215.6</v>
      </c>
      <c r="C113" s="4" t="n">
        <v>166.9</v>
      </c>
      <c r="D113" s="4" t="n">
        <v>67.3</v>
      </c>
      <c r="E113" s="5" t="inlineStr">
        <is>
          <t>C2</t>
        </is>
      </c>
    </row>
    <row r="114">
      <c r="A114" s="3" t="n">
        <v>1172</v>
      </c>
      <c r="B114" s="4" t="n">
        <v>973.4</v>
      </c>
      <c r="C114" s="4" t="n">
        <v>115.7</v>
      </c>
      <c r="D114" s="4" t="n">
        <v>75.8</v>
      </c>
      <c r="E114" s="5" t="inlineStr">
        <is>
          <t>C2</t>
        </is>
      </c>
    </row>
    <row r="115">
      <c r="A115" s="3" t="n">
        <v>1173</v>
      </c>
      <c r="B115" s="4" t="n">
        <v>730.1</v>
      </c>
      <c r="C115" s="4" t="n">
        <v>108.4</v>
      </c>
      <c r="D115" s="4" t="n">
        <v>64</v>
      </c>
      <c r="E115" s="5" t="inlineStr">
        <is>
          <t>C4</t>
        </is>
      </c>
    </row>
    <row r="116">
      <c r="A116" s="3" t="n">
        <v>1174</v>
      </c>
      <c r="B116" s="4" t="n">
        <v>491.6</v>
      </c>
      <c r="C116" s="4" t="n">
        <v>86</v>
      </c>
      <c r="D116" s="4" t="n">
        <v>46</v>
      </c>
      <c r="E116" s="5" t="inlineStr">
        <is>
          <t>C1</t>
        </is>
      </c>
    </row>
    <row r="117">
      <c r="A117" s="3" t="n">
        <v>1175</v>
      </c>
      <c r="B117" s="4" t="n">
        <v>258.8</v>
      </c>
      <c r="C117" s="4" t="n">
        <v>58.6</v>
      </c>
      <c r="D117" s="4" t="n">
        <v>27.7</v>
      </c>
      <c r="E117" s="5" t="inlineStr">
        <is>
          <t>C1</t>
        </is>
      </c>
    </row>
    <row r="118">
      <c r="A118" s="3" t="n">
        <v>1176</v>
      </c>
      <c r="B118" s="4" t="n">
        <v>1062.1</v>
      </c>
      <c r="C118" s="4" t="n">
        <v>168.3</v>
      </c>
      <c r="D118" s="4" t="n">
        <v>68.40000000000001</v>
      </c>
      <c r="E118" s="5" t="inlineStr">
        <is>
          <t>C2</t>
        </is>
      </c>
    </row>
    <row r="119">
      <c r="A119" s="3" t="n">
        <v>1177</v>
      </c>
      <c r="B119" s="4" t="n">
        <v>866.4</v>
      </c>
      <c r="C119" s="4" t="n">
        <v>120.1</v>
      </c>
      <c r="D119" s="4" t="n">
        <v>78.59999999999999</v>
      </c>
      <c r="E119" s="5" t="inlineStr">
        <is>
          <t>C4</t>
        </is>
      </c>
    </row>
    <row r="120">
      <c r="A120" s="3" t="n">
        <v>1178</v>
      </c>
      <c r="B120" s="4" t="n">
        <v>668.9</v>
      </c>
      <c r="C120" s="4" t="n">
        <v>110.9</v>
      </c>
      <c r="D120" s="4" t="n">
        <v>65.90000000000001</v>
      </c>
      <c r="E120" s="5" t="inlineStr">
        <is>
          <t>C4</t>
        </is>
      </c>
    </row>
    <row r="121">
      <c r="A121" s="3" t="n">
        <v>1179</v>
      </c>
      <c r="B121" s="4" t="n">
        <v>469.1</v>
      </c>
      <c r="C121" s="4" t="n">
        <v>87</v>
      </c>
      <c r="D121" s="4" t="n">
        <v>46.9</v>
      </c>
      <c r="E121" s="5" t="inlineStr">
        <is>
          <t>C1</t>
        </is>
      </c>
    </row>
    <row r="122">
      <c r="A122" s="3" t="n">
        <v>1180</v>
      </c>
      <c r="B122" s="4" t="n">
        <v>246.3</v>
      </c>
      <c r="C122" s="4" t="n">
        <v>56.3</v>
      </c>
      <c r="D122" s="4" t="n">
        <v>26.7</v>
      </c>
      <c r="E122" s="5" t="inlineStr">
        <is>
          <t>C1</t>
        </is>
      </c>
    </row>
    <row r="123">
      <c r="A123" s="3" t="n">
        <v>1181</v>
      </c>
      <c r="B123" s="4" t="n">
        <v>1166.3</v>
      </c>
      <c r="C123" s="4" t="n">
        <v>153.3</v>
      </c>
      <c r="D123" s="4" t="n">
        <v>55.2</v>
      </c>
      <c r="E123" s="5" t="inlineStr">
        <is>
          <t>C2</t>
        </is>
      </c>
    </row>
    <row r="124">
      <c r="A124" s="3" t="n">
        <v>1182</v>
      </c>
      <c r="B124" s="4" t="n">
        <v>913.1</v>
      </c>
      <c r="C124" s="4" t="n">
        <v>69.2</v>
      </c>
      <c r="D124" s="4" t="n">
        <v>45.4</v>
      </c>
      <c r="E124" s="5" t="inlineStr">
        <is>
          <t>C2</t>
        </is>
      </c>
    </row>
    <row r="125">
      <c r="A125" s="3" t="n">
        <v>1183</v>
      </c>
      <c r="B125" s="4" t="n">
        <v>664.9</v>
      </c>
      <c r="C125" s="4" t="n">
        <v>69.5</v>
      </c>
      <c r="D125" s="4" t="n">
        <v>37.4</v>
      </c>
      <c r="E125" s="5" t="inlineStr">
        <is>
          <t>C4</t>
        </is>
      </c>
    </row>
    <row r="126">
      <c r="A126" s="3" t="n">
        <v>1184</v>
      </c>
      <c r="B126" s="4" t="n">
        <v>438.4</v>
      </c>
      <c r="C126" s="4" t="n">
        <v>58.5</v>
      </c>
      <c r="D126" s="4" t="n">
        <v>26</v>
      </c>
      <c r="E126" s="5" t="inlineStr">
        <is>
          <t>C1</t>
        </is>
      </c>
    </row>
    <row r="127">
      <c r="A127" s="3" t="n">
        <v>1185</v>
      </c>
      <c r="B127" s="4" t="n">
        <v>219.8</v>
      </c>
      <c r="C127" s="4" t="n">
        <v>34.1</v>
      </c>
      <c r="D127" s="4" t="n">
        <v>11.6</v>
      </c>
      <c r="E127" s="5" t="inlineStr">
        <is>
          <t>C1</t>
        </is>
      </c>
    </row>
    <row r="128">
      <c r="A128" s="3" t="n">
        <v>1186</v>
      </c>
      <c r="B128" s="4" t="n">
        <v>1248.7</v>
      </c>
      <c r="C128" s="4" t="n">
        <v>155</v>
      </c>
      <c r="D128" s="4" t="n">
        <v>56.7</v>
      </c>
      <c r="E128" s="5" t="inlineStr">
        <is>
          <t>C2</t>
        </is>
      </c>
    </row>
    <row r="129">
      <c r="A129" s="3" t="n">
        <v>1187</v>
      </c>
      <c r="B129" s="4" t="n">
        <v>969.8</v>
      </c>
      <c r="C129" s="4" t="n">
        <v>74.59999999999999</v>
      </c>
      <c r="D129" s="4" t="n">
        <v>48.8</v>
      </c>
      <c r="E129" s="5" t="inlineStr">
        <is>
          <t>C2</t>
        </is>
      </c>
    </row>
    <row r="130">
      <c r="A130" s="3" t="n">
        <v>1188</v>
      </c>
      <c r="B130" s="4" t="n">
        <v>696.7</v>
      </c>
      <c r="C130" s="4" t="n">
        <v>73.5</v>
      </c>
      <c r="D130" s="4" t="n">
        <v>40.1</v>
      </c>
      <c r="E130" s="5" t="inlineStr">
        <is>
          <t>C4</t>
        </is>
      </c>
    </row>
    <row r="131">
      <c r="A131" s="3" t="n">
        <v>1189</v>
      </c>
      <c r="B131" s="4" t="n">
        <v>448.6</v>
      </c>
      <c r="C131" s="4" t="n">
        <v>61.3</v>
      </c>
      <c r="D131" s="4" t="n">
        <v>28.1</v>
      </c>
      <c r="E131" s="5" t="inlineStr">
        <is>
          <t>C1</t>
        </is>
      </c>
    </row>
    <row r="132">
      <c r="A132" s="3" t="n">
        <v>1190</v>
      </c>
      <c r="B132" s="4" t="n">
        <v>207.9</v>
      </c>
      <c r="C132" s="4" t="n">
        <v>39.2</v>
      </c>
      <c r="D132" s="4" t="n">
        <v>14.5</v>
      </c>
      <c r="E132" s="5" t="inlineStr">
        <is>
          <t>C1</t>
        </is>
      </c>
    </row>
    <row r="133">
      <c r="A133" s="3" t="n">
        <v>1191</v>
      </c>
      <c r="B133" s="4" t="n">
        <v>1160.1</v>
      </c>
      <c r="C133" s="4" t="n">
        <v>154.8</v>
      </c>
      <c r="D133" s="4" t="n">
        <v>56.6</v>
      </c>
      <c r="E133" s="5" t="inlineStr">
        <is>
          <t>C2</t>
        </is>
      </c>
    </row>
    <row r="134">
      <c r="A134" s="3" t="n">
        <v>1192</v>
      </c>
      <c r="B134" s="4" t="n">
        <v>907.2</v>
      </c>
      <c r="C134" s="4" t="n">
        <v>74.3</v>
      </c>
      <c r="D134" s="4" t="n">
        <v>48.7</v>
      </c>
      <c r="E134" s="5" t="inlineStr">
        <is>
          <t>C2</t>
        </is>
      </c>
    </row>
    <row r="135">
      <c r="A135" s="3" t="n">
        <v>1193</v>
      </c>
      <c r="B135" s="4" t="n">
        <v>655.4</v>
      </c>
      <c r="C135" s="4" t="n">
        <v>74.09999999999999</v>
      </c>
      <c r="D135" s="4" t="n">
        <v>40.4</v>
      </c>
      <c r="E135" s="5" t="inlineStr">
        <is>
          <t>C4</t>
        </is>
      </c>
    </row>
    <row r="136">
      <c r="A136" s="3" t="n">
        <v>1194</v>
      </c>
      <c r="B136" s="4" t="n">
        <v>420</v>
      </c>
      <c r="C136" s="4" t="n">
        <v>62.3</v>
      </c>
      <c r="D136" s="4" t="n">
        <v>28.6</v>
      </c>
      <c r="E136" s="5" t="inlineStr">
        <is>
          <t>C1</t>
        </is>
      </c>
    </row>
    <row r="137">
      <c r="A137" s="3" t="n">
        <v>1195</v>
      </c>
      <c r="B137" s="4" t="n">
        <v>196.7</v>
      </c>
      <c r="C137" s="4" t="n">
        <v>40.5</v>
      </c>
      <c r="D137" s="4" t="n">
        <v>15.3</v>
      </c>
      <c r="E137" s="5" t="inlineStr">
        <is>
          <t>C1</t>
        </is>
      </c>
    </row>
    <row r="138">
      <c r="A138" s="3" t="n">
        <v>1196</v>
      </c>
      <c r="B138" s="4" t="n">
        <v>1301.9</v>
      </c>
      <c r="C138" s="4" t="n">
        <v>153.9</v>
      </c>
      <c r="D138" s="4" t="n">
        <v>55.8</v>
      </c>
      <c r="E138" s="5" t="inlineStr">
        <is>
          <t>C2</t>
        </is>
      </c>
    </row>
    <row r="139">
      <c r="A139" s="3" t="n">
        <v>1197</v>
      </c>
      <c r="B139" s="4" t="n">
        <v>1015.3</v>
      </c>
      <c r="C139" s="4" t="n">
        <v>71.2</v>
      </c>
      <c r="D139" s="4" t="n">
        <v>46.7</v>
      </c>
      <c r="E139" s="5" t="inlineStr">
        <is>
          <t>C2</t>
        </is>
      </c>
    </row>
    <row r="140">
      <c r="A140" s="3" t="n">
        <v>1198</v>
      </c>
      <c r="B140" s="4" t="n">
        <v>731.8</v>
      </c>
      <c r="C140" s="4" t="n">
        <v>70.8</v>
      </c>
      <c r="D140" s="4" t="n">
        <v>38.3</v>
      </c>
      <c r="E140" s="5" t="inlineStr">
        <is>
          <t>C4</t>
        </is>
      </c>
    </row>
    <row r="141">
      <c r="A141" s="3" t="n">
        <v>1199</v>
      </c>
      <c r="B141" s="4" t="n">
        <v>472.8</v>
      </c>
      <c r="C141" s="4" t="n">
        <v>59.1</v>
      </c>
      <c r="D141" s="4" t="n">
        <v>26.5</v>
      </c>
      <c r="E141" s="5" t="inlineStr">
        <is>
          <t>C1</t>
        </is>
      </c>
    </row>
    <row r="142">
      <c r="A142" s="3" t="n">
        <v>1200</v>
      </c>
      <c r="B142" s="4" t="n">
        <v>219.4</v>
      </c>
      <c r="C142" s="4" t="n">
        <v>33.9</v>
      </c>
      <c r="D142" s="4" t="n">
        <v>11.6</v>
      </c>
      <c r="E142" s="5" t="inlineStr">
        <is>
          <t>C1</t>
        </is>
      </c>
    </row>
    <row r="143">
      <c r="A143" s="3" t="n">
        <v>1201</v>
      </c>
      <c r="B143" s="4" t="n">
        <v>1301.9</v>
      </c>
      <c r="C143" s="4" t="n">
        <v>153.9</v>
      </c>
      <c r="D143" s="4" t="n">
        <v>55.8</v>
      </c>
      <c r="E143" s="5" t="inlineStr">
        <is>
          <t>C2</t>
        </is>
      </c>
    </row>
    <row r="144">
      <c r="A144" s="3" t="n">
        <v>1202</v>
      </c>
      <c r="B144" s="4" t="n">
        <v>1015.4</v>
      </c>
      <c r="C144" s="4" t="n">
        <v>71.2</v>
      </c>
      <c r="D144" s="4" t="n">
        <v>46.7</v>
      </c>
      <c r="E144" s="5" t="inlineStr">
        <is>
          <t>C2</t>
        </is>
      </c>
    </row>
    <row r="145">
      <c r="A145" s="3" t="n">
        <v>1203</v>
      </c>
      <c r="B145" s="4" t="n">
        <v>731.8</v>
      </c>
      <c r="C145" s="4" t="n">
        <v>70.8</v>
      </c>
      <c r="D145" s="4" t="n">
        <v>38.3</v>
      </c>
      <c r="E145" s="5" t="inlineStr">
        <is>
          <t>C4</t>
        </is>
      </c>
    </row>
    <row r="146">
      <c r="A146" s="3" t="n">
        <v>1204</v>
      </c>
      <c r="B146" s="4" t="n">
        <v>472.9</v>
      </c>
      <c r="C146" s="4" t="n">
        <v>59.1</v>
      </c>
      <c r="D146" s="4" t="n">
        <v>26.5</v>
      </c>
      <c r="E146" s="5" t="inlineStr">
        <is>
          <t>C1</t>
        </is>
      </c>
    </row>
    <row r="147">
      <c r="A147" s="3" t="n">
        <v>1205</v>
      </c>
      <c r="B147" s="4" t="n">
        <v>219.4</v>
      </c>
      <c r="C147" s="4" t="n">
        <v>34</v>
      </c>
      <c r="D147" s="4" t="n">
        <v>11.6</v>
      </c>
      <c r="E147" s="5" t="inlineStr">
        <is>
          <t>C1</t>
        </is>
      </c>
    </row>
    <row r="148">
      <c r="A148" s="3" t="n">
        <v>1206</v>
      </c>
      <c r="B148" s="4" t="n">
        <v>1160.2</v>
      </c>
      <c r="C148" s="4" t="n">
        <v>154.8</v>
      </c>
      <c r="D148" s="4" t="n">
        <v>56.6</v>
      </c>
      <c r="E148" s="5" t="inlineStr">
        <is>
          <t>C2</t>
        </is>
      </c>
    </row>
    <row r="149">
      <c r="A149" s="3" t="n">
        <v>1207</v>
      </c>
      <c r="B149" s="4" t="n">
        <v>907.2</v>
      </c>
      <c r="C149" s="4" t="n">
        <v>74.40000000000001</v>
      </c>
      <c r="D149" s="4" t="n">
        <v>48.7</v>
      </c>
      <c r="E149" s="5" t="inlineStr">
        <is>
          <t>C2</t>
        </is>
      </c>
    </row>
    <row r="150">
      <c r="A150" s="3" t="n">
        <v>1208</v>
      </c>
      <c r="B150" s="4" t="n">
        <v>655.5</v>
      </c>
      <c r="C150" s="4" t="n">
        <v>74.09999999999999</v>
      </c>
      <c r="D150" s="4" t="n">
        <v>40.4</v>
      </c>
      <c r="E150" s="5" t="inlineStr">
        <is>
          <t>C4</t>
        </is>
      </c>
    </row>
    <row r="151">
      <c r="A151" s="3" t="n">
        <v>1209</v>
      </c>
      <c r="B151" s="4" t="n">
        <v>420.1</v>
      </c>
      <c r="C151" s="4" t="n">
        <v>62.3</v>
      </c>
      <c r="D151" s="4" t="n">
        <v>28.6</v>
      </c>
      <c r="E151" s="5" t="inlineStr">
        <is>
          <t>C1</t>
        </is>
      </c>
    </row>
    <row r="152">
      <c r="A152" s="3" t="n">
        <v>1210</v>
      </c>
      <c r="B152" s="4" t="n">
        <v>196.7</v>
      </c>
      <c r="C152" s="4" t="n">
        <v>40.5</v>
      </c>
      <c r="D152" s="4" t="n">
        <v>15.3</v>
      </c>
      <c r="E152" s="5" t="inlineStr">
        <is>
          <t>C1</t>
        </is>
      </c>
    </row>
    <row r="153">
      <c r="A153" s="3" t="n">
        <v>1211</v>
      </c>
      <c r="B153" s="4" t="n">
        <v>1248.8</v>
      </c>
      <c r="C153" s="4" t="n">
        <v>155</v>
      </c>
      <c r="D153" s="4" t="n">
        <v>56.7</v>
      </c>
      <c r="E153" s="5" t="inlineStr">
        <is>
          <t>C2</t>
        </is>
      </c>
    </row>
    <row r="154">
      <c r="A154" s="3" t="n">
        <v>1212</v>
      </c>
      <c r="B154" s="4" t="n">
        <v>969.9</v>
      </c>
      <c r="C154" s="4" t="n">
        <v>74.59999999999999</v>
      </c>
      <c r="D154" s="4" t="n">
        <v>48.8</v>
      </c>
      <c r="E154" s="5" t="inlineStr">
        <is>
          <t>C2</t>
        </is>
      </c>
    </row>
    <row r="155">
      <c r="A155" s="3" t="n">
        <v>1213</v>
      </c>
      <c r="B155" s="4" t="n">
        <v>696.8</v>
      </c>
      <c r="C155" s="4" t="n">
        <v>73.59999999999999</v>
      </c>
      <c r="D155" s="4" t="n">
        <v>40.1</v>
      </c>
      <c r="E155" s="5" t="inlineStr">
        <is>
          <t>C4</t>
        </is>
      </c>
    </row>
    <row r="156">
      <c r="A156" s="3" t="n">
        <v>1214</v>
      </c>
      <c r="B156" s="4" t="n">
        <v>448.7</v>
      </c>
      <c r="C156" s="4" t="n">
        <v>61.3</v>
      </c>
      <c r="D156" s="4" t="n">
        <v>28.1</v>
      </c>
      <c r="E156" s="5" t="inlineStr">
        <is>
          <t>C1</t>
        </is>
      </c>
    </row>
    <row r="157">
      <c r="A157" s="3" t="n">
        <v>1215</v>
      </c>
      <c r="B157" s="4" t="n">
        <v>207.9</v>
      </c>
      <c r="C157" s="4" t="n">
        <v>39.2</v>
      </c>
      <c r="D157" s="4" t="n">
        <v>14.5</v>
      </c>
      <c r="E157" s="5" t="inlineStr">
        <is>
          <t>C1</t>
        </is>
      </c>
    </row>
    <row r="158">
      <c r="A158" s="3" t="n">
        <v>1216</v>
      </c>
      <c r="B158" s="4" t="n">
        <v>1166.4</v>
      </c>
      <c r="C158" s="4" t="n">
        <v>153.3</v>
      </c>
      <c r="D158" s="4" t="n">
        <v>55.2</v>
      </c>
      <c r="E158" s="5" t="inlineStr">
        <is>
          <t>C2</t>
        </is>
      </c>
    </row>
    <row r="159">
      <c r="A159" s="3" t="n">
        <v>1217</v>
      </c>
      <c r="B159" s="4" t="n">
        <v>913.2</v>
      </c>
      <c r="C159" s="4" t="n">
        <v>69.2</v>
      </c>
      <c r="D159" s="4" t="n">
        <v>45.4</v>
      </c>
      <c r="E159" s="5" t="inlineStr">
        <is>
          <t>C2</t>
        </is>
      </c>
    </row>
    <row r="160">
      <c r="A160" s="3" t="n">
        <v>1218</v>
      </c>
      <c r="B160" s="4" t="n">
        <v>664.9</v>
      </c>
      <c r="C160" s="4" t="n">
        <v>69.5</v>
      </c>
      <c r="D160" s="4" t="n">
        <v>37.4</v>
      </c>
      <c r="E160" s="5" t="inlineStr">
        <is>
          <t>C4</t>
        </is>
      </c>
    </row>
    <row r="161">
      <c r="A161" s="3" t="n">
        <v>1219</v>
      </c>
      <c r="B161" s="4" t="n">
        <v>438.5</v>
      </c>
      <c r="C161" s="4" t="n">
        <v>58.6</v>
      </c>
      <c r="D161" s="4" t="n">
        <v>26</v>
      </c>
      <c r="E161" s="5" t="inlineStr">
        <is>
          <t>C1</t>
        </is>
      </c>
    </row>
    <row r="162">
      <c r="A162" s="3" t="n">
        <v>1220</v>
      </c>
      <c r="B162" s="4" t="n">
        <v>219.8</v>
      </c>
      <c r="C162" s="4" t="n">
        <v>34.1</v>
      </c>
      <c r="D162" s="4" t="n">
        <v>11.6</v>
      </c>
      <c r="E162" s="5" t="inlineStr">
        <is>
          <t>C1</t>
        </is>
      </c>
    </row>
    <row r="163">
      <c r="A163" s="3" t="n">
        <v>1221</v>
      </c>
      <c r="B163" s="4" t="n">
        <v>1286.7</v>
      </c>
      <c r="C163" s="4" t="n">
        <v>218.8</v>
      </c>
      <c r="D163" s="4" t="n">
        <v>75.09999999999999</v>
      </c>
      <c r="E163" s="5" t="inlineStr">
        <is>
          <t>C2</t>
        </is>
      </c>
    </row>
    <row r="164">
      <c r="A164" s="3" t="n">
        <v>1222</v>
      </c>
      <c r="B164" s="4" t="n">
        <v>1039.3</v>
      </c>
      <c r="C164" s="4" t="n">
        <v>79.90000000000001</v>
      </c>
      <c r="D164" s="4" t="n">
        <v>52.7</v>
      </c>
      <c r="E164" s="5" t="inlineStr">
        <is>
          <t>C2</t>
        </is>
      </c>
    </row>
    <row r="165">
      <c r="A165" s="3" t="n">
        <v>1223</v>
      </c>
      <c r="B165" s="4" t="n">
        <v>782.7</v>
      </c>
      <c r="C165" s="4" t="n">
        <v>85.3</v>
      </c>
      <c r="D165" s="4" t="n">
        <v>43.3</v>
      </c>
      <c r="E165" s="5" t="inlineStr">
        <is>
          <t>C4</t>
        </is>
      </c>
    </row>
    <row r="166">
      <c r="A166" s="3" t="n">
        <v>1224</v>
      </c>
      <c r="B166" s="4" t="n">
        <v>521.2</v>
      </c>
      <c r="C166" s="4" t="n">
        <v>74.7</v>
      </c>
      <c r="D166" s="4" t="n">
        <v>29.7</v>
      </c>
      <c r="E166" s="5" t="inlineStr">
        <is>
          <t>C4</t>
        </is>
      </c>
    </row>
    <row r="167">
      <c r="A167" s="3" t="n">
        <v>1225</v>
      </c>
      <c r="B167" s="4" t="n">
        <v>258.4</v>
      </c>
      <c r="C167" s="4" t="n">
        <v>40.1</v>
      </c>
      <c r="D167" s="4" t="n">
        <v>10.5</v>
      </c>
      <c r="E167" s="5" t="inlineStr">
        <is>
          <t>C1</t>
        </is>
      </c>
    </row>
    <row r="168">
      <c r="A168" s="3" t="n">
        <v>1226</v>
      </c>
      <c r="B168" s="4" t="n">
        <v>1271.9</v>
      </c>
      <c r="C168" s="4" t="n">
        <v>232.6</v>
      </c>
      <c r="D168" s="4" t="n">
        <v>87.40000000000001</v>
      </c>
      <c r="E168" s="5" t="inlineStr">
        <is>
          <t>C2</t>
        </is>
      </c>
    </row>
    <row r="169">
      <c r="A169" s="3" t="n">
        <v>1227</v>
      </c>
      <c r="B169" s="4" t="n">
        <v>1027.5</v>
      </c>
      <c r="C169" s="4" t="n">
        <v>126.7</v>
      </c>
      <c r="D169" s="4" t="n">
        <v>83</v>
      </c>
      <c r="E169" s="5" t="inlineStr">
        <is>
          <t>C2</t>
        </is>
      </c>
    </row>
    <row r="170">
      <c r="A170" s="3" t="n">
        <v>1228</v>
      </c>
      <c r="B170" s="4" t="n">
        <v>774</v>
      </c>
      <c r="C170" s="4" t="n">
        <v>122.4</v>
      </c>
      <c r="D170" s="4" t="n">
        <v>68.90000000000001</v>
      </c>
      <c r="E170" s="5" t="inlineStr">
        <is>
          <t>C4</t>
        </is>
      </c>
    </row>
    <row r="171">
      <c r="A171" s="3" t="n">
        <v>1229</v>
      </c>
      <c r="B171" s="4" t="n">
        <v>515.6</v>
      </c>
      <c r="C171" s="4" t="n">
        <v>99.90000000000001</v>
      </c>
      <c r="D171" s="4" t="n">
        <v>48.3</v>
      </c>
      <c r="E171" s="5" t="inlineStr">
        <is>
          <t>C4</t>
        </is>
      </c>
    </row>
    <row r="172">
      <c r="A172" s="3" t="n">
        <v>1230</v>
      </c>
      <c r="B172" s="4" t="n">
        <v>256.2</v>
      </c>
      <c r="C172" s="4" t="n">
        <v>59.3</v>
      </c>
      <c r="D172" s="4" t="n">
        <v>23.5</v>
      </c>
      <c r="E172" s="5" t="inlineStr">
        <is>
          <t>C1</t>
        </is>
      </c>
    </row>
    <row r="173">
      <c r="A173" s="3" t="n">
        <v>1231</v>
      </c>
      <c r="B173" s="4" t="n">
        <v>1586.8</v>
      </c>
      <c r="C173" s="4" t="n">
        <v>233.8</v>
      </c>
      <c r="D173" s="4" t="n">
        <v>88.5</v>
      </c>
      <c r="E173" s="5" t="inlineStr">
        <is>
          <t>C3</t>
        </is>
      </c>
    </row>
    <row r="174">
      <c r="A174" s="3" t="n">
        <v>1232</v>
      </c>
      <c r="B174" s="4" t="n">
        <v>1270.9</v>
      </c>
      <c r="C174" s="4" t="n">
        <v>130</v>
      </c>
      <c r="D174" s="4" t="n">
        <v>84.90000000000001</v>
      </c>
      <c r="E174" s="5" t="inlineStr">
        <is>
          <t>C2</t>
        </is>
      </c>
    </row>
    <row r="175">
      <c r="A175" s="3" t="n">
        <v>1233</v>
      </c>
      <c r="B175" s="4" t="n">
        <v>946.2</v>
      </c>
      <c r="C175" s="4" t="n">
        <v>123.6</v>
      </c>
      <c r="D175" s="4" t="n">
        <v>69.7</v>
      </c>
      <c r="E175" s="5" t="inlineStr">
        <is>
          <t>C2</t>
        </is>
      </c>
    </row>
    <row r="176">
      <c r="A176" s="3" t="n">
        <v>1234</v>
      </c>
      <c r="B176" s="4" t="n">
        <v>625.1</v>
      </c>
      <c r="C176" s="4" t="n">
        <v>99.59999999999999</v>
      </c>
      <c r="D176" s="4" t="n">
        <v>48.3</v>
      </c>
      <c r="E176" s="5" t="inlineStr">
        <is>
          <t>C4</t>
        </is>
      </c>
    </row>
    <row r="177">
      <c r="A177" s="3" t="n">
        <v>1235</v>
      </c>
      <c r="B177" s="4" t="n">
        <v>309</v>
      </c>
      <c r="C177" s="4" t="n">
        <v>56.4</v>
      </c>
      <c r="D177" s="4" t="n">
        <v>21.9</v>
      </c>
      <c r="E177" s="5" t="inlineStr">
        <is>
          <t>C1</t>
        </is>
      </c>
    </row>
    <row r="178">
      <c r="A178" s="3" t="n">
        <v>1236</v>
      </c>
      <c r="B178" s="4" t="n">
        <v>1838.9</v>
      </c>
      <c r="C178" s="4" t="n">
        <v>234.2</v>
      </c>
      <c r="D178" s="4" t="n">
        <v>88.8</v>
      </c>
      <c r="E178" s="5" t="inlineStr">
        <is>
          <t>C3</t>
        </is>
      </c>
    </row>
    <row r="179">
      <c r="A179" s="3" t="n">
        <v>1237</v>
      </c>
      <c r="B179" s="4" t="n">
        <v>1445.2</v>
      </c>
      <c r="C179" s="4" t="n">
        <v>131.7</v>
      </c>
      <c r="D179" s="4" t="n">
        <v>86.09999999999999</v>
      </c>
      <c r="E179" s="5" t="inlineStr">
        <is>
          <t>C2</t>
        </is>
      </c>
    </row>
    <row r="180">
      <c r="A180" s="3" t="n">
        <v>1238</v>
      </c>
      <c r="B180" s="4" t="n">
        <v>1075.9</v>
      </c>
      <c r="C180" s="4" t="n">
        <v>125.2</v>
      </c>
      <c r="D180" s="4" t="n">
        <v>70.90000000000001</v>
      </c>
      <c r="E180" s="5" t="inlineStr">
        <is>
          <t>C2</t>
        </is>
      </c>
    </row>
    <row r="181">
      <c r="A181" s="3" t="n">
        <v>1239</v>
      </c>
      <c r="B181" s="4" t="n">
        <v>710.7</v>
      </c>
      <c r="C181" s="4" t="n">
        <v>101.6</v>
      </c>
      <c r="D181" s="4" t="n">
        <v>49.5</v>
      </c>
      <c r="E181" s="5" t="inlineStr">
        <is>
          <t>C4</t>
        </is>
      </c>
    </row>
    <row r="182">
      <c r="A182" s="3" t="n">
        <v>1240</v>
      </c>
      <c r="B182" s="4" t="n">
        <v>349.8</v>
      </c>
      <c r="C182" s="4" t="n">
        <v>60</v>
      </c>
      <c r="D182" s="4" t="n">
        <v>24.1</v>
      </c>
      <c r="E182" s="5" t="inlineStr">
        <is>
          <t>C1</t>
        </is>
      </c>
    </row>
    <row r="183">
      <c r="A183" s="3" t="n">
        <v>1241</v>
      </c>
      <c r="B183" s="4" t="n">
        <v>1852</v>
      </c>
      <c r="C183" s="4" t="n">
        <v>234.3</v>
      </c>
      <c r="D183" s="4" t="n">
        <v>88.90000000000001</v>
      </c>
      <c r="E183" s="5" t="inlineStr">
        <is>
          <t>C3</t>
        </is>
      </c>
    </row>
    <row r="184">
      <c r="A184" s="3" t="n">
        <v>1242</v>
      </c>
      <c r="B184" s="4" t="n">
        <v>1456.2</v>
      </c>
      <c r="C184" s="4" t="n">
        <v>131.8</v>
      </c>
      <c r="D184" s="4" t="n">
        <v>86.09999999999999</v>
      </c>
      <c r="E184" s="5" t="inlineStr">
        <is>
          <t>C2</t>
        </is>
      </c>
    </row>
    <row r="185">
      <c r="A185" s="3" t="n">
        <v>1243</v>
      </c>
      <c r="B185" s="4" t="n">
        <v>1084.3</v>
      </c>
      <c r="C185" s="4" t="n">
        <v>125.3</v>
      </c>
      <c r="D185" s="4" t="n">
        <v>71</v>
      </c>
      <c r="E185" s="5" t="inlineStr">
        <is>
          <t>C2</t>
        </is>
      </c>
    </row>
    <row r="186">
      <c r="A186" s="3" t="n">
        <v>1244</v>
      </c>
      <c r="B186" s="4" t="n">
        <v>716.3</v>
      </c>
      <c r="C186" s="4" t="n">
        <v>101.6</v>
      </c>
      <c r="D186" s="4" t="n">
        <v>49.6</v>
      </c>
      <c r="E186" s="5" t="inlineStr">
        <is>
          <t>C4</t>
        </is>
      </c>
    </row>
    <row r="187">
      <c r="A187" s="3" t="n">
        <v>1245</v>
      </c>
      <c r="B187" s="4" t="n">
        <v>352.6</v>
      </c>
      <c r="C187" s="4" t="n">
        <v>60</v>
      </c>
      <c r="D187" s="4" t="n">
        <v>24.1</v>
      </c>
      <c r="E187" s="5" t="inlineStr">
        <is>
          <t>C1</t>
        </is>
      </c>
    </row>
    <row r="188">
      <c r="A188" s="3" t="n">
        <v>1246</v>
      </c>
      <c r="B188" s="4" t="n">
        <v>1587</v>
      </c>
      <c r="C188" s="4" t="n">
        <v>233.8</v>
      </c>
      <c r="D188" s="4" t="n">
        <v>88.5</v>
      </c>
      <c r="E188" s="5" t="inlineStr">
        <is>
          <t>C3</t>
        </is>
      </c>
    </row>
    <row r="189">
      <c r="A189" s="3" t="n">
        <v>1247</v>
      </c>
      <c r="B189" s="4" t="n">
        <v>1271.1</v>
      </c>
      <c r="C189" s="4" t="n">
        <v>130</v>
      </c>
      <c r="D189" s="4" t="n">
        <v>84.90000000000001</v>
      </c>
      <c r="E189" s="5" t="inlineStr">
        <is>
          <t>C2</t>
        </is>
      </c>
    </row>
    <row r="190">
      <c r="A190" s="3" t="n">
        <v>1248</v>
      </c>
      <c r="B190" s="4" t="n">
        <v>946.4</v>
      </c>
      <c r="C190" s="4" t="n">
        <v>123.6</v>
      </c>
      <c r="D190" s="4" t="n">
        <v>69.8</v>
      </c>
      <c r="E190" s="5" t="inlineStr">
        <is>
          <t>C2</t>
        </is>
      </c>
    </row>
    <row r="191">
      <c r="A191" s="3" t="n">
        <v>1249</v>
      </c>
      <c r="B191" s="4" t="n">
        <v>625.2</v>
      </c>
      <c r="C191" s="4" t="n">
        <v>99.59999999999999</v>
      </c>
      <c r="D191" s="4" t="n">
        <v>48.3</v>
      </c>
      <c r="E191" s="5" t="inlineStr">
        <is>
          <t>C4</t>
        </is>
      </c>
    </row>
    <row r="192">
      <c r="A192" s="3" t="n">
        <v>1250</v>
      </c>
      <c r="B192" s="4" t="n">
        <v>309.1</v>
      </c>
      <c r="C192" s="4" t="n">
        <v>56.4</v>
      </c>
      <c r="D192" s="4" t="n">
        <v>22</v>
      </c>
      <c r="E192" s="5" t="inlineStr">
        <is>
          <t>C1</t>
        </is>
      </c>
    </row>
    <row r="193">
      <c r="A193" s="3" t="n">
        <v>1251</v>
      </c>
      <c r="B193" s="4" t="n">
        <v>1271.2</v>
      </c>
      <c r="C193" s="4" t="n">
        <v>232.7</v>
      </c>
      <c r="D193" s="4" t="n">
        <v>87.40000000000001</v>
      </c>
      <c r="E193" s="5" t="inlineStr">
        <is>
          <t>C2</t>
        </is>
      </c>
    </row>
    <row r="194">
      <c r="A194" s="3" t="n">
        <v>1252</v>
      </c>
      <c r="B194" s="4" t="n">
        <v>1026.9</v>
      </c>
      <c r="C194" s="4" t="n">
        <v>126.7</v>
      </c>
      <c r="D194" s="4" t="n">
        <v>83</v>
      </c>
      <c r="E194" s="5" t="inlineStr">
        <is>
          <t>C2</t>
        </is>
      </c>
    </row>
    <row r="195">
      <c r="A195" s="3" t="n">
        <v>1253</v>
      </c>
      <c r="B195" s="4" t="n">
        <v>773.5</v>
      </c>
      <c r="C195" s="4" t="n">
        <v>122.4</v>
      </c>
      <c r="D195" s="4" t="n">
        <v>68.90000000000001</v>
      </c>
      <c r="E195" s="5" t="inlineStr">
        <is>
          <t>C4</t>
        </is>
      </c>
    </row>
    <row r="196">
      <c r="A196" s="3" t="n">
        <v>1254</v>
      </c>
      <c r="B196" s="4" t="n">
        <v>515.3</v>
      </c>
      <c r="C196" s="4" t="n">
        <v>100</v>
      </c>
      <c r="D196" s="4" t="n">
        <v>48.3</v>
      </c>
      <c r="E196" s="5" t="inlineStr">
        <is>
          <t>C4</t>
        </is>
      </c>
    </row>
    <row r="197">
      <c r="A197" s="3" t="n">
        <v>1255</v>
      </c>
      <c r="B197" s="4" t="n">
        <v>256.1</v>
      </c>
      <c r="C197" s="4" t="n">
        <v>59.3</v>
      </c>
      <c r="D197" s="4" t="n">
        <v>23.6</v>
      </c>
      <c r="E197" s="5" t="inlineStr">
        <is>
          <t>C1</t>
        </is>
      </c>
    </row>
    <row r="198">
      <c r="A198" s="3" t="n">
        <v>1256</v>
      </c>
      <c r="B198" s="4" t="n">
        <v>1284.7</v>
      </c>
      <c r="C198" s="4" t="n">
        <v>218.8</v>
      </c>
      <c r="D198" s="4" t="n">
        <v>75.09999999999999</v>
      </c>
      <c r="E198" s="5" t="inlineStr">
        <is>
          <t>C2</t>
        </is>
      </c>
    </row>
    <row r="199">
      <c r="A199" s="3" t="n">
        <v>1257</v>
      </c>
      <c r="B199" s="4" t="n">
        <v>1037.8</v>
      </c>
      <c r="C199" s="4" t="n">
        <v>79.90000000000001</v>
      </c>
      <c r="D199" s="4" t="n">
        <v>52.7</v>
      </c>
      <c r="E199" s="5" t="inlineStr">
        <is>
          <t>C2</t>
        </is>
      </c>
    </row>
    <row r="200">
      <c r="A200" s="3" t="n">
        <v>1258</v>
      </c>
      <c r="B200" s="4" t="n">
        <v>781.6</v>
      </c>
      <c r="C200" s="4" t="n">
        <v>85.3</v>
      </c>
      <c r="D200" s="4" t="n">
        <v>43.3</v>
      </c>
      <c r="E200" s="5" t="inlineStr">
        <is>
          <t>C4</t>
        </is>
      </c>
    </row>
    <row r="201">
      <c r="A201" s="3" t="n">
        <v>1259</v>
      </c>
      <c r="B201" s="4" t="n">
        <v>520.4</v>
      </c>
      <c r="C201" s="4" t="n">
        <v>74.7</v>
      </c>
      <c r="D201" s="4" t="n">
        <v>29.8</v>
      </c>
      <c r="E201" s="5" t="inlineStr">
        <is>
          <t>C4</t>
        </is>
      </c>
    </row>
    <row r="202">
      <c r="A202" s="3" t="n">
        <v>1260</v>
      </c>
      <c r="B202" s="4" t="n">
        <v>258.1</v>
      </c>
      <c r="C202" s="4" t="n">
        <v>40.1</v>
      </c>
      <c r="D202" s="4" t="n">
        <v>10.5</v>
      </c>
      <c r="E202" s="5" t="inlineStr">
        <is>
          <t>C1</t>
        </is>
      </c>
    </row>
    <row r="203">
      <c r="A203" s="3" t="n">
        <v>1261</v>
      </c>
      <c r="B203" s="4" t="n">
        <v>1505.7</v>
      </c>
      <c r="C203" s="4" t="n">
        <v>231.4</v>
      </c>
      <c r="D203" s="4" t="n">
        <v>86.40000000000001</v>
      </c>
      <c r="E203" s="5" t="inlineStr">
        <is>
          <t>C3</t>
        </is>
      </c>
    </row>
    <row r="204">
      <c r="A204" s="3" t="n">
        <v>1262</v>
      </c>
      <c r="B204" s="4" t="n">
        <v>1214.2</v>
      </c>
      <c r="C204" s="4" t="n">
        <v>122.5</v>
      </c>
      <c r="D204" s="4" t="n">
        <v>80.2</v>
      </c>
      <c r="E204" s="5" t="inlineStr">
        <is>
          <t>C2</t>
        </is>
      </c>
    </row>
    <row r="205">
      <c r="A205" s="3" t="n">
        <v>1263</v>
      </c>
      <c r="B205" s="4" t="n">
        <v>910.3</v>
      </c>
      <c r="C205" s="4" t="n">
        <v>118.4</v>
      </c>
      <c r="D205" s="4" t="n">
        <v>66.2</v>
      </c>
      <c r="E205" s="5" t="inlineStr">
        <is>
          <t>C2</t>
        </is>
      </c>
    </row>
    <row r="206">
      <c r="A206" s="3" t="n">
        <v>1264</v>
      </c>
      <c r="B206" s="4" t="n">
        <v>604.3</v>
      </c>
      <c r="C206" s="4" t="n">
        <v>96.09999999999999</v>
      </c>
      <c r="D206" s="4" t="n">
        <v>45.7</v>
      </c>
      <c r="E206" s="5" t="inlineStr">
        <is>
          <t>C4</t>
        </is>
      </c>
    </row>
    <row r="207">
      <c r="A207" s="3" t="n">
        <v>1265</v>
      </c>
      <c r="B207" s="4" t="n">
        <v>299</v>
      </c>
      <c r="C207" s="4" t="n">
        <v>54.4</v>
      </c>
      <c r="D207" s="4" t="n">
        <v>20.5</v>
      </c>
      <c r="E207" s="5" t="inlineStr">
        <is>
          <t>C1</t>
        </is>
      </c>
    </row>
    <row r="208">
      <c r="A208" s="3" t="n">
        <v>1266</v>
      </c>
      <c r="B208" s="4" t="n">
        <v>1490.5</v>
      </c>
      <c r="C208" s="4" t="n">
        <v>231.9</v>
      </c>
      <c r="D208" s="4" t="n">
        <v>86.7</v>
      </c>
      <c r="E208" s="5" t="inlineStr">
        <is>
          <t>C2</t>
        </is>
      </c>
    </row>
    <row r="209">
      <c r="A209" s="3" t="n">
        <v>1267</v>
      </c>
      <c r="B209" s="4" t="n">
        <v>1204.6</v>
      </c>
      <c r="C209" s="4" t="n">
        <v>123.8</v>
      </c>
      <c r="D209" s="4" t="n">
        <v>81</v>
      </c>
      <c r="E209" s="5" t="inlineStr">
        <is>
          <t>C2</t>
        </is>
      </c>
    </row>
    <row r="210">
      <c r="A210" s="3" t="n">
        <v>1268</v>
      </c>
      <c r="B210" s="4" t="n">
        <v>907.3</v>
      </c>
      <c r="C210" s="4" t="n">
        <v>119.2</v>
      </c>
      <c r="D210" s="4" t="n">
        <v>66.8</v>
      </c>
      <c r="E210" s="5" t="inlineStr">
        <is>
          <t>C2</t>
        </is>
      </c>
    </row>
    <row r="211">
      <c r="A211" s="3" t="n">
        <v>1269</v>
      </c>
      <c r="B211" s="4" t="n">
        <v>603.4</v>
      </c>
      <c r="C211" s="4" t="n">
        <v>96.5</v>
      </c>
      <c r="D211" s="4" t="n">
        <v>46</v>
      </c>
      <c r="E211" s="5" t="inlineStr">
        <is>
          <t>C4</t>
        </is>
      </c>
    </row>
    <row r="212">
      <c r="A212" s="3" t="n">
        <v>1270</v>
      </c>
      <c r="B212" s="4" t="n">
        <v>298.6</v>
      </c>
      <c r="C212" s="4" t="n">
        <v>55</v>
      </c>
      <c r="D212" s="4" t="n">
        <v>20.8</v>
      </c>
      <c r="E212" s="5" t="inlineStr">
        <is>
          <t>C1</t>
        </is>
      </c>
    </row>
    <row r="213">
      <c r="A213" s="3" t="n">
        <v>1271</v>
      </c>
      <c r="B213" s="4" t="n">
        <v>2591.5</v>
      </c>
      <c r="C213" s="4" t="n">
        <v>224.6</v>
      </c>
      <c r="D213" s="4" t="n">
        <v>80.3</v>
      </c>
      <c r="E213" s="5" t="inlineStr">
        <is>
          <t>C3</t>
        </is>
      </c>
    </row>
    <row r="214">
      <c r="A214" s="3" t="n">
        <v>1272</v>
      </c>
      <c r="B214" s="4" t="n">
        <v>2091.8</v>
      </c>
      <c r="C214" s="4" t="n">
        <v>99.8</v>
      </c>
      <c r="D214" s="4" t="n">
        <v>65.7</v>
      </c>
      <c r="E214" s="5" t="inlineStr">
        <is>
          <t>C3</t>
        </is>
      </c>
    </row>
    <row r="215">
      <c r="A215" s="3" t="n">
        <v>1273</v>
      </c>
      <c r="B215" s="4" t="n">
        <v>1560.2</v>
      </c>
      <c r="C215" s="4" t="n">
        <v>101.2</v>
      </c>
      <c r="D215" s="4" t="n">
        <v>54.3</v>
      </c>
      <c r="E215" s="5" t="inlineStr">
        <is>
          <t>C3</t>
        </is>
      </c>
    </row>
    <row r="216">
      <c r="A216" s="3" t="n">
        <v>1274</v>
      </c>
      <c r="B216" s="4" t="n">
        <v>1032.6</v>
      </c>
      <c r="C216" s="4" t="n">
        <v>84.59999999999999</v>
      </c>
      <c r="D216" s="4" t="n">
        <v>37.2</v>
      </c>
      <c r="E216" s="5" t="inlineStr">
        <is>
          <t>C2</t>
        </is>
      </c>
    </row>
    <row r="217">
      <c r="A217" s="3" t="n">
        <v>1275</v>
      </c>
      <c r="B217" s="4" t="n">
        <v>511.1</v>
      </c>
      <c r="C217" s="4" t="n">
        <v>45.7</v>
      </c>
      <c r="D217" s="4" t="n">
        <v>14.6</v>
      </c>
      <c r="E217" s="5" t="inlineStr">
        <is>
          <t>C4</t>
        </is>
      </c>
    </row>
    <row r="218">
      <c r="A218" s="3" t="n">
        <v>1276</v>
      </c>
      <c r="B218" s="4" t="n">
        <v>2579.7</v>
      </c>
      <c r="C218" s="4" t="n">
        <v>224.6</v>
      </c>
      <c r="D218" s="4" t="n">
        <v>80.3</v>
      </c>
      <c r="E218" s="5" t="inlineStr">
        <is>
          <t>C3</t>
        </is>
      </c>
    </row>
    <row r="219">
      <c r="A219" s="3" t="n">
        <v>1277</v>
      </c>
      <c r="B219" s="4" t="n">
        <v>2082.7</v>
      </c>
      <c r="C219" s="4" t="n">
        <v>99.8</v>
      </c>
      <c r="D219" s="4" t="n">
        <v>65.7</v>
      </c>
      <c r="E219" s="5" t="inlineStr">
        <is>
          <t>C3</t>
        </is>
      </c>
    </row>
    <row r="220">
      <c r="A220" s="3" t="n">
        <v>1278</v>
      </c>
      <c r="B220" s="4" t="n">
        <v>1553.7</v>
      </c>
      <c r="C220" s="4" t="n">
        <v>101.2</v>
      </c>
      <c r="D220" s="4" t="n">
        <v>54.3</v>
      </c>
      <c r="E220" s="5" t="inlineStr">
        <is>
          <t>C3</t>
        </is>
      </c>
    </row>
    <row r="221">
      <c r="A221" s="3" t="n">
        <v>1279</v>
      </c>
      <c r="B221" s="4" t="n">
        <v>1028.4</v>
      </c>
      <c r="C221" s="4" t="n">
        <v>84.59999999999999</v>
      </c>
      <c r="D221" s="4" t="n">
        <v>37.2</v>
      </c>
      <c r="E221" s="5" t="inlineStr">
        <is>
          <t>C2</t>
        </is>
      </c>
    </row>
    <row r="222">
      <c r="A222" s="3" t="n">
        <v>1280</v>
      </c>
      <c r="B222" s="4" t="n">
        <v>509.1</v>
      </c>
      <c r="C222" s="4" t="n">
        <v>45.7</v>
      </c>
      <c r="D222" s="4" t="n">
        <v>14.6</v>
      </c>
      <c r="E222" s="5" t="inlineStr">
        <is>
          <t>C4</t>
        </is>
      </c>
    </row>
    <row r="223">
      <c r="A223" s="3" t="n">
        <v>1281</v>
      </c>
      <c r="B223" s="4" t="n">
        <v>1505.2</v>
      </c>
      <c r="C223" s="4" t="n">
        <v>231.4</v>
      </c>
      <c r="D223" s="4" t="n">
        <v>86.40000000000001</v>
      </c>
      <c r="E223" s="5" t="inlineStr">
        <is>
          <t>C3</t>
        </is>
      </c>
    </row>
    <row r="224">
      <c r="A224" s="3" t="n">
        <v>1282</v>
      </c>
      <c r="B224" s="4" t="n">
        <v>1213.7</v>
      </c>
      <c r="C224" s="4" t="n">
        <v>122.5</v>
      </c>
      <c r="D224" s="4" t="n">
        <v>80.2</v>
      </c>
      <c r="E224" s="5" t="inlineStr">
        <is>
          <t>C2</t>
        </is>
      </c>
    </row>
    <row r="225">
      <c r="A225" s="3" t="n">
        <v>1283</v>
      </c>
      <c r="B225" s="4" t="n">
        <v>909.9</v>
      </c>
      <c r="C225" s="4" t="n">
        <v>118.4</v>
      </c>
      <c r="D225" s="4" t="n">
        <v>66.2</v>
      </c>
      <c r="E225" s="5" t="inlineStr">
        <is>
          <t>C2</t>
        </is>
      </c>
    </row>
    <row r="226">
      <c r="A226" s="3" t="n">
        <v>1284</v>
      </c>
      <c r="B226" s="4" t="n">
        <v>604</v>
      </c>
      <c r="C226" s="4" t="n">
        <v>96.09999999999999</v>
      </c>
      <c r="D226" s="4" t="n">
        <v>45.7</v>
      </c>
      <c r="E226" s="5" t="inlineStr">
        <is>
          <t>C4</t>
        </is>
      </c>
    </row>
    <row r="227">
      <c r="A227" s="3" t="n">
        <v>1285</v>
      </c>
      <c r="B227" s="4" t="n">
        <v>298.9</v>
      </c>
      <c r="C227" s="4" t="n">
        <v>54.4</v>
      </c>
      <c r="D227" s="4" t="n">
        <v>20.5</v>
      </c>
      <c r="E227" s="5" t="inlineStr">
        <is>
          <t>C1</t>
        </is>
      </c>
    </row>
    <row r="228">
      <c r="A228" s="3" t="n">
        <v>1286</v>
      </c>
      <c r="B228" s="4" t="n">
        <v>1489.4</v>
      </c>
      <c r="C228" s="4" t="n">
        <v>231.9</v>
      </c>
      <c r="D228" s="4" t="n">
        <v>86.7</v>
      </c>
      <c r="E228" s="5" t="inlineStr">
        <is>
          <t>C2</t>
        </is>
      </c>
    </row>
    <row r="229">
      <c r="A229" s="3" t="n">
        <v>1287</v>
      </c>
      <c r="B229" s="4" t="n">
        <v>1204</v>
      </c>
      <c r="C229" s="4" t="n">
        <v>123.8</v>
      </c>
      <c r="D229" s="4" t="n">
        <v>81</v>
      </c>
      <c r="E229" s="5" t="inlineStr">
        <is>
          <t>C2</t>
        </is>
      </c>
    </row>
    <row r="230">
      <c r="A230" s="3" t="n">
        <v>1288</v>
      </c>
      <c r="B230" s="4" t="n">
        <v>905.7</v>
      </c>
      <c r="C230" s="4" t="n">
        <v>119.2</v>
      </c>
      <c r="D230" s="4" t="n">
        <v>66.7</v>
      </c>
      <c r="E230" s="5" t="inlineStr">
        <is>
          <t>C2</t>
        </is>
      </c>
    </row>
    <row r="231">
      <c r="A231" s="3" t="n">
        <v>1289</v>
      </c>
      <c r="B231" s="4" t="n">
        <v>602.4</v>
      </c>
      <c r="C231" s="4" t="n">
        <v>96.5</v>
      </c>
      <c r="D231" s="4" t="n">
        <v>46.1</v>
      </c>
      <c r="E231" s="5" t="inlineStr">
        <is>
          <t>C4</t>
        </is>
      </c>
    </row>
    <row r="232">
      <c r="A232" s="3" t="n">
        <v>1290</v>
      </c>
      <c r="B232" s="4" t="n">
        <v>298.1</v>
      </c>
      <c r="C232" s="4" t="n">
        <v>55</v>
      </c>
      <c r="D232" s="4" t="n">
        <v>20.8</v>
      </c>
      <c r="E232" s="5" t="inlineStr">
        <is>
          <t>C1</t>
        </is>
      </c>
    </row>
    <row r="233">
      <c r="A233" s="3" t="n">
        <v>1291</v>
      </c>
      <c r="B233" s="4" t="n">
        <v>1284.8</v>
      </c>
      <c r="C233" s="4" t="n">
        <v>218.8</v>
      </c>
      <c r="D233" s="4" t="n">
        <v>75.09999999999999</v>
      </c>
      <c r="E233" s="5" t="inlineStr">
        <is>
          <t>C2</t>
        </is>
      </c>
    </row>
    <row r="234">
      <c r="A234" s="3" t="n">
        <v>1292</v>
      </c>
      <c r="B234" s="4" t="n">
        <v>1037.8</v>
      </c>
      <c r="C234" s="4" t="n">
        <v>79.90000000000001</v>
      </c>
      <c r="D234" s="4" t="n">
        <v>52.7</v>
      </c>
      <c r="E234" s="5" t="inlineStr">
        <is>
          <t>C2</t>
        </is>
      </c>
    </row>
    <row r="235">
      <c r="A235" s="3" t="n">
        <v>1293</v>
      </c>
      <c r="B235" s="4" t="n">
        <v>781.6</v>
      </c>
      <c r="C235" s="4" t="n">
        <v>85.3</v>
      </c>
      <c r="D235" s="4" t="n">
        <v>43.3</v>
      </c>
      <c r="E235" s="5" t="inlineStr">
        <is>
          <t>C4</t>
        </is>
      </c>
    </row>
    <row r="236">
      <c r="A236" s="3" t="n">
        <v>1294</v>
      </c>
      <c r="B236" s="4" t="n">
        <v>520.4</v>
      </c>
      <c r="C236" s="4" t="n">
        <v>74.7</v>
      </c>
      <c r="D236" s="4" t="n">
        <v>29.8</v>
      </c>
      <c r="E236" s="5" t="inlineStr">
        <is>
          <t>C4</t>
        </is>
      </c>
    </row>
    <row r="237">
      <c r="A237" s="3" t="n">
        <v>1295</v>
      </c>
      <c r="B237" s="4" t="n">
        <v>258.1</v>
      </c>
      <c r="C237" s="4" t="n">
        <v>40.1</v>
      </c>
      <c r="D237" s="4" t="n">
        <v>10.5</v>
      </c>
      <c r="E237" s="5" t="inlineStr">
        <is>
          <t>C1</t>
        </is>
      </c>
    </row>
    <row r="238">
      <c r="A238" s="3" t="n">
        <v>1296</v>
      </c>
      <c r="B238" s="4" t="n">
        <v>1271.2</v>
      </c>
      <c r="C238" s="4" t="n">
        <v>232.7</v>
      </c>
      <c r="D238" s="4" t="n">
        <v>87.40000000000001</v>
      </c>
      <c r="E238" s="5" t="inlineStr">
        <is>
          <t>C2</t>
        </is>
      </c>
    </row>
    <row r="239">
      <c r="A239" s="3" t="n">
        <v>1297</v>
      </c>
      <c r="B239" s="4" t="n">
        <v>1026.9</v>
      </c>
      <c r="C239" s="4" t="n">
        <v>126.7</v>
      </c>
      <c r="D239" s="4" t="n">
        <v>83</v>
      </c>
      <c r="E239" s="5" t="inlineStr">
        <is>
          <t>C2</t>
        </is>
      </c>
    </row>
    <row r="240">
      <c r="A240" s="3" t="n">
        <v>1298</v>
      </c>
      <c r="B240" s="4" t="n">
        <v>773.5</v>
      </c>
      <c r="C240" s="4" t="n">
        <v>122.4</v>
      </c>
      <c r="D240" s="4" t="n">
        <v>68.90000000000001</v>
      </c>
      <c r="E240" s="5" t="inlineStr">
        <is>
          <t>C4</t>
        </is>
      </c>
    </row>
    <row r="241">
      <c r="A241" s="3" t="n">
        <v>1299</v>
      </c>
      <c r="B241" s="4" t="n">
        <v>515.3</v>
      </c>
      <c r="C241" s="4" t="n">
        <v>100</v>
      </c>
      <c r="D241" s="4" t="n">
        <v>48.3</v>
      </c>
      <c r="E241" s="5" t="inlineStr">
        <is>
          <t>C4</t>
        </is>
      </c>
    </row>
    <row r="242">
      <c r="A242" s="3" t="n">
        <v>1300</v>
      </c>
      <c r="B242" s="4" t="n">
        <v>256.1</v>
      </c>
      <c r="C242" s="4" t="n">
        <v>59.4</v>
      </c>
      <c r="D242" s="4" t="n">
        <v>23.6</v>
      </c>
      <c r="E242" s="5" t="inlineStr">
        <is>
          <t>C1</t>
        </is>
      </c>
    </row>
    <row r="243">
      <c r="A243" s="3" t="n">
        <v>1301</v>
      </c>
      <c r="B243" s="4" t="n">
        <v>1586.7</v>
      </c>
      <c r="C243" s="4" t="n">
        <v>233.8</v>
      </c>
      <c r="D243" s="4" t="n">
        <v>88.5</v>
      </c>
      <c r="E243" s="5" t="inlineStr">
        <is>
          <t>C3</t>
        </is>
      </c>
    </row>
    <row r="244">
      <c r="A244" s="3" t="n">
        <v>1302</v>
      </c>
      <c r="B244" s="4" t="n">
        <v>1270.8</v>
      </c>
      <c r="C244" s="4" t="n">
        <v>130</v>
      </c>
      <c r="D244" s="4" t="n">
        <v>84.90000000000001</v>
      </c>
      <c r="E244" s="5" t="inlineStr">
        <is>
          <t>C2</t>
        </is>
      </c>
    </row>
    <row r="245">
      <c r="A245" s="3" t="n">
        <v>1303</v>
      </c>
      <c r="B245" s="4" t="n">
        <v>946.1</v>
      </c>
      <c r="C245" s="4" t="n">
        <v>123.6</v>
      </c>
      <c r="D245" s="4" t="n">
        <v>69.7</v>
      </c>
      <c r="E245" s="5" t="inlineStr">
        <is>
          <t>C2</t>
        </is>
      </c>
    </row>
    <row r="246">
      <c r="A246" s="3" t="n">
        <v>1304</v>
      </c>
      <c r="B246" s="4" t="n">
        <v>625.1</v>
      </c>
      <c r="C246" s="4" t="n">
        <v>99.59999999999999</v>
      </c>
      <c r="D246" s="4" t="n">
        <v>48.3</v>
      </c>
      <c r="E246" s="5" t="inlineStr">
        <is>
          <t>C4</t>
        </is>
      </c>
    </row>
    <row r="247">
      <c r="A247" s="3" t="n">
        <v>1305</v>
      </c>
      <c r="B247" s="4" t="n">
        <v>309</v>
      </c>
      <c r="C247" s="4" t="n">
        <v>56.4</v>
      </c>
      <c r="D247" s="4" t="n">
        <v>21.9</v>
      </c>
      <c r="E247" s="5" t="inlineStr">
        <is>
          <t>C1</t>
        </is>
      </c>
    </row>
    <row r="248">
      <c r="A248" s="3" t="n">
        <v>1306</v>
      </c>
      <c r="B248" s="4" t="n">
        <v>1838.9</v>
      </c>
      <c r="C248" s="4" t="n">
        <v>234.2</v>
      </c>
      <c r="D248" s="4" t="n">
        <v>88.8</v>
      </c>
      <c r="E248" s="5" t="inlineStr">
        <is>
          <t>C3</t>
        </is>
      </c>
    </row>
    <row r="249">
      <c r="A249" s="3" t="n">
        <v>1307</v>
      </c>
      <c r="B249" s="4" t="n">
        <v>1445.2</v>
      </c>
      <c r="C249" s="4" t="n">
        <v>131.7</v>
      </c>
      <c r="D249" s="4" t="n">
        <v>86.09999999999999</v>
      </c>
      <c r="E249" s="5" t="inlineStr">
        <is>
          <t>C2</t>
        </is>
      </c>
    </row>
    <row r="250">
      <c r="A250" s="3" t="n">
        <v>1308</v>
      </c>
      <c r="B250" s="4" t="n">
        <v>1075.9</v>
      </c>
      <c r="C250" s="4" t="n">
        <v>125.2</v>
      </c>
      <c r="D250" s="4" t="n">
        <v>70.90000000000001</v>
      </c>
      <c r="E250" s="5" t="inlineStr">
        <is>
          <t>C2</t>
        </is>
      </c>
    </row>
    <row r="251">
      <c r="A251" s="3" t="n">
        <v>1309</v>
      </c>
      <c r="B251" s="4" t="n">
        <v>710.7</v>
      </c>
      <c r="C251" s="4" t="n">
        <v>101.6</v>
      </c>
      <c r="D251" s="4" t="n">
        <v>49.5</v>
      </c>
      <c r="E251" s="5" t="inlineStr">
        <is>
          <t>C4</t>
        </is>
      </c>
    </row>
    <row r="252">
      <c r="A252" s="3" t="n">
        <v>1310</v>
      </c>
      <c r="B252" s="4" t="n">
        <v>349.8</v>
      </c>
      <c r="C252" s="4" t="n">
        <v>60</v>
      </c>
      <c r="D252" s="4" t="n">
        <v>24.1</v>
      </c>
      <c r="E252" s="5" t="inlineStr">
        <is>
          <t>C1</t>
        </is>
      </c>
    </row>
    <row r="253">
      <c r="A253" s="3" t="n">
        <v>1311</v>
      </c>
      <c r="B253" s="4" t="n">
        <v>1852</v>
      </c>
      <c r="C253" s="4" t="n">
        <v>234.3</v>
      </c>
      <c r="D253" s="4" t="n">
        <v>88.90000000000001</v>
      </c>
      <c r="E253" s="5" t="inlineStr">
        <is>
          <t>C3</t>
        </is>
      </c>
    </row>
    <row r="254">
      <c r="A254" s="3" t="n">
        <v>1312</v>
      </c>
      <c r="B254" s="4" t="n">
        <v>1456.2</v>
      </c>
      <c r="C254" s="4" t="n">
        <v>131.8</v>
      </c>
      <c r="D254" s="4" t="n">
        <v>86.09999999999999</v>
      </c>
      <c r="E254" s="5" t="inlineStr">
        <is>
          <t>C2</t>
        </is>
      </c>
    </row>
    <row r="255">
      <c r="A255" s="3" t="n">
        <v>1313</v>
      </c>
      <c r="B255" s="4" t="n">
        <v>1084.3</v>
      </c>
      <c r="C255" s="4" t="n">
        <v>125.3</v>
      </c>
      <c r="D255" s="4" t="n">
        <v>71</v>
      </c>
      <c r="E255" s="5" t="inlineStr">
        <is>
          <t>C2</t>
        </is>
      </c>
    </row>
    <row r="256">
      <c r="A256" s="3" t="n">
        <v>1314</v>
      </c>
      <c r="B256" s="4" t="n">
        <v>716.3</v>
      </c>
      <c r="C256" s="4" t="n">
        <v>101.6</v>
      </c>
      <c r="D256" s="4" t="n">
        <v>49.6</v>
      </c>
      <c r="E256" s="5" t="inlineStr">
        <is>
          <t>C4</t>
        </is>
      </c>
    </row>
    <row r="257">
      <c r="A257" s="3" t="n">
        <v>1315</v>
      </c>
      <c r="B257" s="4" t="n">
        <v>352.6</v>
      </c>
      <c r="C257" s="4" t="n">
        <v>60</v>
      </c>
      <c r="D257" s="4" t="n">
        <v>24.1</v>
      </c>
      <c r="E257" s="5" t="inlineStr">
        <is>
          <t>C1</t>
        </is>
      </c>
    </row>
    <row r="258">
      <c r="A258" s="3" t="n">
        <v>1316</v>
      </c>
      <c r="B258" s="4" t="n">
        <v>1587.2</v>
      </c>
      <c r="C258" s="4" t="n">
        <v>233.8</v>
      </c>
      <c r="D258" s="4" t="n">
        <v>88.5</v>
      </c>
      <c r="E258" s="5" t="inlineStr">
        <is>
          <t>C3</t>
        </is>
      </c>
    </row>
    <row r="259">
      <c r="A259" s="3" t="n">
        <v>1317</v>
      </c>
      <c r="B259" s="4" t="n">
        <v>1271.2</v>
      </c>
      <c r="C259" s="4" t="n">
        <v>130</v>
      </c>
      <c r="D259" s="4" t="n">
        <v>84.90000000000001</v>
      </c>
      <c r="E259" s="5" t="inlineStr">
        <is>
          <t>C2</t>
        </is>
      </c>
    </row>
    <row r="260">
      <c r="A260" s="3" t="n">
        <v>1318</v>
      </c>
      <c r="B260" s="4" t="n">
        <v>946.5</v>
      </c>
      <c r="C260" s="4" t="n">
        <v>123.6</v>
      </c>
      <c r="D260" s="4" t="n">
        <v>69.8</v>
      </c>
      <c r="E260" s="5" t="inlineStr">
        <is>
          <t>C2</t>
        </is>
      </c>
    </row>
    <row r="261">
      <c r="A261" s="3" t="n">
        <v>1319</v>
      </c>
      <c r="B261" s="4" t="n">
        <v>625.3</v>
      </c>
      <c r="C261" s="4" t="n">
        <v>99.59999999999999</v>
      </c>
      <c r="D261" s="4" t="n">
        <v>48.3</v>
      </c>
      <c r="E261" s="5" t="inlineStr">
        <is>
          <t>C4</t>
        </is>
      </c>
    </row>
    <row r="262">
      <c r="A262" s="3" t="n">
        <v>1320</v>
      </c>
      <c r="B262" s="4" t="n">
        <v>309.1</v>
      </c>
      <c r="C262" s="4" t="n">
        <v>56.4</v>
      </c>
      <c r="D262" s="4" t="n">
        <v>22</v>
      </c>
      <c r="E262" s="5" t="inlineStr">
        <is>
          <t>C1</t>
        </is>
      </c>
    </row>
    <row r="263">
      <c r="A263" s="3" t="n">
        <v>1321</v>
      </c>
      <c r="B263" s="4" t="n">
        <v>1272.2</v>
      </c>
      <c r="C263" s="4" t="n">
        <v>232.6</v>
      </c>
      <c r="D263" s="4" t="n">
        <v>87.40000000000001</v>
      </c>
      <c r="E263" s="5" t="inlineStr">
        <is>
          <t>C2</t>
        </is>
      </c>
    </row>
    <row r="264">
      <c r="A264" s="3" t="n">
        <v>1322</v>
      </c>
      <c r="B264" s="4" t="n">
        <v>1027.7</v>
      </c>
      <c r="C264" s="4" t="n">
        <v>126.7</v>
      </c>
      <c r="D264" s="4" t="n">
        <v>83</v>
      </c>
      <c r="E264" s="5" t="inlineStr">
        <is>
          <t>C2</t>
        </is>
      </c>
    </row>
    <row r="265">
      <c r="A265" s="3" t="n">
        <v>1323</v>
      </c>
      <c r="B265" s="4" t="n">
        <v>774.3</v>
      </c>
      <c r="C265" s="4" t="n">
        <v>122.4</v>
      </c>
      <c r="D265" s="4" t="n">
        <v>68.90000000000001</v>
      </c>
      <c r="E265" s="5" t="inlineStr">
        <is>
          <t>C4</t>
        </is>
      </c>
    </row>
    <row r="266">
      <c r="A266" s="3" t="n">
        <v>1324</v>
      </c>
      <c r="B266" s="4" t="n">
        <v>515.8</v>
      </c>
      <c r="C266" s="4" t="n">
        <v>99.90000000000001</v>
      </c>
      <c r="D266" s="4" t="n">
        <v>48.3</v>
      </c>
      <c r="E266" s="5" t="inlineStr">
        <is>
          <t>C4</t>
        </is>
      </c>
    </row>
    <row r="267">
      <c r="A267" s="3" t="n">
        <v>1325</v>
      </c>
      <c r="B267" s="4" t="n">
        <v>256.3</v>
      </c>
      <c r="C267" s="4" t="n">
        <v>59.3</v>
      </c>
      <c r="D267" s="4" t="n">
        <v>23.5</v>
      </c>
      <c r="E267" s="5" t="inlineStr">
        <is>
          <t>C1</t>
        </is>
      </c>
    </row>
    <row r="268">
      <c r="A268" s="3" t="n">
        <v>1326</v>
      </c>
      <c r="B268" s="4" t="n">
        <v>1287.1</v>
      </c>
      <c r="C268" s="4" t="n">
        <v>218.8</v>
      </c>
      <c r="D268" s="4" t="n">
        <v>75.09999999999999</v>
      </c>
      <c r="E268" s="5" t="inlineStr">
        <is>
          <t>C2</t>
        </is>
      </c>
    </row>
    <row r="269">
      <c r="A269" s="3" t="n">
        <v>1327</v>
      </c>
      <c r="B269" s="4" t="n">
        <v>1039.4</v>
      </c>
      <c r="C269" s="4" t="n">
        <v>79.90000000000001</v>
      </c>
      <c r="D269" s="4" t="n">
        <v>52.7</v>
      </c>
      <c r="E269" s="5" t="inlineStr">
        <is>
          <t>C2</t>
        </is>
      </c>
    </row>
    <row r="270">
      <c r="A270" s="3" t="n">
        <v>1328</v>
      </c>
      <c r="B270" s="4" t="n">
        <v>783.5</v>
      </c>
      <c r="C270" s="4" t="n">
        <v>85.3</v>
      </c>
      <c r="D270" s="4" t="n">
        <v>43.3</v>
      </c>
      <c r="E270" s="5" t="inlineStr">
        <is>
          <t>C4</t>
        </is>
      </c>
    </row>
    <row r="271">
      <c r="A271" s="3" t="n">
        <v>1329</v>
      </c>
      <c r="B271" s="4" t="n">
        <v>521.6</v>
      </c>
      <c r="C271" s="4" t="n">
        <v>74.7</v>
      </c>
      <c r="D271" s="4" t="n">
        <v>29.7</v>
      </c>
      <c r="E271" s="5" t="inlineStr">
        <is>
          <t>C4</t>
        </is>
      </c>
    </row>
    <row r="272">
      <c r="A272" s="3" t="n">
        <v>1330</v>
      </c>
      <c r="B272" s="4" t="n">
        <v>258.7</v>
      </c>
      <c r="C272" s="4" t="n">
        <v>40.1</v>
      </c>
      <c r="D272" s="4" t="n">
        <v>10.5</v>
      </c>
      <c r="E272" s="5" t="inlineStr">
        <is>
          <t>C1</t>
        </is>
      </c>
    </row>
    <row r="273">
      <c r="A273" s="3" t="n">
        <v>1331</v>
      </c>
      <c r="B273" s="4" t="n">
        <v>765.8</v>
      </c>
      <c r="C273" s="4" t="n">
        <v>88</v>
      </c>
      <c r="D273" s="4" t="n">
        <v>25.6</v>
      </c>
      <c r="E273" s="5" t="inlineStr">
        <is>
          <t>C4</t>
        </is>
      </c>
    </row>
    <row r="274">
      <c r="A274" s="3" t="n">
        <v>1332</v>
      </c>
      <c r="B274" s="4" t="n">
        <v>625.5</v>
      </c>
      <c r="C274" s="4" t="n">
        <v>8.800000000000001</v>
      </c>
      <c r="D274" s="4" t="n">
        <v>5.1</v>
      </c>
      <c r="E274" s="5" t="inlineStr">
        <is>
          <t>C4</t>
        </is>
      </c>
    </row>
    <row r="275">
      <c r="A275" s="3" t="n">
        <v>1333</v>
      </c>
      <c r="B275" s="4" t="n">
        <v>475.2</v>
      </c>
      <c r="C275" s="4" t="n">
        <v>16.3</v>
      </c>
      <c r="D275" s="4" t="n">
        <v>4.6</v>
      </c>
      <c r="E275" s="5" t="inlineStr">
        <is>
          <t>C1</t>
        </is>
      </c>
    </row>
    <row r="276">
      <c r="A276" s="3" t="n">
        <v>1334</v>
      </c>
      <c r="B276" s="4" t="n">
        <v>317.1</v>
      </c>
      <c r="C276" s="4" t="n">
        <v>19.1</v>
      </c>
      <c r="D276" s="4" t="n">
        <v>2.8</v>
      </c>
      <c r="E276" s="5" t="inlineStr">
        <is>
          <t>C1</t>
        </is>
      </c>
    </row>
    <row r="277">
      <c r="A277" s="3" t="n">
        <v>1335</v>
      </c>
      <c r="B277" s="4" t="n">
        <v>153.9</v>
      </c>
      <c r="C277" s="4" t="n">
        <v>17.2</v>
      </c>
      <c r="D277" s="4" t="n">
        <v>5.4</v>
      </c>
      <c r="E277" s="5" t="inlineStr">
        <is>
          <t>C1</t>
        </is>
      </c>
    </row>
    <row r="278">
      <c r="A278" s="3" t="n">
        <v>1336</v>
      </c>
      <c r="B278" s="4" t="n">
        <v>1411.2</v>
      </c>
      <c r="C278" s="4" t="n">
        <v>116.4</v>
      </c>
      <c r="D278" s="4" t="n">
        <v>50.5</v>
      </c>
      <c r="E278" s="5" t="inlineStr">
        <is>
          <t>C2</t>
        </is>
      </c>
    </row>
    <row r="279">
      <c r="A279" s="3" t="n">
        <v>1337</v>
      </c>
      <c r="B279" s="4" t="n">
        <v>1116.3</v>
      </c>
      <c r="C279" s="4" t="n">
        <v>100.6</v>
      </c>
      <c r="D279" s="4" t="n">
        <v>65.59999999999999</v>
      </c>
      <c r="E279" s="5" t="inlineStr">
        <is>
          <t>C2</t>
        </is>
      </c>
    </row>
    <row r="280">
      <c r="A280" s="3" t="n">
        <v>1338</v>
      </c>
      <c r="B280" s="4" t="n">
        <v>821.8</v>
      </c>
      <c r="C280" s="4" t="n">
        <v>89.2</v>
      </c>
      <c r="D280" s="4" t="n">
        <v>54.7</v>
      </c>
      <c r="E280" s="5" t="inlineStr">
        <is>
          <t>C4</t>
        </is>
      </c>
    </row>
    <row r="281">
      <c r="A281" s="3" t="n">
        <v>1339</v>
      </c>
      <c r="B281" s="4" t="n">
        <v>537.9</v>
      </c>
      <c r="C281" s="4" t="n">
        <v>67.5</v>
      </c>
      <c r="D281" s="4" t="n">
        <v>38.6</v>
      </c>
      <c r="E281" s="5" t="inlineStr">
        <is>
          <t>C4</t>
        </is>
      </c>
    </row>
    <row r="282">
      <c r="A282" s="3" t="n">
        <v>1340</v>
      </c>
      <c r="B282" s="4" t="n">
        <v>263.7</v>
      </c>
      <c r="C282" s="4" t="n">
        <v>43.1</v>
      </c>
      <c r="D282" s="4" t="n">
        <v>22</v>
      </c>
      <c r="E282" s="5" t="inlineStr">
        <is>
          <t>C1</t>
        </is>
      </c>
    </row>
    <row r="283">
      <c r="A283" s="3" t="n">
        <v>1341</v>
      </c>
      <c r="B283" s="4" t="n">
        <v>1410.4</v>
      </c>
      <c r="C283" s="4" t="n">
        <v>116.4</v>
      </c>
      <c r="D283" s="4" t="n">
        <v>50.5</v>
      </c>
      <c r="E283" s="5" t="inlineStr">
        <is>
          <t>C2</t>
        </is>
      </c>
    </row>
    <row r="284">
      <c r="A284" s="3" t="n">
        <v>1342</v>
      </c>
      <c r="B284" s="4" t="n">
        <v>1115.8</v>
      </c>
      <c r="C284" s="4" t="n">
        <v>100.6</v>
      </c>
      <c r="D284" s="4" t="n">
        <v>65.59999999999999</v>
      </c>
      <c r="E284" s="5" t="inlineStr">
        <is>
          <t>C2</t>
        </is>
      </c>
    </row>
    <row r="285">
      <c r="A285" s="3" t="n">
        <v>1343</v>
      </c>
      <c r="B285" s="4" t="n">
        <v>820.8</v>
      </c>
      <c r="C285" s="4" t="n">
        <v>89.2</v>
      </c>
      <c r="D285" s="4" t="n">
        <v>54.7</v>
      </c>
      <c r="E285" s="5" t="inlineStr">
        <is>
          <t>C4</t>
        </is>
      </c>
    </row>
    <row r="286">
      <c r="A286" s="3" t="n">
        <v>1344</v>
      </c>
      <c r="B286" s="4" t="n">
        <v>537.2</v>
      </c>
      <c r="C286" s="4" t="n">
        <v>67.5</v>
      </c>
      <c r="D286" s="4" t="n">
        <v>38.6</v>
      </c>
      <c r="E286" s="5" t="inlineStr">
        <is>
          <t>C4</t>
        </is>
      </c>
    </row>
    <row r="287">
      <c r="A287" s="3" t="n">
        <v>1345</v>
      </c>
      <c r="B287" s="4" t="n">
        <v>263.3</v>
      </c>
      <c r="C287" s="4" t="n">
        <v>43.1</v>
      </c>
      <c r="D287" s="4" t="n">
        <v>22</v>
      </c>
      <c r="E287" s="5" t="inlineStr">
        <is>
          <t>C1</t>
        </is>
      </c>
    </row>
    <row r="288">
      <c r="A288" s="3" t="n">
        <v>1346</v>
      </c>
      <c r="B288" s="4" t="n">
        <v>765.8</v>
      </c>
      <c r="C288" s="4" t="n">
        <v>88</v>
      </c>
      <c r="D288" s="4" t="n">
        <v>25.6</v>
      </c>
      <c r="E288" s="5" t="inlineStr">
        <is>
          <t>C4</t>
        </is>
      </c>
    </row>
    <row r="289">
      <c r="A289" s="3" t="n">
        <v>1347</v>
      </c>
      <c r="B289" s="4" t="n">
        <v>625.5</v>
      </c>
      <c r="C289" s="4" t="n">
        <v>8.800000000000001</v>
      </c>
      <c r="D289" s="4" t="n">
        <v>5.1</v>
      </c>
      <c r="E289" s="5" t="inlineStr">
        <is>
          <t>C4</t>
        </is>
      </c>
    </row>
    <row r="290">
      <c r="A290" s="3" t="n">
        <v>1348</v>
      </c>
      <c r="B290" s="4" t="n">
        <v>475.2</v>
      </c>
      <c r="C290" s="4" t="n">
        <v>16.3</v>
      </c>
      <c r="D290" s="4" t="n">
        <v>4.6</v>
      </c>
      <c r="E290" s="5" t="inlineStr">
        <is>
          <t>C1</t>
        </is>
      </c>
    </row>
    <row r="291">
      <c r="A291" s="3" t="n">
        <v>1349</v>
      </c>
      <c r="B291" s="4" t="n">
        <v>317.1</v>
      </c>
      <c r="C291" s="4" t="n">
        <v>19.1</v>
      </c>
      <c r="D291" s="4" t="n">
        <v>2.8</v>
      </c>
      <c r="E291" s="5" t="inlineStr">
        <is>
          <t>C1</t>
        </is>
      </c>
    </row>
    <row r="292">
      <c r="A292" s="3" t="n">
        <v>1350</v>
      </c>
      <c r="B292" s="4" t="n">
        <v>153.9</v>
      </c>
      <c r="C292" s="4" t="n">
        <v>17.2</v>
      </c>
      <c r="D292" s="4" t="n">
        <v>5.4</v>
      </c>
      <c r="E292" s="5" t="inlineStr">
        <is>
          <t>C1</t>
        </is>
      </c>
    </row>
    <row r="293">
      <c r="A293" s="3" t="n">
        <v>1379</v>
      </c>
      <c r="B293" s="4" t="n">
        <v>1433.2</v>
      </c>
      <c r="C293" s="4" t="n">
        <v>170.4</v>
      </c>
      <c r="D293" s="4" t="n">
        <v>70.3</v>
      </c>
      <c r="E293" s="5" t="inlineStr">
        <is>
          <t>C2</t>
        </is>
      </c>
    </row>
    <row r="294">
      <c r="A294" s="3" t="n">
        <v>1380</v>
      </c>
      <c r="B294" s="4" t="n">
        <v>1160.6</v>
      </c>
      <c r="C294" s="4" t="n">
        <v>126.4</v>
      </c>
      <c r="D294" s="4" t="n">
        <v>82.40000000000001</v>
      </c>
      <c r="E294" s="5" t="inlineStr">
        <is>
          <t>C2</t>
        </is>
      </c>
    </row>
    <row r="295">
      <c r="A295" s="3" t="n">
        <v>1381</v>
      </c>
      <c r="B295" s="4" t="n">
        <v>885.1</v>
      </c>
      <c r="C295" s="4" t="n">
        <v>113.6</v>
      </c>
      <c r="D295" s="4" t="n">
        <v>68</v>
      </c>
      <c r="E295" s="5" t="inlineStr">
        <is>
          <t>C4</t>
        </is>
      </c>
    </row>
    <row r="296">
      <c r="A296" s="3" t="n">
        <v>1382</v>
      </c>
      <c r="B296" s="4" t="n">
        <v>611.1</v>
      </c>
      <c r="C296" s="4" t="n">
        <v>87</v>
      </c>
      <c r="D296" s="4" t="n">
        <v>47.2</v>
      </c>
      <c r="E296" s="5" t="inlineStr">
        <is>
          <t>C4</t>
        </is>
      </c>
    </row>
    <row r="297">
      <c r="A297" s="3" t="n">
        <v>1383</v>
      </c>
      <c r="B297" s="4" t="n">
        <v>295.5</v>
      </c>
      <c r="C297" s="4" t="n">
        <v>52.5</v>
      </c>
      <c r="D297" s="4" t="n">
        <v>24.6</v>
      </c>
      <c r="E297" s="5" t="inlineStr">
        <is>
          <t>C1</t>
        </is>
      </c>
    </row>
    <row r="298">
      <c r="A298" s="3" t="n">
        <v>1384</v>
      </c>
      <c r="B298" s="4" t="n">
        <v>1433.1</v>
      </c>
      <c r="C298" s="4" t="n">
        <v>170.4</v>
      </c>
      <c r="D298" s="4" t="n">
        <v>70.3</v>
      </c>
      <c r="E298" s="5" t="inlineStr">
        <is>
          <t>C2</t>
        </is>
      </c>
    </row>
    <row r="299">
      <c r="A299" s="3" t="n">
        <v>1385</v>
      </c>
      <c r="B299" s="4" t="n">
        <v>1160.5</v>
      </c>
      <c r="C299" s="4" t="n">
        <v>126.4</v>
      </c>
      <c r="D299" s="4" t="n">
        <v>82.40000000000001</v>
      </c>
      <c r="E299" s="5" t="inlineStr">
        <is>
          <t>C2</t>
        </is>
      </c>
    </row>
    <row r="300">
      <c r="A300" s="3" t="n">
        <v>1386</v>
      </c>
      <c r="B300" s="4" t="n">
        <v>885</v>
      </c>
      <c r="C300" s="4" t="n">
        <v>113.6</v>
      </c>
      <c r="D300" s="4" t="n">
        <v>68</v>
      </c>
      <c r="E300" s="5" t="inlineStr">
        <is>
          <t>C4</t>
        </is>
      </c>
    </row>
    <row r="301">
      <c r="A301" s="3" t="n">
        <v>1387</v>
      </c>
      <c r="B301" s="4" t="n">
        <v>611.1</v>
      </c>
      <c r="C301" s="4" t="n">
        <v>87</v>
      </c>
      <c r="D301" s="4" t="n">
        <v>47.2</v>
      </c>
      <c r="E301" s="5" t="inlineStr">
        <is>
          <t>C4</t>
        </is>
      </c>
    </row>
    <row r="302">
      <c r="A302" s="3" t="n">
        <v>1388</v>
      </c>
      <c r="B302" s="4" t="n">
        <v>295.5</v>
      </c>
      <c r="C302" s="4" t="n">
        <v>52.5</v>
      </c>
      <c r="D302" s="4" t="n">
        <v>24.6</v>
      </c>
      <c r="E302" s="5" t="inlineStr">
        <is>
          <t>C1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3" max="3"/>
    <col width="13" customWidth="1" min="4" max="4"/>
    <col width="13" customWidth="1" min="5" max="5"/>
    <col width="13" customWidth="1" min="6" max="6"/>
  </cols>
  <sheetData>
    <row r="1">
      <c r="A1" s="6" t="inlineStr">
        <is>
          <t>DISENO DE COLUMNAS POR TIPO - flexo-compresion con esbeltez (NSR-10 C.21 / ACI 318)</t>
        </is>
      </c>
    </row>
    <row r="3">
      <c r="A3" s="7" t="inlineStr">
        <is>
          <t>Parametro</t>
        </is>
      </c>
      <c r="C3" s="2" t="inlineStr">
        <is>
          <t>C1</t>
        </is>
      </c>
      <c r="D3" s="2" t="inlineStr">
        <is>
          <t>C2</t>
        </is>
      </c>
      <c r="E3" s="2" t="inlineStr">
        <is>
          <t>C3</t>
        </is>
      </c>
      <c r="F3" s="2" t="inlineStr">
        <is>
          <t>C4</t>
        </is>
      </c>
    </row>
    <row r="4">
      <c r="A4" s="8" t="inlineStr">
        <is>
          <t>b [m] (ancho)</t>
        </is>
      </c>
      <c r="C4" s="9" t="n">
        <v>0.35</v>
      </c>
      <c r="D4" s="9" t="n">
        <v>0.5</v>
      </c>
      <c r="E4" s="9" t="n">
        <v>0.55</v>
      </c>
      <c r="F4" s="9" t="n">
        <v>0.45</v>
      </c>
    </row>
    <row r="5">
      <c r="A5" s="8" t="inlineStr">
        <is>
          <t>h [m] (peralte, plano de M3)</t>
        </is>
      </c>
      <c r="C5" s="9" t="n">
        <v>0.3</v>
      </c>
      <c r="D5" s="9" t="n">
        <v>0.45</v>
      </c>
      <c r="E5" s="9" t="n">
        <v>0.5</v>
      </c>
      <c r="F5" s="9" t="n">
        <v>0.4</v>
      </c>
    </row>
    <row r="6">
      <c r="A6" s="8" t="inlineStr">
        <is>
          <t>N barras Nº6</t>
        </is>
      </c>
      <c r="C6" s="10" t="n">
        <v>10</v>
      </c>
      <c r="D6" s="10" t="n">
        <v>8</v>
      </c>
      <c r="E6" s="10" t="n">
        <v>10</v>
      </c>
      <c r="F6" s="10" t="n">
        <v>8</v>
      </c>
    </row>
    <row r="7">
      <c r="A7" s="8" t="inlineStr">
        <is>
          <t>Ab Nº6 [mm2]</t>
        </is>
      </c>
      <c r="C7" s="10" t="n">
        <v>284</v>
      </c>
      <c r="D7" s="10" t="n">
        <v>284</v>
      </c>
      <c r="E7" s="10" t="n">
        <v>284</v>
      </c>
      <c r="F7" s="10" t="n">
        <v>284</v>
      </c>
    </row>
    <row r="8">
      <c r="A8" s="8" t="inlineStr">
        <is>
          <t>Ag [mm2] = b·h</t>
        </is>
      </c>
      <c r="C8" s="11">
        <f>C4*1000*C5*1000</f>
        <v>105000</v>
      </c>
      <c r="D8" s="11">
        <f>D4*1000*D5*1000</f>
        <v>225000</v>
      </c>
      <c r="E8" s="11">
        <f>E4*1000*E5*1000</f>
        <v>275000</v>
      </c>
      <c r="F8" s="11">
        <f>F4*1000*F5*1000</f>
        <v>180000</v>
      </c>
    </row>
    <row r="9">
      <c r="A9" s="8" t="inlineStr">
        <is>
          <t>Ast [mm2] = N·Ab</t>
        </is>
      </c>
      <c r="C9" s="11">
        <f>C6*C7</f>
        <v>2840</v>
      </c>
      <c r="D9" s="11">
        <f>D6*D7</f>
        <v>2272</v>
      </c>
      <c r="E9" s="11">
        <f>E6*E7</f>
        <v>2840</v>
      </c>
      <c r="F9" s="11">
        <f>F6*F7</f>
        <v>2272</v>
      </c>
    </row>
    <row r="10">
      <c r="A10" s="8" t="inlineStr">
        <is>
          <t>Cuantia rho = Ast/Ag</t>
        </is>
      </c>
      <c r="C10" s="12">
        <f>C9/C8</f>
        <v>0.02704761905</v>
      </c>
      <c r="D10" s="12">
        <f>D9/D8</f>
        <v>0.01009777778</v>
      </c>
      <c r="E10" s="12">
        <f>E9/E8</f>
        <v>0.01032727273</v>
      </c>
      <c r="F10" s="12">
        <f>F9/F8</f>
        <v>0.01262222222</v>
      </c>
    </row>
    <row r="11">
      <c r="A11" s="8" t="inlineStr">
        <is>
          <t>Cuantia OK (0.01–0.06)?</t>
        </is>
      </c>
      <c r="C11" s="13" t="str">
        <f>IF(AND(C10&gt;=0.01,C10&lt;=0.06),"CUMPLE","REVISAR")</f>
        <v>CUMPLE</v>
      </c>
      <c r="D11" s="13" t="str">
        <f>IF(AND(D10&gt;=0.01,D10&lt;=0.06),"CUMPLE","REVISAR")</f>
        <v>CUMPLE</v>
      </c>
      <c r="E11" s="13" t="str">
        <f>IF(AND(E10&gt;=0.01,E10&lt;=0.06),"CUMPLE","REVISAR")</f>
        <v>CUMPLE</v>
      </c>
      <c r="F11" s="13" t="str">
        <f>IF(AND(F10&gt;=0.01,F10&lt;=0.06),"CUMPLE","REVISAR")</f>
        <v>CUMPLE</v>
      </c>
    </row>
    <row r="12">
      <c r="A12" s="8" t="inlineStr">
        <is>
          <t>Pu gobernante [kN]</t>
        </is>
      </c>
      <c r="C12" s="11">
        <f>MAXIFS('Fuerzas por Columna'!$B:$B,'Fuerzas por Columna'!$E:$E,C3)</f>
        <v>491.6</v>
      </c>
      <c r="D12" s="11">
        <f>MAXIFS('Fuerzas por Columna'!$B:$B,'Fuerzas por Columna'!$E:$E,D3)</f>
        <v>1490.5</v>
      </c>
      <c r="E12" s="11">
        <f>MAXIFS('Fuerzas por Columna'!$B:$B,'Fuerzas por Columna'!$E:$E,E3)</f>
        <v>2591.5</v>
      </c>
      <c r="F12" s="11">
        <f>MAXIFS('Fuerzas por Columna'!$B:$B,'Fuerzas por Columna'!$E:$E,F3)</f>
        <v>885.1</v>
      </c>
    </row>
    <row r="13">
      <c r="A13" s="8" t="inlineStr">
        <is>
          <t>Mux gobernante [kN.m]</t>
        </is>
      </c>
      <c r="C13" s="11">
        <f>MAXIFS('Fuerzas por Columna'!$C:$C,'Fuerzas por Columna'!$E:$E,C3)</f>
        <v>87.1</v>
      </c>
      <c r="D13" s="11">
        <f>MAXIFS('Fuerzas por Columna'!$C:$C,'Fuerzas por Columna'!$E:$E,D3)</f>
        <v>232.7</v>
      </c>
      <c r="E13" s="11">
        <f>MAXIFS('Fuerzas por Columna'!$C:$C,'Fuerzas por Columna'!$E:$E,E3)</f>
        <v>234.3</v>
      </c>
      <c r="F13" s="11">
        <f>MAXIFS('Fuerzas por Columna'!$C:$C,'Fuerzas por Columna'!$E:$E,F3)</f>
        <v>122.4</v>
      </c>
    </row>
    <row r="14">
      <c r="A14" s="8" t="inlineStr">
        <is>
          <t>phi·Pn,max [kN] = 0.65·0.8·(0.85f'c(Ag−Ast)+fy·Ast)</t>
        </is>
      </c>
      <c r="C14" s="11">
        <f>0.65*0.8*(0.85*28.0*(C8-C9)+420.0*C9)/1000</f>
        <v>1884.58816</v>
      </c>
      <c r="D14" s="11">
        <f>0.65*0.8*(0.85*28.0*(D8-D9)+420.0*D9)/1000</f>
        <v>3252.686528</v>
      </c>
      <c r="E14" s="11">
        <f>0.65*0.8*(0.85*28.0*(E8-E9)+420.0*E9)/1000</f>
        <v>3988.50816</v>
      </c>
      <c r="F14" s="11">
        <f>0.65*0.8*(0.85*28.0*(F8-F9)+420.0*F9)/1000</f>
        <v>2695.766528</v>
      </c>
    </row>
    <row r="15">
      <c r="A15" s="8" t="inlineStr">
        <is>
          <t>Pu ≤ phi·Pn,max ?</t>
        </is>
      </c>
      <c r="C15" s="13" t="str">
        <f>IF(C12&lt;=C14,"CUMPLE","AUMENTAR SECCION")</f>
        <v>CUMPLE</v>
      </c>
      <c r="D15" s="13" t="str">
        <f>IF(D12&lt;=D14,"CUMPLE","AUMENTAR SECCION")</f>
        <v>CUMPLE</v>
      </c>
      <c r="E15" s="13" t="str">
        <f>IF(E12&lt;=E14,"CUMPLE","AUMENTAR SECCION")</f>
        <v>CUMPLE</v>
      </c>
      <c r="F15" s="13" t="str">
        <f>IF(F12&lt;=F14,"CUMPLE","AUMENTAR SECCION")</f>
        <v>CUMPLE</v>
      </c>
    </row>
    <row r="16">
      <c r="A16" s="8" t="inlineStr">
        <is>
          <t>Lu [m] (altura libre)</t>
        </is>
      </c>
      <c r="C16" s="9" t="n">
        <v>3.1</v>
      </c>
      <c r="D16" s="9" t="n">
        <v>3.1</v>
      </c>
      <c r="E16" s="9" t="n">
        <v>3.1</v>
      </c>
      <c r="F16" s="9" t="n">
        <v>3.1</v>
      </c>
    </row>
    <row r="17">
      <c r="A17" s="8" t="inlineStr">
        <is>
          <t>k (factor de longitud)</t>
        </is>
      </c>
      <c r="C17" s="14" t="n">
        <v>1</v>
      </c>
      <c r="D17" s="14" t="n">
        <v>1</v>
      </c>
      <c r="E17" s="14" t="n">
        <v>1</v>
      </c>
      <c r="F17" s="14" t="n">
        <v>1</v>
      </c>
    </row>
    <row r="18">
      <c r="A18" s="8" t="inlineStr">
        <is>
          <t>r = 0.3·h [m]</t>
        </is>
      </c>
      <c r="C18" s="12">
        <f>0.3*C5</f>
        <v>0.09</v>
      </c>
      <c r="D18" s="12">
        <f>0.3*D5</f>
        <v>0.135</v>
      </c>
      <c r="E18" s="12">
        <f>0.3*E5</f>
        <v>0.15</v>
      </c>
      <c r="F18" s="12">
        <f>0.3*F5</f>
        <v>0.12</v>
      </c>
    </row>
    <row r="19">
      <c r="A19" s="8" t="inlineStr">
        <is>
          <t>Esbeltez k·Lu/r</t>
        </is>
      </c>
      <c r="C19" s="15">
        <f>C17*C16/C18</f>
        <v>34.44444444</v>
      </c>
      <c r="D19" s="15">
        <f>D17*D16/D18</f>
        <v>22.96296296</v>
      </c>
      <c r="E19" s="15">
        <f>E17*E16/E18</f>
        <v>20.66666667</v>
      </c>
      <c r="F19" s="15">
        <f>F17*F16/F18</f>
        <v>25.83333333</v>
      </c>
    </row>
    <row r="20">
      <c r="A20" s="8" t="inlineStr">
        <is>
          <t>Columna corta (≤22)?</t>
        </is>
      </c>
      <c r="C20" s="13" t="str">
        <f>IF(C19&lt;=22,"CORTA (sin magnificar)","ESBELTA (magnificar)")</f>
        <v>ESBELTA (magnificar)</v>
      </c>
      <c r="D20" s="13" t="str">
        <f>IF(D19&lt;=22,"CORTA (sin magnificar)","ESBELTA (magnificar)")</f>
        <v>ESBELTA (magnificar)</v>
      </c>
      <c r="E20" s="13" t="str">
        <f>IF(E19&lt;=22,"CORTA (sin magnificar)","ESBELTA (magnificar)")</f>
        <v>CORTA (sin magnificar)</v>
      </c>
      <c r="F20" s="13" t="str">
        <f>IF(F19&lt;=22,"CORTA (sin magnificar)","ESBELTA (magnificar)")</f>
        <v>ESBELTA (magnificar)</v>
      </c>
    </row>
    <row r="21">
      <c r="A21" s="8" t="inlineStr">
        <is>
          <t>MAGNIFICACION DE MOMENTOS (esbeltez)</t>
        </is>
      </c>
    </row>
    <row r="22">
      <c r="A22" s="8" t="inlineStr">
        <is>
          <t>Ec = 4700√f'c [MPa]</t>
        </is>
      </c>
      <c r="C22" s="11">
        <f>4700*SQRT(28.0)</f>
        <v>24870.06232</v>
      </c>
      <c r="D22" s="11">
        <f>4700*SQRT(28.0)</f>
        <v>24870.06232</v>
      </c>
      <c r="E22" s="11">
        <f>4700*SQRT(28.0)</f>
        <v>24870.06232</v>
      </c>
      <c r="F22" s="11">
        <f>4700*SQRT(28.0)</f>
        <v>24870.06232</v>
      </c>
    </row>
    <row r="23">
      <c r="A23" s="8" t="inlineStr">
        <is>
          <t>Ig = b·h³/12 [mm⁴]</t>
        </is>
      </c>
      <c r="C23" s="11">
        <f>C4*1000*(C5*1000)^3/12</f>
        <v>787500000</v>
      </c>
      <c r="D23" s="11">
        <f>D4*1000*(D5*1000)^3/12</f>
        <v>3796875000</v>
      </c>
      <c r="E23" s="11">
        <f>E4*1000*(E5*1000)^3/12</f>
        <v>5729166667</v>
      </c>
      <c r="F23" s="11">
        <f>F4*1000*(F5*1000)^3/12</f>
        <v>2400000000</v>
      </c>
    </row>
    <row r="24">
      <c r="A24" s="8" t="inlineStr">
        <is>
          <t>EI = 0.4·Ec·Ig/(1+βdns) [N·mm²], βdns=0.6</t>
        </is>
      </c>
      <c r="C24" s="11">
        <f>0.4*C22*C23/(1+0.6)</f>
        <v>4.89629352e+12</v>
      </c>
      <c r="D24" s="11">
        <f>0.4*D22*D23/(1+0.6)</f>
        <v>2.360712947e+13</v>
      </c>
      <c r="E24" s="11">
        <f>0.4*E22*E23/(1+0.6)</f>
        <v>3.562118302e+13</v>
      </c>
      <c r="F24" s="11">
        <f>0.4*F22*F23/(1+0.6)</f>
        <v>1.492203739e+13</v>
      </c>
    </row>
    <row r="25">
      <c r="A25" s="8" t="inlineStr">
        <is>
          <t>Pc = π²·EI/(k·Lu)² [kN]</t>
        </is>
      </c>
      <c r="C25" s="11">
        <f>PI()^2*C24/((C17*C16*1000)^2)/1000</f>
        <v>5028.561922</v>
      </c>
      <c r="D25" s="11">
        <f>PI()^2*D24/((D17*D16*1000)^2)/1000</f>
        <v>24244.85213</v>
      </c>
      <c r="E25" s="11">
        <f>PI()^2*E24/((E17*E16*1000)^2)/1000</f>
        <v>36583.45314</v>
      </c>
      <c r="F25" s="11">
        <f>PI()^2*F24/((F17*F16*1000)^2)/1000</f>
        <v>15325.1411</v>
      </c>
    </row>
    <row r="26">
      <c r="A26" s="8" t="inlineStr">
        <is>
          <t>δns = Cm/(1−Pu/0.75Pc) ≥ 1  (Cm=1)</t>
        </is>
      </c>
      <c r="C26" s="16">
        <f>MAX(1/(1-C12/(0.75*C25)),1)</f>
        <v>1.149886208</v>
      </c>
      <c r="D26" s="16">
        <f>MAX(1/(1-D12/(0.75*D25)),1)</f>
        <v>1.08928818</v>
      </c>
      <c r="E26" s="16">
        <f>MAX(1/(1-E12/(0.75*E25)),1)</f>
        <v>1.104302126</v>
      </c>
      <c r="F26" s="16">
        <f>MAX(1/(1-F12/(0.75*F25)),1)</f>
        <v>1.083431084</v>
      </c>
    </row>
    <row r="27">
      <c r="A27" s="8" t="inlineStr">
        <is>
          <t>Mc = δns·Mux [kN.m]</t>
        </is>
      </c>
      <c r="C27" s="11">
        <f>C26*C13</f>
        <v>100.1550887</v>
      </c>
      <c r="D27" s="11">
        <f>D26*D13</f>
        <v>253.4773594</v>
      </c>
      <c r="E27" s="11">
        <f>E26*E13</f>
        <v>258.7379882</v>
      </c>
      <c r="F27" s="11">
        <f>F26*F13</f>
        <v>132.6119647</v>
      </c>
    </row>
    <row r="28">
      <c r="A28" s="8" t="inlineStr">
        <is>
          <t>VERIFICACION FLEXO-COMPRESION (diagrama P-M)</t>
        </is>
      </c>
    </row>
    <row r="29">
      <c r="A29" s="8" t="inlineStr">
        <is>
          <t>Mcap @ Pu [kN.m] (leido del diagrama)</t>
        </is>
      </c>
      <c r="C29" s="17" t="n">
        <v>113.4</v>
      </c>
      <c r="D29" s="17" t="n">
        <v>275.7</v>
      </c>
      <c r="E29" s="17" t="n">
        <v>341.8</v>
      </c>
      <c r="F29" s="17" t="n">
        <v>219.9</v>
      </c>
    </row>
    <row r="30">
      <c r="A30" s="8" t="inlineStr">
        <is>
          <t>Mc ≤ Mcap ?</t>
        </is>
      </c>
      <c r="C30" s="13" t="str">
        <f>IF(C27&lt;=C29,"CUMPLE","REVISAR")</f>
        <v>CUMPLE</v>
      </c>
      <c r="D30" s="13" t="str">
        <f>IF(D27&lt;=D29,"CUMPLE","REVISAR")</f>
        <v>CUMPLE</v>
      </c>
      <c r="E30" s="13" t="str">
        <f>IF(E27&lt;=E29,"CUMPLE","REVISAR")</f>
        <v>CUMPLE</v>
      </c>
      <c r="F30" s="13" t="str">
        <f>IF(F27&lt;=F29,"CUMPLE","REVISAR")</f>
        <v>CUMPLE</v>
      </c>
    </row>
    <row r="31">
      <c r="A31" s="8" t="inlineStr">
        <is>
          <t>CONFINAMIENTO (DMO C.21)</t>
        </is>
      </c>
    </row>
    <row r="32">
      <c r="A32" s="8" t="inlineStr">
        <is>
          <t>Lo confinamiento [mm] = max(h; Lu/6; 450)</t>
        </is>
      </c>
      <c r="C32" s="11">
        <f>MAX(C5*1000,C16*1000/6,450)</f>
        <v>516.6666667</v>
      </c>
      <c r="D32" s="11">
        <f>MAX(D5*1000,D16*1000/6,450)</f>
        <v>516.6666667</v>
      </c>
      <c r="E32" s="11">
        <f>MAX(E5*1000,E16*1000/6,450)</f>
        <v>516.6666667</v>
      </c>
      <c r="F32" s="11">
        <f>MAX(F5*1000,F16*1000/6,450)</f>
        <v>516.6666667</v>
      </c>
    </row>
    <row r="33">
      <c r="A33" s="8" t="inlineStr">
        <is>
          <t>s en Lo [mm] = min(6·db_long;150)</t>
        </is>
      </c>
      <c r="C33" s="11">
        <f>MIN(6*19.1,150)</f>
        <v>114.6</v>
      </c>
      <c r="D33" s="11">
        <f>MIN(6*19.1,150)</f>
        <v>114.6</v>
      </c>
      <c r="E33" s="11">
        <f>MIN(6*19.1,150)</f>
        <v>114.6</v>
      </c>
      <c r="F33" s="11">
        <f>MIN(6*19.1,150)</f>
        <v>114.6</v>
      </c>
    </row>
    <row r="34">
      <c r="A34" s="8" t="inlineStr">
        <is>
          <t>s resto [mm] = min(16db_long;48db_estr;menor lado)</t>
        </is>
      </c>
      <c r="C34" s="11">
        <f>MIN(16*19.1,48*9.5,MIN(C4,C5)*1000)</f>
        <v>300</v>
      </c>
      <c r="D34" s="11">
        <f>MIN(16*19.1,48*9.5,MIN(D4,D5)*1000)</f>
        <v>305.6</v>
      </c>
      <c r="E34" s="11">
        <f>MIN(16*19.1,48*9.5,MIN(E4,E5)*1000)</f>
        <v>305.6</v>
      </c>
      <c r="F34" s="11">
        <f>MIN(16*19.1,48*9.5,MIN(F4,F5)*1000)</f>
        <v>305.6</v>
      </c>
    </row>
    <row r="36">
      <c r="A36" s="18" t="inlineStr">
        <is>
          <t>Muy(M2)=0 en el modelo -&gt; diseno uniaxial (P+M3). El diagrama P-M de cada tipo esta en la hoja 'Interaccion'. Mc es el momento magnificado por esbeltez; se verifica Mc ≤ Mcap. Refuerzo: estribos Nº3.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5" max="5"/>
    <col width="13" customWidth="1" min="6" max="6"/>
    <col width="13" customWidth="1" min="9" max="9"/>
    <col width="13" customWidth="1" min="10" max="10"/>
    <col width="13" customWidth="1" min="13" max="13"/>
    <col width="13" customWidth="1" min="14" max="14"/>
  </cols>
  <sheetData>
    <row r="1">
      <c r="A1" s="6" t="inlineStr">
        <is>
          <t>DIAGRAMAS DE INTERACCION P-M (phi·Pn vs phi·Mn) POR TIPO</t>
        </is>
      </c>
    </row>
    <row r="2">
      <c r="A2" s="19" t="inlineStr">
        <is>
          <t>C1  (0.35x0.3)  10#6</t>
        </is>
      </c>
      <c r="E2" s="19" t="inlineStr">
        <is>
          <t>C2  (0.5x0.45)  8#6</t>
        </is>
      </c>
      <c r="I2" s="19" t="inlineStr">
        <is>
          <t>C3  (0.55x0.5)  10#6</t>
        </is>
      </c>
      <c r="M2" s="19" t="inlineStr">
        <is>
          <t>C4  (0.45x0.4)  8#6</t>
        </is>
      </c>
    </row>
    <row r="3">
      <c r="A3" s="2" t="inlineStr">
        <is>
          <t>phi·Mn [kN.m]</t>
        </is>
      </c>
      <c r="B3" s="2" t="inlineStr">
        <is>
          <t>phi·Pn [kN]</t>
        </is>
      </c>
      <c r="E3" s="2" t="inlineStr">
        <is>
          <t>phi·Mn [kN.m]</t>
        </is>
      </c>
      <c r="F3" s="2" t="inlineStr">
        <is>
          <t>phi·Pn [kN]</t>
        </is>
      </c>
      <c r="I3" s="2" t="inlineStr">
        <is>
          <t>phi·Mn [kN.m]</t>
        </is>
      </c>
      <c r="J3" s="2" t="inlineStr">
        <is>
          <t>phi·Pn [kN]</t>
        </is>
      </c>
      <c r="M3" s="2" t="inlineStr">
        <is>
          <t>phi·Mn [kN.m]</t>
        </is>
      </c>
      <c r="N3" s="2" t="inlineStr">
        <is>
          <t>phi·Pn [kN]</t>
        </is>
      </c>
    </row>
    <row r="4">
      <c r="A4" s="15" t="n">
        <v>21.4</v>
      </c>
      <c r="B4" s="15" t="n">
        <v>-920.6</v>
      </c>
      <c r="E4" s="15" t="n">
        <v>73.3</v>
      </c>
      <c r="F4" s="15" t="n">
        <v>-503.6</v>
      </c>
      <c r="I4" s="15" t="n">
        <v>119.5</v>
      </c>
      <c r="J4" s="15" t="n">
        <v>-535.7</v>
      </c>
      <c r="M4" s="15" t="n">
        <v>48.9</v>
      </c>
      <c r="N4" s="15" t="n">
        <v>-596.6</v>
      </c>
    </row>
    <row r="5">
      <c r="A5" s="15" t="n">
        <v>34.2</v>
      </c>
      <c r="B5" s="15" t="n">
        <v>-807.5</v>
      </c>
      <c r="E5" s="15" t="n">
        <v>145.6</v>
      </c>
      <c r="F5" s="15" t="n">
        <v>-88.2</v>
      </c>
      <c r="I5" s="15" t="n">
        <v>218.7</v>
      </c>
      <c r="J5" s="15" t="n">
        <v>-33.6</v>
      </c>
      <c r="M5" s="15" t="n">
        <v>101.1</v>
      </c>
      <c r="N5" s="15" t="n">
        <v>-249.4</v>
      </c>
    </row>
    <row r="6">
      <c r="A6" s="15" t="n">
        <v>65.90000000000001</v>
      </c>
      <c r="B6" s="15" t="n">
        <v>-479.5</v>
      </c>
      <c r="E6" s="15" t="n">
        <v>191.6</v>
      </c>
      <c r="F6" s="15" t="n">
        <v>183.2</v>
      </c>
      <c r="I6" s="15" t="n">
        <v>281.1</v>
      </c>
      <c r="J6" s="15" t="n">
        <v>293.3</v>
      </c>
      <c r="M6" s="15" t="n">
        <v>141</v>
      </c>
      <c r="N6" s="15" t="n">
        <v>23.2</v>
      </c>
    </row>
    <row r="7">
      <c r="A7" s="15" t="n">
        <v>87.5</v>
      </c>
      <c r="B7" s="15" t="n">
        <v>-252.1</v>
      </c>
      <c r="E7" s="15" t="n">
        <v>229.7</v>
      </c>
      <c r="F7" s="15" t="n">
        <v>422.5</v>
      </c>
      <c r="I7" s="15" t="n">
        <v>333.1</v>
      </c>
      <c r="J7" s="15" t="n">
        <v>584.1</v>
      </c>
      <c r="M7" s="15" t="n">
        <v>168.6</v>
      </c>
      <c r="N7" s="15" t="n">
        <v>220.9</v>
      </c>
    </row>
    <row r="8">
      <c r="A8" s="15" t="n">
        <v>105.2</v>
      </c>
      <c r="B8" s="15" t="n">
        <v>-60.1</v>
      </c>
      <c r="E8" s="15" t="n">
        <v>268.2</v>
      </c>
      <c r="F8" s="15" t="n">
        <v>687.7</v>
      </c>
      <c r="I8" s="15" t="n">
        <v>385.6</v>
      </c>
      <c r="J8" s="15" t="n">
        <v>906.9</v>
      </c>
      <c r="M8" s="15" t="n">
        <v>198.4</v>
      </c>
      <c r="N8" s="15" t="n">
        <v>452.7</v>
      </c>
    </row>
    <row r="9">
      <c r="A9" s="15" t="n">
        <v>120.1</v>
      </c>
      <c r="B9" s="15" t="n">
        <v>126.3</v>
      </c>
      <c r="E9" s="15" t="n">
        <v>299.4</v>
      </c>
      <c r="F9" s="15" t="n">
        <v>943</v>
      </c>
      <c r="I9" s="15" t="n">
        <v>428.1</v>
      </c>
      <c r="J9" s="15" t="n">
        <v>1215.8</v>
      </c>
      <c r="M9" s="15" t="n">
        <v>222.3</v>
      </c>
      <c r="N9" s="15" t="n">
        <v>672.1</v>
      </c>
    </row>
    <row r="10">
      <c r="A10" s="15" t="n">
        <v>115.1</v>
      </c>
      <c r="B10" s="15" t="n">
        <v>446</v>
      </c>
      <c r="E10" s="15" t="n">
        <v>297.6</v>
      </c>
      <c r="F10" s="15" t="n">
        <v>1320.4</v>
      </c>
      <c r="I10" s="15" t="n">
        <v>427</v>
      </c>
      <c r="J10" s="15" t="n">
        <v>1657.7</v>
      </c>
      <c r="M10" s="15" t="n">
        <v>218.6</v>
      </c>
      <c r="N10" s="15" t="n">
        <v>1008</v>
      </c>
    </row>
    <row r="11">
      <c r="A11" s="15" t="n">
        <v>106.8</v>
      </c>
      <c r="B11" s="15" t="n">
        <v>672.8</v>
      </c>
      <c r="E11" s="15" t="n">
        <v>273.7</v>
      </c>
      <c r="F11" s="15" t="n">
        <v>1506.1</v>
      </c>
      <c r="I11" s="15" t="n">
        <v>389</v>
      </c>
      <c r="J11" s="15" t="n">
        <v>1857.4</v>
      </c>
      <c r="M11" s="15" t="n">
        <v>202.7</v>
      </c>
      <c r="N11" s="15" t="n">
        <v>1187.4</v>
      </c>
    </row>
    <row r="12">
      <c r="A12" s="15" t="n">
        <v>100</v>
      </c>
      <c r="B12" s="15" t="n">
        <v>986.7</v>
      </c>
      <c r="E12" s="15" t="n">
        <v>256.8</v>
      </c>
      <c r="F12" s="15" t="n">
        <v>1873.9</v>
      </c>
      <c r="I12" s="15" t="n">
        <v>361.4</v>
      </c>
      <c r="J12" s="15" t="n">
        <v>2282.2</v>
      </c>
      <c r="M12" s="15" t="n">
        <v>189.8</v>
      </c>
      <c r="N12" s="15" t="n">
        <v>1527.9</v>
      </c>
    </row>
    <row r="13">
      <c r="A13" s="15" t="n">
        <v>85.8</v>
      </c>
      <c r="B13" s="15" t="n">
        <v>1361.7</v>
      </c>
      <c r="E13" s="15" t="n">
        <v>226.1</v>
      </c>
      <c r="F13" s="15" t="n">
        <v>2450.8</v>
      </c>
      <c r="I13" s="15" t="n">
        <v>316.5</v>
      </c>
      <c r="J13" s="15" t="n">
        <v>2991.8</v>
      </c>
      <c r="M13" s="15" t="n">
        <v>166</v>
      </c>
      <c r="N13" s="15" t="n">
        <v>2014.3</v>
      </c>
    </row>
    <row r="14">
      <c r="A14" s="15" t="n">
        <v>66.09999999999999</v>
      </c>
      <c r="B14" s="15" t="n">
        <v>1672.5</v>
      </c>
      <c r="E14" s="15" t="n">
        <v>175.3</v>
      </c>
      <c r="F14" s="15" t="n">
        <v>2983.4</v>
      </c>
      <c r="I14" s="15" t="n">
        <v>245.4</v>
      </c>
      <c r="J14" s="15" t="n">
        <v>3645.6</v>
      </c>
      <c r="M14" s="15" t="n">
        <v>128.6</v>
      </c>
      <c r="N14" s="15" t="n">
        <v>2456.9</v>
      </c>
    </row>
    <row r="15">
      <c r="A15" s="15" t="n">
        <v>32.1</v>
      </c>
      <c r="B15" s="15" t="n">
        <v>1884.6</v>
      </c>
      <c r="E15" s="15" t="n">
        <v>74.59999999999999</v>
      </c>
      <c r="F15" s="15" t="n">
        <v>3252.7</v>
      </c>
      <c r="I15" s="15" t="n">
        <v>107.1</v>
      </c>
      <c r="J15" s="15" t="n">
        <v>3988.5</v>
      </c>
      <c r="M15" s="15" t="n">
        <v>56.1</v>
      </c>
      <c r="N15" s="15" t="n">
        <v>2695.8</v>
      </c>
    </row>
    <row r="16">
      <c r="A16" s="15" t="n">
        <v>11</v>
      </c>
      <c r="B16" s="15" t="n">
        <v>1884.6</v>
      </c>
      <c r="E16" s="15" t="n">
        <v>17.7</v>
      </c>
      <c r="F16" s="15" t="n">
        <v>3252.7</v>
      </c>
      <c r="I16" s="15" t="n">
        <v>27.9</v>
      </c>
      <c r="J16" s="15" t="n">
        <v>3988.5</v>
      </c>
      <c r="M16" s="15" t="n">
        <v>14.5</v>
      </c>
      <c r="N16" s="15" t="n">
        <v>2695.8</v>
      </c>
    </row>
    <row r="17">
      <c r="A17" s="15" t="n">
        <v>4.1</v>
      </c>
      <c r="B17" s="15" t="n">
        <v>1884.6</v>
      </c>
      <c r="E17" s="15" t="n">
        <v>7.4</v>
      </c>
      <c r="F17" s="15" t="n">
        <v>3252.7</v>
      </c>
      <c r="I17" s="15" t="n">
        <v>11.9</v>
      </c>
      <c r="J17" s="15" t="n">
        <v>3988.5</v>
      </c>
      <c r="M17" s="15" t="n">
        <v>5.9</v>
      </c>
      <c r="N17" s="15" t="n">
        <v>2695.8</v>
      </c>
    </row>
    <row r="18">
      <c r="A18" s="15" t="n">
        <v>0</v>
      </c>
      <c r="B18" s="15" t="n">
        <v>1884.6</v>
      </c>
      <c r="E18" s="15" t="n">
        <v>0</v>
      </c>
      <c r="F18" s="15" t="n">
        <v>3252.7</v>
      </c>
      <c r="I18" s="15" t="n">
        <v>0</v>
      </c>
      <c r="J18" s="15" t="n">
        <v>3988.5</v>
      </c>
      <c r="M18" s="15" t="n">
        <v>0</v>
      </c>
      <c r="N18" s="15" t="n">
        <v>2695.8</v>
      </c>
    </row>
    <row r="20">
      <c r="A20" s="19" t="inlineStr">
        <is>
          <t>Demanda (Mc, Pu):</t>
        </is>
      </c>
      <c r="E20" s="19" t="inlineStr">
        <is>
          <t>Demanda (Mc, Pu):</t>
        </is>
      </c>
      <c r="I20" s="19" t="inlineStr">
        <is>
          <t>Demanda (Mc, Pu):</t>
        </is>
      </c>
      <c r="M20" s="19" t="inlineStr">
        <is>
          <t>Demanda (Mc, Pu):</t>
        </is>
      </c>
    </row>
    <row r="21">
      <c r="A21" s="20" t="n">
        <v>100.2</v>
      </c>
      <c r="B21" s="20" t="n">
        <v>491.6</v>
      </c>
      <c r="E21" s="20" t="n">
        <v>253.5</v>
      </c>
      <c r="F21" s="20" t="n">
        <v>1490.5</v>
      </c>
      <c r="I21" s="20" t="n">
        <v>258.7</v>
      </c>
      <c r="J21" s="20" t="n">
        <v>2591.5</v>
      </c>
      <c r="M21" s="20" t="n">
        <v>132.6</v>
      </c>
      <c r="N21" s="20" t="n">
        <v>885.1</v>
      </c>
    </row>
    <row r="24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2026-07-16T16:38:13Z</dcterms:created>
  <dcterms:modified xmlns:dcterms="http://purl.org/dc/terms/" xmlns:xsi="http://www.w3.org/2001/XMLSchema-instance" xsi:type="dcterms:W3CDTF">2026-07-16T16:38:13Z</dcterms:modified>
</cp:coreProperties>
</file>