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a de V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###"/>
    <numFmt numFmtId="165" formatCode="0.0"/>
    <numFmt numFmtId="166" formatCode="0.000"/>
  </numFmts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555555"/>
      <sz val="9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1F4E78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9DA9BB"/>
      </left>
      <right style="thin">
        <color rgb="009DA9BB"/>
      </right>
      <top style="thin">
        <color rgb="009DA9BB"/>
      </top>
      <bottom style="thin">
        <color rgb="009DA9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164" fontId="3" fillId="2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CARGA DE VIENTO - NSR-10 Titulo B (B.6.5, procedimiento analitico / MWFRS)</t>
        </is>
      </c>
    </row>
    <row r="2">
      <c r="A2" s="2" t="inlineStr">
        <is>
          <t>Edificio residencial - Santa Marta (Grupo 6). qz = 0.613·Kz·Kzt·Kd·V²·I  [N/m²];  presion p = q·G·Cp.</t>
        </is>
      </c>
    </row>
    <row r="4">
      <c r="A4" s="3" t="inlineStr">
        <is>
          <t>PARAMETROS (editables)</t>
        </is>
      </c>
    </row>
    <row r="5">
      <c r="A5" s="3" t="inlineStr">
        <is>
          <t>Velocidad basica del viento V [m/s] (Fig. B.6.4-1)</t>
        </is>
      </c>
      <c r="B5" s="4" t="n">
        <v>36</v>
      </c>
    </row>
    <row r="6">
      <c r="A6" s="3" t="inlineStr">
        <is>
          <t>Factor de direccionalidad Kd (Tabla B.6.5-4)</t>
        </is>
      </c>
      <c r="B6" s="4" t="n">
        <v>0.85</v>
      </c>
    </row>
    <row r="7">
      <c r="A7" s="3" t="inlineStr">
        <is>
          <t>Factor topografico Kzt (B.6.5.7)</t>
        </is>
      </c>
      <c r="B7" s="4" t="n">
        <v>1</v>
      </c>
    </row>
    <row r="8">
      <c r="A8" s="3" t="inlineStr">
        <is>
          <t>Factor de importancia I (Tabla B.6.5-1)</t>
        </is>
      </c>
      <c r="B8" s="4" t="n">
        <v>1</v>
      </c>
    </row>
    <row r="9">
      <c r="A9" s="3" t="inlineStr">
        <is>
          <t>Factor de rafaga G (B.6.5.8, rigido)</t>
        </is>
      </c>
      <c r="B9" s="4" t="n">
        <v>0.85</v>
      </c>
    </row>
    <row r="10">
      <c r="A10" s="3" t="inlineStr">
        <is>
          <t>Cp barlovento (Fig. B.6.5-6)</t>
        </is>
      </c>
      <c r="B10" s="4" t="n">
        <v>0.8</v>
      </c>
    </row>
    <row r="11">
      <c r="A11" s="3" t="inlineStr">
        <is>
          <t>Exposicion: alfa (Tabla B.6.5-2, Exp C)</t>
        </is>
      </c>
      <c r="B11" s="4" t="n">
        <v>9.5</v>
      </c>
    </row>
    <row r="12">
      <c r="A12" s="3" t="inlineStr">
        <is>
          <t>Exposicion: zg [m] (Tabla B.6.5-2, Exp C)</t>
        </is>
      </c>
      <c r="B12" s="4" t="n">
        <v>274.32</v>
      </c>
    </row>
    <row r="13">
      <c r="A13" s="3" t="inlineStr">
        <is>
          <t>Cp sotavento - viento en X  (L/B=0.43)</t>
        </is>
      </c>
      <c r="B13" s="4" t="n">
        <v>0.5</v>
      </c>
    </row>
    <row r="14">
      <c r="A14" s="3" t="inlineStr">
        <is>
          <t>Cp sotavento - viento en Y  (L/B=2.34)</t>
        </is>
      </c>
      <c r="B14" s="4" t="n">
        <v>0.283</v>
      </c>
    </row>
    <row r="15">
      <c r="A15" s="3" t="inlineStr">
        <is>
          <t>Ancho fachada, viento en X  Bx [m]</t>
        </is>
      </c>
      <c r="B15" s="4" t="n">
        <v>36.2</v>
      </c>
    </row>
    <row r="16">
      <c r="A16" s="3" t="inlineStr">
        <is>
          <t>Ancho fachada, viento en Y  By [m]</t>
        </is>
      </c>
      <c r="B16" s="4" t="n">
        <v>15.5</v>
      </c>
    </row>
    <row r="18">
      <c r="A18" s="3" t="inlineStr">
        <is>
          <t>qh (presion a la altura de cubierta, z=15.5 m) [N/m2]</t>
        </is>
      </c>
      <c r="B18" s="5">
        <f>0.613*2.01*(MAX(B12*0+15.5,4.6)/B12)^(2/B11)*B7*B6*B5^2*B8</f>
        <v>741.2406763</v>
      </c>
    </row>
    <row r="20">
      <c r="A20" s="6" t="inlineStr">
        <is>
          <t>Nivel</t>
        </is>
      </c>
      <c r="B20" s="6" t="inlineStr">
        <is>
          <t>z [m]</t>
        </is>
      </c>
      <c r="C20" s="6" t="inlineStr">
        <is>
          <t>Kz</t>
        </is>
      </c>
      <c r="D20" s="6" t="inlineStr">
        <is>
          <t>qz [N/m2]</t>
        </is>
      </c>
      <c r="E20" s="6" t="inlineStr">
        <is>
          <t>pw=qz·G·Cp [N/m2]</t>
        </is>
      </c>
      <c r="F20" s="6" t="inlineStr">
        <is>
          <t>Trib [m]</t>
        </is>
      </c>
      <c r="G20" s="6" t="inlineStr">
        <is>
          <t>Sotav.X [N/m2]</t>
        </is>
      </c>
      <c r="H20" s="6" t="inlineStr">
        <is>
          <t>Neto X [N/m2]</t>
        </is>
      </c>
      <c r="I20" s="6" t="inlineStr">
        <is>
          <t>Fx [kN]</t>
        </is>
      </c>
      <c r="J20" s="6" t="inlineStr">
        <is>
          <t>Sotav.Y [N/m2]</t>
        </is>
      </c>
      <c r="K20" s="6" t="inlineStr">
        <is>
          <t>Neto Y [N/m2]</t>
        </is>
      </c>
      <c r="L20" s="6" t="inlineStr">
        <is>
          <t>Fy [kN]</t>
        </is>
      </c>
    </row>
    <row r="21">
      <c r="A21" s="7" t="n">
        <v>1</v>
      </c>
      <c r="B21" s="8" t="n">
        <v>3.5</v>
      </c>
      <c r="C21" s="9">
        <f>2.01*(MAX(B21*0+3.5,4.6)/$B$12)^(2/$B$11)</f>
        <v>0.8499759928</v>
      </c>
      <c r="D21" s="10">
        <f>0.613*C21*$B$7*$B$6*$B$5^2*$B$8</f>
        <v>573.9724684</v>
      </c>
      <c r="E21" s="10">
        <f>D21*$B$9*$B$10</f>
        <v>390.3012785</v>
      </c>
      <c r="F21" s="8" t="n">
        <v>3.25</v>
      </c>
      <c r="G21" s="10">
        <f>$B$18*$B$9*$B$13</f>
        <v>315.0272874</v>
      </c>
      <c r="H21" s="10">
        <f>E21+G21</f>
        <v>705.3285659</v>
      </c>
      <c r="I21" s="11">
        <f>H21*$B$15*F21/1000</f>
        <v>82.98190578</v>
      </c>
      <c r="J21" s="10">
        <f>$B$18*$B$9*$B$14</f>
        <v>178.3054447</v>
      </c>
      <c r="K21" s="10">
        <f>E21+J21</f>
        <v>568.6067232</v>
      </c>
      <c r="L21" s="11">
        <f>K21*$B$16*F21/1000</f>
        <v>28.64356368</v>
      </c>
    </row>
    <row r="22">
      <c r="A22" s="7" t="n">
        <v>2</v>
      </c>
      <c r="B22" s="8" t="n">
        <v>6.5</v>
      </c>
      <c r="C22" s="9">
        <f>2.01*(MAX(B22*0+6.5,4.6)/$B$12)^(2/$B$11)</f>
        <v>0.9141518635</v>
      </c>
      <c r="D22" s="10">
        <f>0.613*C22*$B$7*$B$6*$B$5^2*$B$8</f>
        <v>617.3092017</v>
      </c>
      <c r="E22" s="10">
        <f>D22*$B$9*$B$10</f>
        <v>419.7702572</v>
      </c>
      <c r="F22" s="8" t="n">
        <v>3</v>
      </c>
      <c r="G22" s="10">
        <f>$B$18*$B$9*$B$13</f>
        <v>315.0272874</v>
      </c>
      <c r="H22" s="10">
        <f>E22+G22</f>
        <v>734.7975446</v>
      </c>
      <c r="I22" s="11">
        <f>H22*$B$15*F22/1000</f>
        <v>79.79901334</v>
      </c>
      <c r="J22" s="10">
        <f>$B$18*$B$9*$B$14</f>
        <v>178.3054447</v>
      </c>
      <c r="K22" s="10">
        <f>E22+J22</f>
        <v>598.0757018</v>
      </c>
      <c r="L22" s="11">
        <f>K22*$B$16*F22/1000</f>
        <v>27.81052014</v>
      </c>
    </row>
    <row r="23">
      <c r="A23" s="7" t="n">
        <v>3</v>
      </c>
      <c r="B23" s="8" t="n">
        <v>9.5</v>
      </c>
      <c r="C23" s="9">
        <f>2.01*(MAX(B23*0+9.5,4.6)/$B$12)^(2/$B$11)</f>
        <v>0.9901824927</v>
      </c>
      <c r="D23" s="10">
        <f>0.613*C23*$B$7*$B$6*$B$5^2*$B$8</f>
        <v>668.6512258</v>
      </c>
      <c r="E23" s="10">
        <f>D23*$B$9*$B$10</f>
        <v>454.6828336</v>
      </c>
      <c r="F23" s="8" t="n">
        <v>3</v>
      </c>
      <c r="G23" s="10">
        <f>$B$18*$B$9*$B$13</f>
        <v>315.0272874</v>
      </c>
      <c r="H23" s="10">
        <f>E23+G23</f>
        <v>769.710121</v>
      </c>
      <c r="I23" s="11">
        <f>H23*$B$15*F23/1000</f>
        <v>83.59051914</v>
      </c>
      <c r="J23" s="10">
        <f>$B$18*$B$9*$B$14</f>
        <v>178.3054447</v>
      </c>
      <c r="K23" s="10">
        <f>E23+J23</f>
        <v>632.9882782</v>
      </c>
      <c r="L23" s="11">
        <f>K23*$B$16*F23/1000</f>
        <v>29.43395494</v>
      </c>
    </row>
    <row r="24">
      <c r="A24" s="7" t="n">
        <v>4</v>
      </c>
      <c r="B24" s="8" t="n">
        <v>12.5</v>
      </c>
      <c r="C24" s="9">
        <f>2.01*(MAX(B24*0+12.5,4.6)/$B$12)^(2/$B$11)</f>
        <v>1.049076403</v>
      </c>
      <c r="D24" s="10">
        <f>0.613*C24*$B$7*$B$6*$B$5^2*$B$8</f>
        <v>708.4211529</v>
      </c>
      <c r="E24" s="10">
        <f>D24*$B$9*$B$10</f>
        <v>481.726384</v>
      </c>
      <c r="F24" s="8" t="n">
        <v>3</v>
      </c>
      <c r="G24" s="10">
        <f>$B$18*$B$9*$B$13</f>
        <v>315.0272874</v>
      </c>
      <c r="H24" s="10">
        <f>E24+G24</f>
        <v>796.7536714</v>
      </c>
      <c r="I24" s="11">
        <f>H24*$B$15*F24/1000</f>
        <v>86.52744872</v>
      </c>
      <c r="J24" s="10">
        <f>$B$18*$B$9*$B$14</f>
        <v>178.3054447</v>
      </c>
      <c r="K24" s="10">
        <f>E24+J24</f>
        <v>660.0318287</v>
      </c>
      <c r="L24" s="11">
        <f>K24*$B$16*F24/1000</f>
        <v>30.69148003</v>
      </c>
    </row>
    <row r="25">
      <c r="A25" s="7" t="n">
        <v>5</v>
      </c>
      <c r="B25" s="8" t="n">
        <v>15.5</v>
      </c>
      <c r="C25" s="9">
        <f>2.01*(MAX(B25*0+15.5,4.6)/$B$12)^(2/$B$11)</f>
        <v>1.097677701</v>
      </c>
      <c r="D25" s="10">
        <f>0.613*C25*$B$7*$B$6*$B$5^2*$B$8</f>
        <v>741.2406763</v>
      </c>
      <c r="E25" s="10">
        <f>D25*$B$9*$B$10</f>
        <v>504.0436599</v>
      </c>
      <c r="F25" s="8" t="n">
        <v>1.5</v>
      </c>
      <c r="G25" s="10">
        <f>$B$18*$B$9*$B$13</f>
        <v>315.0272874</v>
      </c>
      <c r="H25" s="10">
        <f>E25+G25</f>
        <v>819.0709473</v>
      </c>
      <c r="I25" s="11">
        <f>H25*$B$15*F25/1000</f>
        <v>44.47555244</v>
      </c>
      <c r="J25" s="10">
        <f>$B$18*$B$9*$B$14</f>
        <v>178.3054447</v>
      </c>
      <c r="K25" s="10">
        <f>E25+J25</f>
        <v>682.3491046</v>
      </c>
      <c r="L25" s="11">
        <f>K25*$B$16*F25/1000</f>
        <v>15.86461668</v>
      </c>
    </row>
    <row r="26">
      <c r="A26" s="12" t="inlineStr">
        <is>
          <t>CORTANTE BASAL</t>
        </is>
      </c>
      <c r="I26" s="5">
        <f>SUM(I21:I25)</f>
        <v>377.3744394</v>
      </c>
      <c r="L26" s="5">
        <f>SUM(L21:L25)</f>
        <v>132.4441355</v>
      </c>
    </row>
    <row r="28">
      <c r="A28" s="3" t="inlineStr">
        <is>
          <t>COMPARACION CON SISMO (NSR-10)</t>
        </is>
      </c>
    </row>
    <row r="29">
      <c r="A29" s="3" t="inlineStr">
        <is>
          <t>Cortante basal por VIENTO, dir X [kN]</t>
        </is>
      </c>
      <c r="B29" s="5">
        <f>I26</f>
        <v>377.3744394</v>
      </c>
    </row>
    <row r="30">
      <c r="A30" s="3" t="inlineStr">
        <is>
          <t>Cortante basal por VIENTO, dir Y [kN]</t>
        </is>
      </c>
      <c r="B30" s="5">
        <f>L26</f>
        <v>132.4441355</v>
      </c>
    </row>
    <row r="31">
      <c r="A31" s="3" t="inlineStr">
        <is>
          <t>Cortante basal por SISMO Vs [kN] (memoria)</t>
        </is>
      </c>
      <c r="B31" s="5" t="n">
        <v>18483</v>
      </c>
    </row>
    <row r="32">
      <c r="A32" s="3" t="inlineStr">
        <is>
          <t>Relacion Viento/Sismo (dir X)</t>
        </is>
      </c>
      <c r="B32" s="5">
        <f>I26/B31</f>
        <v>0.02041738026</v>
      </c>
    </row>
    <row r="33">
      <c r="A33" s="3" t="inlineStr">
        <is>
          <t>GOBIERNA</t>
        </is>
      </c>
      <c r="B33" s="5" t="str">
        <f>IF(MAX(I26,L26)&lt;B31,"SISMO","VIENTO")</f>
        <v>SISMO</v>
      </c>
    </row>
    <row r="35">
      <c r="A35" s="2" t="inlineStr">
        <is>
          <t>Nota: V=36 m/s es valor tipico para la costa Caribe; confirmar en la Figura B.6.4-1 de la NSR-10. Exposicion C (terreno abierto); para zona urbana densa usar B. El sismo gobierna ampliamente el diseno lateral (cortante basal sismico 18 483 kN &gt;&gt; viento). Presiones en N/m2, fuerzas por nivel en kN.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2026-07-16T20:12:17Z</dcterms:created>
  <dcterms:modified xmlns:dcterms="http://purl.org/dc/terms/" xmlns:xsi="http://www.w3.org/2001/XMLSchema-instance" xsi:type="dcterms:W3CDTF">2026-07-16T20:12:17Z</dcterms:modified>
</cp:coreProperties>
</file>