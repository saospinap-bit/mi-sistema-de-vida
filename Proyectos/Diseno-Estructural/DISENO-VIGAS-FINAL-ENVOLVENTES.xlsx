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 y criterio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Vigas de Carga (7)" sheetId="3" state="visible" r:id="rId3"/>
    <sheet xmlns:r="http://schemas.openxmlformats.org/officeDocument/2006/relationships" name="Vigas de Rigidez (5)" sheetId="4" state="visible" r:id="rId4"/>
    <sheet xmlns:r="http://schemas.openxmlformats.org/officeDocument/2006/relationships" name="Todas las Vigas (592)" sheetId="5" state="visible" r:id="rId5"/>
    <sheet xmlns:r="http://schemas.openxmlformats.org/officeDocument/2006/relationships" name="Auditoria y fuentes" sheetId="6" state="visible" r:id="rId6"/>
  </sheets>
  <definedNames>
    <definedName name="_xlnm._FilterDatabase" localSheetId="2" hidden="1">'Vigas de Carga (7)'!$A$3:$AZ$10</definedName>
    <definedName name="_xlnm._FilterDatabase" localSheetId="3" hidden="1">'Vigas de Rigidez (5)'!$A$3:$AZ$8</definedName>
    <definedName name="_xlnm._FilterDatabase" localSheetId="4" hidden="1">'Todas las Vigas (592)'!$A$3:$AZ$595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E2F0D9"/>
      </patternFill>
    </fill>
    <fill>
      <patternFill patternType="solid">
        <fgColor rgb="00A5A5A5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3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DISEÑO FINAL DE VIGAS — ENVOLVENTES DE FLEXIÓN Y CORTANTE</t>
        </is>
      </c>
    </row>
    <row r="3">
      <c r="A3" s="2" t="inlineStr">
        <is>
          <t>Alcance</t>
        </is>
      </c>
      <c r="B3" s="3" t="inlineStr">
        <is>
          <t>592 vigas: 12 grupos suministrados por el equipo y diseño individual de cada frame. No incluye viguetas.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Fuente flexión</t>
        </is>
      </c>
      <c r="B4" s="3" t="inlineStr">
        <is>
          <t>ENVFLEX: M3 mínimo → Mu−; M3 máximo → Mu+; T → torsión de diseño.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Fuente cortante</t>
        </is>
      </c>
      <c r="B5" s="3" t="inlineStr">
        <is>
          <t>ENVFLEX aporta el cortante de combinaciones de diseño; ENVCORT aporta el cortante elástico no reducido.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Criterio DMO</t>
        </is>
      </c>
      <c r="B6" s="3" t="inlineStr">
        <is>
          <t>Vcap = Vu_ENVFLEX + (Mpr− + Mpr+)/Ln; Vu diseño = mín(Vu_ENVCORT; máx[Vu_ENVFLEX; Vcap]).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Agrupación</t>
        </is>
      </c>
      <c r="B7" s="3" t="inlineStr">
        <is>
          <t>Se respetan los grupos ya definidos en ENV FLEXION/ENV CORTANTE. Cada grupo usa máximos independientes y la menor longitud, de forma conservadora.</t>
        </is>
      </c>
      <c r="C7" s="4" t="n"/>
      <c r="D7" s="4" t="n"/>
      <c r="E7" s="4" t="n"/>
      <c r="F7" s="4" t="n"/>
      <c r="G7" s="4" t="n"/>
      <c r="H7" s="4" t="n"/>
    </row>
    <row r="8">
      <c r="A8" s="2" t="inlineStr">
        <is>
          <t>Secciones base</t>
        </is>
      </c>
      <c r="B8" s="3" t="inlineStr">
        <is>
          <t>VC: 0.30×0.40 m; VR: 0.35×0.40 m.</t>
        </is>
      </c>
      <c r="C8" s="4" t="n"/>
      <c r="D8" s="4" t="n"/>
      <c r="E8" s="4" t="n"/>
      <c r="F8" s="4" t="n"/>
      <c r="G8" s="4" t="n"/>
      <c r="H8" s="4" t="n"/>
    </row>
    <row r="9">
      <c r="A9" s="2" t="inlineStr">
        <is>
          <t>Cambio requerido</t>
        </is>
      </c>
      <c r="B9" s="3" t="inlineStr">
        <is>
          <t>VR3 se adopta 0.40×0.55 m. Debe actualizarse en SAP y reanalizarse antes de emitir planos finales.</t>
        </is>
      </c>
      <c r="C9" s="4" t="n"/>
      <c r="D9" s="4" t="n"/>
      <c r="E9" s="4" t="n"/>
      <c r="F9" s="4" t="n"/>
      <c r="G9" s="4" t="n"/>
      <c r="H9" s="4" t="n"/>
    </row>
    <row r="10">
      <c r="A10" s="2" t="inlineStr">
        <is>
          <t>Trazabilidad</t>
        </is>
      </c>
      <c r="B10" s="3" t="inlineStr">
        <is>
          <t>Las hojas muestran simultáneamente Mu, Vu de ambas envolventes, frames críticos, Mpr, Vcap y Vu final.</t>
        </is>
      </c>
      <c r="C10" s="4" t="n"/>
      <c r="D10" s="4" t="n"/>
      <c r="E10" s="4" t="n"/>
      <c r="F10" s="4" t="n"/>
      <c r="G10" s="4" t="n"/>
      <c r="H10" s="4" t="n"/>
    </row>
    <row r="12">
      <c r="A12" s="5" t="inlineStr">
        <is>
          <t>RESULTADOS DE CONTROL</t>
        </is>
      </c>
    </row>
    <row r="13">
      <c r="A13" s="4" t="inlineStr">
        <is>
          <t>Frames totales SAP</t>
        </is>
      </c>
      <c r="B13" s="6" t="n">
        <v>892</v>
      </c>
    </row>
    <row r="14">
      <c r="A14" s="4" t="inlineStr">
        <is>
          <t>Vigas diseñadas</t>
        </is>
      </c>
      <c r="B14" s="6" t="n">
        <v>592</v>
      </c>
    </row>
    <row r="15">
      <c r="A15" s="4" t="inlineStr">
        <is>
          <t>Columnas excluidas</t>
        </is>
      </c>
      <c r="B15" s="6" t="n">
        <v>300</v>
      </c>
    </row>
    <row r="16">
      <c r="A16" s="4" t="inlineStr">
        <is>
          <t>Grupos</t>
        </is>
      </c>
      <c r="B16" s="6" t="n">
        <v>12</v>
      </c>
    </row>
    <row r="17">
      <c r="A17" s="4" t="inlineStr">
        <is>
          <t>Grupos que cumplen</t>
        </is>
      </c>
      <c r="B17" s="7" t="n">
        <v>12</v>
      </c>
    </row>
    <row r="18">
      <c r="A18" s="4" t="inlineStr">
        <is>
          <t>Vigas que cumplen</t>
        </is>
      </c>
      <c r="B18" s="7" t="n">
        <v>592</v>
      </c>
    </row>
    <row r="19">
      <c r="A19" s="4" t="inlineStr">
        <is>
          <t>Grupos con cambio de sección</t>
        </is>
      </c>
      <c r="B19" s="6" t="n">
        <v>1</v>
      </c>
    </row>
    <row r="20">
      <c r="A20" s="4" t="inlineStr">
        <is>
          <t>Vigas con cambio de sección</t>
        </is>
      </c>
      <c r="B20" s="6" t="n">
        <v>70</v>
      </c>
    </row>
  </sheetData>
  <mergeCells count="10">
    <mergeCell ref="A12:H12"/>
    <mergeCell ref="B8:H8"/>
    <mergeCell ref="B9:H9"/>
    <mergeCell ref="B4:H4"/>
    <mergeCell ref="B6:H6"/>
    <mergeCell ref="B7:H7"/>
    <mergeCell ref="A1:H1"/>
    <mergeCell ref="B10:H10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48" customWidth="1" min="4" max="4"/>
  </cols>
  <sheetData>
    <row r="1">
      <c r="A1" s="8" t="inlineStr">
        <is>
          <t>PARÁMETROS GENERALES</t>
        </is>
      </c>
    </row>
    <row r="2">
      <c r="A2" s="9" t="inlineStr">
        <is>
          <t>f'c</t>
        </is>
      </c>
      <c r="B2" s="10" t="n">
        <v>28</v>
      </c>
      <c r="C2" s="10" t="inlineStr">
        <is>
          <t>MPa</t>
        </is>
      </c>
      <c r="D2" s="3" t="inlineStr">
        <is>
          <t>Concreto del proyecto</t>
        </is>
      </c>
    </row>
    <row r="3">
      <c r="A3" s="9" t="inlineStr">
        <is>
          <t>fy</t>
        </is>
      </c>
      <c r="B3" s="10" t="n">
        <v>420</v>
      </c>
      <c r="C3" s="10" t="inlineStr">
        <is>
          <t>MPa</t>
        </is>
      </c>
      <c r="D3" s="3" t="inlineStr">
        <is>
          <t>Acero longitudinal</t>
        </is>
      </c>
    </row>
    <row r="4">
      <c r="A4" s="9" t="inlineStr">
        <is>
          <t>fyt</t>
        </is>
      </c>
      <c r="B4" s="10" t="n">
        <v>420</v>
      </c>
      <c r="C4" s="10" t="inlineStr">
        <is>
          <t>MPa</t>
        </is>
      </c>
      <c r="D4" s="3" t="inlineStr">
        <is>
          <t>Acero transversal</t>
        </is>
      </c>
    </row>
    <row r="5">
      <c r="A5" s="9" t="inlineStr">
        <is>
          <t>φ flexión</t>
        </is>
      </c>
      <c r="B5" s="10" t="n">
        <v>0.9</v>
      </c>
      <c r="C5" s="10" t="inlineStr">
        <is>
          <t>—</t>
        </is>
      </c>
      <c r="D5" s="3" t="inlineStr">
        <is>
          <t>Secciones controladas por tracción</t>
        </is>
      </c>
    </row>
    <row r="6">
      <c r="A6" s="9" t="inlineStr">
        <is>
          <t>φ cortante/torsión</t>
        </is>
      </c>
      <c r="B6" s="10" t="n">
        <v>0.75</v>
      </c>
      <c r="C6" s="10" t="inlineStr">
        <is>
          <t>—</t>
        </is>
      </c>
      <c r="D6" s="3" t="inlineStr">
        <is>
          <t>NSR-10 Título C</t>
        </is>
      </c>
    </row>
    <row r="7">
      <c r="A7" s="9" t="inlineStr">
        <is>
          <t>Recubrimiento</t>
        </is>
      </c>
      <c r="B7" s="10" t="n">
        <v>40</v>
      </c>
      <c r="C7" s="10" t="inlineStr">
        <is>
          <t>mm</t>
        </is>
      </c>
      <c r="D7" s="3" t="inlineStr">
        <is>
          <t>Vigas interiores</t>
        </is>
      </c>
    </row>
    <row r="8">
      <c r="A8" s="9" t="inlineStr">
        <is>
          <t>Área barra longitudinal</t>
        </is>
      </c>
      <c r="B8" s="10" t="n">
        <v>199</v>
      </c>
      <c r="C8" s="10" t="inlineStr">
        <is>
          <t>mm²</t>
        </is>
      </c>
      <c r="D8" s="3" t="inlineStr">
        <is>
          <t>Nº5</t>
        </is>
      </c>
    </row>
    <row r="9">
      <c r="A9" s="9" t="inlineStr">
        <is>
          <t>db estribo</t>
        </is>
      </c>
      <c r="B9" s="10" t="n">
        <v>9.5</v>
      </c>
      <c r="C9" s="10" t="inlineStr">
        <is>
          <t>mm</t>
        </is>
      </c>
      <c r="D9" s="3" t="inlineStr">
        <is>
          <t>Nº3</t>
        </is>
      </c>
    </row>
    <row r="10">
      <c r="A10" s="9" t="inlineStr">
        <is>
          <t>Separación libre vertical</t>
        </is>
      </c>
      <c r="B10" s="10" t="n">
        <v>25</v>
      </c>
      <c r="C10" s="10" t="inlineStr">
        <is>
          <t>mm</t>
        </is>
      </c>
      <c r="D10" s="3" t="inlineStr">
        <is>
          <t>Entre capas</t>
        </is>
      </c>
    </row>
    <row r="11">
      <c r="A11" s="9" t="inlineStr">
        <is>
          <t>Área rama estribo</t>
        </is>
      </c>
      <c r="B11" s="10" t="n">
        <v>71</v>
      </c>
      <c r="C11" s="10" t="inlineStr">
        <is>
          <t>mm²</t>
        </is>
      </c>
      <c r="D11" s="3" t="inlineStr">
        <is>
          <t>Nº3</t>
        </is>
      </c>
    </row>
    <row r="12">
      <c r="A12" s="9" t="inlineStr">
        <is>
          <t>db longitudinal</t>
        </is>
      </c>
      <c r="B12" s="10" t="n">
        <v>15.9</v>
      </c>
      <c r="C12" s="10" t="inlineStr">
        <is>
          <t>mm</t>
        </is>
      </c>
      <c r="D12" s="3" t="inlineStr">
        <is>
          <t>Barra Nº5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>
      <c r="A1" s="11" t="inlineStr">
        <is>
          <t>DISEÑO DE VIGAS — VIGAS DE CARGA (7)</t>
        </is>
      </c>
    </row>
    <row r="2">
      <c r="A2" s="12" t="inlineStr">
        <is>
          <t>ENVFLEX: flexión y torsión. ENVCORT: límite elástico de cortante. Vu diseño DMO = mín(ENVCORT; máx[ENVFLEX; Vcap]).</t>
        </is>
      </c>
    </row>
    <row r="3" ht="64" customHeight="1">
      <c r="A3" s="13" t="inlineStr">
        <is>
          <t>Grupo</t>
        </is>
      </c>
      <c r="B3" s="13" t="inlineStr">
        <is>
          <t>Frame</t>
        </is>
      </c>
      <c r="C3" s="13" t="inlineStr">
        <is>
          <t>N vigas</t>
        </is>
      </c>
      <c r="D3" s="13" t="inlineStr">
        <is>
          <t>L mín (m)</t>
        </is>
      </c>
      <c r="E3" s="13" t="inlineStr">
        <is>
          <t>L máx (m)</t>
        </is>
      </c>
      <c r="F3" s="13" t="inlineStr">
        <is>
          <t>b modelo (mm)</t>
        </is>
      </c>
      <c r="G3" s="13" t="inlineStr">
        <is>
          <t>h modelo (mm)</t>
        </is>
      </c>
      <c r="H3" s="13" t="inlineStr">
        <is>
          <t>b adopt. (mm)</t>
        </is>
      </c>
      <c r="I3" s="13" t="inlineStr">
        <is>
          <t>h adopt. (mm)</t>
        </is>
      </c>
      <c r="J3" s="13" t="inlineStr">
        <is>
          <t>Mu− ENVFLEX (kN·m)</t>
        </is>
      </c>
      <c r="K3" s="13" t="inlineStr">
        <is>
          <t>Frame Mu−</t>
        </is>
      </c>
      <c r="L3" s="13" t="inlineStr">
        <is>
          <t>Mu+ ENVFLEX (kN·m)</t>
        </is>
      </c>
      <c r="M3" s="13" t="inlineStr">
        <is>
          <t>Frame Mu+</t>
        </is>
      </c>
      <c r="N3" s="13" t="inlineStr">
        <is>
          <t>Vu ENVFLEX (kN)</t>
        </is>
      </c>
      <c r="O3" s="13" t="inlineStr">
        <is>
          <t>Vu ENVCORT (kN)</t>
        </is>
      </c>
      <c r="P3" s="13" t="inlineStr">
        <is>
          <t>Frame Vu</t>
        </is>
      </c>
      <c r="Q3" s="13" t="inlineStr">
        <is>
          <t>Tu ENVFLEX (kN·m)</t>
        </is>
      </c>
      <c r="R3" s="13" t="inlineStr">
        <is>
          <t>As req. sup (mm²)</t>
        </is>
      </c>
      <c r="S3" s="13" t="inlineStr">
        <is>
          <t>Nº5 sup</t>
        </is>
      </c>
      <c r="T3" s="13" t="inlineStr">
        <is>
          <t>Capas sup</t>
        </is>
      </c>
      <c r="U3" s="13" t="inlineStr">
        <is>
          <t>d sup (mm)</t>
        </is>
      </c>
      <c r="V3" s="13" t="inlineStr">
        <is>
          <t>As prov. sup (mm²)</t>
        </is>
      </c>
      <c r="W3" s="13" t="inlineStr">
        <is>
          <t>φMn− (kN·m)</t>
        </is>
      </c>
      <c r="X3" s="13" t="inlineStr">
        <is>
          <t>Flexión −</t>
        </is>
      </c>
      <c r="Y3" s="13" t="inlineStr">
        <is>
          <t>As req. inf (mm²)</t>
        </is>
      </c>
      <c r="Z3" s="13" t="inlineStr">
        <is>
          <t>Nº5 inf</t>
        </is>
      </c>
      <c r="AA3" s="13" t="inlineStr">
        <is>
          <t>Capas inf</t>
        </is>
      </c>
      <c r="AB3" s="13" t="inlineStr">
        <is>
          <t>d inf (mm)</t>
        </is>
      </c>
      <c r="AC3" s="13" t="inlineStr">
        <is>
          <t>As prov. inf (mm²)</t>
        </is>
      </c>
      <c r="AD3" s="13" t="inlineStr">
        <is>
          <t>φMn+ (kN·m)</t>
        </is>
      </c>
      <c r="AE3" s="13" t="inlineStr">
        <is>
          <t>Flexión +</t>
        </is>
      </c>
      <c r="AF3" s="13" t="inlineStr">
        <is>
          <t>Mpr− (kN·m)</t>
        </is>
      </c>
      <c r="AG3" s="13" t="inlineStr">
        <is>
          <t>Mpr+ (kN·m)</t>
        </is>
      </c>
      <c r="AH3" s="13" t="inlineStr">
        <is>
          <t>Vcap (kN)</t>
        </is>
      </c>
      <c r="AI3" s="13" t="inlineStr">
        <is>
          <t>Vu diseño (kN)</t>
        </is>
      </c>
      <c r="AJ3" s="13" t="inlineStr">
        <is>
          <t>Vc (kN)</t>
        </is>
      </c>
      <c r="AK3" s="13" t="inlineStr">
        <is>
          <t>Vs req. (kN)</t>
        </is>
      </c>
      <c r="AL3" s="13" t="inlineStr">
        <is>
          <t>Vs máx. (kN)</t>
        </is>
      </c>
      <c r="AM3" s="13" t="inlineStr">
        <is>
          <t>Sección cortante</t>
        </is>
      </c>
      <c r="AN3" s="13" t="inlineStr">
        <is>
          <t>Estribo</t>
        </is>
      </c>
      <c r="AO3" s="13" t="inlineStr">
        <is>
          <t>Ramas</t>
        </is>
      </c>
      <c r="AP3" s="13" t="inlineStr">
        <is>
          <t>s extremo DMO (mm)</t>
        </is>
      </c>
      <c r="AQ3" s="13" t="inlineStr">
        <is>
          <t>s centro (mm)</t>
        </is>
      </c>
      <c r="AR3" s="13" t="inlineStr">
        <is>
          <t>φVn (kN)</t>
        </is>
      </c>
      <c r="AS3" s="13" t="inlineStr">
        <is>
          <t>Cortante</t>
        </is>
      </c>
      <c r="AT3" s="13" t="inlineStr">
        <is>
          <t>φTth (kN·m)</t>
        </is>
      </c>
      <c r="AU3" s="13" t="inlineStr">
        <is>
          <t>Torsión</t>
        </is>
      </c>
      <c r="AV3" s="13" t="inlineStr">
        <is>
          <t>At/s (mm²/mm)</t>
        </is>
      </c>
      <c r="AW3" s="13" t="inlineStr">
        <is>
          <t>Al (mm²)</t>
        </is>
      </c>
      <c r="AX3" s="13" t="inlineStr">
        <is>
          <t>Nº5 torsión</t>
        </is>
      </c>
      <c r="AY3" s="13" t="inlineStr">
        <is>
          <t>Chequeo torsión</t>
        </is>
      </c>
      <c r="AZ3" s="13" t="inlineStr">
        <is>
          <t>ESTADO</t>
        </is>
      </c>
    </row>
    <row r="4">
      <c r="A4" s="14" t="inlineStr">
        <is>
          <t>VC1</t>
        </is>
      </c>
      <c r="B4" s="14" t="inlineStr">
        <is>
          <t>—</t>
        </is>
      </c>
      <c r="C4" s="10" t="n">
        <v>20</v>
      </c>
      <c r="D4" s="10" t="n">
        <v>3.75</v>
      </c>
      <c r="E4" s="10" t="n">
        <v>3.75</v>
      </c>
      <c r="F4" s="10" t="n">
        <v>300</v>
      </c>
      <c r="G4" s="10" t="n">
        <v>400</v>
      </c>
      <c r="H4" s="15" t="n">
        <v>300</v>
      </c>
      <c r="I4" s="15" t="n">
        <v>400</v>
      </c>
      <c r="J4" s="16" t="n">
        <v>19.2952</v>
      </c>
      <c r="K4" s="10" t="inlineStr">
        <is>
          <t>178</t>
        </is>
      </c>
      <c r="L4" s="16" t="n">
        <v>12.1187</v>
      </c>
      <c r="M4" s="10" t="inlineStr">
        <is>
          <t>179</t>
        </is>
      </c>
      <c r="N4" s="16" t="n">
        <v>14.449</v>
      </c>
      <c r="O4" s="16" t="n">
        <v>40.811</v>
      </c>
      <c r="P4" s="10" t="inlineStr">
        <is>
          <t>178</t>
        </is>
      </c>
      <c r="Q4" s="16" t="n">
        <v>2.5041</v>
      </c>
      <c r="R4" s="10">
        <f>MAX(MAX(1.4/'Parametros'!$B$3,0.25*SQRT('Parametros'!$B$2)/'Parametros'!$B$3)*H4*U4,(0.85*'Parametros'!$B$2/'Parametros'!$B$3)*(1-SQRT(1-2*(J4*1000000/('Parametros'!$B$5*H4*U4^2))/(0.85*'Parametros'!$B$2)))*H4*U4)</f>
        <v>342.55</v>
      </c>
      <c r="S4" s="17" t="n">
        <v>2</v>
      </c>
      <c r="T4" s="18" t="n">
        <v>1</v>
      </c>
      <c r="U4" s="10">
        <f>IF(T4=1,I4-('Parametros'!$B$7+'Parametros'!$B$9+'Parametros'!$B$12/2),I4-(ROUNDUP(S4/2,0)*('Parametros'!$B$7+'Parametros'!$B$9+'Parametros'!$B$12/2)+ROUNDDOWN(S4/2,0)*('Parametros'!$B$7+'Parametros'!$B$9+'Parametros'!$B$12/2+'Parametros'!$B$12+'Parametros'!$B$10))/S4)</f>
        <v>342.55</v>
      </c>
      <c r="V4" s="10">
        <f>S4*'Parametros'!$B$8</f>
        <v>398</v>
      </c>
      <c r="W4" s="10">
        <f>'Parametros'!$B$5*V4*'Parametros'!$B$3*(U4-(V4*'Parametros'!$B$3/(0.85*'Parametros'!$B$2*H4))/2)/1000000</f>
        <v>49.7735124352941</v>
      </c>
      <c r="X4" s="10" t="str">
        <f>IF(W4&gt;=J4,"CUMPLE","NO CUMPLE")</f>
        <v>CUMPLE</v>
      </c>
      <c r="Y4" s="10">
        <f>MAX(MAX(1.4/'Parametros'!$B$3,0.25*SQRT('Parametros'!$B$2)/'Parametros'!$B$3)*H4*AB4,(0.85*'Parametros'!$B$2/'Parametros'!$B$3)*(1-SQRT(1-2*(L4*1000000/('Parametros'!$B$5*H4*AB4^2))/(0.85*'Parametros'!$B$2)))*H4*AB4)</f>
        <v>342.55</v>
      </c>
      <c r="Z4" s="17" t="n">
        <v>2</v>
      </c>
      <c r="AA4" s="18" t="n">
        <v>1</v>
      </c>
      <c r="AB4" s="10">
        <f>IF(AA4=1,I4-('Parametros'!$B$7+'Parametros'!$B$9+'Parametros'!$B$12/2),I4-(ROUNDUP(Z4/2,0)*('Parametros'!$B$7+'Parametros'!$B$9+'Parametros'!$B$12/2)+ROUNDDOWN(Z4/2,0)*('Parametros'!$B$7+'Parametros'!$B$9+'Parametros'!$B$12/2+'Parametros'!$B$12+'Parametros'!$B$10))/Z4)</f>
        <v>342.55</v>
      </c>
      <c r="AC4" s="10">
        <f>Z4*'Parametros'!$B$8</f>
        <v>398</v>
      </c>
      <c r="AD4" s="10">
        <f>'Parametros'!$B$5*AC4*'Parametros'!$B$3*(AB4-(AC4*'Parametros'!$B$3/(0.85*'Parametros'!$B$2*H4))/2)/1000000</f>
        <v>49.7735124352941</v>
      </c>
      <c r="AE4" s="10" t="str">
        <f>IF(AD4&gt;=L4,"CUMPLE","NO CUMPLE")</f>
        <v>CUMPLE</v>
      </c>
      <c r="AF4" s="10">
        <f>V4*1.25*'Parametros'!$B$3*(U4-(V4*1.25*'Parametros'!$B$3/(0.85*'Parametros'!$B$2*H4))/2)/1000000</f>
        <v>68.5183923529412</v>
      </c>
      <c r="AG4" s="10">
        <f>AC4*1.25*'Parametros'!$B$3*(AB4-(AC4*1.25*'Parametros'!$B$3/(0.85*'Parametros'!$B$2*H4))/2)/1000000</f>
        <v>68.5183923529412</v>
      </c>
      <c r="AH4" s="10">
        <f>N4+(AF4+AG4)/D4</f>
        <v>50.9921425882353</v>
      </c>
      <c r="AI4" s="10">
        <f>MIN(O4,MAX(N4,AH4))</f>
        <v>40.811</v>
      </c>
      <c r="AJ4" s="10">
        <f>0.17*SQRT('Parametros'!$B$2)*H4*MIN(U4,AB4)/1000</f>
        <v>92.4428153837279</v>
      </c>
      <c r="AK4" s="10">
        <f>MAX(AI4/'Parametros'!$B$6-AJ4,0)</f>
        <v>0</v>
      </c>
      <c r="AL4" s="10">
        <f>0.66*SQRT('Parametros'!$B$2)*H4*MIN(U4,AB4)/1000</f>
        <v>358.89563619565</v>
      </c>
      <c r="AM4" s="10" t="str">
        <f>IF(AK4&lt;=AL4,"CUMPLE","NO CUMPLE")</f>
        <v>CUMPLE</v>
      </c>
      <c r="AN4" s="15" t="inlineStr">
        <is>
          <t>Nº3 cerrado</t>
        </is>
      </c>
      <c r="AO4" s="17" t="n">
        <v>2</v>
      </c>
      <c r="AP4" s="10">
        <f>ROUNDDOWN(MIN(IF(AK4=0,1000000000,AO4*'Parametros'!$B$11*'Parametros'!$B$4*MIN(U4,AB4)/(AK4*1000)),IF(AV4=0,1000000000,'Parametros'!$B$11/AV4),MIN(U4,AB4)/4,8*'Parametros'!$B$12,24*'Parametros'!$B$9,300)/10,0)*10</f>
        <v>80</v>
      </c>
      <c r="AQ4" s="10">
        <f>ROUNDDOWN(MIN(IF(AK4=0,1000000000,AO4*'Parametros'!$B$11*'Parametros'!$B$4*MIN(U4,AB4)/(AK4*1000)),IF(AV4=0,1000000000,'Parametros'!$B$11/AV4),MIN(U4,AB4)/2,600)/10,0)*10</f>
        <v>170</v>
      </c>
      <c r="AR4" s="10">
        <f>'Parametros'!$B$6*(AJ4+AO4*'Parametros'!$B$11*'Parametros'!$B$4*MIN(U4,AB4)/AP4/1000)</f>
        <v>260.860380287796</v>
      </c>
      <c r="AS4" s="10" t="str">
        <f>IF(AND(AM4="CUMPLE",AR4&gt;=AI4),"CUMPLE","NO CUMPLE")</f>
        <v>CUMPLE</v>
      </c>
      <c r="AT4" s="10">
        <f>'Parametros'!$B$6*0.083*SQRT('Parametros'!$B$2)*(H4*I4)^2/(2*(H4+I4))/1000000</f>
        <v>3.38807353605471</v>
      </c>
      <c r="AU4" s="10" t="str">
        <f>IF(Q4&lt;=AT4,"DESPRECIABLE","DISEÑAR")</f>
        <v>DESPRECIABLE</v>
      </c>
      <c r="AV4" s="10">
        <f>IF(Q4&lt;=AT4,0,Q4*1000000/('Parametros'!$B$6*2*0.85*(H4-2*'Parametros'!$B$7)*(I4-2*'Parametros'!$B$7)*'Parametros'!$B$4))</f>
        <v>0</v>
      </c>
      <c r="AW4" s="10">
        <f>AV4*2*((H4-2*'Parametros'!$B$7)+(I4-2*'Parametros'!$B$7))*'Parametros'!$B$4/'Parametros'!$B$3</f>
        <v>0</v>
      </c>
      <c r="AX4" s="17" t="n">
        <v>0</v>
      </c>
      <c r="AY4" s="10" t="str">
        <f>IF(AV4=0,"DESPRECIABLE",IF('Parametros'!$B$11/AP4&gt;=AV4,"CUMPLE","NO CUMPLE"))</f>
        <v>DESPRECIABLE</v>
      </c>
      <c r="AZ4" s="10" t="str">
        <f>IF(AND(X4="CUMPLE",AE4="CUMPLE",AS4="CUMPLE",OR(AY4="CUMPLE",AY4="DESPRECIABLE")),IF(OR(F4&lt;&gt;H4,G4&lt;&gt;I4),"CUMPLE - REANALIZAR SAP","CUMPLE"),"NO CUMPLE")</f>
        <v>CUMPLE</v>
      </c>
    </row>
    <row r="5">
      <c r="A5" s="19" t="inlineStr">
        <is>
          <t>VC2</t>
        </is>
      </c>
      <c r="B5" s="19" t="inlineStr">
        <is>
          <t>—</t>
        </is>
      </c>
      <c r="C5" s="10" t="n">
        <v>40</v>
      </c>
      <c r="D5" s="10" t="n">
        <v>3.75</v>
      </c>
      <c r="E5" s="10" t="n">
        <v>4</v>
      </c>
      <c r="F5" s="10" t="n">
        <v>300</v>
      </c>
      <c r="G5" s="10" t="n">
        <v>400</v>
      </c>
      <c r="H5" s="15" t="n">
        <v>300</v>
      </c>
      <c r="I5" s="15" t="n">
        <v>400</v>
      </c>
      <c r="J5" s="16" t="n">
        <v>81.9216</v>
      </c>
      <c r="K5" s="10" t="inlineStr">
        <is>
          <t>1365</t>
        </is>
      </c>
      <c r="L5" s="16" t="n">
        <v>73.7796</v>
      </c>
      <c r="M5" s="10" t="inlineStr">
        <is>
          <t>1365</t>
        </is>
      </c>
      <c r="N5" s="16" t="n">
        <v>47.882</v>
      </c>
      <c r="O5" s="16" t="n">
        <v>204.587</v>
      </c>
      <c r="P5" s="10" t="inlineStr">
        <is>
          <t>1365</t>
        </is>
      </c>
      <c r="Q5" s="16" t="n">
        <v>4.4669</v>
      </c>
      <c r="R5" s="10">
        <f>MAX(MAX(1.4/'Parametros'!$B$3,0.25*SQRT('Parametros'!$B$2)/'Parametros'!$B$3)*H5*U5,(0.85*'Parametros'!$B$2/'Parametros'!$B$3)*(1-SQRT(1-2*(J5*1000000/('Parametros'!$B$5*H5*U5^2))/(0.85*'Parametros'!$B$2)))*H5*U5)</f>
        <v>671.379920633227</v>
      </c>
      <c r="S5" s="17" t="n">
        <v>4</v>
      </c>
      <c r="T5" s="18" t="n">
        <v>1</v>
      </c>
      <c r="U5" s="10">
        <f>IF(T5=1,I5-('Parametros'!$B$7+'Parametros'!$B$9+'Parametros'!$B$12/2),I5-(ROUNDUP(S5/2,0)*('Parametros'!$B$7+'Parametros'!$B$9+'Parametros'!$B$12/2)+ROUNDDOWN(S5/2,0)*('Parametros'!$B$7+'Parametros'!$B$9+'Parametros'!$B$12/2+'Parametros'!$B$12+'Parametros'!$B$10))/S5)</f>
        <v>342.55</v>
      </c>
      <c r="V5" s="10">
        <f>S5*'Parametros'!$B$8</f>
        <v>796</v>
      </c>
      <c r="W5" s="10">
        <f>'Parametros'!$B$5*V5*'Parametros'!$B$3*(U5-(V5*'Parametros'!$B$3/(0.85*'Parametros'!$B$2*H5))/2)/1000000</f>
        <v>96.0248653411765</v>
      </c>
      <c r="X5" s="10" t="str">
        <f>IF(W5&gt;=J5,"CUMPLE","NO CUMPLE")</f>
        <v>CUMPLE</v>
      </c>
      <c r="Y5" s="10">
        <f>MAX(MAX(1.4/'Parametros'!$B$3,0.25*SQRT('Parametros'!$B$2)/'Parametros'!$B$3)*H5*AB5,(0.85*'Parametros'!$B$2/'Parametros'!$B$3)*(1-SQRT(1-2*(L5*1000000/('Parametros'!$B$5*H5*AB5^2))/(0.85*'Parametros'!$B$2)))*H5*AB5)</f>
        <v>600.788855787356</v>
      </c>
      <c r="Z5" s="17" t="n">
        <v>4</v>
      </c>
      <c r="AA5" s="18" t="n">
        <v>1</v>
      </c>
      <c r="AB5" s="10">
        <f>IF(AA5=1,I5-('Parametros'!$B$7+'Parametros'!$B$9+'Parametros'!$B$12/2),I5-(ROUNDUP(Z5/2,0)*('Parametros'!$B$7+'Parametros'!$B$9+'Parametros'!$B$12/2)+ROUNDDOWN(Z5/2,0)*('Parametros'!$B$7+'Parametros'!$B$9+'Parametros'!$B$12/2+'Parametros'!$B$12+'Parametros'!$B$10))/Z5)</f>
        <v>342.55</v>
      </c>
      <c r="AC5" s="10">
        <f>Z5*'Parametros'!$B$8</f>
        <v>796</v>
      </c>
      <c r="AD5" s="10">
        <f>'Parametros'!$B$5*AC5*'Parametros'!$B$3*(AB5-(AC5*'Parametros'!$B$3/(0.85*'Parametros'!$B$2*H5))/2)/1000000</f>
        <v>96.0248653411765</v>
      </c>
      <c r="AE5" s="10" t="str">
        <f>IF(AD5&gt;=L5,"CUMPLE","NO CUMPLE")</f>
        <v>CUMPLE</v>
      </c>
      <c r="AF5" s="10">
        <f>V5*1.25*'Parametros'!$B$3*(U5-(V5*1.25*'Parametros'!$B$3/(0.85*'Parametros'!$B$2*H5))/2)/1000000</f>
        <v>130.921924411765</v>
      </c>
      <c r="AG5" s="10">
        <f>AC5*1.25*'Parametros'!$B$3*(AB5-(AC5*1.25*'Parametros'!$B$3/(0.85*'Parametros'!$B$2*H5))/2)/1000000</f>
        <v>130.921924411765</v>
      </c>
      <c r="AH5" s="10">
        <f>N5+(AF5+AG5)/D5</f>
        <v>117.707026352941</v>
      </c>
      <c r="AI5" s="10">
        <f>MIN(O5,MAX(N5,AH5))</f>
        <v>117.707026352941</v>
      </c>
      <c r="AJ5" s="10">
        <f>0.17*SQRT('Parametros'!$B$2)*H5*MIN(U5,AB5)/1000</f>
        <v>92.4428153837279</v>
      </c>
      <c r="AK5" s="10">
        <f>MAX(AI5/'Parametros'!$B$6-AJ5,0)</f>
        <v>64.4998864201936</v>
      </c>
      <c r="AL5" s="10">
        <f>0.66*SQRT('Parametros'!$B$2)*H5*MIN(U5,AB5)/1000</f>
        <v>358.89563619565</v>
      </c>
      <c r="AM5" s="10" t="str">
        <f>IF(AK5&lt;=AL5,"CUMPLE","NO CUMPLE")</f>
        <v>CUMPLE</v>
      </c>
      <c r="AN5" s="15" t="inlineStr">
        <is>
          <t>Nº3 cerrado</t>
        </is>
      </c>
      <c r="AO5" s="17" t="n">
        <v>2</v>
      </c>
      <c r="AP5" s="10">
        <f>ROUNDDOWN(MIN(IF(AK5=0,1000000000,AO5*'Parametros'!$B$11*'Parametros'!$B$4*MIN(U5,AB5)/(AK5*1000)),IF(AV5=0,1000000000,'Parametros'!$B$11/AV5),MIN(U5,AB5)/4,8*'Parametros'!$B$12,24*'Parametros'!$B$9,300)/10,0)*10</f>
        <v>80</v>
      </c>
      <c r="AQ5" s="10">
        <f>ROUNDDOWN(MIN(IF(AK5=0,1000000000,AO5*'Parametros'!$B$11*'Parametros'!$B$4*MIN(U5,AB5)/(AK5*1000)),IF(AV5=0,1000000000,'Parametros'!$B$11/AV5),MIN(U5,AB5)/2,600)/10,0)*10</f>
        <v>170</v>
      </c>
      <c r="AR5" s="10">
        <f>'Parametros'!$B$6*(AJ5+AO5*'Parametros'!$B$11*'Parametros'!$B$4*MIN(U5,AB5)/AP5/1000)</f>
        <v>260.860380287796</v>
      </c>
      <c r="AS5" s="10" t="str">
        <f>IF(AND(AM5="CUMPLE",AR5&gt;=AI5),"CUMPLE","NO CUMPLE")</f>
        <v>CUMPLE</v>
      </c>
      <c r="AT5" s="10">
        <f>'Parametros'!$B$6*0.083*SQRT('Parametros'!$B$2)*(H5*I5)^2/(2*(H5+I5))/1000000</f>
        <v>3.38807353605471</v>
      </c>
      <c r="AU5" s="10" t="str">
        <f>IF(Q5&lt;=AT5,"DESPRECIABLE","DISEÑAR")</f>
        <v>DISEÑAR</v>
      </c>
      <c r="AV5" s="10">
        <f>IF(Q5&lt;=AT5,0,Q5*1000000/('Parametros'!$B$6*2*0.85*(H5-2*'Parametros'!$B$7)*(I5-2*'Parametros'!$B$7)*'Parametros'!$B$4))</f>
        <v>0.11848792547322</v>
      </c>
      <c r="AW5" s="10">
        <f>AV5*2*((H5-2*'Parametros'!$B$7)+(I5-2*'Parametros'!$B$7))*'Parametros'!$B$4/'Parametros'!$B$3</f>
        <v>127.966959511077</v>
      </c>
      <c r="AX5" s="17" t="n">
        <v>1</v>
      </c>
      <c r="AY5" s="10" t="str">
        <f>IF(AV5=0,"DESPRECIABLE",IF('Parametros'!$B$11/AP5&gt;=AV5,"CUMPLE","NO CUMPLE"))</f>
        <v>CUMPLE</v>
      </c>
      <c r="AZ5" s="10" t="str">
        <f>IF(AND(X5="CUMPLE",AE5="CUMPLE",AS5="CUMPLE",OR(AY5="CUMPLE",AY5="DESPRECIABLE")),IF(OR(F5&lt;&gt;H5,G5&lt;&gt;I5),"CUMPLE - REANALIZAR SAP","CUMPLE"),"NO CUMPLE")</f>
        <v>CUMPLE</v>
      </c>
    </row>
    <row r="6">
      <c r="A6" s="15" t="inlineStr">
        <is>
          <t>VC3</t>
        </is>
      </c>
      <c r="B6" s="15" t="inlineStr">
        <is>
          <t>—</t>
        </is>
      </c>
      <c r="C6" s="10" t="n">
        <v>40</v>
      </c>
      <c r="D6" s="10" t="n">
        <v>3.81477</v>
      </c>
      <c r="E6" s="10" t="n">
        <v>4</v>
      </c>
      <c r="F6" s="10" t="n">
        <v>300</v>
      </c>
      <c r="G6" s="10" t="n">
        <v>400</v>
      </c>
      <c r="H6" s="15" t="n">
        <v>300</v>
      </c>
      <c r="I6" s="15" t="n">
        <v>400</v>
      </c>
      <c r="J6" s="16" t="n">
        <v>91.0671</v>
      </c>
      <c r="K6" s="10" t="inlineStr">
        <is>
          <t>290</t>
        </is>
      </c>
      <c r="L6" s="16" t="n">
        <v>71.2022</v>
      </c>
      <c r="M6" s="10" t="inlineStr">
        <is>
          <t>92</t>
        </is>
      </c>
      <c r="N6" s="16" t="n">
        <v>52.32</v>
      </c>
      <c r="O6" s="16" t="n">
        <v>192.828</v>
      </c>
      <c r="P6" s="10" t="inlineStr">
        <is>
          <t>289</t>
        </is>
      </c>
      <c r="Q6" s="16" t="n">
        <v>6.8314</v>
      </c>
      <c r="R6" s="10">
        <f>MAX(MAX(1.4/'Parametros'!$B$3,0.25*SQRT('Parametros'!$B$2)/'Parametros'!$B$3)*H6*U6,(0.85*'Parametros'!$B$2/'Parametros'!$B$3)*(1-SQRT(1-2*(J6*1000000/('Parametros'!$B$5*H6*U6^2))/(0.85*'Parametros'!$B$2)))*H6*U6)</f>
        <v>751.84286823144</v>
      </c>
      <c r="S6" s="17" t="n">
        <v>4</v>
      </c>
      <c r="T6" s="18" t="n">
        <v>1</v>
      </c>
      <c r="U6" s="10">
        <f>IF(T6=1,I6-('Parametros'!$B$7+'Parametros'!$B$9+'Parametros'!$B$12/2),I6-(ROUNDUP(S6/2,0)*('Parametros'!$B$7+'Parametros'!$B$9+'Parametros'!$B$12/2)+ROUNDDOWN(S6/2,0)*('Parametros'!$B$7+'Parametros'!$B$9+'Parametros'!$B$12/2+'Parametros'!$B$12+'Parametros'!$B$10))/S6)</f>
        <v>342.55</v>
      </c>
      <c r="V6" s="10">
        <f>S6*'Parametros'!$B$8</f>
        <v>796</v>
      </c>
      <c r="W6" s="10">
        <f>'Parametros'!$B$5*V6*'Parametros'!$B$3*(U6-(V6*'Parametros'!$B$3/(0.85*'Parametros'!$B$2*H6))/2)/1000000</f>
        <v>96.0248653411765</v>
      </c>
      <c r="X6" s="10" t="str">
        <f>IF(W6&gt;=J6,"CUMPLE","NO CUMPLE")</f>
        <v>CUMPLE</v>
      </c>
      <c r="Y6" s="10">
        <f>MAX(MAX(1.4/'Parametros'!$B$3,0.25*SQRT('Parametros'!$B$2)/'Parametros'!$B$3)*H6*AB6,(0.85*'Parametros'!$B$2/'Parametros'!$B$3)*(1-SQRT(1-2*(L6*1000000/('Parametros'!$B$5*H6*AB6^2))/(0.85*'Parametros'!$B$2)))*H6*AB6)</f>
        <v>578.640805519403</v>
      </c>
      <c r="Z6" s="17" t="n">
        <v>3</v>
      </c>
      <c r="AA6" s="18" t="n">
        <v>1</v>
      </c>
      <c r="AB6" s="10">
        <f>IF(AA6=1,I6-('Parametros'!$B$7+'Parametros'!$B$9+'Parametros'!$B$12/2),I6-(ROUNDUP(Z6/2,0)*('Parametros'!$B$7+'Parametros'!$B$9+'Parametros'!$B$12/2)+ROUNDDOWN(Z6/2,0)*('Parametros'!$B$7+'Parametros'!$B$9+'Parametros'!$B$12/2+'Parametros'!$B$12+'Parametros'!$B$10))/Z6)</f>
        <v>342.55</v>
      </c>
      <c r="AC6" s="10">
        <f>Z6*'Parametros'!$B$8</f>
        <v>597</v>
      </c>
      <c r="AD6" s="10">
        <f>'Parametros'!$B$5*AC6*'Parametros'!$B$3*(AB6-(AC6*'Parametros'!$B$3/(0.85*'Parametros'!$B$2*H6))/2)/1000000</f>
        <v>73.3394588294118</v>
      </c>
      <c r="AE6" s="10" t="str">
        <f>IF(AD6&gt;=L6,"CUMPLE","NO CUMPLE")</f>
        <v>CUMPLE</v>
      </c>
      <c r="AF6" s="10">
        <f>V6*1.25*'Parametros'!$B$3*(U6-(V6*1.25*'Parametros'!$B$3/(0.85*'Parametros'!$B$2*H6))/2)/1000000</f>
        <v>130.921924411765</v>
      </c>
      <c r="AG6" s="10">
        <f>AC6*1.25*'Parametros'!$B$3*(AB6-(AC6*1.25*'Parametros'!$B$3/(0.85*'Parametros'!$B$2*H6))/2)/1000000</f>
        <v>100.484515919118</v>
      </c>
      <c r="AH6" s="10">
        <f>N6+(AF6+AG6)/D6</f>
        <v>112.980653284702</v>
      </c>
      <c r="AI6" s="10">
        <f>MIN(O6,MAX(N6,AH6))</f>
        <v>112.980653284702</v>
      </c>
      <c r="AJ6" s="10">
        <f>0.17*SQRT('Parametros'!$B$2)*H6*MIN(U6,AB6)/1000</f>
        <v>92.4428153837279</v>
      </c>
      <c r="AK6" s="10">
        <f>MAX(AI6/'Parametros'!$B$6-AJ6,0)</f>
        <v>58.1980556625413</v>
      </c>
      <c r="AL6" s="10">
        <f>0.66*SQRT('Parametros'!$B$2)*H6*MIN(U6,AB6)/1000</f>
        <v>358.89563619565</v>
      </c>
      <c r="AM6" s="10" t="str">
        <f>IF(AK6&lt;=AL6,"CUMPLE","NO CUMPLE")</f>
        <v>CUMPLE</v>
      </c>
      <c r="AN6" s="15" t="inlineStr">
        <is>
          <t>Nº3 cerrado</t>
        </is>
      </c>
      <c r="AO6" s="17" t="n">
        <v>2</v>
      </c>
      <c r="AP6" s="10">
        <f>ROUNDDOWN(MIN(IF(AK6=0,1000000000,AO6*'Parametros'!$B$11*'Parametros'!$B$4*MIN(U6,AB6)/(AK6*1000)),IF(AV6=0,1000000000,'Parametros'!$B$11/AV6),MIN(U6,AB6)/4,8*'Parametros'!$B$12,24*'Parametros'!$B$9,300)/10,0)*10</f>
        <v>80</v>
      </c>
      <c r="AQ6" s="10">
        <f>ROUNDDOWN(MIN(IF(AK6=0,1000000000,AO6*'Parametros'!$B$11*'Parametros'!$B$4*MIN(U6,AB6)/(AK6*1000)),IF(AV6=0,1000000000,'Parametros'!$B$11/AV6),MIN(U6,AB6)/2,600)/10,0)*10</f>
        <v>170</v>
      </c>
      <c r="AR6" s="10">
        <f>'Parametros'!$B$6*(AJ6+AO6*'Parametros'!$B$11*'Parametros'!$B$4*MIN(U6,AB6)/AP6/1000)</f>
        <v>260.860380287796</v>
      </c>
      <c r="AS6" s="10" t="str">
        <f>IF(AND(AM6="CUMPLE",AR6&gt;=AI6),"CUMPLE","NO CUMPLE")</f>
        <v>CUMPLE</v>
      </c>
      <c r="AT6" s="10">
        <f>'Parametros'!$B$6*0.083*SQRT('Parametros'!$B$2)*(H6*I6)^2/(2*(H6+I6))/1000000</f>
        <v>3.38807353605471</v>
      </c>
      <c r="AU6" s="10" t="str">
        <f>IF(Q6&lt;=AT6,"DESPRECIABLE","DISEÑAR")</f>
        <v>DISEÑAR</v>
      </c>
      <c r="AV6" s="10">
        <f>IF(Q6&lt;=AT6,0,Q6*1000000/('Parametros'!$B$6*2*0.85*(H6-2*'Parametros'!$B$7)*(I6-2*'Parametros'!$B$7)*'Parametros'!$B$4))</f>
        <v>0.181208089296325</v>
      </c>
      <c r="AW6" s="10">
        <f>AV6*2*((H6-2*'Parametros'!$B$7)+(I6-2*'Parametros'!$B$7))*'Parametros'!$B$4/'Parametros'!$B$3</f>
        <v>195.704736440031</v>
      </c>
      <c r="AX6" s="17" t="n">
        <v>1</v>
      </c>
      <c r="AY6" s="10" t="str">
        <f>IF(AV6=0,"DESPRECIABLE",IF('Parametros'!$B$11/AP6&gt;=AV6,"CUMPLE","NO CUMPLE"))</f>
        <v>CUMPLE</v>
      </c>
      <c r="AZ6" s="10" t="str">
        <f>IF(AND(X6="CUMPLE",AE6="CUMPLE",AS6="CUMPLE",OR(AY6="CUMPLE",AY6="DESPRECIABLE")),IF(OR(F6&lt;&gt;H6,G6&lt;&gt;I6),"CUMPLE - REANALIZAR SAP","CUMPLE"),"NO CUMPLE")</f>
        <v>CUMPLE</v>
      </c>
    </row>
    <row r="7">
      <c r="A7" s="20" t="inlineStr">
        <is>
          <t>VC4</t>
        </is>
      </c>
      <c r="B7" s="20" t="inlineStr">
        <is>
          <t>—</t>
        </is>
      </c>
      <c r="C7" s="10" t="n">
        <v>20</v>
      </c>
      <c r="D7" s="10" t="n">
        <v>3.85</v>
      </c>
      <c r="E7" s="10" t="n">
        <v>3.85</v>
      </c>
      <c r="F7" s="10" t="n">
        <v>300</v>
      </c>
      <c r="G7" s="10" t="n">
        <v>400</v>
      </c>
      <c r="H7" s="15" t="n">
        <v>300</v>
      </c>
      <c r="I7" s="15" t="n">
        <v>400</v>
      </c>
      <c r="J7" s="16" t="n">
        <v>94.2174</v>
      </c>
      <c r="K7" s="10" t="inlineStr">
        <is>
          <t>88</t>
        </is>
      </c>
      <c r="L7" s="16" t="n">
        <v>77.4126</v>
      </c>
      <c r="M7" s="10" t="inlineStr">
        <is>
          <t>62</t>
        </is>
      </c>
      <c r="N7" s="16" t="n">
        <v>55.131</v>
      </c>
      <c r="O7" s="16" t="n">
        <v>230.934</v>
      </c>
      <c r="P7" s="10" t="inlineStr">
        <is>
          <t>88</t>
        </is>
      </c>
      <c r="Q7" s="16" t="n">
        <v>6.0628</v>
      </c>
      <c r="R7" s="10">
        <f>MAX(MAX(1.4/'Parametros'!$B$3,0.25*SQRT('Parametros'!$B$2)/'Parametros'!$B$3)*H7*U7,(0.85*'Parametros'!$B$2/'Parametros'!$B$3)*(1-SQRT(1-2*(J7*1000000/('Parametros'!$B$5*H7*U7^2))/(0.85*'Parametros'!$B$2)))*H7*U7)</f>
        <v>779.856739360203</v>
      </c>
      <c r="S7" s="17" t="n">
        <v>4</v>
      </c>
      <c r="T7" s="18" t="n">
        <v>1</v>
      </c>
      <c r="U7" s="10">
        <f>IF(T7=1,I7-('Parametros'!$B$7+'Parametros'!$B$9+'Parametros'!$B$12/2),I7-(ROUNDUP(S7/2,0)*('Parametros'!$B$7+'Parametros'!$B$9+'Parametros'!$B$12/2)+ROUNDDOWN(S7/2,0)*('Parametros'!$B$7+'Parametros'!$B$9+'Parametros'!$B$12/2+'Parametros'!$B$12+'Parametros'!$B$10))/S7)</f>
        <v>342.55</v>
      </c>
      <c r="V7" s="10">
        <f>S7*'Parametros'!$B$8</f>
        <v>796</v>
      </c>
      <c r="W7" s="10">
        <f>'Parametros'!$B$5*V7*'Parametros'!$B$3*(U7-(V7*'Parametros'!$B$3/(0.85*'Parametros'!$B$2*H7))/2)/1000000</f>
        <v>96.0248653411765</v>
      </c>
      <c r="X7" s="10" t="str">
        <f>IF(W7&gt;=J7,"CUMPLE","NO CUMPLE")</f>
        <v>CUMPLE</v>
      </c>
      <c r="Y7" s="10">
        <f>MAX(MAX(1.4/'Parametros'!$B$3,0.25*SQRT('Parametros'!$B$2)/'Parametros'!$B$3)*H7*AB7,(0.85*'Parametros'!$B$2/'Parametros'!$B$3)*(1-SQRT(1-2*(L7*1000000/('Parametros'!$B$5*H7*AB7^2))/(0.85*'Parametros'!$B$2)))*H7*AB7)</f>
        <v>632.168330354648</v>
      </c>
      <c r="Z7" s="17" t="n">
        <v>4</v>
      </c>
      <c r="AA7" s="18" t="n">
        <v>1</v>
      </c>
      <c r="AB7" s="10">
        <f>IF(AA7=1,I7-('Parametros'!$B$7+'Parametros'!$B$9+'Parametros'!$B$12/2),I7-(ROUNDUP(Z7/2,0)*('Parametros'!$B$7+'Parametros'!$B$9+'Parametros'!$B$12/2)+ROUNDDOWN(Z7/2,0)*('Parametros'!$B$7+'Parametros'!$B$9+'Parametros'!$B$12/2+'Parametros'!$B$12+'Parametros'!$B$10))/Z7)</f>
        <v>342.55</v>
      </c>
      <c r="AC7" s="10">
        <f>Z7*'Parametros'!$B$8</f>
        <v>796</v>
      </c>
      <c r="AD7" s="10">
        <f>'Parametros'!$B$5*AC7*'Parametros'!$B$3*(AB7-(AC7*'Parametros'!$B$3/(0.85*'Parametros'!$B$2*H7))/2)/1000000</f>
        <v>96.0248653411765</v>
      </c>
      <c r="AE7" s="10" t="str">
        <f>IF(AD7&gt;=L7,"CUMPLE","NO CUMPLE")</f>
        <v>CUMPLE</v>
      </c>
      <c r="AF7" s="10">
        <f>V7*1.25*'Parametros'!$B$3*(U7-(V7*1.25*'Parametros'!$B$3/(0.85*'Parametros'!$B$2*H7))/2)/1000000</f>
        <v>130.921924411765</v>
      </c>
      <c r="AG7" s="10">
        <f>AC7*1.25*'Parametros'!$B$3*(AB7-(AC7*1.25*'Parametros'!$B$3/(0.85*'Parametros'!$B$2*H7))/2)/1000000</f>
        <v>130.921924411765</v>
      </c>
      <c r="AH7" s="10">
        <f>N7+(AF7+AG7)/D7</f>
        <v>123.142389304813</v>
      </c>
      <c r="AI7" s="10">
        <f>MIN(O7,MAX(N7,AH7))</f>
        <v>123.142389304813</v>
      </c>
      <c r="AJ7" s="10">
        <f>0.17*SQRT('Parametros'!$B$2)*H7*MIN(U7,AB7)/1000</f>
        <v>92.4428153837279</v>
      </c>
      <c r="AK7" s="10">
        <f>MAX(AI7/'Parametros'!$B$6-AJ7,0)</f>
        <v>71.7470370226892</v>
      </c>
      <c r="AL7" s="10">
        <f>0.66*SQRT('Parametros'!$B$2)*H7*MIN(U7,AB7)/1000</f>
        <v>358.89563619565</v>
      </c>
      <c r="AM7" s="10" t="str">
        <f>IF(AK7&lt;=AL7,"CUMPLE","NO CUMPLE")</f>
        <v>CUMPLE</v>
      </c>
      <c r="AN7" s="15" t="inlineStr">
        <is>
          <t>Nº3 cerrado</t>
        </is>
      </c>
      <c r="AO7" s="17" t="n">
        <v>2</v>
      </c>
      <c r="AP7" s="10">
        <f>ROUNDDOWN(MIN(IF(AK7=0,1000000000,AO7*'Parametros'!$B$11*'Parametros'!$B$4*MIN(U7,AB7)/(AK7*1000)),IF(AV7=0,1000000000,'Parametros'!$B$11/AV7),MIN(U7,AB7)/4,8*'Parametros'!$B$12,24*'Parametros'!$B$9,300)/10,0)*10</f>
        <v>80</v>
      </c>
      <c r="AQ7" s="10">
        <f>ROUNDDOWN(MIN(IF(AK7=0,1000000000,AO7*'Parametros'!$B$11*'Parametros'!$B$4*MIN(U7,AB7)/(AK7*1000)),IF(AV7=0,1000000000,'Parametros'!$B$11/AV7),MIN(U7,AB7)/2,600)/10,0)*10</f>
        <v>170</v>
      </c>
      <c r="AR7" s="10">
        <f>'Parametros'!$B$6*(AJ7+AO7*'Parametros'!$B$11*'Parametros'!$B$4*MIN(U7,AB7)/AP7/1000)</f>
        <v>260.860380287796</v>
      </c>
      <c r="AS7" s="10" t="str">
        <f>IF(AND(AM7="CUMPLE",AR7&gt;=AI7),"CUMPLE","NO CUMPLE")</f>
        <v>CUMPLE</v>
      </c>
      <c r="AT7" s="10">
        <f>'Parametros'!$B$6*0.083*SQRT('Parametros'!$B$2)*(H7*I7)^2/(2*(H7+I7))/1000000</f>
        <v>3.38807353605471</v>
      </c>
      <c r="AU7" s="10" t="str">
        <f>IF(Q7&lt;=AT7,"DESPRECIABLE","DISEÑAR")</f>
        <v>DISEÑAR</v>
      </c>
      <c r="AV7" s="10">
        <f>IF(Q7&lt;=AT7,0,Q7*1000000/('Parametros'!$B$6*2*0.85*(H7-2*'Parametros'!$B$7)*(I7-2*'Parametros'!$B$7)*'Parametros'!$B$4))</f>
        <v>0.160820388761565</v>
      </c>
      <c r="AW7" s="10">
        <f>AV7*2*((H7-2*'Parametros'!$B$7)+(I7-2*'Parametros'!$B$7))*'Parametros'!$B$4/'Parametros'!$B$3</f>
        <v>173.68601986249</v>
      </c>
      <c r="AX7" s="17" t="n">
        <v>1</v>
      </c>
      <c r="AY7" s="10" t="str">
        <f>IF(AV7=0,"DESPRECIABLE",IF('Parametros'!$B$11/AP7&gt;=AV7,"CUMPLE","NO CUMPLE"))</f>
        <v>CUMPLE</v>
      </c>
      <c r="AZ7" s="10" t="str">
        <f>IF(AND(X7="CUMPLE",AE7="CUMPLE",AS7="CUMPLE",OR(AY7="CUMPLE",AY7="DESPRECIABLE")),IF(OR(F7&lt;&gt;H7,G7&lt;&gt;I7),"CUMPLE - REANALIZAR SAP","CUMPLE"),"NO CUMPLE")</f>
        <v>CUMPLE</v>
      </c>
    </row>
    <row r="8">
      <c r="A8" s="21" t="inlineStr">
        <is>
          <t>VC5</t>
        </is>
      </c>
      <c r="B8" s="21" t="inlineStr">
        <is>
          <t>—</t>
        </is>
      </c>
      <c r="C8" s="10" t="n">
        <v>40</v>
      </c>
      <c r="D8" s="10" t="n">
        <v>3.85</v>
      </c>
      <c r="E8" s="10" t="n">
        <v>3.9</v>
      </c>
      <c r="F8" s="10" t="n">
        <v>300</v>
      </c>
      <c r="G8" s="10" t="n">
        <v>400</v>
      </c>
      <c r="H8" s="15" t="n">
        <v>300</v>
      </c>
      <c r="I8" s="15" t="n">
        <v>400</v>
      </c>
      <c r="J8" s="16" t="n">
        <v>116.2475</v>
      </c>
      <c r="K8" s="10" t="inlineStr">
        <is>
          <t>284</t>
        </is>
      </c>
      <c r="L8" s="16" t="n">
        <v>75.52809999999999</v>
      </c>
      <c r="M8" s="10" t="inlineStr">
        <is>
          <t>86</t>
        </is>
      </c>
      <c r="N8" s="16" t="n">
        <v>89.09999999999999</v>
      </c>
      <c r="O8" s="16" t="n">
        <v>267.071</v>
      </c>
      <c r="P8" s="10" t="inlineStr">
        <is>
          <t>284</t>
        </is>
      </c>
      <c r="Q8" s="16" t="n">
        <v>20.0139</v>
      </c>
      <c r="R8" s="10">
        <f>MAX(MAX(1.4/'Parametros'!$B$3,0.25*SQRT('Parametros'!$B$2)/'Parametros'!$B$3)*H8*U8,(0.85*'Parametros'!$B$2/'Parametros'!$B$3)*(1-SQRT(1-2*(J8*1000000/('Parametros'!$B$5*H8*U8^2))/(0.85*'Parametros'!$B$2)))*H8*U8)</f>
        <v>980.284763615541</v>
      </c>
      <c r="S8" s="17" t="n">
        <v>5</v>
      </c>
      <c r="T8" s="18" t="n">
        <v>1</v>
      </c>
      <c r="U8" s="10">
        <f>IF(T8=1,I8-('Parametros'!$B$7+'Parametros'!$B$9+'Parametros'!$B$12/2),I8-(ROUNDUP(S8/2,0)*('Parametros'!$B$7+'Parametros'!$B$9+'Parametros'!$B$12/2)+ROUNDDOWN(S8/2,0)*('Parametros'!$B$7+'Parametros'!$B$9+'Parametros'!$B$12/2+'Parametros'!$B$12+'Parametros'!$B$10))/S8)</f>
        <v>342.55</v>
      </c>
      <c r="V8" s="10">
        <f>S8*'Parametros'!$B$8</f>
        <v>995</v>
      </c>
      <c r="W8" s="10">
        <f>'Parametros'!$B$5*V8*'Parametros'!$B$3*(U8-(V8*'Parametros'!$B$3/(0.85*'Parametros'!$B$2*H8))/2)/1000000</f>
        <v>117.829731970588</v>
      </c>
      <c r="X8" s="10" t="str">
        <f>IF(W8&gt;=J8,"CUMPLE","NO CUMPLE")</f>
        <v>CUMPLE</v>
      </c>
      <c r="Y8" s="10">
        <f>MAX(MAX(1.4/'Parametros'!$B$3,0.25*SQRT('Parametros'!$B$2)/'Parametros'!$B$3)*H8*AB8,(0.85*'Parametros'!$B$2/'Parametros'!$B$3)*(1-SQRT(1-2*(L8*1000000/('Parametros'!$B$5*H8*AB8^2))/(0.85*'Parametros'!$B$2)))*H8*AB8)</f>
        <v>615.86765070037</v>
      </c>
      <c r="Z8" s="17" t="n">
        <v>4</v>
      </c>
      <c r="AA8" s="18" t="n">
        <v>1</v>
      </c>
      <c r="AB8" s="10">
        <f>IF(AA8=1,I8-('Parametros'!$B$7+'Parametros'!$B$9+'Parametros'!$B$12/2),I8-(ROUNDUP(Z8/2,0)*('Parametros'!$B$7+'Parametros'!$B$9+'Parametros'!$B$12/2)+ROUNDDOWN(Z8/2,0)*('Parametros'!$B$7+'Parametros'!$B$9+'Parametros'!$B$12/2+'Parametros'!$B$12+'Parametros'!$B$10))/Z8)</f>
        <v>342.55</v>
      </c>
      <c r="AC8" s="10">
        <f>Z8*'Parametros'!$B$8</f>
        <v>796</v>
      </c>
      <c r="AD8" s="10">
        <f>'Parametros'!$B$5*AC8*'Parametros'!$B$3*(AB8-(AC8*'Parametros'!$B$3/(0.85*'Parametros'!$B$2*H8))/2)/1000000</f>
        <v>96.0248653411765</v>
      </c>
      <c r="AE8" s="10" t="str">
        <f>IF(AD8&gt;=L8,"CUMPLE","NO CUMPLE")</f>
        <v>CUMPLE</v>
      </c>
      <c r="AF8" s="10">
        <f>V8*1.25*'Parametros'!$B$3*(U8-(V8*1.25*'Parametros'!$B$3/(0.85*'Parametros'!$B$2*H8))/2)/1000000</f>
        <v>159.830617830882</v>
      </c>
      <c r="AG8" s="10">
        <f>AC8*1.25*'Parametros'!$B$3*(AB8-(AC8*1.25*'Parametros'!$B$3/(0.85*'Parametros'!$B$2*H8))/2)/1000000</f>
        <v>130.921924411765</v>
      </c>
      <c r="AH8" s="10">
        <f>N8+(AF8+AG8)/D8</f>
        <v>164.620140842246</v>
      </c>
      <c r="AI8" s="10">
        <f>MIN(O8,MAX(N8,AH8))</f>
        <v>164.620140842246</v>
      </c>
      <c r="AJ8" s="10">
        <f>0.17*SQRT('Parametros'!$B$2)*H8*MIN(U8,AB8)/1000</f>
        <v>92.4428153837279</v>
      </c>
      <c r="AK8" s="10">
        <f>MAX(AI8/'Parametros'!$B$6-AJ8,0)</f>
        <v>127.050705739267</v>
      </c>
      <c r="AL8" s="10">
        <f>0.66*SQRT('Parametros'!$B$2)*H8*MIN(U8,AB8)/1000</f>
        <v>358.89563619565</v>
      </c>
      <c r="AM8" s="10" t="str">
        <f>IF(AK8&lt;=AL8,"CUMPLE","NO CUMPLE")</f>
        <v>CUMPLE</v>
      </c>
      <c r="AN8" s="15" t="inlineStr">
        <is>
          <t>Nº3 cerrado</t>
        </is>
      </c>
      <c r="AO8" s="17" t="n">
        <v>2</v>
      </c>
      <c r="AP8" s="10">
        <f>ROUNDDOWN(MIN(IF(AK8=0,1000000000,AO8*'Parametros'!$B$11*'Parametros'!$B$4*MIN(U8,AB8)/(AK8*1000)),IF(AV8=0,1000000000,'Parametros'!$B$11/AV8),MIN(U8,AB8)/4,8*'Parametros'!$B$12,24*'Parametros'!$B$9,300)/10,0)*10</f>
        <v>80</v>
      </c>
      <c r="AQ8" s="10">
        <f>ROUNDDOWN(MIN(IF(AK8=0,1000000000,AO8*'Parametros'!$B$11*'Parametros'!$B$4*MIN(U8,AB8)/(AK8*1000)),IF(AV8=0,1000000000,'Parametros'!$B$11/AV8),MIN(U8,AB8)/2,600)/10,0)*10</f>
        <v>130</v>
      </c>
      <c r="AR8" s="10">
        <f>'Parametros'!$B$6*(AJ8+AO8*'Parametros'!$B$11*'Parametros'!$B$4*MIN(U8,AB8)/AP8/1000)</f>
        <v>260.860380287796</v>
      </c>
      <c r="AS8" s="10" t="str">
        <f>IF(AND(AM8="CUMPLE",AR8&gt;=AI8),"CUMPLE","NO CUMPLE")</f>
        <v>CUMPLE</v>
      </c>
      <c r="AT8" s="10">
        <f>'Parametros'!$B$6*0.083*SQRT('Parametros'!$B$2)*(H8*I8)^2/(2*(H8+I8))/1000000</f>
        <v>3.38807353605471</v>
      </c>
      <c r="AU8" s="10" t="str">
        <f>IF(Q8&lt;=AT8,"DESPRECIABLE","DISEÑAR")</f>
        <v>DISEÑAR</v>
      </c>
      <c r="AV8" s="10">
        <f>IF(Q8&lt;=AT8,0,Q8*1000000/('Parametros'!$B$6*2*0.85*(H8-2*'Parametros'!$B$7)*(I8-2*'Parametros'!$B$7)*'Parametros'!$B$4))</f>
        <v>0.530883944486886</v>
      </c>
      <c r="AW8" s="10">
        <f>AV8*2*((H8-2*'Parametros'!$B$7)+(I8-2*'Parametros'!$B$7))*'Parametros'!$B$4/'Parametros'!$B$3</f>
        <v>573.354660045837</v>
      </c>
      <c r="AX8" s="17" t="n">
        <v>3</v>
      </c>
      <c r="AY8" s="10" t="str">
        <f>IF(AV8=0,"DESPRECIABLE",IF('Parametros'!$B$11/AP8&gt;=AV8,"CUMPLE","NO CUMPLE"))</f>
        <v>CUMPLE</v>
      </c>
      <c r="AZ8" s="10" t="str">
        <f>IF(AND(X8="CUMPLE",AE8="CUMPLE",AS8="CUMPLE",OR(AY8="CUMPLE",AY8="DESPRECIABLE")),IF(OR(F8&lt;&gt;H8,G8&lt;&gt;I8),"CUMPLE - REANALIZAR SAP","CUMPLE"),"NO CUMPLE")</f>
        <v>CUMPLE</v>
      </c>
    </row>
    <row r="9">
      <c r="A9" s="22" t="inlineStr">
        <is>
          <t>VC6</t>
        </is>
      </c>
      <c r="B9" s="22" t="inlineStr">
        <is>
          <t>—</t>
        </is>
      </c>
      <c r="C9" s="10" t="n">
        <v>40</v>
      </c>
      <c r="D9" s="10" t="n">
        <v>3.85</v>
      </c>
      <c r="E9" s="10" t="n">
        <v>3.9</v>
      </c>
      <c r="F9" s="10" t="n">
        <v>300</v>
      </c>
      <c r="G9" s="10" t="n">
        <v>400</v>
      </c>
      <c r="H9" s="15" t="n">
        <v>300</v>
      </c>
      <c r="I9" s="15" t="n">
        <v>400</v>
      </c>
      <c r="J9" s="16" t="n">
        <v>86.6444</v>
      </c>
      <c r="K9" s="10" t="inlineStr">
        <is>
          <t>268</t>
        </is>
      </c>
      <c r="L9" s="16" t="n">
        <v>75.6101</v>
      </c>
      <c r="M9" s="10" t="inlineStr">
        <is>
          <t>279</t>
        </is>
      </c>
      <c r="N9" s="16" t="n">
        <v>49.435</v>
      </c>
      <c r="O9" s="16" t="n">
        <v>214.218</v>
      </c>
      <c r="P9" s="10" t="inlineStr">
        <is>
          <t>281</t>
        </is>
      </c>
      <c r="Q9" s="16" t="n">
        <v>10.308</v>
      </c>
      <c r="R9" s="10">
        <f>MAX(MAX(1.4/'Parametros'!$B$3,0.25*SQRT('Parametros'!$B$2)/'Parametros'!$B$3)*H9*U9,(0.85*'Parametros'!$B$2/'Parametros'!$B$3)*(1-SQRT(1-2*(J9*1000000/('Parametros'!$B$5*H9*U9^2))/(0.85*'Parametros'!$B$2)))*H9*U9)</f>
        <v>712.773361078678</v>
      </c>
      <c r="S9" s="17" t="n">
        <v>4</v>
      </c>
      <c r="T9" s="18" t="n">
        <v>1</v>
      </c>
      <c r="U9" s="10">
        <f>IF(T9=1,I9-('Parametros'!$B$7+'Parametros'!$B$9+'Parametros'!$B$12/2),I9-(ROUNDUP(S9/2,0)*('Parametros'!$B$7+'Parametros'!$B$9+'Parametros'!$B$12/2)+ROUNDDOWN(S9/2,0)*('Parametros'!$B$7+'Parametros'!$B$9+'Parametros'!$B$12/2+'Parametros'!$B$12+'Parametros'!$B$10))/S9)</f>
        <v>342.55</v>
      </c>
      <c r="V9" s="10">
        <f>S9*'Parametros'!$B$8</f>
        <v>796</v>
      </c>
      <c r="W9" s="10">
        <f>'Parametros'!$B$5*V9*'Parametros'!$B$3*(U9-(V9*'Parametros'!$B$3/(0.85*'Parametros'!$B$2*H9))/2)/1000000</f>
        <v>96.0248653411765</v>
      </c>
      <c r="X9" s="10" t="str">
        <f>IF(W9&gt;=J9,"CUMPLE","NO CUMPLE")</f>
        <v>CUMPLE</v>
      </c>
      <c r="Y9" s="10">
        <f>MAX(MAX(1.4/'Parametros'!$B$3,0.25*SQRT('Parametros'!$B$2)/'Parametros'!$B$3)*H9*AB9,(0.85*'Parametros'!$B$2/'Parametros'!$B$3)*(1-SQRT(1-2*(L9*1000000/('Parametros'!$B$5*H9*AB9^2))/(0.85*'Parametros'!$B$2)))*H9*AB9)</f>
        <v>616.575878061203</v>
      </c>
      <c r="Z9" s="17" t="n">
        <v>4</v>
      </c>
      <c r="AA9" s="18" t="n">
        <v>1</v>
      </c>
      <c r="AB9" s="10">
        <f>IF(AA9=1,I9-('Parametros'!$B$7+'Parametros'!$B$9+'Parametros'!$B$12/2),I9-(ROUNDUP(Z9/2,0)*('Parametros'!$B$7+'Parametros'!$B$9+'Parametros'!$B$12/2)+ROUNDDOWN(Z9/2,0)*('Parametros'!$B$7+'Parametros'!$B$9+'Parametros'!$B$12/2+'Parametros'!$B$12+'Parametros'!$B$10))/Z9)</f>
        <v>342.55</v>
      </c>
      <c r="AC9" s="10">
        <f>Z9*'Parametros'!$B$8</f>
        <v>796</v>
      </c>
      <c r="AD9" s="10">
        <f>'Parametros'!$B$5*AC9*'Parametros'!$B$3*(AB9-(AC9*'Parametros'!$B$3/(0.85*'Parametros'!$B$2*H9))/2)/1000000</f>
        <v>96.0248653411765</v>
      </c>
      <c r="AE9" s="10" t="str">
        <f>IF(AD9&gt;=L9,"CUMPLE","NO CUMPLE")</f>
        <v>CUMPLE</v>
      </c>
      <c r="AF9" s="10">
        <f>V9*1.25*'Parametros'!$B$3*(U9-(V9*1.25*'Parametros'!$B$3/(0.85*'Parametros'!$B$2*H9))/2)/1000000</f>
        <v>130.921924411765</v>
      </c>
      <c r="AG9" s="10">
        <f>AC9*1.25*'Parametros'!$B$3*(AB9-(AC9*1.25*'Parametros'!$B$3/(0.85*'Parametros'!$B$2*H9))/2)/1000000</f>
        <v>130.921924411765</v>
      </c>
      <c r="AH9" s="10">
        <f>N9+(AF9+AG9)/D9</f>
        <v>117.446389304813</v>
      </c>
      <c r="AI9" s="10">
        <f>MIN(O9,MAX(N9,AH9))</f>
        <v>117.446389304813</v>
      </c>
      <c r="AJ9" s="10">
        <f>0.17*SQRT('Parametros'!$B$2)*H9*MIN(U9,AB9)/1000</f>
        <v>92.4428153837279</v>
      </c>
      <c r="AK9" s="10">
        <f>MAX(AI9/'Parametros'!$B$6-AJ9,0)</f>
        <v>64.1523703560225</v>
      </c>
      <c r="AL9" s="10">
        <f>0.66*SQRT('Parametros'!$B$2)*H9*MIN(U9,AB9)/1000</f>
        <v>358.89563619565</v>
      </c>
      <c r="AM9" s="10" t="str">
        <f>IF(AK9&lt;=AL9,"CUMPLE","NO CUMPLE")</f>
        <v>CUMPLE</v>
      </c>
      <c r="AN9" s="15" t="inlineStr">
        <is>
          <t>Nº3 cerrado</t>
        </is>
      </c>
      <c r="AO9" s="17" t="n">
        <v>2</v>
      </c>
      <c r="AP9" s="10">
        <f>ROUNDDOWN(MIN(IF(AK9=0,1000000000,AO9*'Parametros'!$B$11*'Parametros'!$B$4*MIN(U9,AB9)/(AK9*1000)),IF(AV9=0,1000000000,'Parametros'!$B$11/AV9),MIN(U9,AB9)/4,8*'Parametros'!$B$12,24*'Parametros'!$B$9,300)/10,0)*10</f>
        <v>80</v>
      </c>
      <c r="AQ9" s="10">
        <f>ROUNDDOWN(MIN(IF(AK9=0,1000000000,AO9*'Parametros'!$B$11*'Parametros'!$B$4*MIN(U9,AB9)/(AK9*1000)),IF(AV9=0,1000000000,'Parametros'!$B$11/AV9),MIN(U9,AB9)/2,600)/10,0)*10</f>
        <v>170</v>
      </c>
      <c r="AR9" s="10">
        <f>'Parametros'!$B$6*(AJ9+AO9*'Parametros'!$B$11*'Parametros'!$B$4*MIN(U9,AB9)/AP9/1000)</f>
        <v>260.860380287796</v>
      </c>
      <c r="AS9" s="10" t="str">
        <f>IF(AND(AM9="CUMPLE",AR9&gt;=AI9),"CUMPLE","NO CUMPLE")</f>
        <v>CUMPLE</v>
      </c>
      <c r="AT9" s="10">
        <f>'Parametros'!$B$6*0.083*SQRT('Parametros'!$B$2)*(H9*I9)^2/(2*(H9+I9))/1000000</f>
        <v>3.38807353605471</v>
      </c>
      <c r="AU9" s="10" t="str">
        <f>IF(Q9&lt;=AT9,"DESPRECIABLE","DISEÑAR")</f>
        <v>DISEÑAR</v>
      </c>
      <c r="AV9" s="10">
        <f>IF(Q9&lt;=AT9,0,Q9*1000000/('Parametros'!$B$6*2*0.85*(H9-2*'Parametros'!$B$7)*(I9-2*'Parametros'!$B$7)*'Parametros'!$B$4))</f>
        <v>0.273427552839318</v>
      </c>
      <c r="AW9" s="10">
        <f>AV9*2*((H9-2*'Parametros'!$B$7)+(I9-2*'Parametros'!$B$7))*'Parametros'!$B$4/'Parametros'!$B$3</f>
        <v>295.301757066463</v>
      </c>
      <c r="AX9" s="17" t="n">
        <v>2</v>
      </c>
      <c r="AY9" s="10" t="str">
        <f>IF(AV9=0,"DESPRECIABLE",IF('Parametros'!$B$11/AP9&gt;=AV9,"CUMPLE","NO CUMPLE"))</f>
        <v>CUMPLE</v>
      </c>
      <c r="AZ9" s="10" t="str">
        <f>IF(AND(X9="CUMPLE",AE9="CUMPLE",AS9="CUMPLE",OR(AY9="CUMPLE",AY9="DESPRECIABLE")),IF(OR(F9&lt;&gt;H9,G9&lt;&gt;I9),"CUMPLE - REANALIZAR SAP","CUMPLE"),"NO CUMPLE")</f>
        <v>CUMPLE</v>
      </c>
    </row>
    <row r="10">
      <c r="A10" s="23" t="inlineStr">
        <is>
          <t>VC7</t>
        </is>
      </c>
      <c r="B10" s="23" t="inlineStr">
        <is>
          <t>—</t>
        </is>
      </c>
      <c r="C10" s="10" t="n">
        <v>40</v>
      </c>
      <c r="D10" s="10" t="n">
        <v>2.65</v>
      </c>
      <c r="E10" s="10" t="n">
        <v>5.1</v>
      </c>
      <c r="F10" s="10" t="n">
        <v>300</v>
      </c>
      <c r="G10" s="10" t="n">
        <v>400</v>
      </c>
      <c r="H10" s="15" t="n">
        <v>300</v>
      </c>
      <c r="I10" s="15" t="n">
        <v>400</v>
      </c>
      <c r="J10" s="16" t="n">
        <v>93.8347</v>
      </c>
      <c r="K10" s="10" t="inlineStr">
        <is>
          <t>78</t>
        </is>
      </c>
      <c r="L10" s="16" t="n">
        <v>84.9896</v>
      </c>
      <c r="M10" s="10" t="inlineStr">
        <is>
          <t>274</t>
        </is>
      </c>
      <c r="N10" s="16" t="n">
        <v>67.467</v>
      </c>
      <c r="O10" s="16" t="n">
        <v>311.347</v>
      </c>
      <c r="P10" s="10" t="inlineStr">
        <is>
          <t>278</t>
        </is>
      </c>
      <c r="Q10" s="16" t="n">
        <v>8.896100000000001</v>
      </c>
      <c r="R10" s="10">
        <f>MAX(MAX(1.4/'Parametros'!$B$3,0.25*SQRT('Parametros'!$B$2)/'Parametros'!$B$3)*H10*U10,(0.85*'Parametros'!$B$2/'Parametros'!$B$3)*(1-SQRT(1-2*(J10*1000000/('Parametros'!$B$5*H10*U10^2))/(0.85*'Parametros'!$B$2)))*H10*U10)</f>
        <v>776.445302916668</v>
      </c>
      <c r="S10" s="17" t="n">
        <v>4</v>
      </c>
      <c r="T10" s="18" t="n">
        <v>1</v>
      </c>
      <c r="U10" s="10">
        <f>IF(T10=1,I10-('Parametros'!$B$7+'Parametros'!$B$9+'Parametros'!$B$12/2),I10-(ROUNDUP(S10/2,0)*('Parametros'!$B$7+'Parametros'!$B$9+'Parametros'!$B$12/2)+ROUNDDOWN(S10/2,0)*('Parametros'!$B$7+'Parametros'!$B$9+'Parametros'!$B$12/2+'Parametros'!$B$12+'Parametros'!$B$10))/S10)</f>
        <v>342.55</v>
      </c>
      <c r="V10" s="10">
        <f>S10*'Parametros'!$B$8</f>
        <v>796</v>
      </c>
      <c r="W10" s="10">
        <f>'Parametros'!$B$5*V10*'Parametros'!$B$3*(U10-(V10*'Parametros'!$B$3/(0.85*'Parametros'!$B$2*H10))/2)/1000000</f>
        <v>96.0248653411765</v>
      </c>
      <c r="X10" s="10" t="str">
        <f>IF(W10&gt;=J10,"CUMPLE","NO CUMPLE")</f>
        <v>CUMPLE</v>
      </c>
      <c r="Y10" s="10">
        <f>MAX(MAX(1.4/'Parametros'!$B$3,0.25*SQRT('Parametros'!$B$2)/'Parametros'!$B$3)*H10*AB10,(0.85*'Parametros'!$B$2/'Parametros'!$B$3)*(1-SQRT(1-2*(L10*1000000/('Parametros'!$B$5*H10*AB10^2))/(0.85*'Parametros'!$B$2)))*H10*AB10)</f>
        <v>698.231657294848</v>
      </c>
      <c r="Z10" s="17" t="n">
        <v>4</v>
      </c>
      <c r="AA10" s="18" t="n">
        <v>1</v>
      </c>
      <c r="AB10" s="10">
        <f>IF(AA10=1,I10-('Parametros'!$B$7+'Parametros'!$B$9+'Parametros'!$B$12/2),I10-(ROUNDUP(Z10/2,0)*('Parametros'!$B$7+'Parametros'!$B$9+'Parametros'!$B$12/2)+ROUNDDOWN(Z10/2,0)*('Parametros'!$B$7+'Parametros'!$B$9+'Parametros'!$B$12/2+'Parametros'!$B$12+'Parametros'!$B$10))/Z10)</f>
        <v>342.55</v>
      </c>
      <c r="AC10" s="10">
        <f>Z10*'Parametros'!$B$8</f>
        <v>796</v>
      </c>
      <c r="AD10" s="10">
        <f>'Parametros'!$B$5*AC10*'Parametros'!$B$3*(AB10-(AC10*'Parametros'!$B$3/(0.85*'Parametros'!$B$2*H10))/2)/1000000</f>
        <v>96.0248653411765</v>
      </c>
      <c r="AE10" s="10" t="str">
        <f>IF(AD10&gt;=L10,"CUMPLE","NO CUMPLE")</f>
        <v>CUMPLE</v>
      </c>
      <c r="AF10" s="10">
        <f>V10*1.25*'Parametros'!$B$3*(U10-(V10*1.25*'Parametros'!$B$3/(0.85*'Parametros'!$B$2*H10))/2)/1000000</f>
        <v>130.921924411765</v>
      </c>
      <c r="AG10" s="10">
        <f>AC10*1.25*'Parametros'!$B$3*(AB10-(AC10*1.25*'Parametros'!$B$3/(0.85*'Parametros'!$B$2*H10))/2)/1000000</f>
        <v>130.921924411765</v>
      </c>
      <c r="AH10" s="10">
        <f>N10+(AF10+AG10)/D10</f>
        <v>166.275999556049</v>
      </c>
      <c r="AI10" s="10">
        <f>MIN(O10,MAX(N10,AH10))</f>
        <v>166.275999556049</v>
      </c>
      <c r="AJ10" s="10">
        <f>0.17*SQRT('Parametros'!$B$2)*H10*MIN(U10,AB10)/1000</f>
        <v>92.4428153837279</v>
      </c>
      <c r="AK10" s="10">
        <f>MAX(AI10/'Parametros'!$B$6-AJ10,0)</f>
        <v>129.258517357671</v>
      </c>
      <c r="AL10" s="10">
        <f>0.66*SQRT('Parametros'!$B$2)*H10*MIN(U10,AB10)/1000</f>
        <v>358.89563619565</v>
      </c>
      <c r="AM10" s="10" t="str">
        <f>IF(AK10&lt;=AL10,"CUMPLE","NO CUMPLE")</f>
        <v>CUMPLE</v>
      </c>
      <c r="AN10" s="15" t="inlineStr">
        <is>
          <t>Nº3 cerrado</t>
        </is>
      </c>
      <c r="AO10" s="17" t="n">
        <v>2</v>
      </c>
      <c r="AP10" s="10">
        <f>ROUNDDOWN(MIN(IF(AK10=0,1000000000,AO10*'Parametros'!$B$11*'Parametros'!$B$4*MIN(U10,AB10)/(AK10*1000)),IF(AV10=0,1000000000,'Parametros'!$B$11/AV10),MIN(U10,AB10)/4,8*'Parametros'!$B$12,24*'Parametros'!$B$9,300)/10,0)*10</f>
        <v>80</v>
      </c>
      <c r="AQ10" s="10">
        <f>ROUNDDOWN(MIN(IF(AK10=0,1000000000,AO10*'Parametros'!$B$11*'Parametros'!$B$4*MIN(U10,AB10)/(AK10*1000)),IF(AV10=0,1000000000,'Parametros'!$B$11/AV10),MIN(U10,AB10)/2,600)/10,0)*10</f>
        <v>150</v>
      </c>
      <c r="AR10" s="10">
        <f>'Parametros'!$B$6*(AJ10+AO10*'Parametros'!$B$11*'Parametros'!$B$4*MIN(U10,AB10)/AP10/1000)</f>
        <v>260.860380287796</v>
      </c>
      <c r="AS10" s="10" t="str">
        <f>IF(AND(AM10="CUMPLE",AR10&gt;=AI10),"CUMPLE","NO CUMPLE")</f>
        <v>CUMPLE</v>
      </c>
      <c r="AT10" s="10">
        <f>'Parametros'!$B$6*0.083*SQRT('Parametros'!$B$2)*(H10*I10)^2/(2*(H10+I10))/1000000</f>
        <v>3.38807353605471</v>
      </c>
      <c r="AU10" s="10" t="str">
        <f>IF(Q10&lt;=AT10,"DESPRECIABLE","DISEÑAR")</f>
        <v>DISEÑAR</v>
      </c>
      <c r="AV10" s="10">
        <f>IF(Q10&lt;=AT10,0,Q10*1000000/('Parametros'!$B$6*2*0.85*(H10-2*'Parametros'!$B$7)*(I10-2*'Parametros'!$B$7)*'Parametros'!$B$4))</f>
        <v>0.23597582972583</v>
      </c>
      <c r="AW10" s="10">
        <f>AV10*2*((H10-2*'Parametros'!$B$7)+(I10-2*'Parametros'!$B$7))*'Parametros'!$B$4/'Parametros'!$B$3</f>
        <v>254.853896103896</v>
      </c>
      <c r="AX10" s="17" t="n">
        <v>2</v>
      </c>
      <c r="AY10" s="10" t="str">
        <f>IF(AV10=0,"DESPRECIABLE",IF('Parametros'!$B$11/AP10&gt;=AV10,"CUMPLE","NO CUMPLE"))</f>
        <v>CUMPLE</v>
      </c>
      <c r="AZ10" s="10" t="str">
        <f>IF(AND(X10="CUMPLE",AE10="CUMPLE",AS10="CUMPLE",OR(AY10="CUMPLE",AY10="DESPRECIABLE")),IF(OR(F10&lt;&gt;H10,G10&lt;&gt;I10),"CUMPLE - REANALIZAR SAP","CUMPLE"),"NO CUMPLE")</f>
        <v>CUMPLE</v>
      </c>
    </row>
  </sheetData>
  <autoFilter ref="A3:AZ10"/>
  <mergeCells count="2">
    <mergeCell ref="A2:AZ2"/>
    <mergeCell ref="A1:AZ1"/>
  </mergeCells>
  <conditionalFormatting sqref="X4:X10">
    <cfRule type="cellIs" priority="1" operator="equal" dxfId="0">
      <formula>"CUMPLE"</formula>
    </cfRule>
  </conditionalFormatting>
  <conditionalFormatting sqref="AE4:AE10">
    <cfRule type="cellIs" priority="2" operator="equal" dxfId="0">
      <formula>"CUMPLE"</formula>
    </cfRule>
  </conditionalFormatting>
  <conditionalFormatting sqref="AS4:AS10">
    <cfRule type="cellIs" priority="3" operator="equal" dxfId="0">
      <formula>"CUMPLE"</formula>
    </cfRule>
  </conditionalFormatting>
  <conditionalFormatting sqref="AZ4:AZ10"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>
      <c r="A1" s="11" t="inlineStr">
        <is>
          <t>DISEÑO DE VIGAS — VIGAS DE RIGIDEZ (5)</t>
        </is>
      </c>
    </row>
    <row r="2">
      <c r="A2" s="12" t="inlineStr">
        <is>
          <t>ENVFLEX: flexión y torsión. ENVCORT: límite elástico de cortante. Vu diseño DMO = mín(ENVCORT; máx[ENVFLEX; Vcap]).</t>
        </is>
      </c>
    </row>
    <row r="3" ht="64" customHeight="1">
      <c r="A3" s="13" t="inlineStr">
        <is>
          <t>Grupo</t>
        </is>
      </c>
      <c r="B3" s="13" t="inlineStr">
        <is>
          <t>Frame</t>
        </is>
      </c>
      <c r="C3" s="13" t="inlineStr">
        <is>
          <t>N vigas</t>
        </is>
      </c>
      <c r="D3" s="13" t="inlineStr">
        <is>
          <t>L mín (m)</t>
        </is>
      </c>
      <c r="E3" s="13" t="inlineStr">
        <is>
          <t>L máx (m)</t>
        </is>
      </c>
      <c r="F3" s="13" t="inlineStr">
        <is>
          <t>b modelo (mm)</t>
        </is>
      </c>
      <c r="G3" s="13" t="inlineStr">
        <is>
          <t>h modelo (mm)</t>
        </is>
      </c>
      <c r="H3" s="13" t="inlineStr">
        <is>
          <t>b adopt. (mm)</t>
        </is>
      </c>
      <c r="I3" s="13" t="inlineStr">
        <is>
          <t>h adopt. (mm)</t>
        </is>
      </c>
      <c r="J3" s="13" t="inlineStr">
        <is>
          <t>Mu− ENVFLEX (kN·m)</t>
        </is>
      </c>
      <c r="K3" s="13" t="inlineStr">
        <is>
          <t>Frame Mu−</t>
        </is>
      </c>
      <c r="L3" s="13" t="inlineStr">
        <is>
          <t>Mu+ ENVFLEX (kN·m)</t>
        </is>
      </c>
      <c r="M3" s="13" t="inlineStr">
        <is>
          <t>Frame Mu+</t>
        </is>
      </c>
      <c r="N3" s="13" t="inlineStr">
        <is>
          <t>Vu ENVFLEX (kN)</t>
        </is>
      </c>
      <c r="O3" s="13" t="inlineStr">
        <is>
          <t>Vu ENVCORT (kN)</t>
        </is>
      </c>
      <c r="P3" s="13" t="inlineStr">
        <is>
          <t>Frame Vu</t>
        </is>
      </c>
      <c r="Q3" s="13" t="inlineStr">
        <is>
          <t>Tu ENVFLEX (kN·m)</t>
        </is>
      </c>
      <c r="R3" s="13" t="inlineStr">
        <is>
          <t>As req. sup (mm²)</t>
        </is>
      </c>
      <c r="S3" s="13" t="inlineStr">
        <is>
          <t>Nº5 sup</t>
        </is>
      </c>
      <c r="T3" s="13" t="inlineStr">
        <is>
          <t>Capas sup</t>
        </is>
      </c>
      <c r="U3" s="13" t="inlineStr">
        <is>
          <t>d sup (mm)</t>
        </is>
      </c>
      <c r="V3" s="13" t="inlineStr">
        <is>
          <t>As prov. sup (mm²)</t>
        </is>
      </c>
      <c r="W3" s="13" t="inlineStr">
        <is>
          <t>φMn− (kN·m)</t>
        </is>
      </c>
      <c r="X3" s="13" t="inlineStr">
        <is>
          <t>Flexión −</t>
        </is>
      </c>
      <c r="Y3" s="13" t="inlineStr">
        <is>
          <t>As req. inf (mm²)</t>
        </is>
      </c>
      <c r="Z3" s="13" t="inlineStr">
        <is>
          <t>Nº5 inf</t>
        </is>
      </c>
      <c r="AA3" s="13" t="inlineStr">
        <is>
          <t>Capas inf</t>
        </is>
      </c>
      <c r="AB3" s="13" t="inlineStr">
        <is>
          <t>d inf (mm)</t>
        </is>
      </c>
      <c r="AC3" s="13" t="inlineStr">
        <is>
          <t>As prov. inf (mm²)</t>
        </is>
      </c>
      <c r="AD3" s="13" t="inlineStr">
        <is>
          <t>φMn+ (kN·m)</t>
        </is>
      </c>
      <c r="AE3" s="13" t="inlineStr">
        <is>
          <t>Flexión +</t>
        </is>
      </c>
      <c r="AF3" s="13" t="inlineStr">
        <is>
          <t>Mpr− (kN·m)</t>
        </is>
      </c>
      <c r="AG3" s="13" t="inlineStr">
        <is>
          <t>Mpr+ (kN·m)</t>
        </is>
      </c>
      <c r="AH3" s="13" t="inlineStr">
        <is>
          <t>Vcap (kN)</t>
        </is>
      </c>
      <c r="AI3" s="13" t="inlineStr">
        <is>
          <t>Vu diseño (kN)</t>
        </is>
      </c>
      <c r="AJ3" s="13" t="inlineStr">
        <is>
          <t>Vc (kN)</t>
        </is>
      </c>
      <c r="AK3" s="13" t="inlineStr">
        <is>
          <t>Vs req. (kN)</t>
        </is>
      </c>
      <c r="AL3" s="13" t="inlineStr">
        <is>
          <t>Vs máx. (kN)</t>
        </is>
      </c>
      <c r="AM3" s="13" t="inlineStr">
        <is>
          <t>Sección cortante</t>
        </is>
      </c>
      <c r="AN3" s="13" t="inlineStr">
        <is>
          <t>Estribo</t>
        </is>
      </c>
      <c r="AO3" s="13" t="inlineStr">
        <is>
          <t>Ramas</t>
        </is>
      </c>
      <c r="AP3" s="13" t="inlineStr">
        <is>
          <t>s extremo DMO (mm)</t>
        </is>
      </c>
      <c r="AQ3" s="13" t="inlineStr">
        <is>
          <t>s centro (mm)</t>
        </is>
      </c>
      <c r="AR3" s="13" t="inlineStr">
        <is>
          <t>φVn (kN)</t>
        </is>
      </c>
      <c r="AS3" s="13" t="inlineStr">
        <is>
          <t>Cortante</t>
        </is>
      </c>
      <c r="AT3" s="13" t="inlineStr">
        <is>
          <t>φTth (kN·m)</t>
        </is>
      </c>
      <c r="AU3" s="13" t="inlineStr">
        <is>
          <t>Torsión</t>
        </is>
      </c>
      <c r="AV3" s="13" t="inlineStr">
        <is>
          <t>At/s (mm²/mm)</t>
        </is>
      </c>
      <c r="AW3" s="13" t="inlineStr">
        <is>
          <t>Al (mm²)</t>
        </is>
      </c>
      <c r="AX3" s="13" t="inlineStr">
        <is>
          <t>Nº5 torsión</t>
        </is>
      </c>
      <c r="AY3" s="13" t="inlineStr">
        <is>
          <t>Chequeo torsión</t>
        </is>
      </c>
      <c r="AZ3" s="13" t="inlineStr">
        <is>
          <t>ESTADO</t>
        </is>
      </c>
    </row>
    <row r="4">
      <c r="A4" s="24" t="inlineStr">
        <is>
          <t>VR1</t>
        </is>
      </c>
      <c r="B4" s="24" t="inlineStr">
        <is>
          <t>—</t>
        </is>
      </c>
      <c r="C4" s="10" t="n">
        <v>80</v>
      </c>
      <c r="D4" s="10" t="n">
        <v>2.5</v>
      </c>
      <c r="E4" s="10" t="n">
        <v>4</v>
      </c>
      <c r="F4" s="10" t="n">
        <v>350</v>
      </c>
      <c r="G4" s="10" t="n">
        <v>400</v>
      </c>
      <c r="H4" s="15" t="n">
        <v>350</v>
      </c>
      <c r="I4" s="15" t="n">
        <v>400</v>
      </c>
      <c r="J4" s="16" t="n">
        <v>111.8179</v>
      </c>
      <c r="K4" s="10" t="inlineStr">
        <is>
          <t>250</t>
        </is>
      </c>
      <c r="L4" s="16" t="n">
        <v>83.0823</v>
      </c>
      <c r="M4" s="10" t="inlineStr">
        <is>
          <t>251</t>
        </is>
      </c>
      <c r="N4" s="16" t="n">
        <v>112.744</v>
      </c>
      <c r="O4" s="16" t="n">
        <v>401.413</v>
      </c>
      <c r="P4" s="10" t="inlineStr">
        <is>
          <t>251</t>
        </is>
      </c>
      <c r="Q4" s="16" t="n">
        <v>4.3221</v>
      </c>
      <c r="R4" s="10">
        <f>MAX(MAX(1.4/'Parametros'!$B$3,0.25*SQRT('Parametros'!$B$2)/'Parametros'!$B$3)*H4*U4,(0.85*'Parametros'!$B$2/'Parametros'!$B$3)*(1-SQRT(1-2*(J4*1000000/('Parametros'!$B$5*H4*U4^2))/(0.85*'Parametros'!$B$2)))*H4*U4)</f>
        <v>926.778431819111</v>
      </c>
      <c r="S4" s="17" t="n">
        <v>5</v>
      </c>
      <c r="T4" s="18" t="n">
        <v>1</v>
      </c>
      <c r="U4" s="10">
        <f>IF(T4=1,I4-('Parametros'!$B$7+'Parametros'!$B$9+'Parametros'!$B$12/2),I4-(ROUNDUP(S4/2,0)*('Parametros'!$B$7+'Parametros'!$B$9+'Parametros'!$B$12/2)+ROUNDDOWN(S4/2,0)*('Parametros'!$B$7+'Parametros'!$B$9+'Parametros'!$B$12/2+'Parametros'!$B$12+'Parametros'!$B$10))/S4)</f>
        <v>342.55</v>
      </c>
      <c r="V4" s="10">
        <f>S4*'Parametros'!$B$8</f>
        <v>995</v>
      </c>
      <c r="W4" s="10">
        <f>'Parametros'!$B$5*V4*'Parametros'!$B$3*(U4-(V4*'Parametros'!$B$3/(0.85*'Parametros'!$B$2*H4))/2)/1000000</f>
        <v>119.402124617647</v>
      </c>
      <c r="X4" s="10" t="str">
        <f>IF(W4&gt;=J4,"CUMPLE","NO CUMPLE")</f>
        <v>CUMPLE</v>
      </c>
      <c r="Y4" s="10">
        <f>MAX(MAX(1.4/'Parametros'!$B$3,0.25*SQRT('Parametros'!$B$2)/'Parametros'!$B$3)*H4*AB4,(0.85*'Parametros'!$B$2/'Parametros'!$B$3)*(1-SQRT(1-2*(L4*1000000/('Parametros'!$B$5*H4*AB4^2))/(0.85*'Parametros'!$B$2)))*H4*AB4)</f>
        <v>675.192987872887</v>
      </c>
      <c r="Z4" s="17" t="n">
        <v>4</v>
      </c>
      <c r="AA4" s="18" t="n">
        <v>1</v>
      </c>
      <c r="AB4" s="10">
        <f>IF(AA4=1,I4-('Parametros'!$B$7+'Parametros'!$B$9+'Parametros'!$B$12/2),I4-(ROUNDUP(Z4/2,0)*('Parametros'!$B$7+'Parametros'!$B$9+'Parametros'!$B$12/2)+ROUNDDOWN(Z4/2,0)*('Parametros'!$B$7+'Parametros'!$B$9+'Parametros'!$B$12/2+'Parametros'!$B$12+'Parametros'!$B$10))/Z4)</f>
        <v>342.55</v>
      </c>
      <c r="AC4" s="10">
        <f>Z4*'Parametros'!$B$8</f>
        <v>796</v>
      </c>
      <c r="AD4" s="10">
        <f>'Parametros'!$B$5*AC4*'Parametros'!$B$3*(AB4-(AC4*'Parametros'!$B$3/(0.85*'Parametros'!$B$2*H4))/2)/1000000</f>
        <v>97.0311966352941</v>
      </c>
      <c r="AE4" s="10" t="str">
        <f>IF(AD4&gt;=L4,"CUMPLE","NO CUMPLE")</f>
        <v>CUMPLE</v>
      </c>
      <c r="AF4" s="10">
        <f>V4*1.25*'Parametros'!$B$3*(U4-(V4*1.25*'Parametros'!$B$3/(0.85*'Parametros'!$B$2*H4))/2)/1000000</f>
        <v>162.560466176471</v>
      </c>
      <c r="AG4" s="10">
        <f>AC4*1.25*'Parametros'!$B$3*(AB4-(AC4*1.25*'Parametros'!$B$3/(0.85*'Parametros'!$B$2*H4))/2)/1000000</f>
        <v>132.669027352941</v>
      </c>
      <c r="AH4" s="10">
        <f>N4+(AF4+AG4)/D4</f>
        <v>230.835797411765</v>
      </c>
      <c r="AI4" s="10">
        <f>MIN(O4,MAX(N4,AH4))</f>
        <v>230.835797411765</v>
      </c>
      <c r="AJ4" s="10">
        <f>0.17*SQRT('Parametros'!$B$2)*H4*MIN(U4,AB4)/1000</f>
        <v>107.849951281016</v>
      </c>
      <c r="AK4" s="10">
        <f>MAX(AI4/'Parametros'!$B$6-AJ4,0)</f>
        <v>199.93111193467</v>
      </c>
      <c r="AL4" s="10">
        <f>0.66*SQRT('Parametros'!$B$2)*H4*MIN(U4,AB4)/1000</f>
        <v>418.711575561591</v>
      </c>
      <c r="AM4" s="10" t="str">
        <f>IF(AK4&lt;=AL4,"CUMPLE","NO CUMPLE")</f>
        <v>CUMPLE</v>
      </c>
      <c r="AN4" s="15" t="inlineStr">
        <is>
          <t>Nº3 cerrado</t>
        </is>
      </c>
      <c r="AO4" s="17" t="n">
        <v>2</v>
      </c>
      <c r="AP4" s="10">
        <f>ROUNDDOWN(MIN(IF(AK4=0,1000000000,AO4*'Parametros'!$B$11*'Parametros'!$B$4*MIN(U4,AB4)/(AK4*1000)),IF(AV4=0,1000000000,'Parametros'!$B$11/AV4),MIN(U4,AB4)/4,8*'Parametros'!$B$12,24*'Parametros'!$B$9,300)/10,0)*10</f>
        <v>80</v>
      </c>
      <c r="AQ4" s="10">
        <f>ROUNDDOWN(MIN(IF(AK4=0,1000000000,AO4*'Parametros'!$B$11*'Parametros'!$B$4*MIN(U4,AB4)/(AK4*1000)),IF(AV4=0,1000000000,'Parametros'!$B$11/AV4),MIN(U4,AB4)/2,600)/10,0)*10</f>
        <v>100</v>
      </c>
      <c r="AR4" s="10">
        <f>'Parametros'!$B$6*(AJ4+AO4*'Parametros'!$B$11*'Parametros'!$B$4*MIN(U4,AB4)/AP4/1000)</f>
        <v>272.415732210762</v>
      </c>
      <c r="AS4" s="10" t="str">
        <f>IF(AND(AM4="CUMPLE",AR4&gt;=AI4),"CUMPLE","NO CUMPLE")</f>
        <v>CUMPLE</v>
      </c>
      <c r="AT4" s="10">
        <f>'Parametros'!$B$6*0.083*SQRT('Parametros'!$B$2)*(H4*I4)^2/(2*(H4+I4))/1000000</f>
        <v>4.30410823283988</v>
      </c>
      <c r="AU4" s="10" t="str">
        <f>IF(Q4&lt;=AT4,"DESPRECIABLE","DISEÑAR")</f>
        <v>DISEÑAR</v>
      </c>
      <c r="AV4" s="10">
        <f>IF(Q4&lt;=AT4,0,Q4*1000000/('Parametros'!$B$6*2*0.85*(H4-2*'Parametros'!$B$7)*(I4-2*'Parametros'!$B$7)*'Parametros'!$B$4))</f>
        <v>0.0934160701317564</v>
      </c>
      <c r="AW4" s="10">
        <f>AV4*2*((H4-2*'Parametros'!$B$7)+(I4-2*'Parametros'!$B$7))*'Parametros'!$B$4/'Parametros'!$B$3</f>
        <v>110.230962755473</v>
      </c>
      <c r="AX4" s="17" t="n">
        <v>1</v>
      </c>
      <c r="AY4" s="10" t="str">
        <f>IF(AV4=0,"DESPRECIABLE",IF('Parametros'!$B$11/AP4&gt;=AV4,"CUMPLE","NO CUMPLE"))</f>
        <v>CUMPLE</v>
      </c>
      <c r="AZ4" s="10" t="str">
        <f>IF(AND(X4="CUMPLE",AE4="CUMPLE",AS4="CUMPLE",OR(AY4="CUMPLE",AY4="DESPRECIABLE")),IF(OR(F4&lt;&gt;H4,G4&lt;&gt;I4),"CUMPLE - REANALIZAR SAP","CUMPLE"),"NO CUMPLE")</f>
        <v>CUMPLE</v>
      </c>
    </row>
    <row r="5">
      <c r="A5" s="25" t="inlineStr">
        <is>
          <t>VR N1</t>
        </is>
      </c>
      <c r="B5" s="25" t="inlineStr">
        <is>
          <t>—</t>
        </is>
      </c>
      <c r="C5" s="10" t="n">
        <v>22</v>
      </c>
      <c r="D5" s="10" t="n">
        <v>2.5</v>
      </c>
      <c r="E5" s="10" t="n">
        <v>5.5</v>
      </c>
      <c r="F5" s="10" t="n">
        <v>350</v>
      </c>
      <c r="G5" s="10" t="n">
        <v>400</v>
      </c>
      <c r="H5" s="15" t="n">
        <v>350</v>
      </c>
      <c r="I5" s="15" t="n">
        <v>400</v>
      </c>
      <c r="J5" s="16" t="n">
        <v>117.1158</v>
      </c>
      <c r="K5" s="10" t="inlineStr">
        <is>
          <t>48</t>
        </is>
      </c>
      <c r="L5" s="16" t="n">
        <v>92.12869999999999</v>
      </c>
      <c r="M5" s="10" t="inlineStr">
        <is>
          <t>51</t>
        </is>
      </c>
      <c r="N5" s="16" t="n">
        <v>119.664</v>
      </c>
      <c r="O5" s="16" t="n">
        <v>433.097</v>
      </c>
      <c r="P5" s="10" t="inlineStr">
        <is>
          <t>51</t>
        </is>
      </c>
      <c r="Q5" s="16" t="n">
        <v>5.0074</v>
      </c>
      <c r="R5" s="10">
        <f>MAX(MAX(1.4/'Parametros'!$B$3,0.25*SQRT('Parametros'!$B$2)/'Parametros'!$B$3)*H5*U5,(0.85*'Parametros'!$B$2/'Parametros'!$B$3)*(1-SQRT(1-2*(J5*1000000/('Parametros'!$B$5*H5*U5^2))/(0.85*'Parametros'!$B$2)))*H5*U5)</f>
        <v>974.349861068751</v>
      </c>
      <c r="S5" s="17" t="n">
        <v>5</v>
      </c>
      <c r="T5" s="18" t="n">
        <v>1</v>
      </c>
      <c r="U5" s="10">
        <f>IF(T5=1,I5-('Parametros'!$B$7+'Parametros'!$B$9+'Parametros'!$B$12/2),I5-(ROUNDUP(S5/2,0)*('Parametros'!$B$7+'Parametros'!$B$9+'Parametros'!$B$12/2)+ROUNDDOWN(S5/2,0)*('Parametros'!$B$7+'Parametros'!$B$9+'Parametros'!$B$12/2+'Parametros'!$B$12+'Parametros'!$B$10))/S5)</f>
        <v>342.55</v>
      </c>
      <c r="V5" s="10">
        <f>S5*'Parametros'!$B$8</f>
        <v>995</v>
      </c>
      <c r="W5" s="10">
        <f>'Parametros'!$B$5*V5*'Parametros'!$B$3*(U5-(V5*'Parametros'!$B$3/(0.85*'Parametros'!$B$2*H5))/2)/1000000</f>
        <v>119.402124617647</v>
      </c>
      <c r="X5" s="10" t="str">
        <f>IF(W5&gt;=J5,"CUMPLE","NO CUMPLE")</f>
        <v>CUMPLE</v>
      </c>
      <c r="Y5" s="10">
        <f>MAX(MAX(1.4/'Parametros'!$B$3,0.25*SQRT('Parametros'!$B$2)/'Parametros'!$B$3)*H5*AB5,(0.85*'Parametros'!$B$2/'Parametros'!$B$3)*(1-SQRT(1-2*(L5*1000000/('Parametros'!$B$5*H5*AB5^2))/(0.85*'Parametros'!$B$2)))*H5*AB5)</f>
        <v>753.265660692761</v>
      </c>
      <c r="Z5" s="17" t="n">
        <v>4</v>
      </c>
      <c r="AA5" s="18" t="n">
        <v>1</v>
      </c>
      <c r="AB5" s="10">
        <f>IF(AA5=1,I5-('Parametros'!$B$7+'Parametros'!$B$9+'Parametros'!$B$12/2),I5-(ROUNDUP(Z5/2,0)*('Parametros'!$B$7+'Parametros'!$B$9+'Parametros'!$B$12/2)+ROUNDDOWN(Z5/2,0)*('Parametros'!$B$7+'Parametros'!$B$9+'Parametros'!$B$12/2+'Parametros'!$B$12+'Parametros'!$B$10))/Z5)</f>
        <v>342.55</v>
      </c>
      <c r="AC5" s="10">
        <f>Z5*'Parametros'!$B$8</f>
        <v>796</v>
      </c>
      <c r="AD5" s="10">
        <f>'Parametros'!$B$5*AC5*'Parametros'!$B$3*(AB5-(AC5*'Parametros'!$B$3/(0.85*'Parametros'!$B$2*H5))/2)/1000000</f>
        <v>97.0311966352941</v>
      </c>
      <c r="AE5" s="10" t="str">
        <f>IF(AD5&gt;=L5,"CUMPLE","NO CUMPLE")</f>
        <v>CUMPLE</v>
      </c>
      <c r="AF5" s="10">
        <f>V5*1.25*'Parametros'!$B$3*(U5-(V5*1.25*'Parametros'!$B$3/(0.85*'Parametros'!$B$2*H5))/2)/1000000</f>
        <v>162.560466176471</v>
      </c>
      <c r="AG5" s="10">
        <f>AC5*1.25*'Parametros'!$B$3*(AB5-(AC5*1.25*'Parametros'!$B$3/(0.85*'Parametros'!$B$2*H5))/2)/1000000</f>
        <v>132.669027352941</v>
      </c>
      <c r="AH5" s="10">
        <f>N5+(AF5+AG5)/D5</f>
        <v>237.755797411765</v>
      </c>
      <c r="AI5" s="10">
        <f>MIN(O5,MAX(N5,AH5))</f>
        <v>237.755797411765</v>
      </c>
      <c r="AJ5" s="10">
        <f>0.17*SQRT('Parametros'!$B$2)*H5*MIN(U5,AB5)/1000</f>
        <v>107.849951281016</v>
      </c>
      <c r="AK5" s="10">
        <f>MAX(AI5/'Parametros'!$B$6-AJ5,0)</f>
        <v>209.157778601337</v>
      </c>
      <c r="AL5" s="10">
        <f>0.66*SQRT('Parametros'!$B$2)*H5*MIN(U5,AB5)/1000</f>
        <v>418.711575561591</v>
      </c>
      <c r="AM5" s="10" t="str">
        <f>IF(AK5&lt;=AL5,"CUMPLE","NO CUMPLE")</f>
        <v>CUMPLE</v>
      </c>
      <c r="AN5" s="15" t="inlineStr">
        <is>
          <t>Nº3 cerrado</t>
        </is>
      </c>
      <c r="AO5" s="17" t="n">
        <v>2</v>
      </c>
      <c r="AP5" s="10">
        <f>ROUNDDOWN(MIN(IF(AK5=0,1000000000,AO5*'Parametros'!$B$11*'Parametros'!$B$4*MIN(U5,AB5)/(AK5*1000)),IF(AV5=0,1000000000,'Parametros'!$B$11/AV5),MIN(U5,AB5)/4,8*'Parametros'!$B$12,24*'Parametros'!$B$9,300)/10,0)*10</f>
        <v>80</v>
      </c>
      <c r="AQ5" s="10">
        <f>ROUNDDOWN(MIN(IF(AK5=0,1000000000,AO5*'Parametros'!$B$11*'Parametros'!$B$4*MIN(U5,AB5)/(AK5*1000)),IF(AV5=0,1000000000,'Parametros'!$B$11/AV5),MIN(U5,AB5)/2,600)/10,0)*10</f>
        <v>90</v>
      </c>
      <c r="AR5" s="10">
        <f>'Parametros'!$B$6*(AJ5+AO5*'Parametros'!$B$11*'Parametros'!$B$4*MIN(U5,AB5)/AP5/1000)</f>
        <v>272.415732210762</v>
      </c>
      <c r="AS5" s="10" t="str">
        <f>IF(AND(AM5="CUMPLE",AR5&gt;=AI5),"CUMPLE","NO CUMPLE")</f>
        <v>CUMPLE</v>
      </c>
      <c r="AT5" s="10">
        <f>'Parametros'!$B$6*0.083*SQRT('Parametros'!$B$2)*(H5*I5)^2/(2*(H5+I5))/1000000</f>
        <v>4.30410823283988</v>
      </c>
      <c r="AU5" s="10" t="str">
        <f>IF(Q5&lt;=AT5,"DESPRECIABLE","DISEÑAR")</f>
        <v>DISEÑAR</v>
      </c>
      <c r="AV5" s="10">
        <f>IF(Q5&lt;=AT5,0,Q5*1000000/('Parametros'!$B$6*2*0.85*(H5-2*'Parametros'!$B$7)*(I5-2*'Parametros'!$B$7)*'Parametros'!$B$4))</f>
        <v>0.108227859044853</v>
      </c>
      <c r="AW5" s="10">
        <f>AV5*2*((H5-2*'Parametros'!$B$7)+(I5-2*'Parametros'!$B$7))*'Parametros'!$B$4/'Parametros'!$B$3</f>
        <v>127.708873672926</v>
      </c>
      <c r="AX5" s="17" t="n">
        <v>1</v>
      </c>
      <c r="AY5" s="10" t="str">
        <f>IF(AV5=0,"DESPRECIABLE",IF('Parametros'!$B$11/AP5&gt;=AV5,"CUMPLE","NO CUMPLE"))</f>
        <v>CUMPLE</v>
      </c>
      <c r="AZ5" s="10" t="str">
        <f>IF(AND(X5="CUMPLE",AE5="CUMPLE",AS5="CUMPLE",OR(AY5="CUMPLE",AY5="DESPRECIABLE")),IF(OR(F5&lt;&gt;H5,G5&lt;&gt;I5),"CUMPLE - REANALIZAR SAP","CUMPLE"),"NO CUMPLE")</f>
        <v>CUMPLE</v>
      </c>
    </row>
    <row r="6">
      <c r="A6" s="26" t="inlineStr">
        <is>
          <t>VR2</t>
        </is>
      </c>
      <c r="B6" s="26" t="inlineStr">
        <is>
          <t>—</t>
        </is>
      </c>
      <c r="C6" s="10" t="n">
        <v>140</v>
      </c>
      <c r="D6" s="10" t="n">
        <v>1.5</v>
      </c>
      <c r="E6" s="10" t="n">
        <v>4.17612</v>
      </c>
      <c r="F6" s="10" t="n">
        <v>350</v>
      </c>
      <c r="G6" s="10" t="n">
        <v>400</v>
      </c>
      <c r="H6" s="15" t="n">
        <v>350</v>
      </c>
      <c r="I6" s="15" t="n">
        <v>400</v>
      </c>
      <c r="J6" s="16" t="n">
        <v>133.5495</v>
      </c>
      <c r="K6" s="10" t="inlineStr">
        <is>
          <t>35</t>
        </is>
      </c>
      <c r="L6" s="16" t="n">
        <v>101.8171</v>
      </c>
      <c r="M6" s="10" t="inlineStr">
        <is>
          <t>36</t>
        </is>
      </c>
      <c r="N6" s="16" t="n">
        <v>128.571</v>
      </c>
      <c r="O6" s="16" t="n">
        <v>467.396</v>
      </c>
      <c r="P6" s="10" t="inlineStr">
        <is>
          <t>36</t>
        </is>
      </c>
      <c r="Q6" s="16" t="n">
        <v>19.643</v>
      </c>
      <c r="R6" s="10">
        <f>MAX(MAX(1.4/'Parametros'!$B$3,0.25*SQRT('Parametros'!$B$2)/'Parametros'!$B$3)*H6*U6,(0.85*'Parametros'!$B$2/'Parametros'!$B$3)*(1-SQRT(1-2*(J6*1000000/('Parametros'!$B$5*H6*U6^2))/(0.85*'Parametros'!$B$2)))*H6*U6)</f>
        <v>1124.4518569123</v>
      </c>
      <c r="S6" s="17" t="n">
        <v>6</v>
      </c>
      <c r="T6" s="18" t="n">
        <v>1</v>
      </c>
      <c r="U6" s="10">
        <f>IF(T6=1,I6-('Parametros'!$B$7+'Parametros'!$B$9+'Parametros'!$B$12/2),I6-(ROUNDUP(S6/2,0)*('Parametros'!$B$7+'Parametros'!$B$9+'Parametros'!$B$12/2)+ROUNDDOWN(S6/2,0)*('Parametros'!$B$7+'Parametros'!$B$9+'Parametros'!$B$12/2+'Parametros'!$B$12+'Parametros'!$B$10))/S6)</f>
        <v>342.55</v>
      </c>
      <c r="V6" s="10">
        <f>S6*'Parametros'!$B$8</f>
        <v>1194</v>
      </c>
      <c r="W6" s="10">
        <f>'Parametros'!$B$5*V6*'Parametros'!$B$3*(U6-(V6*'Parametros'!$B$3/(0.85*'Parametros'!$B$2*H6))/2)/1000000</f>
        <v>141.018304129412</v>
      </c>
      <c r="X6" s="10" t="str">
        <f>IF(W6&gt;=J6,"CUMPLE","NO CUMPLE")</f>
        <v>CUMPLE</v>
      </c>
      <c r="Y6" s="10">
        <f>MAX(MAX(1.4/'Parametros'!$B$3,0.25*SQRT('Parametros'!$B$2)/'Parametros'!$B$3)*H6*AB6,(0.85*'Parametros'!$B$2/'Parametros'!$B$3)*(1-SQRT(1-2*(L6*1000000/('Parametros'!$B$5*H6*AB6^2))/(0.85*'Parametros'!$B$2)))*H6*AB6)</f>
        <v>838.01377853227</v>
      </c>
      <c r="Z6" s="17" t="n">
        <v>5</v>
      </c>
      <c r="AA6" s="18" t="n">
        <v>1</v>
      </c>
      <c r="AB6" s="10">
        <f>IF(AA6=1,I6-('Parametros'!$B$7+'Parametros'!$B$9+'Parametros'!$B$12/2),I6-(ROUNDUP(Z6/2,0)*('Parametros'!$B$7+'Parametros'!$B$9+'Parametros'!$B$12/2)+ROUNDDOWN(Z6/2,0)*('Parametros'!$B$7+'Parametros'!$B$9+'Parametros'!$B$12/2+'Parametros'!$B$12+'Parametros'!$B$10))/Z6)</f>
        <v>342.55</v>
      </c>
      <c r="AC6" s="10">
        <f>Z6*'Parametros'!$B$8</f>
        <v>995</v>
      </c>
      <c r="AD6" s="10">
        <f>'Parametros'!$B$5*AC6*'Parametros'!$B$3*(AB6-(AC6*'Parametros'!$B$3/(0.85*'Parametros'!$B$2*H6))/2)/1000000</f>
        <v>119.402124617647</v>
      </c>
      <c r="AE6" s="10" t="str">
        <f>IF(AD6&gt;=L6,"CUMPLE","NO CUMPLE")</f>
        <v>CUMPLE</v>
      </c>
      <c r="AF6" s="10">
        <f>V6*1.25*'Parametros'!$B$3*(U6-(V6*1.25*'Parametros'!$B$3/(0.85*'Parametros'!$B$2*H6))/2)/1000000</f>
        <v>191.141577794118</v>
      </c>
      <c r="AG6" s="10">
        <f>AC6*1.25*'Parametros'!$B$3*(AB6-(AC6*1.25*'Parametros'!$B$3/(0.85*'Parametros'!$B$2*H6))/2)/1000000</f>
        <v>162.560466176471</v>
      </c>
      <c r="AH6" s="10">
        <f>N6+(AF6+AG6)/D6</f>
        <v>364.372362647059</v>
      </c>
      <c r="AI6" s="10">
        <f>MIN(O6,MAX(N6,AH6))</f>
        <v>364.372362647059</v>
      </c>
      <c r="AJ6" s="10">
        <f>0.17*SQRT('Parametros'!$B$2)*H6*MIN(U6,AB6)/1000</f>
        <v>107.849951281016</v>
      </c>
      <c r="AK6" s="10">
        <f>MAX(AI6/'Parametros'!$B$6-AJ6,0)</f>
        <v>377.979865581729</v>
      </c>
      <c r="AL6" s="10">
        <f>0.66*SQRT('Parametros'!$B$2)*H6*MIN(U6,AB6)/1000</f>
        <v>418.711575561591</v>
      </c>
      <c r="AM6" s="10" t="str">
        <f>IF(AK6&lt;=AL6,"CUMPLE","NO CUMPLE")</f>
        <v>CUMPLE</v>
      </c>
      <c r="AN6" s="15" t="inlineStr">
        <is>
          <t>Nº3 cerrado</t>
        </is>
      </c>
      <c r="AO6" s="17" t="n">
        <v>4</v>
      </c>
      <c r="AP6" s="10">
        <f>ROUNDDOWN(MIN(IF(AK6=0,1000000000,AO6*'Parametros'!$B$11*'Parametros'!$B$4*MIN(U6,AB6)/(AK6*1000)),IF(AV6=0,1000000000,'Parametros'!$B$11/AV6),MIN(U6,AB6)/4,8*'Parametros'!$B$12,24*'Parametros'!$B$9,300)/10,0)*10</f>
        <v>80</v>
      </c>
      <c r="AQ6" s="10">
        <f>ROUNDDOWN(MIN(IF(AK6=0,1000000000,AO6*'Parametros'!$B$11*'Parametros'!$B$4*MIN(U6,AB6)/(AK6*1000)),IF(AV6=0,1000000000,'Parametros'!$B$11/AV6),MIN(U6,AB6)/2,600)/10,0)*10</f>
        <v>100</v>
      </c>
      <c r="AR6" s="10">
        <f>'Parametros'!$B$6*(AJ6+AO6*'Parametros'!$B$11*'Parametros'!$B$4*MIN(U6,AB6)/AP6/1000)</f>
        <v>463.944000960762</v>
      </c>
      <c r="AS6" s="10" t="str">
        <f>IF(AND(AM6="CUMPLE",AR6&gt;=AI6),"CUMPLE","NO CUMPLE")</f>
        <v>CUMPLE</v>
      </c>
      <c r="AT6" s="10">
        <f>'Parametros'!$B$6*0.083*SQRT('Parametros'!$B$2)*(H6*I6)^2/(2*(H6+I6))/1000000</f>
        <v>4.30410823283988</v>
      </c>
      <c r="AU6" s="10" t="str">
        <f>IF(Q6&lt;=AT6,"DESPRECIABLE","DISEÑAR")</f>
        <v>DISEÑAR</v>
      </c>
      <c r="AV6" s="10">
        <f>IF(Q6&lt;=AT6,0,Q6*1000000/('Parametros'!$B$6*2*0.85*(H6-2*'Parametros'!$B$7)*(I6-2*'Parametros'!$B$7)*'Parametros'!$B$4))</f>
        <v>0.424555624719023</v>
      </c>
      <c r="AW6" s="10">
        <f>AV6*2*((H6-2*'Parametros'!$B$7)+(I6-2*'Parametros'!$B$7))*'Parametros'!$B$4/'Parametros'!$B$3</f>
        <v>500.975637168448</v>
      </c>
      <c r="AX6" s="17" t="n">
        <v>3</v>
      </c>
      <c r="AY6" s="10" t="str">
        <f>IF(AV6=0,"DESPRECIABLE",IF('Parametros'!$B$11/AP6&gt;=AV6,"CUMPLE","NO CUMPLE"))</f>
        <v>CUMPLE</v>
      </c>
      <c r="AZ6" s="10" t="str">
        <f>IF(AND(X6="CUMPLE",AE6="CUMPLE",AS6="CUMPLE",OR(AY6="CUMPLE",AY6="DESPRECIABLE")),IF(OR(F6&lt;&gt;H6,G6&lt;&gt;I6),"CUMPLE - REANALIZAR SAP","CUMPLE"),"NO CUMPLE")</f>
        <v>CUMPLE</v>
      </c>
    </row>
    <row r="7">
      <c r="A7" s="27" t="inlineStr">
        <is>
          <t>VR3</t>
        </is>
      </c>
      <c r="B7" s="27" t="inlineStr">
        <is>
          <t>—</t>
        </is>
      </c>
      <c r="C7" s="10" t="n">
        <v>70</v>
      </c>
      <c r="D7" s="10" t="n">
        <v>1.5</v>
      </c>
      <c r="E7" s="10" t="n">
        <v>4</v>
      </c>
      <c r="F7" s="10" t="n">
        <v>350</v>
      </c>
      <c r="G7" s="10" t="n">
        <v>400</v>
      </c>
      <c r="H7" s="28" t="n">
        <v>400</v>
      </c>
      <c r="I7" s="28" t="n">
        <v>550</v>
      </c>
      <c r="J7" s="16" t="n">
        <v>227.053</v>
      </c>
      <c r="K7" s="10" t="inlineStr">
        <is>
          <t>231</t>
        </is>
      </c>
      <c r="L7" s="16" t="n">
        <v>122.8528</v>
      </c>
      <c r="M7" s="10" t="inlineStr">
        <is>
          <t>969</t>
        </is>
      </c>
      <c r="N7" s="16" t="n">
        <v>179.911</v>
      </c>
      <c r="O7" s="16" t="n">
        <v>490.48</v>
      </c>
      <c r="P7" s="10" t="inlineStr">
        <is>
          <t>30</t>
        </is>
      </c>
      <c r="Q7" s="16" t="n">
        <v>19.7225</v>
      </c>
      <c r="R7" s="10">
        <f>MAX(MAX(1.4/'Parametros'!$B$3,0.25*SQRT('Parametros'!$B$2)/'Parametros'!$B$3)*H7*U7,(0.85*'Parametros'!$B$2/'Parametros'!$B$3)*(1-SQRT(1-2*(J7*1000000/('Parametros'!$B$5*H7*U7^2))/(0.85*'Parametros'!$B$2)))*H7*U7)</f>
        <v>1294.56424569838</v>
      </c>
      <c r="S7" s="17" t="n">
        <v>7</v>
      </c>
      <c r="T7" s="18" t="n">
        <v>1</v>
      </c>
      <c r="U7" s="10">
        <f>IF(T7=1,I7-('Parametros'!$B$7+'Parametros'!$B$9+'Parametros'!$B$12/2),I7-(ROUNDUP(S7/2,0)*('Parametros'!$B$7+'Parametros'!$B$9+'Parametros'!$B$12/2)+ROUNDDOWN(S7/2,0)*('Parametros'!$B$7+'Parametros'!$B$9+'Parametros'!$B$12/2+'Parametros'!$B$12+'Parametros'!$B$10))/S7)</f>
        <v>492.55</v>
      </c>
      <c r="V7" s="10">
        <f>S7*'Parametros'!$B$8</f>
        <v>1393</v>
      </c>
      <c r="W7" s="10">
        <f>'Parametros'!$B$5*V7*'Parametros'!$B$3*(U7-(V7*'Parametros'!$B$3/(0.85*'Parametros'!$B$2*H7))/2)/1000000</f>
        <v>243.174252361765</v>
      </c>
      <c r="X7" s="10" t="str">
        <f>IF(W7&gt;=J7,"CUMPLE","NO CUMPLE")</f>
        <v>CUMPLE</v>
      </c>
      <c r="Y7" s="10">
        <f>MAX(MAX(1.4/'Parametros'!$B$3,0.25*SQRT('Parametros'!$B$2)/'Parametros'!$B$3)*H7*AB7,(0.85*'Parametros'!$B$2/'Parametros'!$B$3)*(1-SQRT(1-2*(L7*1000000/('Parametros'!$B$5*H7*AB7^2))/(0.85*'Parametros'!$B$2)))*H7*AB7)</f>
        <v>680.591103912756</v>
      </c>
      <c r="Z7" s="17" t="n">
        <v>4</v>
      </c>
      <c r="AA7" s="18" t="n">
        <v>1</v>
      </c>
      <c r="AB7" s="10">
        <f>IF(AA7=1,I7-('Parametros'!$B$7+'Parametros'!$B$9+'Parametros'!$B$12/2),I7-(ROUNDUP(Z7/2,0)*('Parametros'!$B$7+'Parametros'!$B$9+'Parametros'!$B$12/2)+ROUNDDOWN(Z7/2,0)*('Parametros'!$B$7+'Parametros'!$B$9+'Parametros'!$B$12/2+'Parametros'!$B$12+'Parametros'!$B$10))/Z7)</f>
        <v>492.55</v>
      </c>
      <c r="AC7" s="10">
        <f>Z7*'Parametros'!$B$8</f>
        <v>796</v>
      </c>
      <c r="AD7" s="10">
        <f>'Parametros'!$B$5*AC7*'Parametros'!$B$3*(AB7-(AC7*'Parametros'!$B$3/(0.85*'Parametros'!$B$2*H7))/2)/1000000</f>
        <v>142.919145105882</v>
      </c>
      <c r="AE7" s="10" t="str">
        <f>IF(AD7&gt;=L7,"CUMPLE","NO CUMPLE")</f>
        <v>CUMPLE</v>
      </c>
      <c r="AF7" s="10">
        <f>V7*1.25*'Parametros'!$B$3*(U7-(V7*1.25*'Parametros'!$B$3/(0.85*'Parametros'!$B$2*H7))/2)/1000000</f>
        <v>332.123989273897</v>
      </c>
      <c r="AG7" s="10">
        <f>AC7*1.25*'Parametros'!$B$3*(AB7-(AC7*1.25*'Parametros'!$B$3/(0.85*'Parametros'!$B$2*H7))/2)/1000000</f>
        <v>196.664354558824</v>
      </c>
      <c r="AH7" s="10">
        <f>N7+(AF7+AG7)/D7</f>
        <v>532.436562555147</v>
      </c>
      <c r="AI7" s="10">
        <f>MIN(O7,MAX(N7,AH7))</f>
        <v>490.48</v>
      </c>
      <c r="AJ7" s="10">
        <f>0.17*SQRT('Parametros'!$B$2)*H7*MIN(U7,AB7)/1000</f>
        <v>177.230413924022</v>
      </c>
      <c r="AK7" s="10">
        <f>MAX(AI7/'Parametros'!$B$6-AJ7,0)</f>
        <v>476.742919409312</v>
      </c>
      <c r="AL7" s="10">
        <f>0.66*SQRT('Parametros'!$B$2)*H7*MIN(U7,AB7)/1000</f>
        <v>688.071018763848</v>
      </c>
      <c r="AM7" s="10" t="str">
        <f>IF(AK7&lt;=AL7,"CUMPLE","NO CUMPLE")</f>
        <v>CUMPLE</v>
      </c>
      <c r="AN7" s="15" t="inlineStr">
        <is>
          <t>Nº3 cerrado</t>
        </is>
      </c>
      <c r="AO7" s="17" t="n">
        <v>4</v>
      </c>
      <c r="AP7" s="10">
        <f>ROUNDDOWN(MIN(IF(AK7=0,1000000000,AO7*'Parametros'!$B$11*'Parametros'!$B$4*MIN(U7,AB7)/(AK7*1000)),IF(AV7=0,1000000000,'Parametros'!$B$11/AV7),MIN(U7,AB7)/4,8*'Parametros'!$B$12,24*'Parametros'!$B$9,300)/10,0)*10</f>
        <v>120</v>
      </c>
      <c r="AQ7" s="10">
        <f>ROUNDDOWN(MIN(IF(AK7=0,1000000000,AO7*'Parametros'!$B$11*'Parametros'!$B$4*MIN(U7,AB7)/(AK7*1000)),IF(AV7=0,1000000000,'Parametros'!$B$11/AV7),MIN(U7,AB7)/2,600)/10,0)*10</f>
        <v>120</v>
      </c>
      <c r="AR7" s="10">
        <f>'Parametros'!$B$6*(AJ7+AO7*'Parametros'!$B$11*'Parametros'!$B$4*MIN(U7,AB7)/AP7/1000)</f>
        <v>500.118835443016</v>
      </c>
      <c r="AS7" s="10" t="str">
        <f>IF(AND(AM7="CUMPLE",AR7&gt;=AI7),"CUMPLE","NO CUMPLE")</f>
        <v>CUMPLE</v>
      </c>
      <c r="AT7" s="10">
        <f>'Parametros'!$B$6*0.083*SQRT('Parametros'!$B$2)*(H7*I7)^2/(2*(H7+I7))/1000000</f>
        <v>8.39093065800685</v>
      </c>
      <c r="AU7" s="10" t="str">
        <f>IF(Q7&lt;=AT7,"DESPRECIABLE","DISEÑAR")</f>
        <v>DISEÑAR</v>
      </c>
      <c r="AV7" s="10">
        <f>IF(Q7&lt;=AT7,0,Q7*1000000/('Parametros'!$B$6*2*0.85*(H7-2*'Parametros'!$B$7)*(I7-2*'Parametros'!$B$7)*'Parametros'!$B$4))</f>
        <v>0.244880753719928</v>
      </c>
      <c r="AW7" s="10">
        <f>AV7*2*((H7-2*'Parametros'!$B$7)+(I7-2*'Parametros'!$B$7))*'Parametros'!$B$4/'Parametros'!$B$3</f>
        <v>386.911590877486</v>
      </c>
      <c r="AX7" s="17" t="n">
        <v>2</v>
      </c>
      <c r="AY7" s="10" t="str">
        <f>IF(AV7=0,"DESPRECIABLE",IF('Parametros'!$B$11/AP7&gt;=AV7,"CUMPLE","NO CUMPLE"))</f>
        <v>CUMPLE</v>
      </c>
      <c r="AZ7" s="10" t="str">
        <f>IF(AND(X7="CUMPLE",AE7="CUMPLE",AS7="CUMPLE",OR(AY7="CUMPLE",AY7="DESPRECIABLE")),IF(OR(F7&lt;&gt;H7,G7&lt;&gt;I7),"CUMPLE - REANALIZAR SAP","CUMPLE"),"NO CUMPLE")</f>
        <v>CUMPLE - REANALIZAR SAP</v>
      </c>
    </row>
    <row r="8">
      <c r="A8" s="29" t="inlineStr">
        <is>
          <t>VRAUX</t>
        </is>
      </c>
      <c r="B8" s="29" t="inlineStr">
        <is>
          <t>—</t>
        </is>
      </c>
      <c r="C8" s="10" t="n">
        <v>40</v>
      </c>
      <c r="D8" s="10" t="n">
        <v>2.5</v>
      </c>
      <c r="E8" s="10" t="n">
        <v>2.6</v>
      </c>
      <c r="F8" s="10" t="n">
        <v>350</v>
      </c>
      <c r="G8" s="10" t="n">
        <v>400</v>
      </c>
      <c r="H8" s="15" t="n">
        <v>350</v>
      </c>
      <c r="I8" s="15" t="n">
        <v>400</v>
      </c>
      <c r="J8" s="16" t="n">
        <v>37.3076</v>
      </c>
      <c r="K8" s="10" t="inlineStr">
        <is>
          <t>111</t>
        </is>
      </c>
      <c r="L8" s="16" t="n">
        <v>33.3104</v>
      </c>
      <c r="M8" s="10" t="inlineStr">
        <is>
          <t>109</t>
        </is>
      </c>
      <c r="N8" s="16" t="n">
        <v>29.603</v>
      </c>
      <c r="O8" s="16" t="n">
        <v>120.894</v>
      </c>
      <c r="P8" s="10" t="inlineStr">
        <is>
          <t>109</t>
        </is>
      </c>
      <c r="Q8" s="16" t="n">
        <v>3.9584</v>
      </c>
      <c r="R8" s="10">
        <f>MAX(MAX(1.4/'Parametros'!$B$3,0.25*SQRT('Parametros'!$B$2)/'Parametros'!$B$3)*H8*U8,(0.85*'Parametros'!$B$2/'Parametros'!$B$3)*(1-SQRT(1-2*(J8*1000000/('Parametros'!$B$5*H8*U8^2))/(0.85*'Parametros'!$B$2)))*H8*U8)</f>
        <v>399.641666666667</v>
      </c>
      <c r="S8" s="17" t="n">
        <v>3</v>
      </c>
      <c r="T8" s="18" t="n">
        <v>1</v>
      </c>
      <c r="U8" s="10">
        <f>IF(T8=1,I8-('Parametros'!$B$7+'Parametros'!$B$9+'Parametros'!$B$12/2),I8-(ROUNDUP(S8/2,0)*('Parametros'!$B$7+'Parametros'!$B$9+'Parametros'!$B$12/2)+ROUNDDOWN(S8/2,0)*('Parametros'!$B$7+'Parametros'!$B$9+'Parametros'!$B$12/2+'Parametros'!$B$12+'Parametros'!$B$10))/S8)</f>
        <v>342.55</v>
      </c>
      <c r="V8" s="10">
        <f>S8*'Parametros'!$B$8</f>
        <v>597</v>
      </c>
      <c r="W8" s="10">
        <f>'Parametros'!$B$5*V8*'Parametros'!$B$3*(U8-(V8*'Parametros'!$B$3/(0.85*'Parametros'!$B$2*H8))/2)/1000000</f>
        <v>73.905520182353</v>
      </c>
      <c r="X8" s="10" t="str">
        <f>IF(W8&gt;=J8,"CUMPLE","NO CUMPLE")</f>
        <v>CUMPLE</v>
      </c>
      <c r="Y8" s="10">
        <f>MAX(MAX(1.4/'Parametros'!$B$3,0.25*SQRT('Parametros'!$B$2)/'Parametros'!$B$3)*H8*AB8,(0.85*'Parametros'!$B$2/'Parametros'!$B$3)*(1-SQRT(1-2*(L8*1000000/('Parametros'!$B$5*H8*AB8^2))/(0.85*'Parametros'!$B$2)))*H8*AB8)</f>
        <v>399.641666666667</v>
      </c>
      <c r="Z8" s="17" t="n">
        <v>3</v>
      </c>
      <c r="AA8" s="18" t="n">
        <v>1</v>
      </c>
      <c r="AB8" s="10">
        <f>IF(AA8=1,I8-('Parametros'!$B$7+'Parametros'!$B$9+'Parametros'!$B$12/2),I8-(ROUNDUP(Z8/2,0)*('Parametros'!$B$7+'Parametros'!$B$9+'Parametros'!$B$12/2)+ROUNDDOWN(Z8/2,0)*('Parametros'!$B$7+'Parametros'!$B$9+'Parametros'!$B$12/2+'Parametros'!$B$12+'Parametros'!$B$10))/Z8)</f>
        <v>342.55</v>
      </c>
      <c r="AC8" s="10">
        <f>Z8*'Parametros'!$B$8</f>
        <v>597</v>
      </c>
      <c r="AD8" s="10">
        <f>'Parametros'!$B$5*AC8*'Parametros'!$B$3*(AB8-(AC8*'Parametros'!$B$3/(0.85*'Parametros'!$B$2*H8))/2)/1000000</f>
        <v>73.905520182353</v>
      </c>
      <c r="AE8" s="10" t="str">
        <f>IF(AD8&gt;=L8,"CUMPLE","NO CUMPLE")</f>
        <v>CUMPLE</v>
      </c>
      <c r="AF8" s="10">
        <f>V8*1.25*'Parametros'!$B$3*(U8-(V8*1.25*'Parametros'!$B$3/(0.85*'Parametros'!$B$2*H8))/2)/1000000</f>
        <v>101.467261323529</v>
      </c>
      <c r="AG8" s="10">
        <f>AC8*1.25*'Parametros'!$B$3*(AB8-(AC8*1.25*'Parametros'!$B$3/(0.85*'Parametros'!$B$2*H8))/2)/1000000</f>
        <v>101.467261323529</v>
      </c>
      <c r="AH8" s="10">
        <f>N8+(AF8+AG8)/D8</f>
        <v>110.776809058824</v>
      </c>
      <c r="AI8" s="10">
        <f>MIN(O8,MAX(N8,AH8))</f>
        <v>110.776809058824</v>
      </c>
      <c r="AJ8" s="10">
        <f>0.17*SQRT('Parametros'!$B$2)*H8*MIN(U8,AB8)/1000</f>
        <v>107.849951281016</v>
      </c>
      <c r="AK8" s="10">
        <f>MAX(AI8/'Parametros'!$B$6-AJ8,0)</f>
        <v>39.8524607974155</v>
      </c>
      <c r="AL8" s="10">
        <f>0.66*SQRT('Parametros'!$B$2)*H8*MIN(U8,AB8)/1000</f>
        <v>418.711575561591</v>
      </c>
      <c r="AM8" s="10" t="str">
        <f>IF(AK8&lt;=AL8,"CUMPLE","NO CUMPLE")</f>
        <v>CUMPLE</v>
      </c>
      <c r="AN8" s="15" t="inlineStr">
        <is>
          <t>Nº3 cerrado</t>
        </is>
      </c>
      <c r="AO8" s="17" t="n">
        <v>2</v>
      </c>
      <c r="AP8" s="10">
        <f>ROUNDDOWN(MIN(IF(AK8=0,1000000000,AO8*'Parametros'!$B$11*'Parametros'!$B$4*MIN(U8,AB8)/(AK8*1000)),IF(AV8=0,1000000000,'Parametros'!$B$11/AV8),MIN(U8,AB8)/4,8*'Parametros'!$B$12,24*'Parametros'!$B$9,300)/10,0)*10</f>
        <v>80</v>
      </c>
      <c r="AQ8" s="10">
        <f>ROUNDDOWN(MIN(IF(AK8=0,1000000000,AO8*'Parametros'!$B$11*'Parametros'!$B$4*MIN(U8,AB8)/(AK8*1000)),IF(AV8=0,1000000000,'Parametros'!$B$11/AV8),MIN(U8,AB8)/2,600)/10,0)*10</f>
        <v>170</v>
      </c>
      <c r="AR8" s="10">
        <f>'Parametros'!$B$6*(AJ8+AO8*'Parametros'!$B$11*'Parametros'!$B$4*MIN(U8,AB8)/AP8/1000)</f>
        <v>272.415732210762</v>
      </c>
      <c r="AS8" s="10" t="str">
        <f>IF(AND(AM8="CUMPLE",AR8&gt;=AI8),"CUMPLE","NO CUMPLE")</f>
        <v>CUMPLE</v>
      </c>
      <c r="AT8" s="10">
        <f>'Parametros'!$B$6*0.083*SQRT('Parametros'!$B$2)*(H8*I8)^2/(2*(H8+I8))/1000000</f>
        <v>4.30410823283988</v>
      </c>
      <c r="AU8" s="10" t="str">
        <f>IF(Q8&lt;=AT8,"DESPRECIABLE","DISEÑAR")</f>
        <v>DESPRECIABLE</v>
      </c>
      <c r="AV8" s="10">
        <f>IF(Q8&lt;=AT8,0,Q8*1000000/('Parametros'!$B$6*2*0.85*(H8-2*'Parametros'!$B$7)*(I8-2*'Parametros'!$B$7)*'Parametros'!$B$4))</f>
        <v>0</v>
      </c>
      <c r="AW8" s="10">
        <f>AV8*2*((H8-2*'Parametros'!$B$7)+(I8-2*'Parametros'!$B$7))*'Parametros'!$B$4/'Parametros'!$B$3</f>
        <v>0</v>
      </c>
      <c r="AX8" s="17" t="n">
        <v>0</v>
      </c>
      <c r="AY8" s="10" t="str">
        <f>IF(AV8=0,"DESPRECIABLE",IF('Parametros'!$B$11/AP8&gt;=AV8,"CUMPLE","NO CUMPLE"))</f>
        <v>DESPRECIABLE</v>
      </c>
      <c r="AZ8" s="10" t="str">
        <f>IF(AND(X8="CUMPLE",AE8="CUMPLE",AS8="CUMPLE",OR(AY8="CUMPLE",AY8="DESPRECIABLE")),IF(OR(F8&lt;&gt;H8,G8&lt;&gt;I8),"CUMPLE - REANALIZAR SAP","CUMPLE"),"NO CUMPLE")</f>
        <v>CUMPLE</v>
      </c>
    </row>
  </sheetData>
  <autoFilter ref="A3:AZ8"/>
  <mergeCells count="2">
    <mergeCell ref="A2:AZ2"/>
    <mergeCell ref="A1:AZ1"/>
  </mergeCells>
  <conditionalFormatting sqref="X4:X8">
    <cfRule type="cellIs" priority="1" operator="equal" dxfId="0">
      <formula>"CUMPLE"</formula>
    </cfRule>
  </conditionalFormatting>
  <conditionalFormatting sqref="AE4:AE8">
    <cfRule type="cellIs" priority="2" operator="equal" dxfId="0">
      <formula>"CUMPLE"</formula>
    </cfRule>
  </conditionalFormatting>
  <conditionalFormatting sqref="AS4:AS8">
    <cfRule type="cellIs" priority="3" operator="equal" dxfId="0">
      <formula>"CUMPLE"</formula>
    </cfRule>
  </conditionalFormatting>
  <conditionalFormatting sqref="AZ4:AZ8"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>
      <c r="A1" s="11" t="inlineStr">
        <is>
          <t>DISEÑO DE VIGAS — TODAS LAS VIGAS (592)</t>
        </is>
      </c>
    </row>
    <row r="2">
      <c r="A2" s="12" t="inlineStr">
        <is>
          <t>ENVFLEX: flexión y torsión. ENVCORT: límite elástico de cortante. Vu diseño DMO = mín(ENVCORT; máx[ENVFLEX; Vcap]).</t>
        </is>
      </c>
    </row>
    <row r="3" ht="64" customHeight="1">
      <c r="A3" s="13" t="inlineStr">
        <is>
          <t>Grupo</t>
        </is>
      </c>
      <c r="B3" s="13" t="inlineStr">
        <is>
          <t>Frame</t>
        </is>
      </c>
      <c r="C3" s="13" t="inlineStr">
        <is>
          <t>N vigas</t>
        </is>
      </c>
      <c r="D3" s="13" t="inlineStr">
        <is>
          <t>L mín (m)</t>
        </is>
      </c>
      <c r="E3" s="13" t="inlineStr">
        <is>
          <t>L máx (m)</t>
        </is>
      </c>
      <c r="F3" s="13" t="inlineStr">
        <is>
          <t>b modelo (mm)</t>
        </is>
      </c>
      <c r="G3" s="13" t="inlineStr">
        <is>
          <t>h modelo (mm)</t>
        </is>
      </c>
      <c r="H3" s="13" t="inlineStr">
        <is>
          <t>b adopt. (mm)</t>
        </is>
      </c>
      <c r="I3" s="13" t="inlineStr">
        <is>
          <t>h adopt. (mm)</t>
        </is>
      </c>
      <c r="J3" s="13" t="inlineStr">
        <is>
          <t>Mu− ENVFLEX (kN·m)</t>
        </is>
      </c>
      <c r="K3" s="13" t="inlineStr">
        <is>
          <t>Frame Mu−</t>
        </is>
      </c>
      <c r="L3" s="13" t="inlineStr">
        <is>
          <t>Mu+ ENVFLEX (kN·m)</t>
        </is>
      </c>
      <c r="M3" s="13" t="inlineStr">
        <is>
          <t>Frame Mu+</t>
        </is>
      </c>
      <c r="N3" s="13" t="inlineStr">
        <is>
          <t>Vu ENVFLEX (kN)</t>
        </is>
      </c>
      <c r="O3" s="13" t="inlineStr">
        <is>
          <t>Vu ENVCORT (kN)</t>
        </is>
      </c>
      <c r="P3" s="13" t="inlineStr">
        <is>
          <t>Frame Vu</t>
        </is>
      </c>
      <c r="Q3" s="13" t="inlineStr">
        <is>
          <t>Tu ENVFLEX (kN·m)</t>
        </is>
      </c>
      <c r="R3" s="13" t="inlineStr">
        <is>
          <t>As req. sup (mm²)</t>
        </is>
      </c>
      <c r="S3" s="13" t="inlineStr">
        <is>
          <t>Nº5 sup</t>
        </is>
      </c>
      <c r="T3" s="13" t="inlineStr">
        <is>
          <t>Capas sup</t>
        </is>
      </c>
      <c r="U3" s="13" t="inlineStr">
        <is>
          <t>d sup (mm)</t>
        </is>
      </c>
      <c r="V3" s="13" t="inlineStr">
        <is>
          <t>As prov. sup (mm²)</t>
        </is>
      </c>
      <c r="W3" s="13" t="inlineStr">
        <is>
          <t>φMn− (kN·m)</t>
        </is>
      </c>
      <c r="X3" s="13" t="inlineStr">
        <is>
          <t>Flexión −</t>
        </is>
      </c>
      <c r="Y3" s="13" t="inlineStr">
        <is>
          <t>As req. inf (mm²)</t>
        </is>
      </c>
      <c r="Z3" s="13" t="inlineStr">
        <is>
          <t>Nº5 inf</t>
        </is>
      </c>
      <c r="AA3" s="13" t="inlineStr">
        <is>
          <t>Capas inf</t>
        </is>
      </c>
      <c r="AB3" s="13" t="inlineStr">
        <is>
          <t>d inf (mm)</t>
        </is>
      </c>
      <c r="AC3" s="13" t="inlineStr">
        <is>
          <t>As prov. inf (mm²)</t>
        </is>
      </c>
      <c r="AD3" s="13" t="inlineStr">
        <is>
          <t>φMn+ (kN·m)</t>
        </is>
      </c>
      <c r="AE3" s="13" t="inlineStr">
        <is>
          <t>Flexión +</t>
        </is>
      </c>
      <c r="AF3" s="13" t="inlineStr">
        <is>
          <t>Mpr− (kN·m)</t>
        </is>
      </c>
      <c r="AG3" s="13" t="inlineStr">
        <is>
          <t>Mpr+ (kN·m)</t>
        </is>
      </c>
      <c r="AH3" s="13" t="inlineStr">
        <is>
          <t>Vcap (kN)</t>
        </is>
      </c>
      <c r="AI3" s="13" t="inlineStr">
        <is>
          <t>Vu diseño (kN)</t>
        </is>
      </c>
      <c r="AJ3" s="13" t="inlineStr">
        <is>
          <t>Vc (kN)</t>
        </is>
      </c>
      <c r="AK3" s="13" t="inlineStr">
        <is>
          <t>Vs req. (kN)</t>
        </is>
      </c>
      <c r="AL3" s="13" t="inlineStr">
        <is>
          <t>Vs máx. (kN)</t>
        </is>
      </c>
      <c r="AM3" s="13" t="inlineStr">
        <is>
          <t>Sección cortante</t>
        </is>
      </c>
      <c r="AN3" s="13" t="inlineStr">
        <is>
          <t>Estribo</t>
        </is>
      </c>
      <c r="AO3" s="13" t="inlineStr">
        <is>
          <t>Ramas</t>
        </is>
      </c>
      <c r="AP3" s="13" t="inlineStr">
        <is>
          <t>s extremo DMO (mm)</t>
        </is>
      </c>
      <c r="AQ3" s="13" t="inlineStr">
        <is>
          <t>s centro (mm)</t>
        </is>
      </c>
      <c r="AR3" s="13" t="inlineStr">
        <is>
          <t>φVn (kN)</t>
        </is>
      </c>
      <c r="AS3" s="13" t="inlineStr">
        <is>
          <t>Cortante</t>
        </is>
      </c>
      <c r="AT3" s="13" t="inlineStr">
        <is>
          <t>φTth (kN·m)</t>
        </is>
      </c>
      <c r="AU3" s="13" t="inlineStr">
        <is>
          <t>Torsión</t>
        </is>
      </c>
      <c r="AV3" s="13" t="inlineStr">
        <is>
          <t>At/s (mm²/mm)</t>
        </is>
      </c>
      <c r="AW3" s="13" t="inlineStr">
        <is>
          <t>Al (mm²)</t>
        </is>
      </c>
      <c r="AX3" s="13" t="inlineStr">
        <is>
          <t>Nº5 torsión</t>
        </is>
      </c>
      <c r="AY3" s="13" t="inlineStr">
        <is>
          <t>Chequeo torsión</t>
        </is>
      </c>
      <c r="AZ3" s="13" t="inlineStr">
        <is>
          <t>ESTADO</t>
        </is>
      </c>
    </row>
    <row r="4">
      <c r="A4" s="14" t="inlineStr">
        <is>
          <t>VC1</t>
        </is>
      </c>
      <c r="B4" s="14" t="inlineStr">
        <is>
          <t>148</t>
        </is>
      </c>
      <c r="C4" s="10" t="n">
        <v>1</v>
      </c>
      <c r="D4" s="10" t="n">
        <v>3.75</v>
      </c>
      <c r="E4" s="10" t="n">
        <v>3.75</v>
      </c>
      <c r="F4" s="10" t="n">
        <v>300</v>
      </c>
      <c r="G4" s="10" t="n">
        <v>400</v>
      </c>
      <c r="H4" s="15" t="n">
        <v>300</v>
      </c>
      <c r="I4" s="15" t="n">
        <v>400</v>
      </c>
      <c r="J4" s="16" t="n">
        <v>18.5445</v>
      </c>
      <c r="K4" s="10" t="inlineStr">
        <is>
          <t>148</t>
        </is>
      </c>
      <c r="L4" s="16" t="n">
        <v>11.8002</v>
      </c>
      <c r="M4" s="10" t="inlineStr">
        <is>
          <t>148</t>
        </is>
      </c>
      <c r="N4" s="16" t="n">
        <v>13.991</v>
      </c>
      <c r="O4" s="16" t="n">
        <v>39.578</v>
      </c>
      <c r="P4" s="10" t="inlineStr">
        <is>
          <t>148</t>
        </is>
      </c>
      <c r="Q4" s="16" t="n">
        <v>2.504</v>
      </c>
      <c r="R4" s="10">
        <f>MAX(MAX(1.4/'Parametros'!$B$3,0.25*SQRT('Parametros'!$B$2)/'Parametros'!$B$3)*H4*U4,(0.85*'Parametros'!$B$2/'Parametros'!$B$3)*(1-SQRT(1-2*(J4*1000000/('Parametros'!$B$5*H4*U4^2))/(0.85*'Parametros'!$B$2)))*H4*U4)</f>
        <v>342.55</v>
      </c>
      <c r="S4" s="17" t="n">
        <v>2</v>
      </c>
      <c r="T4" s="18" t="n">
        <v>1</v>
      </c>
      <c r="U4" s="10">
        <f>IF(T4=1,I4-('Parametros'!$B$7+'Parametros'!$B$9+'Parametros'!$B$12/2),I4-(ROUNDUP(S4/2,0)*('Parametros'!$B$7+'Parametros'!$B$9+'Parametros'!$B$12/2)+ROUNDDOWN(S4/2,0)*('Parametros'!$B$7+'Parametros'!$B$9+'Parametros'!$B$12/2+'Parametros'!$B$12+'Parametros'!$B$10))/S4)</f>
        <v>342.55</v>
      </c>
      <c r="V4" s="10">
        <f>S4*'Parametros'!$B$8</f>
        <v>398</v>
      </c>
      <c r="W4" s="10">
        <f>'Parametros'!$B$5*V4*'Parametros'!$B$3*(U4-(V4*'Parametros'!$B$3/(0.85*'Parametros'!$B$2*H4))/2)/1000000</f>
        <v>49.7735124352941</v>
      </c>
      <c r="X4" s="10" t="str">
        <f>IF(W4&gt;=J4,"CUMPLE","NO CUMPLE")</f>
        <v>CUMPLE</v>
      </c>
      <c r="Y4" s="10">
        <f>MAX(MAX(1.4/'Parametros'!$B$3,0.25*SQRT('Parametros'!$B$2)/'Parametros'!$B$3)*H4*AB4,(0.85*'Parametros'!$B$2/'Parametros'!$B$3)*(1-SQRT(1-2*(L4*1000000/('Parametros'!$B$5*H4*AB4^2))/(0.85*'Parametros'!$B$2)))*H4*AB4)</f>
        <v>342.55</v>
      </c>
      <c r="Z4" s="17" t="n">
        <v>2</v>
      </c>
      <c r="AA4" s="18" t="n">
        <v>1</v>
      </c>
      <c r="AB4" s="10">
        <f>IF(AA4=1,I4-('Parametros'!$B$7+'Parametros'!$B$9+'Parametros'!$B$12/2),I4-(ROUNDUP(Z4/2,0)*('Parametros'!$B$7+'Parametros'!$B$9+'Parametros'!$B$12/2)+ROUNDDOWN(Z4/2,0)*('Parametros'!$B$7+'Parametros'!$B$9+'Parametros'!$B$12/2+'Parametros'!$B$12+'Parametros'!$B$10))/Z4)</f>
        <v>342.55</v>
      </c>
      <c r="AC4" s="10">
        <f>Z4*'Parametros'!$B$8</f>
        <v>398</v>
      </c>
      <c r="AD4" s="10">
        <f>'Parametros'!$B$5*AC4*'Parametros'!$B$3*(AB4-(AC4*'Parametros'!$B$3/(0.85*'Parametros'!$B$2*H4))/2)/1000000</f>
        <v>49.7735124352941</v>
      </c>
      <c r="AE4" s="10" t="str">
        <f>IF(AD4&gt;=L4,"CUMPLE","NO CUMPLE")</f>
        <v>CUMPLE</v>
      </c>
      <c r="AF4" s="10">
        <f>V4*1.25*'Parametros'!$B$3*(U4-(V4*1.25*'Parametros'!$B$3/(0.85*'Parametros'!$B$2*H4))/2)/1000000</f>
        <v>68.5183923529412</v>
      </c>
      <c r="AG4" s="10">
        <f>AC4*1.25*'Parametros'!$B$3*(AB4-(AC4*1.25*'Parametros'!$B$3/(0.85*'Parametros'!$B$2*H4))/2)/1000000</f>
        <v>68.5183923529412</v>
      </c>
      <c r="AH4" s="10">
        <f>N4+(AF4+AG4)/D4</f>
        <v>50.5341425882353</v>
      </c>
      <c r="AI4" s="10">
        <f>MIN(O4,MAX(N4,AH4))</f>
        <v>39.578</v>
      </c>
      <c r="AJ4" s="10">
        <f>0.17*SQRT('Parametros'!$B$2)*H4*MIN(U4,AB4)/1000</f>
        <v>92.4428153837279</v>
      </c>
      <c r="AK4" s="10">
        <f>MAX(AI4/'Parametros'!$B$6-AJ4,0)</f>
        <v>0</v>
      </c>
      <c r="AL4" s="10">
        <f>0.66*SQRT('Parametros'!$B$2)*H4*MIN(U4,AB4)/1000</f>
        <v>358.89563619565</v>
      </c>
      <c r="AM4" s="10" t="str">
        <f>IF(AK4&lt;=AL4,"CUMPLE","NO CUMPLE")</f>
        <v>CUMPLE</v>
      </c>
      <c r="AN4" s="15" t="inlineStr">
        <is>
          <t>Nº3 cerrado</t>
        </is>
      </c>
      <c r="AO4" s="17" t="n">
        <v>2</v>
      </c>
      <c r="AP4" s="10">
        <f>ROUNDDOWN(MIN(IF(AK4=0,1000000000,AO4*'Parametros'!$B$11*'Parametros'!$B$4*MIN(U4,AB4)/(AK4*1000)),IF(AV4=0,1000000000,'Parametros'!$B$11/AV4),MIN(U4,AB4)/4,8*'Parametros'!$B$12,24*'Parametros'!$B$9,300)/10,0)*10</f>
        <v>80</v>
      </c>
      <c r="AQ4" s="10">
        <f>ROUNDDOWN(MIN(IF(AK4=0,1000000000,AO4*'Parametros'!$B$11*'Parametros'!$B$4*MIN(U4,AB4)/(AK4*1000)),IF(AV4=0,1000000000,'Parametros'!$B$11/AV4),MIN(U4,AB4)/2,600)/10,0)*10</f>
        <v>170</v>
      </c>
      <c r="AR4" s="10">
        <f>'Parametros'!$B$6*(AJ4+AO4*'Parametros'!$B$11*'Parametros'!$B$4*MIN(U4,AB4)/AP4/1000)</f>
        <v>260.860380287796</v>
      </c>
      <c r="AS4" s="10" t="str">
        <f>IF(AND(AM4="CUMPLE",AR4&gt;=AI4),"CUMPLE","NO CUMPLE")</f>
        <v>CUMPLE</v>
      </c>
      <c r="AT4" s="10">
        <f>'Parametros'!$B$6*0.083*SQRT('Parametros'!$B$2)*(H4*I4)^2/(2*(H4+I4))/1000000</f>
        <v>3.38807353605471</v>
      </c>
      <c r="AU4" s="10" t="str">
        <f>IF(Q4&lt;=AT4,"DESPRECIABLE","DISEÑAR")</f>
        <v>DESPRECIABLE</v>
      </c>
      <c r="AV4" s="10">
        <f>IF(Q4&lt;=AT4,0,Q4*1000000/('Parametros'!$B$6*2*0.85*(H4-2*'Parametros'!$B$7)*(I4-2*'Parametros'!$B$7)*'Parametros'!$B$4))</f>
        <v>0</v>
      </c>
      <c r="AW4" s="10">
        <f>AV4*2*((H4-2*'Parametros'!$B$7)+(I4-2*'Parametros'!$B$7))*'Parametros'!$B$4/'Parametros'!$B$3</f>
        <v>0</v>
      </c>
      <c r="AX4" s="17" t="n">
        <v>0</v>
      </c>
      <c r="AY4" s="10" t="str">
        <f>IF(AV4=0,"DESPRECIABLE",IF('Parametros'!$B$11/AP4&gt;=AV4,"CUMPLE","NO CUMPLE"))</f>
        <v>DESPRECIABLE</v>
      </c>
      <c r="AZ4" s="10" t="str">
        <f>IF(AND(X4="CUMPLE",AE4="CUMPLE",AS4="CUMPLE",OR(AY4="CUMPLE",AY4="DESPRECIABLE")),IF(OR(F4&lt;&gt;H4,G4&lt;&gt;I4),"CUMPLE - REANALIZAR SAP","CUMPLE"),"NO CUMPLE")</f>
        <v>CUMPLE</v>
      </c>
    </row>
    <row r="5">
      <c r="A5" s="14" t="inlineStr">
        <is>
          <t>VC1</t>
        </is>
      </c>
      <c r="B5" s="14" t="inlineStr">
        <is>
          <t>149</t>
        </is>
      </c>
      <c r="C5" s="10" t="n">
        <v>1</v>
      </c>
      <c r="D5" s="10" t="n">
        <v>3.75</v>
      </c>
      <c r="E5" s="10" t="n">
        <v>3.75</v>
      </c>
      <c r="F5" s="10" t="n">
        <v>300</v>
      </c>
      <c r="G5" s="10" t="n">
        <v>400</v>
      </c>
      <c r="H5" s="15" t="n">
        <v>300</v>
      </c>
      <c r="I5" s="15" t="n">
        <v>400</v>
      </c>
      <c r="J5" s="16" t="n">
        <v>18.54</v>
      </c>
      <c r="K5" s="10" t="inlineStr">
        <is>
          <t>149</t>
        </is>
      </c>
      <c r="L5" s="16" t="n">
        <v>11.803</v>
      </c>
      <c r="M5" s="10" t="inlineStr">
        <is>
          <t>149</t>
        </is>
      </c>
      <c r="N5" s="16" t="n">
        <v>13.989</v>
      </c>
      <c r="O5" s="16" t="n">
        <v>39.576</v>
      </c>
      <c r="P5" s="10" t="inlineStr">
        <is>
          <t>149</t>
        </is>
      </c>
      <c r="Q5" s="16" t="n">
        <v>2.5039</v>
      </c>
      <c r="R5" s="10">
        <f>MAX(MAX(1.4/'Parametros'!$B$3,0.25*SQRT('Parametros'!$B$2)/'Parametros'!$B$3)*H5*U5,(0.85*'Parametros'!$B$2/'Parametros'!$B$3)*(1-SQRT(1-2*(J5*1000000/('Parametros'!$B$5*H5*U5^2))/(0.85*'Parametros'!$B$2)))*H5*U5)</f>
        <v>342.55</v>
      </c>
      <c r="S5" s="17" t="n">
        <v>2</v>
      </c>
      <c r="T5" s="18" t="n">
        <v>1</v>
      </c>
      <c r="U5" s="10">
        <f>IF(T5=1,I5-('Parametros'!$B$7+'Parametros'!$B$9+'Parametros'!$B$12/2),I5-(ROUNDUP(S5/2,0)*('Parametros'!$B$7+'Parametros'!$B$9+'Parametros'!$B$12/2)+ROUNDDOWN(S5/2,0)*('Parametros'!$B$7+'Parametros'!$B$9+'Parametros'!$B$12/2+'Parametros'!$B$12+'Parametros'!$B$10))/S5)</f>
        <v>342.55</v>
      </c>
      <c r="V5" s="10">
        <f>S5*'Parametros'!$B$8</f>
        <v>398</v>
      </c>
      <c r="W5" s="10">
        <f>'Parametros'!$B$5*V5*'Parametros'!$B$3*(U5-(V5*'Parametros'!$B$3/(0.85*'Parametros'!$B$2*H5))/2)/1000000</f>
        <v>49.7735124352941</v>
      </c>
      <c r="X5" s="10" t="str">
        <f>IF(W5&gt;=J5,"CUMPLE","NO CUMPLE")</f>
        <v>CUMPLE</v>
      </c>
      <c r="Y5" s="10">
        <f>MAX(MAX(1.4/'Parametros'!$B$3,0.25*SQRT('Parametros'!$B$2)/'Parametros'!$B$3)*H5*AB5,(0.85*'Parametros'!$B$2/'Parametros'!$B$3)*(1-SQRT(1-2*(L5*1000000/('Parametros'!$B$5*H5*AB5^2))/(0.85*'Parametros'!$B$2)))*H5*AB5)</f>
        <v>342.55</v>
      </c>
      <c r="Z5" s="17" t="n">
        <v>2</v>
      </c>
      <c r="AA5" s="18" t="n">
        <v>1</v>
      </c>
      <c r="AB5" s="10">
        <f>IF(AA5=1,I5-('Parametros'!$B$7+'Parametros'!$B$9+'Parametros'!$B$12/2),I5-(ROUNDUP(Z5/2,0)*('Parametros'!$B$7+'Parametros'!$B$9+'Parametros'!$B$12/2)+ROUNDDOWN(Z5/2,0)*('Parametros'!$B$7+'Parametros'!$B$9+'Parametros'!$B$12/2+'Parametros'!$B$12+'Parametros'!$B$10))/Z5)</f>
        <v>342.55</v>
      </c>
      <c r="AC5" s="10">
        <f>Z5*'Parametros'!$B$8</f>
        <v>398</v>
      </c>
      <c r="AD5" s="10">
        <f>'Parametros'!$B$5*AC5*'Parametros'!$B$3*(AB5-(AC5*'Parametros'!$B$3/(0.85*'Parametros'!$B$2*H5))/2)/1000000</f>
        <v>49.7735124352941</v>
      </c>
      <c r="AE5" s="10" t="str">
        <f>IF(AD5&gt;=L5,"CUMPLE","NO CUMPLE")</f>
        <v>CUMPLE</v>
      </c>
      <c r="AF5" s="10">
        <f>V5*1.25*'Parametros'!$B$3*(U5-(V5*1.25*'Parametros'!$B$3/(0.85*'Parametros'!$B$2*H5))/2)/1000000</f>
        <v>68.5183923529412</v>
      </c>
      <c r="AG5" s="10">
        <f>AC5*1.25*'Parametros'!$B$3*(AB5-(AC5*1.25*'Parametros'!$B$3/(0.85*'Parametros'!$B$2*H5))/2)/1000000</f>
        <v>68.5183923529412</v>
      </c>
      <c r="AH5" s="10">
        <f>N5+(AF5+AG5)/D5</f>
        <v>50.5321425882353</v>
      </c>
      <c r="AI5" s="10">
        <f>MIN(O5,MAX(N5,AH5))</f>
        <v>39.576</v>
      </c>
      <c r="AJ5" s="10">
        <f>0.17*SQRT('Parametros'!$B$2)*H5*MIN(U5,AB5)/1000</f>
        <v>92.4428153837279</v>
      </c>
      <c r="AK5" s="10">
        <f>MAX(AI5/'Parametros'!$B$6-AJ5,0)</f>
        <v>0</v>
      </c>
      <c r="AL5" s="10">
        <f>0.66*SQRT('Parametros'!$B$2)*H5*MIN(U5,AB5)/1000</f>
        <v>358.89563619565</v>
      </c>
      <c r="AM5" s="10" t="str">
        <f>IF(AK5&lt;=AL5,"CUMPLE","NO CUMPLE")</f>
        <v>CUMPLE</v>
      </c>
      <c r="AN5" s="15" t="inlineStr">
        <is>
          <t>Nº3 cerrado</t>
        </is>
      </c>
      <c r="AO5" s="17" t="n">
        <v>2</v>
      </c>
      <c r="AP5" s="10">
        <f>ROUNDDOWN(MIN(IF(AK5=0,1000000000,AO5*'Parametros'!$B$11*'Parametros'!$B$4*MIN(U5,AB5)/(AK5*1000)),IF(AV5=0,1000000000,'Parametros'!$B$11/AV5),MIN(U5,AB5)/4,8*'Parametros'!$B$12,24*'Parametros'!$B$9,300)/10,0)*10</f>
        <v>80</v>
      </c>
      <c r="AQ5" s="10">
        <f>ROUNDDOWN(MIN(IF(AK5=0,1000000000,AO5*'Parametros'!$B$11*'Parametros'!$B$4*MIN(U5,AB5)/(AK5*1000)),IF(AV5=0,1000000000,'Parametros'!$B$11/AV5),MIN(U5,AB5)/2,600)/10,0)*10</f>
        <v>170</v>
      </c>
      <c r="AR5" s="10">
        <f>'Parametros'!$B$6*(AJ5+AO5*'Parametros'!$B$11*'Parametros'!$B$4*MIN(U5,AB5)/AP5/1000)</f>
        <v>260.860380287796</v>
      </c>
      <c r="AS5" s="10" t="str">
        <f>IF(AND(AM5="CUMPLE",AR5&gt;=AI5),"CUMPLE","NO CUMPLE")</f>
        <v>CUMPLE</v>
      </c>
      <c r="AT5" s="10">
        <f>'Parametros'!$B$6*0.083*SQRT('Parametros'!$B$2)*(H5*I5)^2/(2*(H5+I5))/1000000</f>
        <v>3.38807353605471</v>
      </c>
      <c r="AU5" s="10" t="str">
        <f>IF(Q5&lt;=AT5,"DESPRECIABLE","DISEÑAR")</f>
        <v>DESPRECIABLE</v>
      </c>
      <c r="AV5" s="10">
        <f>IF(Q5&lt;=AT5,0,Q5*1000000/('Parametros'!$B$6*2*0.85*(H5-2*'Parametros'!$B$7)*(I5-2*'Parametros'!$B$7)*'Parametros'!$B$4))</f>
        <v>0</v>
      </c>
      <c r="AW5" s="10">
        <f>AV5*2*((H5-2*'Parametros'!$B$7)+(I5-2*'Parametros'!$B$7))*'Parametros'!$B$4/'Parametros'!$B$3</f>
        <v>0</v>
      </c>
      <c r="AX5" s="17" t="n">
        <v>0</v>
      </c>
      <c r="AY5" s="10" t="str">
        <f>IF(AV5=0,"DESPRECIABLE",IF('Parametros'!$B$11/AP5&gt;=AV5,"CUMPLE","NO CUMPLE"))</f>
        <v>DESPRECIABLE</v>
      </c>
      <c r="AZ5" s="10" t="str">
        <f>IF(AND(X5="CUMPLE",AE5="CUMPLE",AS5="CUMPLE",OR(AY5="CUMPLE",AY5="DESPRECIABLE")),IF(OR(F5&lt;&gt;H5,G5&lt;&gt;I5),"CUMPLE - REANALIZAR SAP","CUMPLE"),"NO CUMPLE")</f>
        <v>CUMPLE</v>
      </c>
    </row>
    <row r="6">
      <c r="A6" s="14" t="inlineStr">
        <is>
          <t>VC1</t>
        </is>
      </c>
      <c r="B6" s="14" t="inlineStr">
        <is>
          <t>153</t>
        </is>
      </c>
      <c r="C6" s="10" t="n">
        <v>1</v>
      </c>
      <c r="D6" s="10" t="n">
        <v>3.75</v>
      </c>
      <c r="E6" s="10" t="n">
        <v>3.75</v>
      </c>
      <c r="F6" s="10" t="n">
        <v>300</v>
      </c>
      <c r="G6" s="10" t="n">
        <v>400</v>
      </c>
      <c r="H6" s="15" t="n">
        <v>300</v>
      </c>
      <c r="I6" s="15" t="n">
        <v>400</v>
      </c>
      <c r="J6" s="16" t="n">
        <v>18.5398</v>
      </c>
      <c r="K6" s="10" t="inlineStr">
        <is>
          <t>153</t>
        </is>
      </c>
      <c r="L6" s="16" t="n">
        <v>11.8022</v>
      </c>
      <c r="M6" s="10" t="inlineStr">
        <is>
          <t>153</t>
        </is>
      </c>
      <c r="N6" s="16" t="n">
        <v>13.989</v>
      </c>
      <c r="O6" s="16" t="n">
        <v>39.575</v>
      </c>
      <c r="P6" s="10" t="inlineStr">
        <is>
          <t>153</t>
        </is>
      </c>
      <c r="Q6" s="16" t="n">
        <v>2.504</v>
      </c>
      <c r="R6" s="10">
        <f>MAX(MAX(1.4/'Parametros'!$B$3,0.25*SQRT('Parametros'!$B$2)/'Parametros'!$B$3)*H6*U6,(0.85*'Parametros'!$B$2/'Parametros'!$B$3)*(1-SQRT(1-2*(J6*1000000/('Parametros'!$B$5*H6*U6^2))/(0.85*'Parametros'!$B$2)))*H6*U6)</f>
        <v>342.55</v>
      </c>
      <c r="S6" s="17" t="n">
        <v>2</v>
      </c>
      <c r="T6" s="18" t="n">
        <v>1</v>
      </c>
      <c r="U6" s="10">
        <f>IF(T6=1,I6-('Parametros'!$B$7+'Parametros'!$B$9+'Parametros'!$B$12/2),I6-(ROUNDUP(S6/2,0)*('Parametros'!$B$7+'Parametros'!$B$9+'Parametros'!$B$12/2)+ROUNDDOWN(S6/2,0)*('Parametros'!$B$7+'Parametros'!$B$9+'Parametros'!$B$12/2+'Parametros'!$B$12+'Parametros'!$B$10))/S6)</f>
        <v>342.55</v>
      </c>
      <c r="V6" s="10">
        <f>S6*'Parametros'!$B$8</f>
        <v>398</v>
      </c>
      <c r="W6" s="10">
        <f>'Parametros'!$B$5*V6*'Parametros'!$B$3*(U6-(V6*'Parametros'!$B$3/(0.85*'Parametros'!$B$2*H6))/2)/1000000</f>
        <v>49.7735124352941</v>
      </c>
      <c r="X6" s="10" t="str">
        <f>IF(W6&gt;=J6,"CUMPLE","NO CUMPLE")</f>
        <v>CUMPLE</v>
      </c>
      <c r="Y6" s="10">
        <f>MAX(MAX(1.4/'Parametros'!$B$3,0.25*SQRT('Parametros'!$B$2)/'Parametros'!$B$3)*H6*AB6,(0.85*'Parametros'!$B$2/'Parametros'!$B$3)*(1-SQRT(1-2*(L6*1000000/('Parametros'!$B$5*H6*AB6^2))/(0.85*'Parametros'!$B$2)))*H6*AB6)</f>
        <v>342.55</v>
      </c>
      <c r="Z6" s="17" t="n">
        <v>2</v>
      </c>
      <c r="AA6" s="18" t="n">
        <v>1</v>
      </c>
      <c r="AB6" s="10">
        <f>IF(AA6=1,I6-('Parametros'!$B$7+'Parametros'!$B$9+'Parametros'!$B$12/2),I6-(ROUNDUP(Z6/2,0)*('Parametros'!$B$7+'Parametros'!$B$9+'Parametros'!$B$12/2)+ROUNDDOWN(Z6/2,0)*('Parametros'!$B$7+'Parametros'!$B$9+'Parametros'!$B$12/2+'Parametros'!$B$12+'Parametros'!$B$10))/Z6)</f>
        <v>342.55</v>
      </c>
      <c r="AC6" s="10">
        <f>Z6*'Parametros'!$B$8</f>
        <v>398</v>
      </c>
      <c r="AD6" s="10">
        <f>'Parametros'!$B$5*AC6*'Parametros'!$B$3*(AB6-(AC6*'Parametros'!$B$3/(0.85*'Parametros'!$B$2*H6))/2)/1000000</f>
        <v>49.7735124352941</v>
      </c>
      <c r="AE6" s="10" t="str">
        <f>IF(AD6&gt;=L6,"CUMPLE","NO CUMPLE")</f>
        <v>CUMPLE</v>
      </c>
      <c r="AF6" s="10">
        <f>V6*1.25*'Parametros'!$B$3*(U6-(V6*1.25*'Parametros'!$B$3/(0.85*'Parametros'!$B$2*H6))/2)/1000000</f>
        <v>68.5183923529412</v>
      </c>
      <c r="AG6" s="10">
        <f>AC6*1.25*'Parametros'!$B$3*(AB6-(AC6*1.25*'Parametros'!$B$3/(0.85*'Parametros'!$B$2*H6))/2)/1000000</f>
        <v>68.5183923529412</v>
      </c>
      <c r="AH6" s="10">
        <f>N6+(AF6+AG6)/D6</f>
        <v>50.5321425882353</v>
      </c>
      <c r="AI6" s="10">
        <f>MIN(O6,MAX(N6,AH6))</f>
        <v>39.575</v>
      </c>
      <c r="AJ6" s="10">
        <f>0.17*SQRT('Parametros'!$B$2)*H6*MIN(U6,AB6)/1000</f>
        <v>92.4428153837279</v>
      </c>
      <c r="AK6" s="10">
        <f>MAX(AI6/'Parametros'!$B$6-AJ6,0)</f>
        <v>0</v>
      </c>
      <c r="AL6" s="10">
        <f>0.66*SQRT('Parametros'!$B$2)*H6*MIN(U6,AB6)/1000</f>
        <v>358.89563619565</v>
      </c>
      <c r="AM6" s="10" t="str">
        <f>IF(AK6&lt;=AL6,"CUMPLE","NO CUMPLE")</f>
        <v>CUMPLE</v>
      </c>
      <c r="AN6" s="15" t="inlineStr">
        <is>
          <t>Nº3 cerrado</t>
        </is>
      </c>
      <c r="AO6" s="17" t="n">
        <v>2</v>
      </c>
      <c r="AP6" s="10">
        <f>ROUNDDOWN(MIN(IF(AK6=0,1000000000,AO6*'Parametros'!$B$11*'Parametros'!$B$4*MIN(U6,AB6)/(AK6*1000)),IF(AV6=0,1000000000,'Parametros'!$B$11/AV6),MIN(U6,AB6)/4,8*'Parametros'!$B$12,24*'Parametros'!$B$9,300)/10,0)*10</f>
        <v>80</v>
      </c>
      <c r="AQ6" s="10">
        <f>ROUNDDOWN(MIN(IF(AK6=0,1000000000,AO6*'Parametros'!$B$11*'Parametros'!$B$4*MIN(U6,AB6)/(AK6*1000)),IF(AV6=0,1000000000,'Parametros'!$B$11/AV6),MIN(U6,AB6)/2,600)/10,0)*10</f>
        <v>170</v>
      </c>
      <c r="AR6" s="10">
        <f>'Parametros'!$B$6*(AJ6+AO6*'Parametros'!$B$11*'Parametros'!$B$4*MIN(U6,AB6)/AP6/1000)</f>
        <v>260.860380287796</v>
      </c>
      <c r="AS6" s="10" t="str">
        <f>IF(AND(AM6="CUMPLE",AR6&gt;=AI6),"CUMPLE","NO CUMPLE")</f>
        <v>CUMPLE</v>
      </c>
      <c r="AT6" s="10">
        <f>'Parametros'!$B$6*0.083*SQRT('Parametros'!$B$2)*(H6*I6)^2/(2*(H6+I6))/1000000</f>
        <v>3.38807353605471</v>
      </c>
      <c r="AU6" s="10" t="str">
        <f>IF(Q6&lt;=AT6,"DESPRECIABLE","DISEÑAR")</f>
        <v>DESPRECIABLE</v>
      </c>
      <c r="AV6" s="10">
        <f>IF(Q6&lt;=AT6,0,Q6*1000000/('Parametros'!$B$6*2*0.85*(H6-2*'Parametros'!$B$7)*(I6-2*'Parametros'!$B$7)*'Parametros'!$B$4))</f>
        <v>0</v>
      </c>
      <c r="AW6" s="10">
        <f>AV6*2*((H6-2*'Parametros'!$B$7)+(I6-2*'Parametros'!$B$7))*'Parametros'!$B$4/'Parametros'!$B$3</f>
        <v>0</v>
      </c>
      <c r="AX6" s="17" t="n">
        <v>0</v>
      </c>
      <c r="AY6" s="10" t="str">
        <f>IF(AV6=0,"DESPRECIABLE",IF('Parametros'!$B$11/AP6&gt;=AV6,"CUMPLE","NO CUMPLE"))</f>
        <v>DESPRECIABLE</v>
      </c>
      <c r="AZ6" s="10" t="str">
        <f>IF(AND(X6="CUMPLE",AE6="CUMPLE",AS6="CUMPLE",OR(AY6="CUMPLE",AY6="DESPRECIABLE")),IF(OR(F6&lt;&gt;H6,G6&lt;&gt;I6),"CUMPLE - REANALIZAR SAP","CUMPLE"),"NO CUMPLE")</f>
        <v>CUMPLE</v>
      </c>
    </row>
    <row r="7">
      <c r="A7" s="14" t="inlineStr">
        <is>
          <t>VC1</t>
        </is>
      </c>
      <c r="B7" s="14" t="inlineStr">
        <is>
          <t>154</t>
        </is>
      </c>
      <c r="C7" s="10" t="n">
        <v>1</v>
      </c>
      <c r="D7" s="10" t="n">
        <v>3.75</v>
      </c>
      <c r="E7" s="10" t="n">
        <v>3.75</v>
      </c>
      <c r="F7" s="10" t="n">
        <v>300</v>
      </c>
      <c r="G7" s="10" t="n">
        <v>400</v>
      </c>
      <c r="H7" s="15" t="n">
        <v>300</v>
      </c>
      <c r="I7" s="15" t="n">
        <v>400</v>
      </c>
      <c r="J7" s="16" t="n">
        <v>18.5443</v>
      </c>
      <c r="K7" s="10" t="inlineStr">
        <is>
          <t>154</t>
        </is>
      </c>
      <c r="L7" s="16" t="n">
        <v>11.7994</v>
      </c>
      <c r="M7" s="10" t="inlineStr">
        <is>
          <t>154</t>
        </is>
      </c>
      <c r="N7" s="16" t="n">
        <v>13.991</v>
      </c>
      <c r="O7" s="16" t="n">
        <v>39.577</v>
      </c>
      <c r="P7" s="10" t="inlineStr">
        <is>
          <t>154</t>
        </is>
      </c>
      <c r="Q7" s="16" t="n">
        <v>2.5041</v>
      </c>
      <c r="R7" s="10">
        <f>MAX(MAX(1.4/'Parametros'!$B$3,0.25*SQRT('Parametros'!$B$2)/'Parametros'!$B$3)*H7*U7,(0.85*'Parametros'!$B$2/'Parametros'!$B$3)*(1-SQRT(1-2*(J7*1000000/('Parametros'!$B$5*H7*U7^2))/(0.85*'Parametros'!$B$2)))*H7*U7)</f>
        <v>342.55</v>
      </c>
      <c r="S7" s="17" t="n">
        <v>2</v>
      </c>
      <c r="T7" s="18" t="n">
        <v>1</v>
      </c>
      <c r="U7" s="10">
        <f>IF(T7=1,I7-('Parametros'!$B$7+'Parametros'!$B$9+'Parametros'!$B$12/2),I7-(ROUNDUP(S7/2,0)*('Parametros'!$B$7+'Parametros'!$B$9+'Parametros'!$B$12/2)+ROUNDDOWN(S7/2,0)*('Parametros'!$B$7+'Parametros'!$B$9+'Parametros'!$B$12/2+'Parametros'!$B$12+'Parametros'!$B$10))/S7)</f>
        <v>342.55</v>
      </c>
      <c r="V7" s="10">
        <f>S7*'Parametros'!$B$8</f>
        <v>398</v>
      </c>
      <c r="W7" s="10">
        <f>'Parametros'!$B$5*V7*'Parametros'!$B$3*(U7-(V7*'Parametros'!$B$3/(0.85*'Parametros'!$B$2*H7))/2)/1000000</f>
        <v>49.7735124352941</v>
      </c>
      <c r="X7" s="10" t="str">
        <f>IF(W7&gt;=J7,"CUMPLE","NO CUMPLE")</f>
        <v>CUMPLE</v>
      </c>
      <c r="Y7" s="10">
        <f>MAX(MAX(1.4/'Parametros'!$B$3,0.25*SQRT('Parametros'!$B$2)/'Parametros'!$B$3)*H7*AB7,(0.85*'Parametros'!$B$2/'Parametros'!$B$3)*(1-SQRT(1-2*(L7*1000000/('Parametros'!$B$5*H7*AB7^2))/(0.85*'Parametros'!$B$2)))*H7*AB7)</f>
        <v>342.55</v>
      </c>
      <c r="Z7" s="17" t="n">
        <v>2</v>
      </c>
      <c r="AA7" s="18" t="n">
        <v>1</v>
      </c>
      <c r="AB7" s="10">
        <f>IF(AA7=1,I7-('Parametros'!$B$7+'Parametros'!$B$9+'Parametros'!$B$12/2),I7-(ROUNDUP(Z7/2,0)*('Parametros'!$B$7+'Parametros'!$B$9+'Parametros'!$B$12/2)+ROUNDDOWN(Z7/2,0)*('Parametros'!$B$7+'Parametros'!$B$9+'Parametros'!$B$12/2+'Parametros'!$B$12+'Parametros'!$B$10))/Z7)</f>
        <v>342.55</v>
      </c>
      <c r="AC7" s="10">
        <f>Z7*'Parametros'!$B$8</f>
        <v>398</v>
      </c>
      <c r="AD7" s="10">
        <f>'Parametros'!$B$5*AC7*'Parametros'!$B$3*(AB7-(AC7*'Parametros'!$B$3/(0.85*'Parametros'!$B$2*H7))/2)/1000000</f>
        <v>49.7735124352941</v>
      </c>
      <c r="AE7" s="10" t="str">
        <f>IF(AD7&gt;=L7,"CUMPLE","NO CUMPLE")</f>
        <v>CUMPLE</v>
      </c>
      <c r="AF7" s="10">
        <f>V7*1.25*'Parametros'!$B$3*(U7-(V7*1.25*'Parametros'!$B$3/(0.85*'Parametros'!$B$2*H7))/2)/1000000</f>
        <v>68.5183923529412</v>
      </c>
      <c r="AG7" s="10">
        <f>AC7*1.25*'Parametros'!$B$3*(AB7-(AC7*1.25*'Parametros'!$B$3/(0.85*'Parametros'!$B$2*H7))/2)/1000000</f>
        <v>68.5183923529412</v>
      </c>
      <c r="AH7" s="10">
        <f>N7+(AF7+AG7)/D7</f>
        <v>50.5341425882353</v>
      </c>
      <c r="AI7" s="10">
        <f>MIN(O7,MAX(N7,AH7))</f>
        <v>39.577</v>
      </c>
      <c r="AJ7" s="10">
        <f>0.17*SQRT('Parametros'!$B$2)*H7*MIN(U7,AB7)/1000</f>
        <v>92.4428153837279</v>
      </c>
      <c r="AK7" s="10">
        <f>MAX(AI7/'Parametros'!$B$6-AJ7,0)</f>
        <v>0</v>
      </c>
      <c r="AL7" s="10">
        <f>0.66*SQRT('Parametros'!$B$2)*H7*MIN(U7,AB7)/1000</f>
        <v>358.89563619565</v>
      </c>
      <c r="AM7" s="10" t="str">
        <f>IF(AK7&lt;=AL7,"CUMPLE","NO CUMPLE")</f>
        <v>CUMPLE</v>
      </c>
      <c r="AN7" s="15" t="inlineStr">
        <is>
          <t>Nº3 cerrado</t>
        </is>
      </c>
      <c r="AO7" s="17" t="n">
        <v>2</v>
      </c>
      <c r="AP7" s="10">
        <f>ROUNDDOWN(MIN(IF(AK7=0,1000000000,AO7*'Parametros'!$B$11*'Parametros'!$B$4*MIN(U7,AB7)/(AK7*1000)),IF(AV7=0,1000000000,'Parametros'!$B$11/AV7),MIN(U7,AB7)/4,8*'Parametros'!$B$12,24*'Parametros'!$B$9,300)/10,0)*10</f>
        <v>80</v>
      </c>
      <c r="AQ7" s="10">
        <f>ROUNDDOWN(MIN(IF(AK7=0,1000000000,AO7*'Parametros'!$B$11*'Parametros'!$B$4*MIN(U7,AB7)/(AK7*1000)),IF(AV7=0,1000000000,'Parametros'!$B$11/AV7),MIN(U7,AB7)/2,600)/10,0)*10</f>
        <v>170</v>
      </c>
      <c r="AR7" s="10">
        <f>'Parametros'!$B$6*(AJ7+AO7*'Parametros'!$B$11*'Parametros'!$B$4*MIN(U7,AB7)/AP7/1000)</f>
        <v>260.860380287796</v>
      </c>
      <c r="AS7" s="10" t="str">
        <f>IF(AND(AM7="CUMPLE",AR7&gt;=AI7),"CUMPLE","NO CUMPLE")</f>
        <v>CUMPLE</v>
      </c>
      <c r="AT7" s="10">
        <f>'Parametros'!$B$6*0.083*SQRT('Parametros'!$B$2)*(H7*I7)^2/(2*(H7+I7))/1000000</f>
        <v>3.38807353605471</v>
      </c>
      <c r="AU7" s="10" t="str">
        <f>IF(Q7&lt;=AT7,"DESPRECIABLE","DISEÑAR")</f>
        <v>DESPRECIABLE</v>
      </c>
      <c r="AV7" s="10">
        <f>IF(Q7&lt;=AT7,0,Q7*1000000/('Parametros'!$B$6*2*0.85*(H7-2*'Parametros'!$B$7)*(I7-2*'Parametros'!$B$7)*'Parametros'!$B$4))</f>
        <v>0</v>
      </c>
      <c r="AW7" s="10">
        <f>AV7*2*((H7-2*'Parametros'!$B$7)+(I7-2*'Parametros'!$B$7))*'Parametros'!$B$4/'Parametros'!$B$3</f>
        <v>0</v>
      </c>
      <c r="AX7" s="17" t="n">
        <v>0</v>
      </c>
      <c r="AY7" s="10" t="str">
        <f>IF(AV7=0,"DESPRECIABLE",IF('Parametros'!$B$11/AP7&gt;=AV7,"CUMPLE","NO CUMPLE"))</f>
        <v>DESPRECIABLE</v>
      </c>
      <c r="AZ7" s="10" t="str">
        <f>IF(AND(X7="CUMPLE",AE7="CUMPLE",AS7="CUMPLE",OR(AY7="CUMPLE",AY7="DESPRECIABLE")),IF(OR(F7&lt;&gt;H7,G7&lt;&gt;I7),"CUMPLE - REANALIZAR SAP","CUMPLE"),"NO CUMPLE")</f>
        <v>CUMPLE</v>
      </c>
    </row>
    <row r="8">
      <c r="A8" s="14" t="inlineStr">
        <is>
          <t>VC1</t>
        </is>
      </c>
      <c r="B8" s="14" t="inlineStr">
        <is>
          <t>158</t>
        </is>
      </c>
      <c r="C8" s="10" t="n">
        <v>1</v>
      </c>
      <c r="D8" s="10" t="n">
        <v>3.75</v>
      </c>
      <c r="E8" s="10" t="n">
        <v>3.75</v>
      </c>
      <c r="F8" s="10" t="n">
        <v>300</v>
      </c>
      <c r="G8" s="10" t="n">
        <v>400</v>
      </c>
      <c r="H8" s="15" t="n">
        <v>300</v>
      </c>
      <c r="I8" s="15" t="n">
        <v>400</v>
      </c>
      <c r="J8" s="16" t="n">
        <v>19.2874</v>
      </c>
      <c r="K8" s="10" t="inlineStr">
        <is>
          <t>158</t>
        </is>
      </c>
      <c r="L8" s="16" t="n">
        <v>12.1173</v>
      </c>
      <c r="M8" s="10" t="inlineStr">
        <is>
          <t>158</t>
        </is>
      </c>
      <c r="N8" s="16" t="n">
        <v>14.445</v>
      </c>
      <c r="O8" s="16" t="n">
        <v>40.805</v>
      </c>
      <c r="P8" s="10" t="inlineStr">
        <is>
          <t>158</t>
        </is>
      </c>
      <c r="Q8" s="16" t="n">
        <v>2.3151</v>
      </c>
      <c r="R8" s="10">
        <f>MAX(MAX(1.4/'Parametros'!$B$3,0.25*SQRT('Parametros'!$B$2)/'Parametros'!$B$3)*H8*U8,(0.85*'Parametros'!$B$2/'Parametros'!$B$3)*(1-SQRT(1-2*(J8*1000000/('Parametros'!$B$5*H8*U8^2))/(0.85*'Parametros'!$B$2)))*H8*U8)</f>
        <v>342.55</v>
      </c>
      <c r="S8" s="17" t="n">
        <v>2</v>
      </c>
      <c r="T8" s="18" t="n">
        <v>1</v>
      </c>
      <c r="U8" s="10">
        <f>IF(T8=1,I8-('Parametros'!$B$7+'Parametros'!$B$9+'Parametros'!$B$12/2),I8-(ROUNDUP(S8/2,0)*('Parametros'!$B$7+'Parametros'!$B$9+'Parametros'!$B$12/2)+ROUNDDOWN(S8/2,0)*('Parametros'!$B$7+'Parametros'!$B$9+'Parametros'!$B$12/2+'Parametros'!$B$12+'Parametros'!$B$10))/S8)</f>
        <v>342.55</v>
      </c>
      <c r="V8" s="10">
        <f>S8*'Parametros'!$B$8</f>
        <v>398</v>
      </c>
      <c r="W8" s="10">
        <f>'Parametros'!$B$5*V8*'Parametros'!$B$3*(U8-(V8*'Parametros'!$B$3/(0.85*'Parametros'!$B$2*H8))/2)/1000000</f>
        <v>49.7735124352941</v>
      </c>
      <c r="X8" s="10" t="str">
        <f>IF(W8&gt;=J8,"CUMPLE","NO CUMPLE")</f>
        <v>CUMPLE</v>
      </c>
      <c r="Y8" s="10">
        <f>MAX(MAX(1.4/'Parametros'!$B$3,0.25*SQRT('Parametros'!$B$2)/'Parametros'!$B$3)*H8*AB8,(0.85*'Parametros'!$B$2/'Parametros'!$B$3)*(1-SQRT(1-2*(L8*1000000/('Parametros'!$B$5*H8*AB8^2))/(0.85*'Parametros'!$B$2)))*H8*AB8)</f>
        <v>342.55</v>
      </c>
      <c r="Z8" s="17" t="n">
        <v>2</v>
      </c>
      <c r="AA8" s="18" t="n">
        <v>1</v>
      </c>
      <c r="AB8" s="10">
        <f>IF(AA8=1,I8-('Parametros'!$B$7+'Parametros'!$B$9+'Parametros'!$B$12/2),I8-(ROUNDUP(Z8/2,0)*('Parametros'!$B$7+'Parametros'!$B$9+'Parametros'!$B$12/2)+ROUNDDOWN(Z8/2,0)*('Parametros'!$B$7+'Parametros'!$B$9+'Parametros'!$B$12/2+'Parametros'!$B$12+'Parametros'!$B$10))/Z8)</f>
        <v>342.55</v>
      </c>
      <c r="AC8" s="10">
        <f>Z8*'Parametros'!$B$8</f>
        <v>398</v>
      </c>
      <c r="AD8" s="10">
        <f>'Parametros'!$B$5*AC8*'Parametros'!$B$3*(AB8-(AC8*'Parametros'!$B$3/(0.85*'Parametros'!$B$2*H8))/2)/1000000</f>
        <v>49.7735124352941</v>
      </c>
      <c r="AE8" s="10" t="str">
        <f>IF(AD8&gt;=L8,"CUMPLE","NO CUMPLE")</f>
        <v>CUMPLE</v>
      </c>
      <c r="AF8" s="10">
        <f>V8*1.25*'Parametros'!$B$3*(U8-(V8*1.25*'Parametros'!$B$3/(0.85*'Parametros'!$B$2*H8))/2)/1000000</f>
        <v>68.5183923529412</v>
      </c>
      <c r="AG8" s="10">
        <f>AC8*1.25*'Parametros'!$B$3*(AB8-(AC8*1.25*'Parametros'!$B$3/(0.85*'Parametros'!$B$2*H8))/2)/1000000</f>
        <v>68.5183923529412</v>
      </c>
      <c r="AH8" s="10">
        <f>N8+(AF8+AG8)/D8</f>
        <v>50.9881425882353</v>
      </c>
      <c r="AI8" s="10">
        <f>MIN(O8,MAX(N8,AH8))</f>
        <v>40.805</v>
      </c>
      <c r="AJ8" s="10">
        <f>0.17*SQRT('Parametros'!$B$2)*H8*MIN(U8,AB8)/1000</f>
        <v>92.4428153837279</v>
      </c>
      <c r="AK8" s="10">
        <f>MAX(AI8/'Parametros'!$B$6-AJ8,0)</f>
        <v>0</v>
      </c>
      <c r="AL8" s="10">
        <f>0.66*SQRT('Parametros'!$B$2)*H8*MIN(U8,AB8)/1000</f>
        <v>358.89563619565</v>
      </c>
      <c r="AM8" s="10" t="str">
        <f>IF(AK8&lt;=AL8,"CUMPLE","NO CUMPLE")</f>
        <v>CUMPLE</v>
      </c>
      <c r="AN8" s="15" t="inlineStr">
        <is>
          <t>Nº3 cerrado</t>
        </is>
      </c>
      <c r="AO8" s="17" t="n">
        <v>2</v>
      </c>
      <c r="AP8" s="10">
        <f>ROUNDDOWN(MIN(IF(AK8=0,1000000000,AO8*'Parametros'!$B$11*'Parametros'!$B$4*MIN(U8,AB8)/(AK8*1000)),IF(AV8=0,1000000000,'Parametros'!$B$11/AV8),MIN(U8,AB8)/4,8*'Parametros'!$B$12,24*'Parametros'!$B$9,300)/10,0)*10</f>
        <v>80</v>
      </c>
      <c r="AQ8" s="10">
        <f>ROUNDDOWN(MIN(IF(AK8=0,1000000000,AO8*'Parametros'!$B$11*'Parametros'!$B$4*MIN(U8,AB8)/(AK8*1000)),IF(AV8=0,1000000000,'Parametros'!$B$11/AV8),MIN(U8,AB8)/2,600)/10,0)*10</f>
        <v>170</v>
      </c>
      <c r="AR8" s="10">
        <f>'Parametros'!$B$6*(AJ8+AO8*'Parametros'!$B$11*'Parametros'!$B$4*MIN(U8,AB8)/AP8/1000)</f>
        <v>260.860380287796</v>
      </c>
      <c r="AS8" s="10" t="str">
        <f>IF(AND(AM8="CUMPLE",AR8&gt;=AI8),"CUMPLE","NO CUMPLE")</f>
        <v>CUMPLE</v>
      </c>
      <c r="AT8" s="10">
        <f>'Parametros'!$B$6*0.083*SQRT('Parametros'!$B$2)*(H8*I8)^2/(2*(H8+I8))/1000000</f>
        <v>3.38807353605471</v>
      </c>
      <c r="AU8" s="10" t="str">
        <f>IF(Q8&lt;=AT8,"DESPRECIABLE","DISEÑAR")</f>
        <v>DESPRECIABLE</v>
      </c>
      <c r="AV8" s="10">
        <f>IF(Q8&lt;=AT8,0,Q8*1000000/('Parametros'!$B$6*2*0.85*(H8-2*'Parametros'!$B$7)*(I8-2*'Parametros'!$B$7)*'Parametros'!$B$4))</f>
        <v>0</v>
      </c>
      <c r="AW8" s="10">
        <f>AV8*2*((H8-2*'Parametros'!$B$7)+(I8-2*'Parametros'!$B$7))*'Parametros'!$B$4/'Parametros'!$B$3</f>
        <v>0</v>
      </c>
      <c r="AX8" s="17" t="n">
        <v>0</v>
      </c>
      <c r="AY8" s="10" t="str">
        <f>IF(AV8=0,"DESPRECIABLE",IF('Parametros'!$B$11/AP8&gt;=AV8,"CUMPLE","NO CUMPLE"))</f>
        <v>DESPRECIABLE</v>
      </c>
      <c r="AZ8" s="10" t="str">
        <f>IF(AND(X8="CUMPLE",AE8="CUMPLE",AS8="CUMPLE",OR(AY8="CUMPLE",AY8="DESPRECIABLE")),IF(OR(F8&lt;&gt;H8,G8&lt;&gt;I8),"CUMPLE - REANALIZAR SAP","CUMPLE"),"NO CUMPLE")</f>
        <v>CUMPLE</v>
      </c>
    </row>
    <row r="9">
      <c r="A9" s="14" t="inlineStr">
        <is>
          <t>VC1</t>
        </is>
      </c>
      <c r="B9" s="14" t="inlineStr">
        <is>
          <t>159</t>
        </is>
      </c>
      <c r="C9" s="10" t="n">
        <v>1</v>
      </c>
      <c r="D9" s="10" t="n">
        <v>3.75</v>
      </c>
      <c r="E9" s="10" t="n">
        <v>3.75</v>
      </c>
      <c r="F9" s="10" t="n">
        <v>300</v>
      </c>
      <c r="G9" s="10" t="n">
        <v>400</v>
      </c>
      <c r="H9" s="15" t="n">
        <v>300</v>
      </c>
      <c r="I9" s="15" t="n">
        <v>400</v>
      </c>
      <c r="J9" s="16" t="n">
        <v>19.2928</v>
      </c>
      <c r="K9" s="10" t="inlineStr">
        <is>
          <t>159</t>
        </is>
      </c>
      <c r="L9" s="16" t="n">
        <v>12.114</v>
      </c>
      <c r="M9" s="10" t="inlineStr">
        <is>
          <t>159</t>
        </is>
      </c>
      <c r="N9" s="16" t="n">
        <v>14.448</v>
      </c>
      <c r="O9" s="16" t="n">
        <v>40.807</v>
      </c>
      <c r="P9" s="10" t="inlineStr">
        <is>
          <t>159</t>
        </is>
      </c>
      <c r="Q9" s="16" t="n">
        <v>2.3152</v>
      </c>
      <c r="R9" s="10">
        <f>MAX(MAX(1.4/'Parametros'!$B$3,0.25*SQRT('Parametros'!$B$2)/'Parametros'!$B$3)*H9*U9,(0.85*'Parametros'!$B$2/'Parametros'!$B$3)*(1-SQRT(1-2*(J9*1000000/('Parametros'!$B$5*H9*U9^2))/(0.85*'Parametros'!$B$2)))*H9*U9)</f>
        <v>342.55</v>
      </c>
      <c r="S9" s="17" t="n">
        <v>2</v>
      </c>
      <c r="T9" s="18" t="n">
        <v>1</v>
      </c>
      <c r="U9" s="10">
        <f>IF(T9=1,I9-('Parametros'!$B$7+'Parametros'!$B$9+'Parametros'!$B$12/2),I9-(ROUNDUP(S9/2,0)*('Parametros'!$B$7+'Parametros'!$B$9+'Parametros'!$B$12/2)+ROUNDDOWN(S9/2,0)*('Parametros'!$B$7+'Parametros'!$B$9+'Parametros'!$B$12/2+'Parametros'!$B$12+'Parametros'!$B$10))/S9)</f>
        <v>342.55</v>
      </c>
      <c r="V9" s="10">
        <f>S9*'Parametros'!$B$8</f>
        <v>398</v>
      </c>
      <c r="W9" s="10">
        <f>'Parametros'!$B$5*V9*'Parametros'!$B$3*(U9-(V9*'Parametros'!$B$3/(0.85*'Parametros'!$B$2*H9))/2)/1000000</f>
        <v>49.7735124352941</v>
      </c>
      <c r="X9" s="10" t="str">
        <f>IF(W9&gt;=J9,"CUMPLE","NO CUMPLE")</f>
        <v>CUMPLE</v>
      </c>
      <c r="Y9" s="10">
        <f>MAX(MAX(1.4/'Parametros'!$B$3,0.25*SQRT('Parametros'!$B$2)/'Parametros'!$B$3)*H9*AB9,(0.85*'Parametros'!$B$2/'Parametros'!$B$3)*(1-SQRT(1-2*(L9*1000000/('Parametros'!$B$5*H9*AB9^2))/(0.85*'Parametros'!$B$2)))*H9*AB9)</f>
        <v>342.55</v>
      </c>
      <c r="Z9" s="17" t="n">
        <v>2</v>
      </c>
      <c r="AA9" s="18" t="n">
        <v>1</v>
      </c>
      <c r="AB9" s="10">
        <f>IF(AA9=1,I9-('Parametros'!$B$7+'Parametros'!$B$9+'Parametros'!$B$12/2),I9-(ROUNDUP(Z9/2,0)*('Parametros'!$B$7+'Parametros'!$B$9+'Parametros'!$B$12/2)+ROUNDDOWN(Z9/2,0)*('Parametros'!$B$7+'Parametros'!$B$9+'Parametros'!$B$12/2+'Parametros'!$B$12+'Parametros'!$B$10))/Z9)</f>
        <v>342.55</v>
      </c>
      <c r="AC9" s="10">
        <f>Z9*'Parametros'!$B$8</f>
        <v>398</v>
      </c>
      <c r="AD9" s="10">
        <f>'Parametros'!$B$5*AC9*'Parametros'!$B$3*(AB9-(AC9*'Parametros'!$B$3/(0.85*'Parametros'!$B$2*H9))/2)/1000000</f>
        <v>49.7735124352941</v>
      </c>
      <c r="AE9" s="10" t="str">
        <f>IF(AD9&gt;=L9,"CUMPLE","NO CUMPLE")</f>
        <v>CUMPLE</v>
      </c>
      <c r="AF9" s="10">
        <f>V9*1.25*'Parametros'!$B$3*(U9-(V9*1.25*'Parametros'!$B$3/(0.85*'Parametros'!$B$2*H9))/2)/1000000</f>
        <v>68.5183923529412</v>
      </c>
      <c r="AG9" s="10">
        <f>AC9*1.25*'Parametros'!$B$3*(AB9-(AC9*1.25*'Parametros'!$B$3/(0.85*'Parametros'!$B$2*H9))/2)/1000000</f>
        <v>68.5183923529412</v>
      </c>
      <c r="AH9" s="10">
        <f>N9+(AF9+AG9)/D9</f>
        <v>50.9911425882353</v>
      </c>
      <c r="AI9" s="10">
        <f>MIN(O9,MAX(N9,AH9))</f>
        <v>40.807</v>
      </c>
      <c r="AJ9" s="10">
        <f>0.17*SQRT('Parametros'!$B$2)*H9*MIN(U9,AB9)/1000</f>
        <v>92.4428153837279</v>
      </c>
      <c r="AK9" s="10">
        <f>MAX(AI9/'Parametros'!$B$6-AJ9,0)</f>
        <v>0</v>
      </c>
      <c r="AL9" s="10">
        <f>0.66*SQRT('Parametros'!$B$2)*H9*MIN(U9,AB9)/1000</f>
        <v>358.89563619565</v>
      </c>
      <c r="AM9" s="10" t="str">
        <f>IF(AK9&lt;=AL9,"CUMPLE","NO CUMPLE")</f>
        <v>CUMPLE</v>
      </c>
      <c r="AN9" s="15" t="inlineStr">
        <is>
          <t>Nº3 cerrado</t>
        </is>
      </c>
      <c r="AO9" s="17" t="n">
        <v>2</v>
      </c>
      <c r="AP9" s="10">
        <f>ROUNDDOWN(MIN(IF(AK9=0,1000000000,AO9*'Parametros'!$B$11*'Parametros'!$B$4*MIN(U9,AB9)/(AK9*1000)),IF(AV9=0,1000000000,'Parametros'!$B$11/AV9),MIN(U9,AB9)/4,8*'Parametros'!$B$12,24*'Parametros'!$B$9,300)/10,0)*10</f>
        <v>80</v>
      </c>
      <c r="AQ9" s="10">
        <f>ROUNDDOWN(MIN(IF(AK9=0,1000000000,AO9*'Parametros'!$B$11*'Parametros'!$B$4*MIN(U9,AB9)/(AK9*1000)),IF(AV9=0,1000000000,'Parametros'!$B$11/AV9),MIN(U9,AB9)/2,600)/10,0)*10</f>
        <v>170</v>
      </c>
      <c r="AR9" s="10">
        <f>'Parametros'!$B$6*(AJ9+AO9*'Parametros'!$B$11*'Parametros'!$B$4*MIN(U9,AB9)/AP9/1000)</f>
        <v>260.860380287796</v>
      </c>
      <c r="AS9" s="10" t="str">
        <f>IF(AND(AM9="CUMPLE",AR9&gt;=AI9),"CUMPLE","NO CUMPLE")</f>
        <v>CUMPLE</v>
      </c>
      <c r="AT9" s="10">
        <f>'Parametros'!$B$6*0.083*SQRT('Parametros'!$B$2)*(H9*I9)^2/(2*(H9+I9))/1000000</f>
        <v>3.38807353605471</v>
      </c>
      <c r="AU9" s="10" t="str">
        <f>IF(Q9&lt;=AT9,"DESPRECIABLE","DISEÑAR")</f>
        <v>DESPRECIABLE</v>
      </c>
      <c r="AV9" s="10">
        <f>IF(Q9&lt;=AT9,0,Q9*1000000/('Parametros'!$B$6*2*0.85*(H9-2*'Parametros'!$B$7)*(I9-2*'Parametros'!$B$7)*'Parametros'!$B$4))</f>
        <v>0</v>
      </c>
      <c r="AW9" s="10">
        <f>AV9*2*((H9-2*'Parametros'!$B$7)+(I9-2*'Parametros'!$B$7))*'Parametros'!$B$4/'Parametros'!$B$3</f>
        <v>0</v>
      </c>
      <c r="AX9" s="17" t="n">
        <v>0</v>
      </c>
      <c r="AY9" s="10" t="str">
        <f>IF(AV9=0,"DESPRECIABLE",IF('Parametros'!$B$11/AP9&gt;=AV9,"CUMPLE","NO CUMPLE"))</f>
        <v>DESPRECIABLE</v>
      </c>
      <c r="AZ9" s="10" t="str">
        <f>IF(AND(X9="CUMPLE",AE9="CUMPLE",AS9="CUMPLE",OR(AY9="CUMPLE",AY9="DESPRECIABLE")),IF(OR(F9&lt;&gt;H9,G9&lt;&gt;I9),"CUMPLE - REANALIZAR SAP","CUMPLE"),"NO CUMPLE")</f>
        <v>CUMPLE</v>
      </c>
    </row>
    <row r="10">
      <c r="A10" s="14" t="inlineStr">
        <is>
          <t>VC1</t>
        </is>
      </c>
      <c r="B10" s="14" t="inlineStr">
        <is>
          <t>163</t>
        </is>
      </c>
      <c r="C10" s="10" t="n">
        <v>1</v>
      </c>
      <c r="D10" s="10" t="n">
        <v>3.75</v>
      </c>
      <c r="E10" s="10" t="n">
        <v>3.75</v>
      </c>
      <c r="F10" s="10" t="n">
        <v>300</v>
      </c>
      <c r="G10" s="10" t="n">
        <v>400</v>
      </c>
      <c r="H10" s="15" t="n">
        <v>300</v>
      </c>
      <c r="I10" s="15" t="n">
        <v>400</v>
      </c>
      <c r="J10" s="16" t="n">
        <v>16.7774</v>
      </c>
      <c r="K10" s="10" t="inlineStr">
        <is>
          <t>163</t>
        </is>
      </c>
      <c r="L10" s="16" t="n">
        <v>10.0094</v>
      </c>
      <c r="M10" s="10" t="inlineStr">
        <is>
          <t>163</t>
        </is>
      </c>
      <c r="N10" s="16" t="n">
        <v>13.505</v>
      </c>
      <c r="O10" s="16" t="n">
        <v>35.089</v>
      </c>
      <c r="P10" s="10" t="inlineStr">
        <is>
          <t>163</t>
        </is>
      </c>
      <c r="Q10" s="16" t="n">
        <v>2.0824</v>
      </c>
      <c r="R10" s="10">
        <f>MAX(MAX(1.4/'Parametros'!$B$3,0.25*SQRT('Parametros'!$B$2)/'Parametros'!$B$3)*H10*U10,(0.85*'Parametros'!$B$2/'Parametros'!$B$3)*(1-SQRT(1-2*(J10*1000000/('Parametros'!$B$5*H10*U10^2))/(0.85*'Parametros'!$B$2)))*H10*U10)</f>
        <v>342.55</v>
      </c>
      <c r="S10" s="17" t="n">
        <v>2</v>
      </c>
      <c r="T10" s="18" t="n">
        <v>1</v>
      </c>
      <c r="U10" s="10">
        <f>IF(T10=1,I10-('Parametros'!$B$7+'Parametros'!$B$9+'Parametros'!$B$12/2),I10-(ROUNDUP(S10/2,0)*('Parametros'!$B$7+'Parametros'!$B$9+'Parametros'!$B$12/2)+ROUNDDOWN(S10/2,0)*('Parametros'!$B$7+'Parametros'!$B$9+'Parametros'!$B$12/2+'Parametros'!$B$12+'Parametros'!$B$10))/S10)</f>
        <v>342.55</v>
      </c>
      <c r="V10" s="10">
        <f>S10*'Parametros'!$B$8</f>
        <v>398</v>
      </c>
      <c r="W10" s="10">
        <f>'Parametros'!$B$5*V10*'Parametros'!$B$3*(U10-(V10*'Parametros'!$B$3/(0.85*'Parametros'!$B$2*H10))/2)/1000000</f>
        <v>49.7735124352941</v>
      </c>
      <c r="X10" s="10" t="str">
        <f>IF(W10&gt;=J10,"CUMPLE","NO CUMPLE")</f>
        <v>CUMPLE</v>
      </c>
      <c r="Y10" s="10">
        <f>MAX(MAX(1.4/'Parametros'!$B$3,0.25*SQRT('Parametros'!$B$2)/'Parametros'!$B$3)*H10*AB10,(0.85*'Parametros'!$B$2/'Parametros'!$B$3)*(1-SQRT(1-2*(L10*1000000/('Parametros'!$B$5*H10*AB10^2))/(0.85*'Parametros'!$B$2)))*H10*AB10)</f>
        <v>342.55</v>
      </c>
      <c r="Z10" s="17" t="n">
        <v>2</v>
      </c>
      <c r="AA10" s="18" t="n">
        <v>1</v>
      </c>
      <c r="AB10" s="10">
        <f>IF(AA10=1,I10-('Parametros'!$B$7+'Parametros'!$B$9+'Parametros'!$B$12/2),I10-(ROUNDUP(Z10/2,0)*('Parametros'!$B$7+'Parametros'!$B$9+'Parametros'!$B$12/2)+ROUNDDOWN(Z10/2,0)*('Parametros'!$B$7+'Parametros'!$B$9+'Parametros'!$B$12/2+'Parametros'!$B$12+'Parametros'!$B$10))/Z10)</f>
        <v>342.55</v>
      </c>
      <c r="AC10" s="10">
        <f>Z10*'Parametros'!$B$8</f>
        <v>398</v>
      </c>
      <c r="AD10" s="10">
        <f>'Parametros'!$B$5*AC10*'Parametros'!$B$3*(AB10-(AC10*'Parametros'!$B$3/(0.85*'Parametros'!$B$2*H10))/2)/1000000</f>
        <v>49.7735124352941</v>
      </c>
      <c r="AE10" s="10" t="str">
        <f>IF(AD10&gt;=L10,"CUMPLE","NO CUMPLE")</f>
        <v>CUMPLE</v>
      </c>
      <c r="AF10" s="10">
        <f>V10*1.25*'Parametros'!$B$3*(U10-(V10*1.25*'Parametros'!$B$3/(0.85*'Parametros'!$B$2*H10))/2)/1000000</f>
        <v>68.5183923529412</v>
      </c>
      <c r="AG10" s="10">
        <f>AC10*1.25*'Parametros'!$B$3*(AB10-(AC10*1.25*'Parametros'!$B$3/(0.85*'Parametros'!$B$2*H10))/2)/1000000</f>
        <v>68.5183923529412</v>
      </c>
      <c r="AH10" s="10">
        <f>N10+(AF10+AG10)/D10</f>
        <v>50.0481425882353</v>
      </c>
      <c r="AI10" s="10">
        <f>MIN(O10,MAX(N10,AH10))</f>
        <v>35.089</v>
      </c>
      <c r="AJ10" s="10">
        <f>0.17*SQRT('Parametros'!$B$2)*H10*MIN(U10,AB10)/1000</f>
        <v>92.4428153837279</v>
      </c>
      <c r="AK10" s="10">
        <f>MAX(AI10/'Parametros'!$B$6-AJ10,0)</f>
        <v>0</v>
      </c>
      <c r="AL10" s="10">
        <f>0.66*SQRT('Parametros'!$B$2)*H10*MIN(U10,AB10)/1000</f>
        <v>358.89563619565</v>
      </c>
      <c r="AM10" s="10" t="str">
        <f>IF(AK10&lt;=AL10,"CUMPLE","NO CUMPLE")</f>
        <v>CUMPLE</v>
      </c>
      <c r="AN10" s="15" t="inlineStr">
        <is>
          <t>Nº3 cerrado</t>
        </is>
      </c>
      <c r="AO10" s="17" t="n">
        <v>2</v>
      </c>
      <c r="AP10" s="10">
        <f>ROUNDDOWN(MIN(IF(AK10=0,1000000000,AO10*'Parametros'!$B$11*'Parametros'!$B$4*MIN(U10,AB10)/(AK10*1000)),IF(AV10=0,1000000000,'Parametros'!$B$11/AV10),MIN(U10,AB10)/4,8*'Parametros'!$B$12,24*'Parametros'!$B$9,300)/10,0)*10</f>
        <v>80</v>
      </c>
      <c r="AQ10" s="10">
        <f>ROUNDDOWN(MIN(IF(AK10=0,1000000000,AO10*'Parametros'!$B$11*'Parametros'!$B$4*MIN(U10,AB10)/(AK10*1000)),IF(AV10=0,1000000000,'Parametros'!$B$11/AV10),MIN(U10,AB10)/2,600)/10,0)*10</f>
        <v>170</v>
      </c>
      <c r="AR10" s="10">
        <f>'Parametros'!$B$6*(AJ10+AO10*'Parametros'!$B$11*'Parametros'!$B$4*MIN(U10,AB10)/AP10/1000)</f>
        <v>260.860380287796</v>
      </c>
      <c r="AS10" s="10" t="str">
        <f>IF(AND(AM10="CUMPLE",AR10&gt;=AI10),"CUMPLE","NO CUMPLE")</f>
        <v>CUMPLE</v>
      </c>
      <c r="AT10" s="10">
        <f>'Parametros'!$B$6*0.083*SQRT('Parametros'!$B$2)*(H10*I10)^2/(2*(H10+I10))/1000000</f>
        <v>3.38807353605471</v>
      </c>
      <c r="AU10" s="10" t="str">
        <f>IF(Q10&lt;=AT10,"DESPRECIABLE","DISEÑAR")</f>
        <v>DESPRECIABLE</v>
      </c>
      <c r="AV10" s="10">
        <f>IF(Q10&lt;=AT10,0,Q10*1000000/('Parametros'!$B$6*2*0.85*(H10-2*'Parametros'!$B$7)*(I10-2*'Parametros'!$B$7)*'Parametros'!$B$4))</f>
        <v>0</v>
      </c>
      <c r="AW10" s="10">
        <f>AV10*2*((H10-2*'Parametros'!$B$7)+(I10-2*'Parametros'!$B$7))*'Parametros'!$B$4/'Parametros'!$B$3</f>
        <v>0</v>
      </c>
      <c r="AX10" s="17" t="n">
        <v>0</v>
      </c>
      <c r="AY10" s="10" t="str">
        <f>IF(AV10=0,"DESPRECIABLE",IF('Parametros'!$B$11/AP10&gt;=AV10,"CUMPLE","NO CUMPLE"))</f>
        <v>DESPRECIABLE</v>
      </c>
      <c r="AZ10" s="10" t="str">
        <f>IF(AND(X10="CUMPLE",AE10="CUMPLE",AS10="CUMPLE",OR(AY10="CUMPLE",AY10="DESPRECIABLE")),IF(OR(F10&lt;&gt;H10,G10&lt;&gt;I10),"CUMPLE - REANALIZAR SAP","CUMPLE"),"NO CUMPLE")</f>
        <v>CUMPLE</v>
      </c>
    </row>
    <row r="11">
      <c r="A11" s="14" t="inlineStr">
        <is>
          <t>VC1</t>
        </is>
      </c>
      <c r="B11" s="14" t="inlineStr">
        <is>
          <t>164</t>
        </is>
      </c>
      <c r="C11" s="10" t="n">
        <v>1</v>
      </c>
      <c r="D11" s="10" t="n">
        <v>3.75</v>
      </c>
      <c r="E11" s="10" t="n">
        <v>3.75</v>
      </c>
      <c r="F11" s="10" t="n">
        <v>300</v>
      </c>
      <c r="G11" s="10" t="n">
        <v>400</v>
      </c>
      <c r="H11" s="15" t="n">
        <v>300</v>
      </c>
      <c r="I11" s="15" t="n">
        <v>400</v>
      </c>
      <c r="J11" s="16" t="n">
        <v>16.7852</v>
      </c>
      <c r="K11" s="10" t="inlineStr">
        <is>
          <t>164</t>
        </is>
      </c>
      <c r="L11" s="16" t="n">
        <v>10.0147</v>
      </c>
      <c r="M11" s="10" t="inlineStr">
        <is>
          <t>164</t>
        </is>
      </c>
      <c r="N11" s="16" t="n">
        <v>13.508</v>
      </c>
      <c r="O11" s="16" t="n">
        <v>35.092</v>
      </c>
      <c r="P11" s="10" t="inlineStr">
        <is>
          <t>164</t>
        </is>
      </c>
      <c r="Q11" s="16" t="n">
        <v>2.0826</v>
      </c>
      <c r="R11" s="10">
        <f>MAX(MAX(1.4/'Parametros'!$B$3,0.25*SQRT('Parametros'!$B$2)/'Parametros'!$B$3)*H11*U11,(0.85*'Parametros'!$B$2/'Parametros'!$B$3)*(1-SQRT(1-2*(J11*1000000/('Parametros'!$B$5*H11*U11^2))/(0.85*'Parametros'!$B$2)))*H11*U11)</f>
        <v>342.55</v>
      </c>
      <c r="S11" s="17" t="n">
        <v>2</v>
      </c>
      <c r="T11" s="18" t="n">
        <v>1</v>
      </c>
      <c r="U11" s="10">
        <f>IF(T11=1,I11-('Parametros'!$B$7+'Parametros'!$B$9+'Parametros'!$B$12/2),I11-(ROUNDUP(S11/2,0)*('Parametros'!$B$7+'Parametros'!$B$9+'Parametros'!$B$12/2)+ROUNDDOWN(S11/2,0)*('Parametros'!$B$7+'Parametros'!$B$9+'Parametros'!$B$12/2+'Parametros'!$B$12+'Parametros'!$B$10))/S11)</f>
        <v>342.55</v>
      </c>
      <c r="V11" s="10">
        <f>S11*'Parametros'!$B$8</f>
        <v>398</v>
      </c>
      <c r="W11" s="10">
        <f>'Parametros'!$B$5*V11*'Parametros'!$B$3*(U11-(V11*'Parametros'!$B$3/(0.85*'Parametros'!$B$2*H11))/2)/1000000</f>
        <v>49.7735124352941</v>
      </c>
      <c r="X11" s="10" t="str">
        <f>IF(W11&gt;=J11,"CUMPLE","NO CUMPLE")</f>
        <v>CUMPLE</v>
      </c>
      <c r="Y11" s="10">
        <f>MAX(MAX(1.4/'Parametros'!$B$3,0.25*SQRT('Parametros'!$B$2)/'Parametros'!$B$3)*H11*AB11,(0.85*'Parametros'!$B$2/'Parametros'!$B$3)*(1-SQRT(1-2*(L11*1000000/('Parametros'!$B$5*H11*AB11^2))/(0.85*'Parametros'!$B$2)))*H11*AB11)</f>
        <v>342.55</v>
      </c>
      <c r="Z11" s="17" t="n">
        <v>2</v>
      </c>
      <c r="AA11" s="18" t="n">
        <v>1</v>
      </c>
      <c r="AB11" s="10">
        <f>IF(AA11=1,I11-('Parametros'!$B$7+'Parametros'!$B$9+'Parametros'!$B$12/2),I11-(ROUNDUP(Z11/2,0)*('Parametros'!$B$7+'Parametros'!$B$9+'Parametros'!$B$12/2)+ROUNDDOWN(Z11/2,0)*('Parametros'!$B$7+'Parametros'!$B$9+'Parametros'!$B$12/2+'Parametros'!$B$12+'Parametros'!$B$10))/Z11)</f>
        <v>342.55</v>
      </c>
      <c r="AC11" s="10">
        <f>Z11*'Parametros'!$B$8</f>
        <v>398</v>
      </c>
      <c r="AD11" s="10">
        <f>'Parametros'!$B$5*AC11*'Parametros'!$B$3*(AB11-(AC11*'Parametros'!$B$3/(0.85*'Parametros'!$B$2*H11))/2)/1000000</f>
        <v>49.7735124352941</v>
      </c>
      <c r="AE11" s="10" t="str">
        <f>IF(AD11&gt;=L11,"CUMPLE","NO CUMPLE")</f>
        <v>CUMPLE</v>
      </c>
      <c r="AF11" s="10">
        <f>V11*1.25*'Parametros'!$B$3*(U11-(V11*1.25*'Parametros'!$B$3/(0.85*'Parametros'!$B$2*H11))/2)/1000000</f>
        <v>68.5183923529412</v>
      </c>
      <c r="AG11" s="10">
        <f>AC11*1.25*'Parametros'!$B$3*(AB11-(AC11*1.25*'Parametros'!$B$3/(0.85*'Parametros'!$B$2*H11))/2)/1000000</f>
        <v>68.5183923529412</v>
      </c>
      <c r="AH11" s="10">
        <f>N11+(AF11+AG11)/D11</f>
        <v>50.0511425882353</v>
      </c>
      <c r="AI11" s="10">
        <f>MIN(O11,MAX(N11,AH11))</f>
        <v>35.092</v>
      </c>
      <c r="AJ11" s="10">
        <f>0.17*SQRT('Parametros'!$B$2)*H11*MIN(U11,AB11)/1000</f>
        <v>92.4428153837279</v>
      </c>
      <c r="AK11" s="10">
        <f>MAX(AI11/'Parametros'!$B$6-AJ11,0)</f>
        <v>0</v>
      </c>
      <c r="AL11" s="10">
        <f>0.66*SQRT('Parametros'!$B$2)*H11*MIN(U11,AB11)/1000</f>
        <v>358.89563619565</v>
      </c>
      <c r="AM11" s="10" t="str">
        <f>IF(AK11&lt;=AL11,"CUMPLE","NO CUMPLE")</f>
        <v>CUMPLE</v>
      </c>
      <c r="AN11" s="15" t="inlineStr">
        <is>
          <t>Nº3 cerrado</t>
        </is>
      </c>
      <c r="AO11" s="17" t="n">
        <v>2</v>
      </c>
      <c r="AP11" s="10">
        <f>ROUNDDOWN(MIN(IF(AK11=0,1000000000,AO11*'Parametros'!$B$11*'Parametros'!$B$4*MIN(U11,AB11)/(AK11*1000)),IF(AV11=0,1000000000,'Parametros'!$B$11/AV11),MIN(U11,AB11)/4,8*'Parametros'!$B$12,24*'Parametros'!$B$9,300)/10,0)*10</f>
        <v>80</v>
      </c>
      <c r="AQ11" s="10">
        <f>ROUNDDOWN(MIN(IF(AK11=0,1000000000,AO11*'Parametros'!$B$11*'Parametros'!$B$4*MIN(U11,AB11)/(AK11*1000)),IF(AV11=0,1000000000,'Parametros'!$B$11/AV11),MIN(U11,AB11)/2,600)/10,0)*10</f>
        <v>170</v>
      </c>
      <c r="AR11" s="10">
        <f>'Parametros'!$B$6*(AJ11+AO11*'Parametros'!$B$11*'Parametros'!$B$4*MIN(U11,AB11)/AP11/1000)</f>
        <v>260.860380287796</v>
      </c>
      <c r="AS11" s="10" t="str">
        <f>IF(AND(AM11="CUMPLE",AR11&gt;=AI11),"CUMPLE","NO CUMPLE")</f>
        <v>CUMPLE</v>
      </c>
      <c r="AT11" s="10">
        <f>'Parametros'!$B$6*0.083*SQRT('Parametros'!$B$2)*(H11*I11)^2/(2*(H11+I11))/1000000</f>
        <v>3.38807353605471</v>
      </c>
      <c r="AU11" s="10" t="str">
        <f>IF(Q11&lt;=AT11,"DESPRECIABLE","DISEÑAR")</f>
        <v>DESPRECIABLE</v>
      </c>
      <c r="AV11" s="10">
        <f>IF(Q11&lt;=AT11,0,Q11*1000000/('Parametros'!$B$6*2*0.85*(H11-2*'Parametros'!$B$7)*(I11-2*'Parametros'!$B$7)*'Parametros'!$B$4))</f>
        <v>0</v>
      </c>
      <c r="AW11" s="10">
        <f>AV11*2*((H11-2*'Parametros'!$B$7)+(I11-2*'Parametros'!$B$7))*'Parametros'!$B$4/'Parametros'!$B$3</f>
        <v>0</v>
      </c>
      <c r="AX11" s="17" t="n">
        <v>0</v>
      </c>
      <c r="AY11" s="10" t="str">
        <f>IF(AV11=0,"DESPRECIABLE",IF('Parametros'!$B$11/AP11&gt;=AV11,"CUMPLE","NO CUMPLE"))</f>
        <v>DESPRECIABLE</v>
      </c>
      <c r="AZ11" s="10" t="str">
        <f>IF(AND(X11="CUMPLE",AE11="CUMPLE",AS11="CUMPLE",OR(AY11="CUMPLE",AY11="DESPRECIABLE")),IF(OR(F11&lt;&gt;H11,G11&lt;&gt;I11),"CUMPLE - REANALIZAR SAP","CUMPLE"),"NO CUMPLE")</f>
        <v>CUMPLE</v>
      </c>
    </row>
    <row r="12">
      <c r="A12" s="14" t="inlineStr">
        <is>
          <t>VC1</t>
        </is>
      </c>
      <c r="B12" s="14" t="inlineStr">
        <is>
          <t>168</t>
        </is>
      </c>
      <c r="C12" s="10" t="n">
        <v>1</v>
      </c>
      <c r="D12" s="10" t="n">
        <v>3.75</v>
      </c>
      <c r="E12" s="10" t="n">
        <v>3.75</v>
      </c>
      <c r="F12" s="10" t="n">
        <v>300</v>
      </c>
      <c r="G12" s="10" t="n">
        <v>400</v>
      </c>
      <c r="H12" s="15" t="n">
        <v>300</v>
      </c>
      <c r="I12" s="15" t="n">
        <v>400</v>
      </c>
      <c r="J12" s="16" t="n">
        <v>13.6814</v>
      </c>
      <c r="K12" s="10" t="inlineStr">
        <is>
          <t>168</t>
        </is>
      </c>
      <c r="L12" s="16" t="n">
        <v>9.2986</v>
      </c>
      <c r="M12" s="10" t="inlineStr">
        <is>
          <t>168</t>
        </is>
      </c>
      <c r="N12" s="16" t="n">
        <v>12.49</v>
      </c>
      <c r="O12" s="16" t="n">
        <v>27.363</v>
      </c>
      <c r="P12" s="10" t="inlineStr">
        <is>
          <t>168</t>
        </is>
      </c>
      <c r="Q12" s="16" t="n">
        <v>2.2718</v>
      </c>
      <c r="R12" s="10">
        <f>MAX(MAX(1.4/'Parametros'!$B$3,0.25*SQRT('Parametros'!$B$2)/'Parametros'!$B$3)*H12*U12,(0.85*'Parametros'!$B$2/'Parametros'!$B$3)*(1-SQRT(1-2*(J12*1000000/('Parametros'!$B$5*H12*U12^2))/(0.85*'Parametros'!$B$2)))*H12*U12)</f>
        <v>342.55</v>
      </c>
      <c r="S12" s="17" t="n">
        <v>2</v>
      </c>
      <c r="T12" s="18" t="n">
        <v>1</v>
      </c>
      <c r="U12" s="10">
        <f>IF(T12=1,I12-('Parametros'!$B$7+'Parametros'!$B$9+'Parametros'!$B$12/2),I12-(ROUNDUP(S12/2,0)*('Parametros'!$B$7+'Parametros'!$B$9+'Parametros'!$B$12/2)+ROUNDDOWN(S12/2,0)*('Parametros'!$B$7+'Parametros'!$B$9+'Parametros'!$B$12/2+'Parametros'!$B$12+'Parametros'!$B$10))/S12)</f>
        <v>342.55</v>
      </c>
      <c r="V12" s="10">
        <f>S12*'Parametros'!$B$8</f>
        <v>398</v>
      </c>
      <c r="W12" s="10">
        <f>'Parametros'!$B$5*V12*'Parametros'!$B$3*(U12-(V12*'Parametros'!$B$3/(0.85*'Parametros'!$B$2*H12))/2)/1000000</f>
        <v>49.7735124352941</v>
      </c>
      <c r="X12" s="10" t="str">
        <f>IF(W12&gt;=J12,"CUMPLE","NO CUMPLE")</f>
        <v>CUMPLE</v>
      </c>
      <c r="Y12" s="10">
        <f>MAX(MAX(1.4/'Parametros'!$B$3,0.25*SQRT('Parametros'!$B$2)/'Parametros'!$B$3)*H12*AB12,(0.85*'Parametros'!$B$2/'Parametros'!$B$3)*(1-SQRT(1-2*(L12*1000000/('Parametros'!$B$5*H12*AB12^2))/(0.85*'Parametros'!$B$2)))*H12*AB12)</f>
        <v>342.55</v>
      </c>
      <c r="Z12" s="17" t="n">
        <v>2</v>
      </c>
      <c r="AA12" s="18" t="n">
        <v>1</v>
      </c>
      <c r="AB12" s="10">
        <f>IF(AA12=1,I12-('Parametros'!$B$7+'Parametros'!$B$9+'Parametros'!$B$12/2),I12-(ROUNDUP(Z12/2,0)*('Parametros'!$B$7+'Parametros'!$B$9+'Parametros'!$B$12/2)+ROUNDDOWN(Z12/2,0)*('Parametros'!$B$7+'Parametros'!$B$9+'Parametros'!$B$12/2+'Parametros'!$B$12+'Parametros'!$B$10))/Z12)</f>
        <v>342.55</v>
      </c>
      <c r="AC12" s="10">
        <f>Z12*'Parametros'!$B$8</f>
        <v>398</v>
      </c>
      <c r="AD12" s="10">
        <f>'Parametros'!$B$5*AC12*'Parametros'!$B$3*(AB12-(AC12*'Parametros'!$B$3/(0.85*'Parametros'!$B$2*H12))/2)/1000000</f>
        <v>49.7735124352941</v>
      </c>
      <c r="AE12" s="10" t="str">
        <f>IF(AD12&gt;=L12,"CUMPLE","NO CUMPLE")</f>
        <v>CUMPLE</v>
      </c>
      <c r="AF12" s="10">
        <f>V12*1.25*'Parametros'!$B$3*(U12-(V12*1.25*'Parametros'!$B$3/(0.85*'Parametros'!$B$2*H12))/2)/1000000</f>
        <v>68.5183923529412</v>
      </c>
      <c r="AG12" s="10">
        <f>AC12*1.25*'Parametros'!$B$3*(AB12-(AC12*1.25*'Parametros'!$B$3/(0.85*'Parametros'!$B$2*H12))/2)/1000000</f>
        <v>68.5183923529412</v>
      </c>
      <c r="AH12" s="10">
        <f>N12+(AF12+AG12)/D12</f>
        <v>49.0331425882353</v>
      </c>
      <c r="AI12" s="10">
        <f>MIN(O12,MAX(N12,AH12))</f>
        <v>27.363</v>
      </c>
      <c r="AJ12" s="10">
        <f>0.17*SQRT('Parametros'!$B$2)*H12*MIN(U12,AB12)/1000</f>
        <v>92.4428153837279</v>
      </c>
      <c r="AK12" s="10">
        <f>MAX(AI12/'Parametros'!$B$6-AJ12,0)</f>
        <v>0</v>
      </c>
      <c r="AL12" s="10">
        <f>0.66*SQRT('Parametros'!$B$2)*H12*MIN(U12,AB12)/1000</f>
        <v>358.89563619565</v>
      </c>
      <c r="AM12" s="10" t="str">
        <f>IF(AK12&lt;=AL12,"CUMPLE","NO CUMPLE")</f>
        <v>CUMPLE</v>
      </c>
      <c r="AN12" s="15" t="inlineStr">
        <is>
          <t>Nº3 cerrado</t>
        </is>
      </c>
      <c r="AO12" s="17" t="n">
        <v>2</v>
      </c>
      <c r="AP12" s="10">
        <f>ROUNDDOWN(MIN(IF(AK12=0,1000000000,AO12*'Parametros'!$B$11*'Parametros'!$B$4*MIN(U12,AB12)/(AK12*1000)),IF(AV12=0,1000000000,'Parametros'!$B$11/AV12),MIN(U12,AB12)/4,8*'Parametros'!$B$12,24*'Parametros'!$B$9,300)/10,0)*10</f>
        <v>80</v>
      </c>
      <c r="AQ12" s="10">
        <f>ROUNDDOWN(MIN(IF(AK12=0,1000000000,AO12*'Parametros'!$B$11*'Parametros'!$B$4*MIN(U12,AB12)/(AK12*1000)),IF(AV12=0,1000000000,'Parametros'!$B$11/AV12),MIN(U12,AB12)/2,600)/10,0)*10</f>
        <v>170</v>
      </c>
      <c r="AR12" s="10">
        <f>'Parametros'!$B$6*(AJ12+AO12*'Parametros'!$B$11*'Parametros'!$B$4*MIN(U12,AB12)/AP12/1000)</f>
        <v>260.860380287796</v>
      </c>
      <c r="AS12" s="10" t="str">
        <f>IF(AND(AM12="CUMPLE",AR12&gt;=AI12),"CUMPLE","NO CUMPLE")</f>
        <v>CUMPLE</v>
      </c>
      <c r="AT12" s="10">
        <f>'Parametros'!$B$6*0.083*SQRT('Parametros'!$B$2)*(H12*I12)^2/(2*(H12+I12))/1000000</f>
        <v>3.38807353605471</v>
      </c>
      <c r="AU12" s="10" t="str">
        <f>IF(Q12&lt;=AT12,"DESPRECIABLE","DISEÑAR")</f>
        <v>DESPRECIABLE</v>
      </c>
      <c r="AV12" s="10">
        <f>IF(Q12&lt;=AT12,0,Q12*1000000/('Parametros'!$B$6*2*0.85*(H12-2*'Parametros'!$B$7)*(I12-2*'Parametros'!$B$7)*'Parametros'!$B$4))</f>
        <v>0</v>
      </c>
      <c r="AW12" s="10">
        <f>AV12*2*((H12-2*'Parametros'!$B$7)+(I12-2*'Parametros'!$B$7))*'Parametros'!$B$4/'Parametros'!$B$3</f>
        <v>0</v>
      </c>
      <c r="AX12" s="17" t="n">
        <v>0</v>
      </c>
      <c r="AY12" s="10" t="str">
        <f>IF(AV12=0,"DESPRECIABLE",IF('Parametros'!$B$11/AP12&gt;=AV12,"CUMPLE","NO CUMPLE"))</f>
        <v>DESPRECIABLE</v>
      </c>
      <c r="AZ12" s="10" t="str">
        <f>IF(AND(X12="CUMPLE",AE12="CUMPLE",AS12="CUMPLE",OR(AY12="CUMPLE",AY12="DESPRECIABLE")),IF(OR(F12&lt;&gt;H12,G12&lt;&gt;I12),"CUMPLE - REANALIZAR SAP","CUMPLE"),"NO CUMPLE")</f>
        <v>CUMPLE</v>
      </c>
    </row>
    <row r="13">
      <c r="A13" s="14" t="inlineStr">
        <is>
          <t>VC1</t>
        </is>
      </c>
      <c r="B13" s="14" t="inlineStr">
        <is>
          <t>169</t>
        </is>
      </c>
      <c r="C13" s="10" t="n">
        <v>1</v>
      </c>
      <c r="D13" s="10" t="n">
        <v>3.75</v>
      </c>
      <c r="E13" s="10" t="n">
        <v>3.75</v>
      </c>
      <c r="F13" s="10" t="n">
        <v>300</v>
      </c>
      <c r="G13" s="10" t="n">
        <v>400</v>
      </c>
      <c r="H13" s="15" t="n">
        <v>300</v>
      </c>
      <c r="I13" s="15" t="n">
        <v>400</v>
      </c>
      <c r="J13" s="16" t="n">
        <v>13.6917</v>
      </c>
      <c r="K13" s="10" t="inlineStr">
        <is>
          <t>169</t>
        </is>
      </c>
      <c r="L13" s="16" t="n">
        <v>9.305199999999999</v>
      </c>
      <c r="M13" s="10" t="inlineStr">
        <is>
          <t>169</t>
        </is>
      </c>
      <c r="N13" s="16" t="n">
        <v>12.495</v>
      </c>
      <c r="O13" s="16" t="n">
        <v>27.367</v>
      </c>
      <c r="P13" s="10" t="inlineStr">
        <is>
          <t>169</t>
        </is>
      </c>
      <c r="Q13" s="16" t="n">
        <v>2.2719</v>
      </c>
      <c r="R13" s="10">
        <f>MAX(MAX(1.4/'Parametros'!$B$3,0.25*SQRT('Parametros'!$B$2)/'Parametros'!$B$3)*H13*U13,(0.85*'Parametros'!$B$2/'Parametros'!$B$3)*(1-SQRT(1-2*(J13*1000000/('Parametros'!$B$5*H13*U13^2))/(0.85*'Parametros'!$B$2)))*H13*U13)</f>
        <v>342.55</v>
      </c>
      <c r="S13" s="17" t="n">
        <v>2</v>
      </c>
      <c r="T13" s="18" t="n">
        <v>1</v>
      </c>
      <c r="U13" s="10">
        <f>IF(T13=1,I13-('Parametros'!$B$7+'Parametros'!$B$9+'Parametros'!$B$12/2),I13-(ROUNDUP(S13/2,0)*('Parametros'!$B$7+'Parametros'!$B$9+'Parametros'!$B$12/2)+ROUNDDOWN(S13/2,0)*('Parametros'!$B$7+'Parametros'!$B$9+'Parametros'!$B$12/2+'Parametros'!$B$12+'Parametros'!$B$10))/S13)</f>
        <v>342.55</v>
      </c>
      <c r="V13" s="10">
        <f>S13*'Parametros'!$B$8</f>
        <v>398</v>
      </c>
      <c r="W13" s="10">
        <f>'Parametros'!$B$5*V13*'Parametros'!$B$3*(U13-(V13*'Parametros'!$B$3/(0.85*'Parametros'!$B$2*H13))/2)/1000000</f>
        <v>49.7735124352941</v>
      </c>
      <c r="X13" s="10" t="str">
        <f>IF(W13&gt;=J13,"CUMPLE","NO CUMPLE")</f>
        <v>CUMPLE</v>
      </c>
      <c r="Y13" s="10">
        <f>MAX(MAX(1.4/'Parametros'!$B$3,0.25*SQRT('Parametros'!$B$2)/'Parametros'!$B$3)*H13*AB13,(0.85*'Parametros'!$B$2/'Parametros'!$B$3)*(1-SQRT(1-2*(L13*1000000/('Parametros'!$B$5*H13*AB13^2))/(0.85*'Parametros'!$B$2)))*H13*AB13)</f>
        <v>342.55</v>
      </c>
      <c r="Z13" s="17" t="n">
        <v>2</v>
      </c>
      <c r="AA13" s="18" t="n">
        <v>1</v>
      </c>
      <c r="AB13" s="10">
        <f>IF(AA13=1,I13-('Parametros'!$B$7+'Parametros'!$B$9+'Parametros'!$B$12/2),I13-(ROUNDUP(Z13/2,0)*('Parametros'!$B$7+'Parametros'!$B$9+'Parametros'!$B$12/2)+ROUNDDOWN(Z13/2,0)*('Parametros'!$B$7+'Parametros'!$B$9+'Parametros'!$B$12/2+'Parametros'!$B$12+'Parametros'!$B$10))/Z13)</f>
        <v>342.55</v>
      </c>
      <c r="AC13" s="10">
        <f>Z13*'Parametros'!$B$8</f>
        <v>398</v>
      </c>
      <c r="AD13" s="10">
        <f>'Parametros'!$B$5*AC13*'Parametros'!$B$3*(AB13-(AC13*'Parametros'!$B$3/(0.85*'Parametros'!$B$2*H13))/2)/1000000</f>
        <v>49.7735124352941</v>
      </c>
      <c r="AE13" s="10" t="str">
        <f>IF(AD13&gt;=L13,"CUMPLE","NO CUMPLE")</f>
        <v>CUMPLE</v>
      </c>
      <c r="AF13" s="10">
        <f>V13*1.25*'Parametros'!$B$3*(U13-(V13*1.25*'Parametros'!$B$3/(0.85*'Parametros'!$B$2*H13))/2)/1000000</f>
        <v>68.5183923529412</v>
      </c>
      <c r="AG13" s="10">
        <f>AC13*1.25*'Parametros'!$B$3*(AB13-(AC13*1.25*'Parametros'!$B$3/(0.85*'Parametros'!$B$2*H13))/2)/1000000</f>
        <v>68.5183923529412</v>
      </c>
      <c r="AH13" s="10">
        <f>N13+(AF13+AG13)/D13</f>
        <v>49.0381425882353</v>
      </c>
      <c r="AI13" s="10">
        <f>MIN(O13,MAX(N13,AH13))</f>
        <v>27.367</v>
      </c>
      <c r="AJ13" s="10">
        <f>0.17*SQRT('Parametros'!$B$2)*H13*MIN(U13,AB13)/1000</f>
        <v>92.4428153837279</v>
      </c>
      <c r="AK13" s="10">
        <f>MAX(AI13/'Parametros'!$B$6-AJ13,0)</f>
        <v>0</v>
      </c>
      <c r="AL13" s="10">
        <f>0.66*SQRT('Parametros'!$B$2)*H13*MIN(U13,AB13)/1000</f>
        <v>358.89563619565</v>
      </c>
      <c r="AM13" s="10" t="str">
        <f>IF(AK13&lt;=AL13,"CUMPLE","NO CUMPLE")</f>
        <v>CUMPLE</v>
      </c>
      <c r="AN13" s="15" t="inlineStr">
        <is>
          <t>Nº3 cerrado</t>
        </is>
      </c>
      <c r="AO13" s="17" t="n">
        <v>2</v>
      </c>
      <c r="AP13" s="10">
        <f>ROUNDDOWN(MIN(IF(AK13=0,1000000000,AO13*'Parametros'!$B$11*'Parametros'!$B$4*MIN(U13,AB13)/(AK13*1000)),IF(AV13=0,1000000000,'Parametros'!$B$11/AV13),MIN(U13,AB13)/4,8*'Parametros'!$B$12,24*'Parametros'!$B$9,300)/10,0)*10</f>
        <v>80</v>
      </c>
      <c r="AQ13" s="10">
        <f>ROUNDDOWN(MIN(IF(AK13=0,1000000000,AO13*'Parametros'!$B$11*'Parametros'!$B$4*MIN(U13,AB13)/(AK13*1000)),IF(AV13=0,1000000000,'Parametros'!$B$11/AV13),MIN(U13,AB13)/2,600)/10,0)*10</f>
        <v>170</v>
      </c>
      <c r="AR13" s="10">
        <f>'Parametros'!$B$6*(AJ13+AO13*'Parametros'!$B$11*'Parametros'!$B$4*MIN(U13,AB13)/AP13/1000)</f>
        <v>260.860380287796</v>
      </c>
      <c r="AS13" s="10" t="str">
        <f>IF(AND(AM13="CUMPLE",AR13&gt;=AI13),"CUMPLE","NO CUMPLE")</f>
        <v>CUMPLE</v>
      </c>
      <c r="AT13" s="10">
        <f>'Parametros'!$B$6*0.083*SQRT('Parametros'!$B$2)*(H13*I13)^2/(2*(H13+I13))/1000000</f>
        <v>3.38807353605471</v>
      </c>
      <c r="AU13" s="10" t="str">
        <f>IF(Q13&lt;=AT13,"DESPRECIABLE","DISEÑAR")</f>
        <v>DESPRECIABLE</v>
      </c>
      <c r="AV13" s="10">
        <f>IF(Q13&lt;=AT13,0,Q13*1000000/('Parametros'!$B$6*2*0.85*(H13-2*'Parametros'!$B$7)*(I13-2*'Parametros'!$B$7)*'Parametros'!$B$4))</f>
        <v>0</v>
      </c>
      <c r="AW13" s="10">
        <f>AV13*2*((H13-2*'Parametros'!$B$7)+(I13-2*'Parametros'!$B$7))*'Parametros'!$B$4/'Parametros'!$B$3</f>
        <v>0</v>
      </c>
      <c r="AX13" s="17" t="n">
        <v>0</v>
      </c>
      <c r="AY13" s="10" t="str">
        <f>IF(AV13=0,"DESPRECIABLE",IF('Parametros'!$B$11/AP13&gt;=AV13,"CUMPLE","NO CUMPLE"))</f>
        <v>DESPRECIABLE</v>
      </c>
      <c r="AZ13" s="10" t="str">
        <f>IF(AND(X13="CUMPLE",AE13="CUMPLE",AS13="CUMPLE",OR(AY13="CUMPLE",AY13="DESPRECIABLE")),IF(OR(F13&lt;&gt;H13,G13&lt;&gt;I13),"CUMPLE - REANALIZAR SAP","CUMPLE"),"NO CUMPLE")</f>
        <v>CUMPLE</v>
      </c>
    </row>
    <row r="14">
      <c r="A14" s="14" t="inlineStr">
        <is>
          <t>VC1</t>
        </is>
      </c>
      <c r="B14" s="14" t="inlineStr">
        <is>
          <t>173</t>
        </is>
      </c>
      <c r="C14" s="10" t="n">
        <v>1</v>
      </c>
      <c r="D14" s="10" t="n">
        <v>3.75</v>
      </c>
      <c r="E14" s="10" t="n">
        <v>3.75</v>
      </c>
      <c r="F14" s="10" t="n">
        <v>300</v>
      </c>
      <c r="G14" s="10" t="n">
        <v>400</v>
      </c>
      <c r="H14" s="15" t="n">
        <v>300</v>
      </c>
      <c r="I14" s="15" t="n">
        <v>400</v>
      </c>
      <c r="J14" s="16" t="n">
        <v>9.154999999999999</v>
      </c>
      <c r="K14" s="10" t="inlineStr">
        <is>
          <t>173</t>
        </is>
      </c>
      <c r="L14" s="16" t="n">
        <v>7.0884</v>
      </c>
      <c r="M14" s="10" t="inlineStr">
        <is>
          <t>173</t>
        </is>
      </c>
      <c r="N14" s="16" t="n">
        <v>10.517</v>
      </c>
      <c r="O14" s="16" t="n">
        <v>18.205</v>
      </c>
      <c r="P14" s="10" t="inlineStr">
        <is>
          <t>173</t>
        </is>
      </c>
      <c r="Q14" s="16" t="n">
        <v>1.9214</v>
      </c>
      <c r="R14" s="10">
        <f>MAX(MAX(1.4/'Parametros'!$B$3,0.25*SQRT('Parametros'!$B$2)/'Parametros'!$B$3)*H14*U14,(0.85*'Parametros'!$B$2/'Parametros'!$B$3)*(1-SQRT(1-2*(J14*1000000/('Parametros'!$B$5*H14*U14^2))/(0.85*'Parametros'!$B$2)))*H14*U14)</f>
        <v>342.55</v>
      </c>
      <c r="S14" s="17" t="n">
        <v>2</v>
      </c>
      <c r="T14" s="18" t="n">
        <v>1</v>
      </c>
      <c r="U14" s="10">
        <f>IF(T14=1,I14-('Parametros'!$B$7+'Parametros'!$B$9+'Parametros'!$B$12/2),I14-(ROUNDUP(S14/2,0)*('Parametros'!$B$7+'Parametros'!$B$9+'Parametros'!$B$12/2)+ROUNDDOWN(S14/2,0)*('Parametros'!$B$7+'Parametros'!$B$9+'Parametros'!$B$12/2+'Parametros'!$B$12+'Parametros'!$B$10))/S14)</f>
        <v>342.55</v>
      </c>
      <c r="V14" s="10">
        <f>S14*'Parametros'!$B$8</f>
        <v>398</v>
      </c>
      <c r="W14" s="10">
        <f>'Parametros'!$B$5*V14*'Parametros'!$B$3*(U14-(V14*'Parametros'!$B$3/(0.85*'Parametros'!$B$2*H14))/2)/1000000</f>
        <v>49.7735124352941</v>
      </c>
      <c r="X14" s="10" t="str">
        <f>IF(W14&gt;=J14,"CUMPLE","NO CUMPLE")</f>
        <v>CUMPLE</v>
      </c>
      <c r="Y14" s="10">
        <f>MAX(MAX(1.4/'Parametros'!$B$3,0.25*SQRT('Parametros'!$B$2)/'Parametros'!$B$3)*H14*AB14,(0.85*'Parametros'!$B$2/'Parametros'!$B$3)*(1-SQRT(1-2*(L14*1000000/('Parametros'!$B$5*H14*AB14^2))/(0.85*'Parametros'!$B$2)))*H14*AB14)</f>
        <v>342.55</v>
      </c>
      <c r="Z14" s="17" t="n">
        <v>2</v>
      </c>
      <c r="AA14" s="18" t="n">
        <v>1</v>
      </c>
      <c r="AB14" s="10">
        <f>IF(AA14=1,I14-('Parametros'!$B$7+'Parametros'!$B$9+'Parametros'!$B$12/2),I14-(ROUNDUP(Z14/2,0)*('Parametros'!$B$7+'Parametros'!$B$9+'Parametros'!$B$12/2)+ROUNDDOWN(Z14/2,0)*('Parametros'!$B$7+'Parametros'!$B$9+'Parametros'!$B$12/2+'Parametros'!$B$12+'Parametros'!$B$10))/Z14)</f>
        <v>342.55</v>
      </c>
      <c r="AC14" s="10">
        <f>Z14*'Parametros'!$B$8</f>
        <v>398</v>
      </c>
      <c r="AD14" s="10">
        <f>'Parametros'!$B$5*AC14*'Parametros'!$B$3*(AB14-(AC14*'Parametros'!$B$3/(0.85*'Parametros'!$B$2*H14))/2)/1000000</f>
        <v>49.7735124352941</v>
      </c>
      <c r="AE14" s="10" t="str">
        <f>IF(AD14&gt;=L14,"CUMPLE","NO CUMPLE")</f>
        <v>CUMPLE</v>
      </c>
      <c r="AF14" s="10">
        <f>V14*1.25*'Parametros'!$B$3*(U14-(V14*1.25*'Parametros'!$B$3/(0.85*'Parametros'!$B$2*H14))/2)/1000000</f>
        <v>68.5183923529412</v>
      </c>
      <c r="AG14" s="10">
        <f>AC14*1.25*'Parametros'!$B$3*(AB14-(AC14*1.25*'Parametros'!$B$3/(0.85*'Parametros'!$B$2*H14))/2)/1000000</f>
        <v>68.5183923529412</v>
      </c>
      <c r="AH14" s="10">
        <f>N14+(AF14+AG14)/D14</f>
        <v>47.0601425882353</v>
      </c>
      <c r="AI14" s="10">
        <f>MIN(O14,MAX(N14,AH14))</f>
        <v>18.205</v>
      </c>
      <c r="AJ14" s="10">
        <f>0.17*SQRT('Parametros'!$B$2)*H14*MIN(U14,AB14)/1000</f>
        <v>92.4428153837279</v>
      </c>
      <c r="AK14" s="10">
        <f>MAX(AI14/'Parametros'!$B$6-AJ14,0)</f>
        <v>0</v>
      </c>
      <c r="AL14" s="10">
        <f>0.66*SQRT('Parametros'!$B$2)*H14*MIN(U14,AB14)/1000</f>
        <v>358.89563619565</v>
      </c>
      <c r="AM14" s="10" t="str">
        <f>IF(AK14&lt;=AL14,"CUMPLE","NO CUMPLE")</f>
        <v>CUMPLE</v>
      </c>
      <c r="AN14" s="15" t="inlineStr">
        <is>
          <t>Nº3 cerrado</t>
        </is>
      </c>
      <c r="AO14" s="17" t="n">
        <v>2</v>
      </c>
      <c r="AP14" s="10">
        <f>ROUNDDOWN(MIN(IF(AK14=0,1000000000,AO14*'Parametros'!$B$11*'Parametros'!$B$4*MIN(U14,AB14)/(AK14*1000)),IF(AV14=0,1000000000,'Parametros'!$B$11/AV14),MIN(U14,AB14)/4,8*'Parametros'!$B$12,24*'Parametros'!$B$9,300)/10,0)*10</f>
        <v>80</v>
      </c>
      <c r="AQ14" s="10">
        <f>ROUNDDOWN(MIN(IF(AK14=0,1000000000,AO14*'Parametros'!$B$11*'Parametros'!$B$4*MIN(U14,AB14)/(AK14*1000)),IF(AV14=0,1000000000,'Parametros'!$B$11/AV14),MIN(U14,AB14)/2,600)/10,0)*10</f>
        <v>170</v>
      </c>
      <c r="AR14" s="10">
        <f>'Parametros'!$B$6*(AJ14+AO14*'Parametros'!$B$11*'Parametros'!$B$4*MIN(U14,AB14)/AP14/1000)</f>
        <v>260.860380287796</v>
      </c>
      <c r="AS14" s="10" t="str">
        <f>IF(AND(AM14="CUMPLE",AR14&gt;=AI14),"CUMPLE","NO CUMPLE")</f>
        <v>CUMPLE</v>
      </c>
      <c r="AT14" s="10">
        <f>'Parametros'!$B$6*0.083*SQRT('Parametros'!$B$2)*(H14*I14)^2/(2*(H14+I14))/1000000</f>
        <v>3.38807353605471</v>
      </c>
      <c r="AU14" s="10" t="str">
        <f>IF(Q14&lt;=AT14,"DESPRECIABLE","DISEÑAR")</f>
        <v>DESPRECIABLE</v>
      </c>
      <c r="AV14" s="10">
        <f>IF(Q14&lt;=AT14,0,Q14*1000000/('Parametros'!$B$6*2*0.85*(H14-2*'Parametros'!$B$7)*(I14-2*'Parametros'!$B$7)*'Parametros'!$B$4))</f>
        <v>0</v>
      </c>
      <c r="AW14" s="10">
        <f>AV14*2*((H14-2*'Parametros'!$B$7)+(I14-2*'Parametros'!$B$7))*'Parametros'!$B$4/'Parametros'!$B$3</f>
        <v>0</v>
      </c>
      <c r="AX14" s="17" t="n">
        <v>0</v>
      </c>
      <c r="AY14" s="10" t="str">
        <f>IF(AV14=0,"DESPRECIABLE",IF('Parametros'!$B$11/AP14&gt;=AV14,"CUMPLE","NO CUMPLE"))</f>
        <v>DESPRECIABLE</v>
      </c>
      <c r="AZ14" s="10" t="str">
        <f>IF(AND(X14="CUMPLE",AE14="CUMPLE",AS14="CUMPLE",OR(AY14="CUMPLE",AY14="DESPRECIABLE")),IF(OR(F14&lt;&gt;H14,G14&lt;&gt;I14),"CUMPLE - REANALIZAR SAP","CUMPLE"),"NO CUMPLE")</f>
        <v>CUMPLE</v>
      </c>
    </row>
    <row r="15">
      <c r="A15" s="14" t="inlineStr">
        <is>
          <t>VC1</t>
        </is>
      </c>
      <c r="B15" s="14" t="inlineStr">
        <is>
          <t>174</t>
        </is>
      </c>
      <c r="C15" s="10" t="n">
        <v>1</v>
      </c>
      <c r="D15" s="10" t="n">
        <v>3.75</v>
      </c>
      <c r="E15" s="10" t="n">
        <v>3.75</v>
      </c>
      <c r="F15" s="10" t="n">
        <v>300</v>
      </c>
      <c r="G15" s="10" t="n">
        <v>400</v>
      </c>
      <c r="H15" s="15" t="n">
        <v>300</v>
      </c>
      <c r="I15" s="15" t="n">
        <v>400</v>
      </c>
      <c r="J15" s="16" t="n">
        <v>9.162699999999999</v>
      </c>
      <c r="K15" s="10" t="inlineStr">
        <is>
          <t>174</t>
        </is>
      </c>
      <c r="L15" s="16" t="n">
        <v>7.0921</v>
      </c>
      <c r="M15" s="10" t="inlineStr">
        <is>
          <t>174</t>
        </is>
      </c>
      <c r="N15" s="16" t="n">
        <v>10.521</v>
      </c>
      <c r="O15" s="16" t="n">
        <v>18.209</v>
      </c>
      <c r="P15" s="10" t="inlineStr">
        <is>
          <t>174</t>
        </is>
      </c>
      <c r="Q15" s="16" t="n">
        <v>1.9216</v>
      </c>
      <c r="R15" s="10">
        <f>MAX(MAX(1.4/'Parametros'!$B$3,0.25*SQRT('Parametros'!$B$2)/'Parametros'!$B$3)*H15*U15,(0.85*'Parametros'!$B$2/'Parametros'!$B$3)*(1-SQRT(1-2*(J15*1000000/('Parametros'!$B$5*H15*U15^2))/(0.85*'Parametros'!$B$2)))*H15*U15)</f>
        <v>342.55</v>
      </c>
      <c r="S15" s="17" t="n">
        <v>2</v>
      </c>
      <c r="T15" s="18" t="n">
        <v>1</v>
      </c>
      <c r="U15" s="10">
        <f>IF(T15=1,I15-('Parametros'!$B$7+'Parametros'!$B$9+'Parametros'!$B$12/2),I15-(ROUNDUP(S15/2,0)*('Parametros'!$B$7+'Parametros'!$B$9+'Parametros'!$B$12/2)+ROUNDDOWN(S15/2,0)*('Parametros'!$B$7+'Parametros'!$B$9+'Parametros'!$B$12/2+'Parametros'!$B$12+'Parametros'!$B$10))/S15)</f>
        <v>342.55</v>
      </c>
      <c r="V15" s="10">
        <f>S15*'Parametros'!$B$8</f>
        <v>398</v>
      </c>
      <c r="W15" s="10">
        <f>'Parametros'!$B$5*V15*'Parametros'!$B$3*(U15-(V15*'Parametros'!$B$3/(0.85*'Parametros'!$B$2*H15))/2)/1000000</f>
        <v>49.7735124352941</v>
      </c>
      <c r="X15" s="10" t="str">
        <f>IF(W15&gt;=J15,"CUMPLE","NO CUMPLE")</f>
        <v>CUMPLE</v>
      </c>
      <c r="Y15" s="10">
        <f>MAX(MAX(1.4/'Parametros'!$B$3,0.25*SQRT('Parametros'!$B$2)/'Parametros'!$B$3)*H15*AB15,(0.85*'Parametros'!$B$2/'Parametros'!$B$3)*(1-SQRT(1-2*(L15*1000000/('Parametros'!$B$5*H15*AB15^2))/(0.85*'Parametros'!$B$2)))*H15*AB15)</f>
        <v>342.55</v>
      </c>
      <c r="Z15" s="17" t="n">
        <v>2</v>
      </c>
      <c r="AA15" s="18" t="n">
        <v>1</v>
      </c>
      <c r="AB15" s="10">
        <f>IF(AA15=1,I15-('Parametros'!$B$7+'Parametros'!$B$9+'Parametros'!$B$12/2),I15-(ROUNDUP(Z15/2,0)*('Parametros'!$B$7+'Parametros'!$B$9+'Parametros'!$B$12/2)+ROUNDDOWN(Z15/2,0)*('Parametros'!$B$7+'Parametros'!$B$9+'Parametros'!$B$12/2+'Parametros'!$B$12+'Parametros'!$B$10))/Z15)</f>
        <v>342.55</v>
      </c>
      <c r="AC15" s="10">
        <f>Z15*'Parametros'!$B$8</f>
        <v>398</v>
      </c>
      <c r="AD15" s="10">
        <f>'Parametros'!$B$5*AC15*'Parametros'!$B$3*(AB15-(AC15*'Parametros'!$B$3/(0.85*'Parametros'!$B$2*H15))/2)/1000000</f>
        <v>49.7735124352941</v>
      </c>
      <c r="AE15" s="10" t="str">
        <f>IF(AD15&gt;=L15,"CUMPLE","NO CUMPLE")</f>
        <v>CUMPLE</v>
      </c>
      <c r="AF15" s="10">
        <f>V15*1.25*'Parametros'!$B$3*(U15-(V15*1.25*'Parametros'!$B$3/(0.85*'Parametros'!$B$2*H15))/2)/1000000</f>
        <v>68.5183923529412</v>
      </c>
      <c r="AG15" s="10">
        <f>AC15*1.25*'Parametros'!$B$3*(AB15-(AC15*1.25*'Parametros'!$B$3/(0.85*'Parametros'!$B$2*H15))/2)/1000000</f>
        <v>68.5183923529412</v>
      </c>
      <c r="AH15" s="10">
        <f>N15+(AF15+AG15)/D15</f>
        <v>47.0641425882353</v>
      </c>
      <c r="AI15" s="10">
        <f>MIN(O15,MAX(N15,AH15))</f>
        <v>18.209</v>
      </c>
      <c r="AJ15" s="10">
        <f>0.17*SQRT('Parametros'!$B$2)*H15*MIN(U15,AB15)/1000</f>
        <v>92.4428153837279</v>
      </c>
      <c r="AK15" s="10">
        <f>MAX(AI15/'Parametros'!$B$6-AJ15,0)</f>
        <v>0</v>
      </c>
      <c r="AL15" s="10">
        <f>0.66*SQRT('Parametros'!$B$2)*H15*MIN(U15,AB15)/1000</f>
        <v>358.89563619565</v>
      </c>
      <c r="AM15" s="10" t="str">
        <f>IF(AK15&lt;=AL15,"CUMPLE","NO CUMPLE")</f>
        <v>CUMPLE</v>
      </c>
      <c r="AN15" s="15" t="inlineStr">
        <is>
          <t>Nº3 cerrado</t>
        </is>
      </c>
      <c r="AO15" s="17" t="n">
        <v>2</v>
      </c>
      <c r="AP15" s="10">
        <f>ROUNDDOWN(MIN(IF(AK15=0,1000000000,AO15*'Parametros'!$B$11*'Parametros'!$B$4*MIN(U15,AB15)/(AK15*1000)),IF(AV15=0,1000000000,'Parametros'!$B$11/AV15),MIN(U15,AB15)/4,8*'Parametros'!$B$12,24*'Parametros'!$B$9,300)/10,0)*10</f>
        <v>80</v>
      </c>
      <c r="AQ15" s="10">
        <f>ROUNDDOWN(MIN(IF(AK15=0,1000000000,AO15*'Parametros'!$B$11*'Parametros'!$B$4*MIN(U15,AB15)/(AK15*1000)),IF(AV15=0,1000000000,'Parametros'!$B$11/AV15),MIN(U15,AB15)/2,600)/10,0)*10</f>
        <v>170</v>
      </c>
      <c r="AR15" s="10">
        <f>'Parametros'!$B$6*(AJ15+AO15*'Parametros'!$B$11*'Parametros'!$B$4*MIN(U15,AB15)/AP15/1000)</f>
        <v>260.860380287796</v>
      </c>
      <c r="AS15" s="10" t="str">
        <f>IF(AND(AM15="CUMPLE",AR15&gt;=AI15),"CUMPLE","NO CUMPLE")</f>
        <v>CUMPLE</v>
      </c>
      <c r="AT15" s="10">
        <f>'Parametros'!$B$6*0.083*SQRT('Parametros'!$B$2)*(H15*I15)^2/(2*(H15+I15))/1000000</f>
        <v>3.38807353605471</v>
      </c>
      <c r="AU15" s="10" t="str">
        <f>IF(Q15&lt;=AT15,"DESPRECIABLE","DISEÑAR")</f>
        <v>DESPRECIABLE</v>
      </c>
      <c r="AV15" s="10">
        <f>IF(Q15&lt;=AT15,0,Q15*1000000/('Parametros'!$B$6*2*0.85*(H15-2*'Parametros'!$B$7)*(I15-2*'Parametros'!$B$7)*'Parametros'!$B$4))</f>
        <v>0</v>
      </c>
      <c r="AW15" s="10">
        <f>AV15*2*((H15-2*'Parametros'!$B$7)+(I15-2*'Parametros'!$B$7))*'Parametros'!$B$4/'Parametros'!$B$3</f>
        <v>0</v>
      </c>
      <c r="AX15" s="17" t="n">
        <v>0</v>
      </c>
      <c r="AY15" s="10" t="str">
        <f>IF(AV15=0,"DESPRECIABLE",IF('Parametros'!$B$11/AP15&gt;=AV15,"CUMPLE","NO CUMPLE"))</f>
        <v>DESPRECIABLE</v>
      </c>
      <c r="AZ15" s="10" t="str">
        <f>IF(AND(X15="CUMPLE",AE15="CUMPLE",AS15="CUMPLE",OR(AY15="CUMPLE",AY15="DESPRECIABLE")),IF(OR(F15&lt;&gt;H15,G15&lt;&gt;I15),"CUMPLE - REANALIZAR SAP","CUMPLE"),"NO CUMPLE")</f>
        <v>CUMPLE</v>
      </c>
    </row>
    <row r="16">
      <c r="A16" s="14" t="inlineStr">
        <is>
          <t>VC1</t>
        </is>
      </c>
      <c r="B16" s="14" t="inlineStr">
        <is>
          <t>178</t>
        </is>
      </c>
      <c r="C16" s="10" t="n">
        <v>1</v>
      </c>
      <c r="D16" s="10" t="n">
        <v>3.75</v>
      </c>
      <c r="E16" s="10" t="n">
        <v>3.75</v>
      </c>
      <c r="F16" s="10" t="n">
        <v>300</v>
      </c>
      <c r="G16" s="10" t="n">
        <v>400</v>
      </c>
      <c r="H16" s="15" t="n">
        <v>300</v>
      </c>
      <c r="I16" s="15" t="n">
        <v>400</v>
      </c>
      <c r="J16" s="16" t="n">
        <v>19.2952</v>
      </c>
      <c r="K16" s="10" t="inlineStr">
        <is>
          <t>178</t>
        </is>
      </c>
      <c r="L16" s="16" t="n">
        <v>12.115</v>
      </c>
      <c r="M16" s="10" t="inlineStr">
        <is>
          <t>178</t>
        </is>
      </c>
      <c r="N16" s="16" t="n">
        <v>14.449</v>
      </c>
      <c r="O16" s="16" t="n">
        <v>40.811</v>
      </c>
      <c r="P16" s="10" t="inlineStr">
        <is>
          <t>178</t>
        </is>
      </c>
      <c r="Q16" s="16" t="n">
        <v>2.3156</v>
      </c>
      <c r="R16" s="10">
        <f>MAX(MAX(1.4/'Parametros'!$B$3,0.25*SQRT('Parametros'!$B$2)/'Parametros'!$B$3)*H16*U16,(0.85*'Parametros'!$B$2/'Parametros'!$B$3)*(1-SQRT(1-2*(J16*1000000/('Parametros'!$B$5*H16*U16^2))/(0.85*'Parametros'!$B$2)))*H16*U16)</f>
        <v>342.55</v>
      </c>
      <c r="S16" s="17" t="n">
        <v>2</v>
      </c>
      <c r="T16" s="18" t="n">
        <v>1</v>
      </c>
      <c r="U16" s="10">
        <f>IF(T16=1,I16-('Parametros'!$B$7+'Parametros'!$B$9+'Parametros'!$B$12/2),I16-(ROUNDUP(S16/2,0)*('Parametros'!$B$7+'Parametros'!$B$9+'Parametros'!$B$12/2)+ROUNDDOWN(S16/2,0)*('Parametros'!$B$7+'Parametros'!$B$9+'Parametros'!$B$12/2+'Parametros'!$B$12+'Parametros'!$B$10))/S16)</f>
        <v>342.55</v>
      </c>
      <c r="V16" s="10">
        <f>S16*'Parametros'!$B$8</f>
        <v>398</v>
      </c>
      <c r="W16" s="10">
        <f>'Parametros'!$B$5*V16*'Parametros'!$B$3*(U16-(V16*'Parametros'!$B$3/(0.85*'Parametros'!$B$2*H16))/2)/1000000</f>
        <v>49.7735124352941</v>
      </c>
      <c r="X16" s="10" t="str">
        <f>IF(W16&gt;=J16,"CUMPLE","NO CUMPLE")</f>
        <v>CUMPLE</v>
      </c>
      <c r="Y16" s="10">
        <f>MAX(MAX(1.4/'Parametros'!$B$3,0.25*SQRT('Parametros'!$B$2)/'Parametros'!$B$3)*H16*AB16,(0.85*'Parametros'!$B$2/'Parametros'!$B$3)*(1-SQRT(1-2*(L16*1000000/('Parametros'!$B$5*H16*AB16^2))/(0.85*'Parametros'!$B$2)))*H16*AB16)</f>
        <v>342.55</v>
      </c>
      <c r="Z16" s="17" t="n">
        <v>2</v>
      </c>
      <c r="AA16" s="18" t="n">
        <v>1</v>
      </c>
      <c r="AB16" s="10">
        <f>IF(AA16=1,I16-('Parametros'!$B$7+'Parametros'!$B$9+'Parametros'!$B$12/2),I16-(ROUNDUP(Z16/2,0)*('Parametros'!$B$7+'Parametros'!$B$9+'Parametros'!$B$12/2)+ROUNDDOWN(Z16/2,0)*('Parametros'!$B$7+'Parametros'!$B$9+'Parametros'!$B$12/2+'Parametros'!$B$12+'Parametros'!$B$10))/Z16)</f>
        <v>342.55</v>
      </c>
      <c r="AC16" s="10">
        <f>Z16*'Parametros'!$B$8</f>
        <v>398</v>
      </c>
      <c r="AD16" s="10">
        <f>'Parametros'!$B$5*AC16*'Parametros'!$B$3*(AB16-(AC16*'Parametros'!$B$3/(0.85*'Parametros'!$B$2*H16))/2)/1000000</f>
        <v>49.7735124352941</v>
      </c>
      <c r="AE16" s="10" t="str">
        <f>IF(AD16&gt;=L16,"CUMPLE","NO CUMPLE")</f>
        <v>CUMPLE</v>
      </c>
      <c r="AF16" s="10">
        <f>V16*1.25*'Parametros'!$B$3*(U16-(V16*1.25*'Parametros'!$B$3/(0.85*'Parametros'!$B$2*H16))/2)/1000000</f>
        <v>68.5183923529412</v>
      </c>
      <c r="AG16" s="10">
        <f>AC16*1.25*'Parametros'!$B$3*(AB16-(AC16*1.25*'Parametros'!$B$3/(0.85*'Parametros'!$B$2*H16))/2)/1000000</f>
        <v>68.5183923529412</v>
      </c>
      <c r="AH16" s="10">
        <f>N16+(AF16+AG16)/D16</f>
        <v>50.9921425882353</v>
      </c>
      <c r="AI16" s="10">
        <f>MIN(O16,MAX(N16,AH16))</f>
        <v>40.811</v>
      </c>
      <c r="AJ16" s="10">
        <f>0.17*SQRT('Parametros'!$B$2)*H16*MIN(U16,AB16)/1000</f>
        <v>92.4428153837279</v>
      </c>
      <c r="AK16" s="10">
        <f>MAX(AI16/'Parametros'!$B$6-AJ16,0)</f>
        <v>0</v>
      </c>
      <c r="AL16" s="10">
        <f>0.66*SQRT('Parametros'!$B$2)*H16*MIN(U16,AB16)/1000</f>
        <v>358.89563619565</v>
      </c>
      <c r="AM16" s="10" t="str">
        <f>IF(AK16&lt;=AL16,"CUMPLE","NO CUMPLE")</f>
        <v>CUMPLE</v>
      </c>
      <c r="AN16" s="15" t="inlineStr">
        <is>
          <t>Nº3 cerrado</t>
        </is>
      </c>
      <c r="AO16" s="17" t="n">
        <v>2</v>
      </c>
      <c r="AP16" s="10">
        <f>ROUNDDOWN(MIN(IF(AK16=0,1000000000,AO16*'Parametros'!$B$11*'Parametros'!$B$4*MIN(U16,AB16)/(AK16*1000)),IF(AV16=0,1000000000,'Parametros'!$B$11/AV16),MIN(U16,AB16)/4,8*'Parametros'!$B$12,24*'Parametros'!$B$9,300)/10,0)*10</f>
        <v>80</v>
      </c>
      <c r="AQ16" s="10">
        <f>ROUNDDOWN(MIN(IF(AK16=0,1000000000,AO16*'Parametros'!$B$11*'Parametros'!$B$4*MIN(U16,AB16)/(AK16*1000)),IF(AV16=0,1000000000,'Parametros'!$B$11/AV16),MIN(U16,AB16)/2,600)/10,0)*10</f>
        <v>170</v>
      </c>
      <c r="AR16" s="10">
        <f>'Parametros'!$B$6*(AJ16+AO16*'Parametros'!$B$11*'Parametros'!$B$4*MIN(U16,AB16)/AP16/1000)</f>
        <v>260.860380287796</v>
      </c>
      <c r="AS16" s="10" t="str">
        <f>IF(AND(AM16="CUMPLE",AR16&gt;=AI16),"CUMPLE","NO CUMPLE")</f>
        <v>CUMPLE</v>
      </c>
      <c r="AT16" s="10">
        <f>'Parametros'!$B$6*0.083*SQRT('Parametros'!$B$2)*(H16*I16)^2/(2*(H16+I16))/1000000</f>
        <v>3.38807353605471</v>
      </c>
      <c r="AU16" s="10" t="str">
        <f>IF(Q16&lt;=AT16,"DESPRECIABLE","DISEÑAR")</f>
        <v>DESPRECIABLE</v>
      </c>
      <c r="AV16" s="10">
        <f>IF(Q16&lt;=AT16,0,Q16*1000000/('Parametros'!$B$6*2*0.85*(H16-2*'Parametros'!$B$7)*(I16-2*'Parametros'!$B$7)*'Parametros'!$B$4))</f>
        <v>0</v>
      </c>
      <c r="AW16" s="10">
        <f>AV16*2*((H16-2*'Parametros'!$B$7)+(I16-2*'Parametros'!$B$7))*'Parametros'!$B$4/'Parametros'!$B$3</f>
        <v>0</v>
      </c>
      <c r="AX16" s="17" t="n">
        <v>0</v>
      </c>
      <c r="AY16" s="10" t="str">
        <f>IF(AV16=0,"DESPRECIABLE",IF('Parametros'!$B$11/AP16&gt;=AV16,"CUMPLE","NO CUMPLE"))</f>
        <v>DESPRECIABLE</v>
      </c>
      <c r="AZ16" s="10" t="str">
        <f>IF(AND(X16="CUMPLE",AE16="CUMPLE",AS16="CUMPLE",OR(AY16="CUMPLE",AY16="DESPRECIABLE")),IF(OR(F16&lt;&gt;H16,G16&lt;&gt;I16),"CUMPLE - REANALIZAR SAP","CUMPLE"),"NO CUMPLE")</f>
        <v>CUMPLE</v>
      </c>
    </row>
    <row r="17">
      <c r="A17" s="14" t="inlineStr">
        <is>
          <t>VC1</t>
        </is>
      </c>
      <c r="B17" s="14" t="inlineStr">
        <is>
          <t>179</t>
        </is>
      </c>
      <c r="C17" s="10" t="n">
        <v>1</v>
      </c>
      <c r="D17" s="10" t="n">
        <v>3.75</v>
      </c>
      <c r="E17" s="10" t="n">
        <v>3.75</v>
      </c>
      <c r="F17" s="10" t="n">
        <v>300</v>
      </c>
      <c r="G17" s="10" t="n">
        <v>400</v>
      </c>
      <c r="H17" s="15" t="n">
        <v>300</v>
      </c>
      <c r="I17" s="15" t="n">
        <v>400</v>
      </c>
      <c r="J17" s="16" t="n">
        <v>19.289</v>
      </c>
      <c r="K17" s="10" t="inlineStr">
        <is>
          <t>179</t>
        </is>
      </c>
      <c r="L17" s="16" t="n">
        <v>12.1187</v>
      </c>
      <c r="M17" s="10" t="inlineStr">
        <is>
          <t>179</t>
        </is>
      </c>
      <c r="N17" s="16" t="n">
        <v>14.446</v>
      </c>
      <c r="O17" s="16" t="n">
        <v>40.808</v>
      </c>
      <c r="P17" s="10" t="inlineStr">
        <is>
          <t>179</t>
        </is>
      </c>
      <c r="Q17" s="16" t="n">
        <v>2.3155</v>
      </c>
      <c r="R17" s="10">
        <f>MAX(MAX(1.4/'Parametros'!$B$3,0.25*SQRT('Parametros'!$B$2)/'Parametros'!$B$3)*H17*U17,(0.85*'Parametros'!$B$2/'Parametros'!$B$3)*(1-SQRT(1-2*(J17*1000000/('Parametros'!$B$5*H17*U17^2))/(0.85*'Parametros'!$B$2)))*H17*U17)</f>
        <v>342.55</v>
      </c>
      <c r="S17" s="17" t="n">
        <v>2</v>
      </c>
      <c r="T17" s="18" t="n">
        <v>1</v>
      </c>
      <c r="U17" s="10">
        <f>IF(T17=1,I17-('Parametros'!$B$7+'Parametros'!$B$9+'Parametros'!$B$12/2),I17-(ROUNDUP(S17/2,0)*('Parametros'!$B$7+'Parametros'!$B$9+'Parametros'!$B$12/2)+ROUNDDOWN(S17/2,0)*('Parametros'!$B$7+'Parametros'!$B$9+'Parametros'!$B$12/2+'Parametros'!$B$12+'Parametros'!$B$10))/S17)</f>
        <v>342.55</v>
      </c>
      <c r="V17" s="10">
        <f>S17*'Parametros'!$B$8</f>
        <v>398</v>
      </c>
      <c r="W17" s="10">
        <f>'Parametros'!$B$5*V17*'Parametros'!$B$3*(U17-(V17*'Parametros'!$B$3/(0.85*'Parametros'!$B$2*H17))/2)/1000000</f>
        <v>49.7735124352941</v>
      </c>
      <c r="X17" s="10" t="str">
        <f>IF(W17&gt;=J17,"CUMPLE","NO CUMPLE")</f>
        <v>CUMPLE</v>
      </c>
      <c r="Y17" s="10">
        <f>MAX(MAX(1.4/'Parametros'!$B$3,0.25*SQRT('Parametros'!$B$2)/'Parametros'!$B$3)*H17*AB17,(0.85*'Parametros'!$B$2/'Parametros'!$B$3)*(1-SQRT(1-2*(L17*1000000/('Parametros'!$B$5*H17*AB17^2))/(0.85*'Parametros'!$B$2)))*H17*AB17)</f>
        <v>342.55</v>
      </c>
      <c r="Z17" s="17" t="n">
        <v>2</v>
      </c>
      <c r="AA17" s="18" t="n">
        <v>1</v>
      </c>
      <c r="AB17" s="10">
        <f>IF(AA17=1,I17-('Parametros'!$B$7+'Parametros'!$B$9+'Parametros'!$B$12/2),I17-(ROUNDUP(Z17/2,0)*('Parametros'!$B$7+'Parametros'!$B$9+'Parametros'!$B$12/2)+ROUNDDOWN(Z17/2,0)*('Parametros'!$B$7+'Parametros'!$B$9+'Parametros'!$B$12/2+'Parametros'!$B$12+'Parametros'!$B$10))/Z17)</f>
        <v>342.55</v>
      </c>
      <c r="AC17" s="10">
        <f>Z17*'Parametros'!$B$8</f>
        <v>398</v>
      </c>
      <c r="AD17" s="10">
        <f>'Parametros'!$B$5*AC17*'Parametros'!$B$3*(AB17-(AC17*'Parametros'!$B$3/(0.85*'Parametros'!$B$2*H17))/2)/1000000</f>
        <v>49.7735124352941</v>
      </c>
      <c r="AE17" s="10" t="str">
        <f>IF(AD17&gt;=L17,"CUMPLE","NO CUMPLE")</f>
        <v>CUMPLE</v>
      </c>
      <c r="AF17" s="10">
        <f>V17*1.25*'Parametros'!$B$3*(U17-(V17*1.25*'Parametros'!$B$3/(0.85*'Parametros'!$B$2*H17))/2)/1000000</f>
        <v>68.5183923529412</v>
      </c>
      <c r="AG17" s="10">
        <f>AC17*1.25*'Parametros'!$B$3*(AB17-(AC17*1.25*'Parametros'!$B$3/(0.85*'Parametros'!$B$2*H17))/2)/1000000</f>
        <v>68.5183923529412</v>
      </c>
      <c r="AH17" s="10">
        <f>N17+(AF17+AG17)/D17</f>
        <v>50.9891425882353</v>
      </c>
      <c r="AI17" s="10">
        <f>MIN(O17,MAX(N17,AH17))</f>
        <v>40.808</v>
      </c>
      <c r="AJ17" s="10">
        <f>0.17*SQRT('Parametros'!$B$2)*H17*MIN(U17,AB17)/1000</f>
        <v>92.4428153837279</v>
      </c>
      <c r="AK17" s="10">
        <f>MAX(AI17/'Parametros'!$B$6-AJ17,0)</f>
        <v>0</v>
      </c>
      <c r="AL17" s="10">
        <f>0.66*SQRT('Parametros'!$B$2)*H17*MIN(U17,AB17)/1000</f>
        <v>358.89563619565</v>
      </c>
      <c r="AM17" s="10" t="str">
        <f>IF(AK17&lt;=AL17,"CUMPLE","NO CUMPLE")</f>
        <v>CUMPLE</v>
      </c>
      <c r="AN17" s="15" t="inlineStr">
        <is>
          <t>Nº3 cerrado</t>
        </is>
      </c>
      <c r="AO17" s="17" t="n">
        <v>2</v>
      </c>
      <c r="AP17" s="10">
        <f>ROUNDDOWN(MIN(IF(AK17=0,1000000000,AO17*'Parametros'!$B$11*'Parametros'!$B$4*MIN(U17,AB17)/(AK17*1000)),IF(AV17=0,1000000000,'Parametros'!$B$11/AV17),MIN(U17,AB17)/4,8*'Parametros'!$B$12,24*'Parametros'!$B$9,300)/10,0)*10</f>
        <v>80</v>
      </c>
      <c r="AQ17" s="10">
        <f>ROUNDDOWN(MIN(IF(AK17=0,1000000000,AO17*'Parametros'!$B$11*'Parametros'!$B$4*MIN(U17,AB17)/(AK17*1000)),IF(AV17=0,1000000000,'Parametros'!$B$11/AV17),MIN(U17,AB17)/2,600)/10,0)*10</f>
        <v>170</v>
      </c>
      <c r="AR17" s="10">
        <f>'Parametros'!$B$6*(AJ17+AO17*'Parametros'!$B$11*'Parametros'!$B$4*MIN(U17,AB17)/AP17/1000)</f>
        <v>260.860380287796</v>
      </c>
      <c r="AS17" s="10" t="str">
        <f>IF(AND(AM17="CUMPLE",AR17&gt;=AI17),"CUMPLE","NO CUMPLE")</f>
        <v>CUMPLE</v>
      </c>
      <c r="AT17" s="10">
        <f>'Parametros'!$B$6*0.083*SQRT('Parametros'!$B$2)*(H17*I17)^2/(2*(H17+I17))/1000000</f>
        <v>3.38807353605471</v>
      </c>
      <c r="AU17" s="10" t="str">
        <f>IF(Q17&lt;=AT17,"DESPRECIABLE","DISEÑAR")</f>
        <v>DESPRECIABLE</v>
      </c>
      <c r="AV17" s="10">
        <f>IF(Q17&lt;=AT17,0,Q17*1000000/('Parametros'!$B$6*2*0.85*(H17-2*'Parametros'!$B$7)*(I17-2*'Parametros'!$B$7)*'Parametros'!$B$4))</f>
        <v>0</v>
      </c>
      <c r="AW17" s="10">
        <f>AV17*2*((H17-2*'Parametros'!$B$7)+(I17-2*'Parametros'!$B$7))*'Parametros'!$B$4/'Parametros'!$B$3</f>
        <v>0</v>
      </c>
      <c r="AX17" s="17" t="n">
        <v>0</v>
      </c>
      <c r="AY17" s="10" t="str">
        <f>IF(AV17=0,"DESPRECIABLE",IF('Parametros'!$B$11/AP17&gt;=AV17,"CUMPLE","NO CUMPLE"))</f>
        <v>DESPRECIABLE</v>
      </c>
      <c r="AZ17" s="10" t="str">
        <f>IF(AND(X17="CUMPLE",AE17="CUMPLE",AS17="CUMPLE",OR(AY17="CUMPLE",AY17="DESPRECIABLE")),IF(OR(F17&lt;&gt;H17,G17&lt;&gt;I17),"CUMPLE - REANALIZAR SAP","CUMPLE"),"NO CUMPLE")</f>
        <v>CUMPLE</v>
      </c>
    </row>
    <row r="18">
      <c r="A18" s="14" t="inlineStr">
        <is>
          <t>VC1</t>
        </is>
      </c>
      <c r="B18" s="14" t="inlineStr">
        <is>
          <t>183</t>
        </is>
      </c>
      <c r="C18" s="10" t="n">
        <v>1</v>
      </c>
      <c r="D18" s="10" t="n">
        <v>3.75</v>
      </c>
      <c r="E18" s="10" t="n">
        <v>3.75</v>
      </c>
      <c r="F18" s="10" t="n">
        <v>300</v>
      </c>
      <c r="G18" s="10" t="n">
        <v>400</v>
      </c>
      <c r="H18" s="15" t="n">
        <v>300</v>
      </c>
      <c r="I18" s="15" t="n">
        <v>400</v>
      </c>
      <c r="J18" s="16" t="n">
        <v>16.7857</v>
      </c>
      <c r="K18" s="10" t="inlineStr">
        <is>
          <t>183</t>
        </is>
      </c>
      <c r="L18" s="16" t="n">
        <v>10.0141</v>
      </c>
      <c r="M18" s="10" t="inlineStr">
        <is>
          <t>183</t>
        </is>
      </c>
      <c r="N18" s="16" t="n">
        <v>13.508</v>
      </c>
      <c r="O18" s="16" t="n">
        <v>35.095</v>
      </c>
      <c r="P18" s="10" t="inlineStr">
        <is>
          <t>183</t>
        </is>
      </c>
      <c r="Q18" s="16" t="n">
        <v>2.0826</v>
      </c>
      <c r="R18" s="10">
        <f>MAX(MAX(1.4/'Parametros'!$B$3,0.25*SQRT('Parametros'!$B$2)/'Parametros'!$B$3)*H18*U18,(0.85*'Parametros'!$B$2/'Parametros'!$B$3)*(1-SQRT(1-2*(J18*1000000/('Parametros'!$B$5*H18*U18^2))/(0.85*'Parametros'!$B$2)))*H18*U18)</f>
        <v>342.55</v>
      </c>
      <c r="S18" s="17" t="n">
        <v>2</v>
      </c>
      <c r="T18" s="18" t="n">
        <v>1</v>
      </c>
      <c r="U18" s="10">
        <f>IF(T18=1,I18-('Parametros'!$B$7+'Parametros'!$B$9+'Parametros'!$B$12/2),I18-(ROUNDUP(S18/2,0)*('Parametros'!$B$7+'Parametros'!$B$9+'Parametros'!$B$12/2)+ROUNDDOWN(S18/2,0)*('Parametros'!$B$7+'Parametros'!$B$9+'Parametros'!$B$12/2+'Parametros'!$B$12+'Parametros'!$B$10))/S18)</f>
        <v>342.55</v>
      </c>
      <c r="V18" s="10">
        <f>S18*'Parametros'!$B$8</f>
        <v>398</v>
      </c>
      <c r="W18" s="10">
        <f>'Parametros'!$B$5*V18*'Parametros'!$B$3*(U18-(V18*'Parametros'!$B$3/(0.85*'Parametros'!$B$2*H18))/2)/1000000</f>
        <v>49.7735124352941</v>
      </c>
      <c r="X18" s="10" t="str">
        <f>IF(W18&gt;=J18,"CUMPLE","NO CUMPLE")</f>
        <v>CUMPLE</v>
      </c>
      <c r="Y18" s="10">
        <f>MAX(MAX(1.4/'Parametros'!$B$3,0.25*SQRT('Parametros'!$B$2)/'Parametros'!$B$3)*H18*AB18,(0.85*'Parametros'!$B$2/'Parametros'!$B$3)*(1-SQRT(1-2*(L18*1000000/('Parametros'!$B$5*H18*AB18^2))/(0.85*'Parametros'!$B$2)))*H18*AB18)</f>
        <v>342.55</v>
      </c>
      <c r="Z18" s="17" t="n">
        <v>2</v>
      </c>
      <c r="AA18" s="18" t="n">
        <v>1</v>
      </c>
      <c r="AB18" s="10">
        <f>IF(AA18=1,I18-('Parametros'!$B$7+'Parametros'!$B$9+'Parametros'!$B$12/2),I18-(ROUNDUP(Z18/2,0)*('Parametros'!$B$7+'Parametros'!$B$9+'Parametros'!$B$12/2)+ROUNDDOWN(Z18/2,0)*('Parametros'!$B$7+'Parametros'!$B$9+'Parametros'!$B$12/2+'Parametros'!$B$12+'Parametros'!$B$10))/Z18)</f>
        <v>342.55</v>
      </c>
      <c r="AC18" s="10">
        <f>Z18*'Parametros'!$B$8</f>
        <v>398</v>
      </c>
      <c r="AD18" s="10">
        <f>'Parametros'!$B$5*AC18*'Parametros'!$B$3*(AB18-(AC18*'Parametros'!$B$3/(0.85*'Parametros'!$B$2*H18))/2)/1000000</f>
        <v>49.7735124352941</v>
      </c>
      <c r="AE18" s="10" t="str">
        <f>IF(AD18&gt;=L18,"CUMPLE","NO CUMPLE")</f>
        <v>CUMPLE</v>
      </c>
      <c r="AF18" s="10">
        <f>V18*1.25*'Parametros'!$B$3*(U18-(V18*1.25*'Parametros'!$B$3/(0.85*'Parametros'!$B$2*H18))/2)/1000000</f>
        <v>68.5183923529412</v>
      </c>
      <c r="AG18" s="10">
        <f>AC18*1.25*'Parametros'!$B$3*(AB18-(AC18*1.25*'Parametros'!$B$3/(0.85*'Parametros'!$B$2*H18))/2)/1000000</f>
        <v>68.5183923529412</v>
      </c>
      <c r="AH18" s="10">
        <f>N18+(AF18+AG18)/D18</f>
        <v>50.0511425882353</v>
      </c>
      <c r="AI18" s="10">
        <f>MIN(O18,MAX(N18,AH18))</f>
        <v>35.095</v>
      </c>
      <c r="AJ18" s="10">
        <f>0.17*SQRT('Parametros'!$B$2)*H18*MIN(U18,AB18)/1000</f>
        <v>92.4428153837279</v>
      </c>
      <c r="AK18" s="10">
        <f>MAX(AI18/'Parametros'!$B$6-AJ18,0)</f>
        <v>0</v>
      </c>
      <c r="AL18" s="10">
        <f>0.66*SQRT('Parametros'!$B$2)*H18*MIN(U18,AB18)/1000</f>
        <v>358.89563619565</v>
      </c>
      <c r="AM18" s="10" t="str">
        <f>IF(AK18&lt;=AL18,"CUMPLE","NO CUMPLE")</f>
        <v>CUMPLE</v>
      </c>
      <c r="AN18" s="15" t="inlineStr">
        <is>
          <t>Nº3 cerrado</t>
        </is>
      </c>
      <c r="AO18" s="17" t="n">
        <v>2</v>
      </c>
      <c r="AP18" s="10">
        <f>ROUNDDOWN(MIN(IF(AK18=0,1000000000,AO18*'Parametros'!$B$11*'Parametros'!$B$4*MIN(U18,AB18)/(AK18*1000)),IF(AV18=0,1000000000,'Parametros'!$B$11/AV18),MIN(U18,AB18)/4,8*'Parametros'!$B$12,24*'Parametros'!$B$9,300)/10,0)*10</f>
        <v>80</v>
      </c>
      <c r="AQ18" s="10">
        <f>ROUNDDOWN(MIN(IF(AK18=0,1000000000,AO18*'Parametros'!$B$11*'Parametros'!$B$4*MIN(U18,AB18)/(AK18*1000)),IF(AV18=0,1000000000,'Parametros'!$B$11/AV18),MIN(U18,AB18)/2,600)/10,0)*10</f>
        <v>170</v>
      </c>
      <c r="AR18" s="10">
        <f>'Parametros'!$B$6*(AJ18+AO18*'Parametros'!$B$11*'Parametros'!$B$4*MIN(U18,AB18)/AP18/1000)</f>
        <v>260.860380287796</v>
      </c>
      <c r="AS18" s="10" t="str">
        <f>IF(AND(AM18="CUMPLE",AR18&gt;=AI18),"CUMPLE","NO CUMPLE")</f>
        <v>CUMPLE</v>
      </c>
      <c r="AT18" s="10">
        <f>'Parametros'!$B$6*0.083*SQRT('Parametros'!$B$2)*(H18*I18)^2/(2*(H18+I18))/1000000</f>
        <v>3.38807353605471</v>
      </c>
      <c r="AU18" s="10" t="str">
        <f>IF(Q18&lt;=AT18,"DESPRECIABLE","DISEÑAR")</f>
        <v>DESPRECIABLE</v>
      </c>
      <c r="AV18" s="10">
        <f>IF(Q18&lt;=AT18,0,Q18*1000000/('Parametros'!$B$6*2*0.85*(H18-2*'Parametros'!$B$7)*(I18-2*'Parametros'!$B$7)*'Parametros'!$B$4))</f>
        <v>0</v>
      </c>
      <c r="AW18" s="10">
        <f>AV18*2*((H18-2*'Parametros'!$B$7)+(I18-2*'Parametros'!$B$7))*'Parametros'!$B$4/'Parametros'!$B$3</f>
        <v>0</v>
      </c>
      <c r="AX18" s="17" t="n">
        <v>0</v>
      </c>
      <c r="AY18" s="10" t="str">
        <f>IF(AV18=0,"DESPRECIABLE",IF('Parametros'!$B$11/AP18&gt;=AV18,"CUMPLE","NO CUMPLE"))</f>
        <v>DESPRECIABLE</v>
      </c>
      <c r="AZ18" s="10" t="str">
        <f>IF(AND(X18="CUMPLE",AE18="CUMPLE",AS18="CUMPLE",OR(AY18="CUMPLE",AY18="DESPRECIABLE")),IF(OR(F18&lt;&gt;H18,G18&lt;&gt;I18),"CUMPLE - REANALIZAR SAP","CUMPLE"),"NO CUMPLE")</f>
        <v>CUMPLE</v>
      </c>
    </row>
    <row r="19">
      <c r="A19" s="14" t="inlineStr">
        <is>
          <t>VC1</t>
        </is>
      </c>
      <c r="B19" s="14" t="inlineStr">
        <is>
          <t>184</t>
        </is>
      </c>
      <c r="C19" s="10" t="n">
        <v>1</v>
      </c>
      <c r="D19" s="10" t="n">
        <v>3.75</v>
      </c>
      <c r="E19" s="10" t="n">
        <v>3.75</v>
      </c>
      <c r="F19" s="10" t="n">
        <v>300</v>
      </c>
      <c r="G19" s="10" t="n">
        <v>400</v>
      </c>
      <c r="H19" s="15" t="n">
        <v>300</v>
      </c>
      <c r="I19" s="15" t="n">
        <v>400</v>
      </c>
      <c r="J19" s="16" t="n">
        <v>16.7789</v>
      </c>
      <c r="K19" s="10" t="inlineStr">
        <is>
          <t>184</t>
        </is>
      </c>
      <c r="L19" s="16" t="n">
        <v>10.0096</v>
      </c>
      <c r="M19" s="10" t="inlineStr">
        <is>
          <t>184</t>
        </is>
      </c>
      <c r="N19" s="16" t="n">
        <v>13.505</v>
      </c>
      <c r="O19" s="16" t="n">
        <v>35.092</v>
      </c>
      <c r="P19" s="10" t="inlineStr">
        <is>
          <t>184</t>
        </is>
      </c>
      <c r="Q19" s="16" t="n">
        <v>2.0825</v>
      </c>
      <c r="R19" s="10">
        <f>MAX(MAX(1.4/'Parametros'!$B$3,0.25*SQRT('Parametros'!$B$2)/'Parametros'!$B$3)*H19*U19,(0.85*'Parametros'!$B$2/'Parametros'!$B$3)*(1-SQRT(1-2*(J19*1000000/('Parametros'!$B$5*H19*U19^2))/(0.85*'Parametros'!$B$2)))*H19*U19)</f>
        <v>342.55</v>
      </c>
      <c r="S19" s="17" t="n">
        <v>2</v>
      </c>
      <c r="T19" s="18" t="n">
        <v>1</v>
      </c>
      <c r="U19" s="10">
        <f>IF(T19=1,I19-('Parametros'!$B$7+'Parametros'!$B$9+'Parametros'!$B$12/2),I19-(ROUNDUP(S19/2,0)*('Parametros'!$B$7+'Parametros'!$B$9+'Parametros'!$B$12/2)+ROUNDDOWN(S19/2,0)*('Parametros'!$B$7+'Parametros'!$B$9+'Parametros'!$B$12/2+'Parametros'!$B$12+'Parametros'!$B$10))/S19)</f>
        <v>342.55</v>
      </c>
      <c r="V19" s="10">
        <f>S19*'Parametros'!$B$8</f>
        <v>398</v>
      </c>
      <c r="W19" s="10">
        <f>'Parametros'!$B$5*V19*'Parametros'!$B$3*(U19-(V19*'Parametros'!$B$3/(0.85*'Parametros'!$B$2*H19))/2)/1000000</f>
        <v>49.7735124352941</v>
      </c>
      <c r="X19" s="10" t="str">
        <f>IF(W19&gt;=J19,"CUMPLE","NO CUMPLE")</f>
        <v>CUMPLE</v>
      </c>
      <c r="Y19" s="10">
        <f>MAX(MAX(1.4/'Parametros'!$B$3,0.25*SQRT('Parametros'!$B$2)/'Parametros'!$B$3)*H19*AB19,(0.85*'Parametros'!$B$2/'Parametros'!$B$3)*(1-SQRT(1-2*(L19*1000000/('Parametros'!$B$5*H19*AB19^2))/(0.85*'Parametros'!$B$2)))*H19*AB19)</f>
        <v>342.55</v>
      </c>
      <c r="Z19" s="17" t="n">
        <v>2</v>
      </c>
      <c r="AA19" s="18" t="n">
        <v>1</v>
      </c>
      <c r="AB19" s="10">
        <f>IF(AA19=1,I19-('Parametros'!$B$7+'Parametros'!$B$9+'Parametros'!$B$12/2),I19-(ROUNDUP(Z19/2,0)*('Parametros'!$B$7+'Parametros'!$B$9+'Parametros'!$B$12/2)+ROUNDDOWN(Z19/2,0)*('Parametros'!$B$7+'Parametros'!$B$9+'Parametros'!$B$12/2+'Parametros'!$B$12+'Parametros'!$B$10))/Z19)</f>
        <v>342.55</v>
      </c>
      <c r="AC19" s="10">
        <f>Z19*'Parametros'!$B$8</f>
        <v>398</v>
      </c>
      <c r="AD19" s="10">
        <f>'Parametros'!$B$5*AC19*'Parametros'!$B$3*(AB19-(AC19*'Parametros'!$B$3/(0.85*'Parametros'!$B$2*H19))/2)/1000000</f>
        <v>49.7735124352941</v>
      </c>
      <c r="AE19" s="10" t="str">
        <f>IF(AD19&gt;=L19,"CUMPLE","NO CUMPLE")</f>
        <v>CUMPLE</v>
      </c>
      <c r="AF19" s="10">
        <f>V19*1.25*'Parametros'!$B$3*(U19-(V19*1.25*'Parametros'!$B$3/(0.85*'Parametros'!$B$2*H19))/2)/1000000</f>
        <v>68.5183923529412</v>
      </c>
      <c r="AG19" s="10">
        <f>AC19*1.25*'Parametros'!$B$3*(AB19-(AC19*1.25*'Parametros'!$B$3/(0.85*'Parametros'!$B$2*H19))/2)/1000000</f>
        <v>68.5183923529412</v>
      </c>
      <c r="AH19" s="10">
        <f>N19+(AF19+AG19)/D19</f>
        <v>50.0481425882353</v>
      </c>
      <c r="AI19" s="10">
        <f>MIN(O19,MAX(N19,AH19))</f>
        <v>35.092</v>
      </c>
      <c r="AJ19" s="10">
        <f>0.17*SQRT('Parametros'!$B$2)*H19*MIN(U19,AB19)/1000</f>
        <v>92.4428153837279</v>
      </c>
      <c r="AK19" s="10">
        <f>MAX(AI19/'Parametros'!$B$6-AJ19,0)</f>
        <v>0</v>
      </c>
      <c r="AL19" s="10">
        <f>0.66*SQRT('Parametros'!$B$2)*H19*MIN(U19,AB19)/1000</f>
        <v>358.89563619565</v>
      </c>
      <c r="AM19" s="10" t="str">
        <f>IF(AK19&lt;=AL19,"CUMPLE","NO CUMPLE")</f>
        <v>CUMPLE</v>
      </c>
      <c r="AN19" s="15" t="inlineStr">
        <is>
          <t>Nº3 cerrado</t>
        </is>
      </c>
      <c r="AO19" s="17" t="n">
        <v>2</v>
      </c>
      <c r="AP19" s="10">
        <f>ROUNDDOWN(MIN(IF(AK19=0,1000000000,AO19*'Parametros'!$B$11*'Parametros'!$B$4*MIN(U19,AB19)/(AK19*1000)),IF(AV19=0,1000000000,'Parametros'!$B$11/AV19),MIN(U19,AB19)/4,8*'Parametros'!$B$12,24*'Parametros'!$B$9,300)/10,0)*10</f>
        <v>80</v>
      </c>
      <c r="AQ19" s="10">
        <f>ROUNDDOWN(MIN(IF(AK19=0,1000000000,AO19*'Parametros'!$B$11*'Parametros'!$B$4*MIN(U19,AB19)/(AK19*1000)),IF(AV19=0,1000000000,'Parametros'!$B$11/AV19),MIN(U19,AB19)/2,600)/10,0)*10</f>
        <v>170</v>
      </c>
      <c r="AR19" s="10">
        <f>'Parametros'!$B$6*(AJ19+AO19*'Parametros'!$B$11*'Parametros'!$B$4*MIN(U19,AB19)/AP19/1000)</f>
        <v>260.860380287796</v>
      </c>
      <c r="AS19" s="10" t="str">
        <f>IF(AND(AM19="CUMPLE",AR19&gt;=AI19),"CUMPLE","NO CUMPLE")</f>
        <v>CUMPLE</v>
      </c>
      <c r="AT19" s="10">
        <f>'Parametros'!$B$6*0.083*SQRT('Parametros'!$B$2)*(H19*I19)^2/(2*(H19+I19))/1000000</f>
        <v>3.38807353605471</v>
      </c>
      <c r="AU19" s="10" t="str">
        <f>IF(Q19&lt;=AT19,"DESPRECIABLE","DISEÑAR")</f>
        <v>DESPRECIABLE</v>
      </c>
      <c r="AV19" s="10">
        <f>IF(Q19&lt;=AT19,0,Q19*1000000/('Parametros'!$B$6*2*0.85*(H19-2*'Parametros'!$B$7)*(I19-2*'Parametros'!$B$7)*'Parametros'!$B$4))</f>
        <v>0</v>
      </c>
      <c r="AW19" s="10">
        <f>AV19*2*((H19-2*'Parametros'!$B$7)+(I19-2*'Parametros'!$B$7))*'Parametros'!$B$4/'Parametros'!$B$3</f>
        <v>0</v>
      </c>
      <c r="AX19" s="17" t="n">
        <v>0</v>
      </c>
      <c r="AY19" s="10" t="str">
        <f>IF(AV19=0,"DESPRECIABLE",IF('Parametros'!$B$11/AP19&gt;=AV19,"CUMPLE","NO CUMPLE"))</f>
        <v>DESPRECIABLE</v>
      </c>
      <c r="AZ19" s="10" t="str">
        <f>IF(AND(X19="CUMPLE",AE19="CUMPLE",AS19="CUMPLE",OR(AY19="CUMPLE",AY19="DESPRECIABLE")),IF(OR(F19&lt;&gt;H19,G19&lt;&gt;I19),"CUMPLE - REANALIZAR SAP","CUMPLE"),"NO CUMPLE")</f>
        <v>CUMPLE</v>
      </c>
    </row>
    <row r="20">
      <c r="A20" s="14" t="inlineStr">
        <is>
          <t>VC1</t>
        </is>
      </c>
      <c r="B20" s="14" t="inlineStr">
        <is>
          <t>188</t>
        </is>
      </c>
      <c r="C20" s="10" t="n">
        <v>1</v>
      </c>
      <c r="D20" s="10" t="n">
        <v>3.75</v>
      </c>
      <c r="E20" s="10" t="n">
        <v>3.75</v>
      </c>
      <c r="F20" s="10" t="n">
        <v>300</v>
      </c>
      <c r="G20" s="10" t="n">
        <v>400</v>
      </c>
      <c r="H20" s="15" t="n">
        <v>300</v>
      </c>
      <c r="I20" s="15" t="n">
        <v>400</v>
      </c>
      <c r="J20" s="16" t="n">
        <v>13.6915</v>
      </c>
      <c r="K20" s="10" t="inlineStr">
        <is>
          <t>188</t>
        </is>
      </c>
      <c r="L20" s="16" t="n">
        <v>9.3047</v>
      </c>
      <c r="M20" s="10" t="inlineStr">
        <is>
          <t>188</t>
        </is>
      </c>
      <c r="N20" s="16" t="n">
        <v>12.494</v>
      </c>
      <c r="O20" s="16" t="n">
        <v>27.369</v>
      </c>
      <c r="P20" s="10" t="inlineStr">
        <is>
          <t>188</t>
        </is>
      </c>
      <c r="Q20" s="16" t="n">
        <v>2.2722</v>
      </c>
      <c r="R20" s="10">
        <f>MAX(MAX(1.4/'Parametros'!$B$3,0.25*SQRT('Parametros'!$B$2)/'Parametros'!$B$3)*H20*U20,(0.85*'Parametros'!$B$2/'Parametros'!$B$3)*(1-SQRT(1-2*(J20*1000000/('Parametros'!$B$5*H20*U20^2))/(0.85*'Parametros'!$B$2)))*H20*U20)</f>
        <v>342.55</v>
      </c>
      <c r="S20" s="17" t="n">
        <v>2</v>
      </c>
      <c r="T20" s="18" t="n">
        <v>1</v>
      </c>
      <c r="U20" s="10">
        <f>IF(T20=1,I20-('Parametros'!$B$7+'Parametros'!$B$9+'Parametros'!$B$12/2),I20-(ROUNDUP(S20/2,0)*('Parametros'!$B$7+'Parametros'!$B$9+'Parametros'!$B$12/2)+ROUNDDOWN(S20/2,0)*('Parametros'!$B$7+'Parametros'!$B$9+'Parametros'!$B$12/2+'Parametros'!$B$12+'Parametros'!$B$10))/S20)</f>
        <v>342.55</v>
      </c>
      <c r="V20" s="10">
        <f>S20*'Parametros'!$B$8</f>
        <v>398</v>
      </c>
      <c r="W20" s="10">
        <f>'Parametros'!$B$5*V20*'Parametros'!$B$3*(U20-(V20*'Parametros'!$B$3/(0.85*'Parametros'!$B$2*H20))/2)/1000000</f>
        <v>49.7735124352941</v>
      </c>
      <c r="X20" s="10" t="str">
        <f>IF(W20&gt;=J20,"CUMPLE","NO CUMPLE")</f>
        <v>CUMPLE</v>
      </c>
      <c r="Y20" s="10">
        <f>MAX(MAX(1.4/'Parametros'!$B$3,0.25*SQRT('Parametros'!$B$2)/'Parametros'!$B$3)*H20*AB20,(0.85*'Parametros'!$B$2/'Parametros'!$B$3)*(1-SQRT(1-2*(L20*1000000/('Parametros'!$B$5*H20*AB20^2))/(0.85*'Parametros'!$B$2)))*H20*AB20)</f>
        <v>342.55</v>
      </c>
      <c r="Z20" s="17" t="n">
        <v>2</v>
      </c>
      <c r="AA20" s="18" t="n">
        <v>1</v>
      </c>
      <c r="AB20" s="10">
        <f>IF(AA20=1,I20-('Parametros'!$B$7+'Parametros'!$B$9+'Parametros'!$B$12/2),I20-(ROUNDUP(Z20/2,0)*('Parametros'!$B$7+'Parametros'!$B$9+'Parametros'!$B$12/2)+ROUNDDOWN(Z20/2,0)*('Parametros'!$B$7+'Parametros'!$B$9+'Parametros'!$B$12/2+'Parametros'!$B$12+'Parametros'!$B$10))/Z20)</f>
        <v>342.55</v>
      </c>
      <c r="AC20" s="10">
        <f>Z20*'Parametros'!$B$8</f>
        <v>398</v>
      </c>
      <c r="AD20" s="10">
        <f>'Parametros'!$B$5*AC20*'Parametros'!$B$3*(AB20-(AC20*'Parametros'!$B$3/(0.85*'Parametros'!$B$2*H20))/2)/1000000</f>
        <v>49.7735124352941</v>
      </c>
      <c r="AE20" s="10" t="str">
        <f>IF(AD20&gt;=L20,"CUMPLE","NO CUMPLE")</f>
        <v>CUMPLE</v>
      </c>
      <c r="AF20" s="10">
        <f>V20*1.25*'Parametros'!$B$3*(U20-(V20*1.25*'Parametros'!$B$3/(0.85*'Parametros'!$B$2*H20))/2)/1000000</f>
        <v>68.5183923529412</v>
      </c>
      <c r="AG20" s="10">
        <f>AC20*1.25*'Parametros'!$B$3*(AB20-(AC20*1.25*'Parametros'!$B$3/(0.85*'Parametros'!$B$2*H20))/2)/1000000</f>
        <v>68.5183923529412</v>
      </c>
      <c r="AH20" s="10">
        <f>N20+(AF20+AG20)/D20</f>
        <v>49.0371425882353</v>
      </c>
      <c r="AI20" s="10">
        <f>MIN(O20,MAX(N20,AH20))</f>
        <v>27.369</v>
      </c>
      <c r="AJ20" s="10">
        <f>0.17*SQRT('Parametros'!$B$2)*H20*MIN(U20,AB20)/1000</f>
        <v>92.4428153837279</v>
      </c>
      <c r="AK20" s="10">
        <f>MAX(AI20/'Parametros'!$B$6-AJ20,0)</f>
        <v>0</v>
      </c>
      <c r="AL20" s="10">
        <f>0.66*SQRT('Parametros'!$B$2)*H20*MIN(U20,AB20)/1000</f>
        <v>358.89563619565</v>
      </c>
      <c r="AM20" s="10" t="str">
        <f>IF(AK20&lt;=AL20,"CUMPLE","NO CUMPLE")</f>
        <v>CUMPLE</v>
      </c>
      <c r="AN20" s="15" t="inlineStr">
        <is>
          <t>Nº3 cerrado</t>
        </is>
      </c>
      <c r="AO20" s="17" t="n">
        <v>2</v>
      </c>
      <c r="AP20" s="10">
        <f>ROUNDDOWN(MIN(IF(AK20=0,1000000000,AO20*'Parametros'!$B$11*'Parametros'!$B$4*MIN(U20,AB20)/(AK20*1000)),IF(AV20=0,1000000000,'Parametros'!$B$11/AV20),MIN(U20,AB20)/4,8*'Parametros'!$B$12,24*'Parametros'!$B$9,300)/10,0)*10</f>
        <v>80</v>
      </c>
      <c r="AQ20" s="10">
        <f>ROUNDDOWN(MIN(IF(AK20=0,1000000000,AO20*'Parametros'!$B$11*'Parametros'!$B$4*MIN(U20,AB20)/(AK20*1000)),IF(AV20=0,1000000000,'Parametros'!$B$11/AV20),MIN(U20,AB20)/2,600)/10,0)*10</f>
        <v>170</v>
      </c>
      <c r="AR20" s="10">
        <f>'Parametros'!$B$6*(AJ20+AO20*'Parametros'!$B$11*'Parametros'!$B$4*MIN(U20,AB20)/AP20/1000)</f>
        <v>260.860380287796</v>
      </c>
      <c r="AS20" s="10" t="str">
        <f>IF(AND(AM20="CUMPLE",AR20&gt;=AI20),"CUMPLE","NO CUMPLE")</f>
        <v>CUMPLE</v>
      </c>
      <c r="AT20" s="10">
        <f>'Parametros'!$B$6*0.083*SQRT('Parametros'!$B$2)*(H20*I20)^2/(2*(H20+I20))/1000000</f>
        <v>3.38807353605471</v>
      </c>
      <c r="AU20" s="10" t="str">
        <f>IF(Q20&lt;=AT20,"DESPRECIABLE","DISEÑAR")</f>
        <v>DESPRECIABLE</v>
      </c>
      <c r="AV20" s="10">
        <f>IF(Q20&lt;=AT20,0,Q20*1000000/('Parametros'!$B$6*2*0.85*(H20-2*'Parametros'!$B$7)*(I20-2*'Parametros'!$B$7)*'Parametros'!$B$4))</f>
        <v>0</v>
      </c>
      <c r="AW20" s="10">
        <f>AV20*2*((H20-2*'Parametros'!$B$7)+(I20-2*'Parametros'!$B$7))*'Parametros'!$B$4/'Parametros'!$B$3</f>
        <v>0</v>
      </c>
      <c r="AX20" s="17" t="n">
        <v>0</v>
      </c>
      <c r="AY20" s="10" t="str">
        <f>IF(AV20=0,"DESPRECIABLE",IF('Parametros'!$B$11/AP20&gt;=AV20,"CUMPLE","NO CUMPLE"))</f>
        <v>DESPRECIABLE</v>
      </c>
      <c r="AZ20" s="10" t="str">
        <f>IF(AND(X20="CUMPLE",AE20="CUMPLE",AS20="CUMPLE",OR(AY20="CUMPLE",AY20="DESPRECIABLE")),IF(OR(F20&lt;&gt;H20,G20&lt;&gt;I20),"CUMPLE - REANALIZAR SAP","CUMPLE"),"NO CUMPLE")</f>
        <v>CUMPLE</v>
      </c>
    </row>
    <row r="21">
      <c r="A21" s="14" t="inlineStr">
        <is>
          <t>VC1</t>
        </is>
      </c>
      <c r="B21" s="14" t="inlineStr">
        <is>
          <t>189</t>
        </is>
      </c>
      <c r="C21" s="10" t="n">
        <v>1</v>
      </c>
      <c r="D21" s="10" t="n">
        <v>3.75</v>
      </c>
      <c r="E21" s="10" t="n">
        <v>3.75</v>
      </c>
      <c r="F21" s="10" t="n">
        <v>300</v>
      </c>
      <c r="G21" s="10" t="n">
        <v>400</v>
      </c>
      <c r="H21" s="15" t="n">
        <v>300</v>
      </c>
      <c r="I21" s="15" t="n">
        <v>400</v>
      </c>
      <c r="J21" s="16" t="n">
        <v>13.6839</v>
      </c>
      <c r="K21" s="10" t="inlineStr">
        <is>
          <t>189</t>
        </is>
      </c>
      <c r="L21" s="16" t="n">
        <v>9.299799999999999</v>
      </c>
      <c r="M21" s="10" t="inlineStr">
        <is>
          <t>189</t>
        </is>
      </c>
      <c r="N21" s="16" t="n">
        <v>12.491</v>
      </c>
      <c r="O21" s="16" t="n">
        <v>27.366</v>
      </c>
      <c r="P21" s="10" t="inlineStr">
        <is>
          <t>189</t>
        </is>
      </c>
      <c r="Q21" s="16" t="n">
        <v>2.272</v>
      </c>
      <c r="R21" s="10">
        <f>MAX(MAX(1.4/'Parametros'!$B$3,0.25*SQRT('Parametros'!$B$2)/'Parametros'!$B$3)*H21*U21,(0.85*'Parametros'!$B$2/'Parametros'!$B$3)*(1-SQRT(1-2*(J21*1000000/('Parametros'!$B$5*H21*U21^2))/(0.85*'Parametros'!$B$2)))*H21*U21)</f>
        <v>342.55</v>
      </c>
      <c r="S21" s="17" t="n">
        <v>2</v>
      </c>
      <c r="T21" s="18" t="n">
        <v>1</v>
      </c>
      <c r="U21" s="10">
        <f>IF(T21=1,I21-('Parametros'!$B$7+'Parametros'!$B$9+'Parametros'!$B$12/2),I21-(ROUNDUP(S21/2,0)*('Parametros'!$B$7+'Parametros'!$B$9+'Parametros'!$B$12/2)+ROUNDDOWN(S21/2,0)*('Parametros'!$B$7+'Parametros'!$B$9+'Parametros'!$B$12/2+'Parametros'!$B$12+'Parametros'!$B$10))/S21)</f>
        <v>342.55</v>
      </c>
      <c r="V21" s="10">
        <f>S21*'Parametros'!$B$8</f>
        <v>398</v>
      </c>
      <c r="W21" s="10">
        <f>'Parametros'!$B$5*V21*'Parametros'!$B$3*(U21-(V21*'Parametros'!$B$3/(0.85*'Parametros'!$B$2*H21))/2)/1000000</f>
        <v>49.7735124352941</v>
      </c>
      <c r="X21" s="10" t="str">
        <f>IF(W21&gt;=J21,"CUMPLE","NO CUMPLE")</f>
        <v>CUMPLE</v>
      </c>
      <c r="Y21" s="10">
        <f>MAX(MAX(1.4/'Parametros'!$B$3,0.25*SQRT('Parametros'!$B$2)/'Parametros'!$B$3)*H21*AB21,(0.85*'Parametros'!$B$2/'Parametros'!$B$3)*(1-SQRT(1-2*(L21*1000000/('Parametros'!$B$5*H21*AB21^2))/(0.85*'Parametros'!$B$2)))*H21*AB21)</f>
        <v>342.55</v>
      </c>
      <c r="Z21" s="17" t="n">
        <v>2</v>
      </c>
      <c r="AA21" s="18" t="n">
        <v>1</v>
      </c>
      <c r="AB21" s="10">
        <f>IF(AA21=1,I21-('Parametros'!$B$7+'Parametros'!$B$9+'Parametros'!$B$12/2),I21-(ROUNDUP(Z21/2,0)*('Parametros'!$B$7+'Parametros'!$B$9+'Parametros'!$B$12/2)+ROUNDDOWN(Z21/2,0)*('Parametros'!$B$7+'Parametros'!$B$9+'Parametros'!$B$12/2+'Parametros'!$B$12+'Parametros'!$B$10))/Z21)</f>
        <v>342.55</v>
      </c>
      <c r="AC21" s="10">
        <f>Z21*'Parametros'!$B$8</f>
        <v>398</v>
      </c>
      <c r="AD21" s="10">
        <f>'Parametros'!$B$5*AC21*'Parametros'!$B$3*(AB21-(AC21*'Parametros'!$B$3/(0.85*'Parametros'!$B$2*H21))/2)/1000000</f>
        <v>49.7735124352941</v>
      </c>
      <c r="AE21" s="10" t="str">
        <f>IF(AD21&gt;=L21,"CUMPLE","NO CUMPLE")</f>
        <v>CUMPLE</v>
      </c>
      <c r="AF21" s="10">
        <f>V21*1.25*'Parametros'!$B$3*(U21-(V21*1.25*'Parametros'!$B$3/(0.85*'Parametros'!$B$2*H21))/2)/1000000</f>
        <v>68.5183923529412</v>
      </c>
      <c r="AG21" s="10">
        <f>AC21*1.25*'Parametros'!$B$3*(AB21-(AC21*1.25*'Parametros'!$B$3/(0.85*'Parametros'!$B$2*H21))/2)/1000000</f>
        <v>68.5183923529412</v>
      </c>
      <c r="AH21" s="10">
        <f>N21+(AF21+AG21)/D21</f>
        <v>49.0341425882353</v>
      </c>
      <c r="AI21" s="10">
        <f>MIN(O21,MAX(N21,AH21))</f>
        <v>27.366</v>
      </c>
      <c r="AJ21" s="10">
        <f>0.17*SQRT('Parametros'!$B$2)*H21*MIN(U21,AB21)/1000</f>
        <v>92.4428153837279</v>
      </c>
      <c r="AK21" s="10">
        <f>MAX(AI21/'Parametros'!$B$6-AJ21,0)</f>
        <v>0</v>
      </c>
      <c r="AL21" s="10">
        <f>0.66*SQRT('Parametros'!$B$2)*H21*MIN(U21,AB21)/1000</f>
        <v>358.89563619565</v>
      </c>
      <c r="AM21" s="10" t="str">
        <f>IF(AK21&lt;=AL21,"CUMPLE","NO CUMPLE")</f>
        <v>CUMPLE</v>
      </c>
      <c r="AN21" s="15" t="inlineStr">
        <is>
          <t>Nº3 cerrado</t>
        </is>
      </c>
      <c r="AO21" s="17" t="n">
        <v>2</v>
      </c>
      <c r="AP21" s="10">
        <f>ROUNDDOWN(MIN(IF(AK21=0,1000000000,AO21*'Parametros'!$B$11*'Parametros'!$B$4*MIN(U21,AB21)/(AK21*1000)),IF(AV21=0,1000000000,'Parametros'!$B$11/AV21),MIN(U21,AB21)/4,8*'Parametros'!$B$12,24*'Parametros'!$B$9,300)/10,0)*10</f>
        <v>80</v>
      </c>
      <c r="AQ21" s="10">
        <f>ROUNDDOWN(MIN(IF(AK21=0,1000000000,AO21*'Parametros'!$B$11*'Parametros'!$B$4*MIN(U21,AB21)/(AK21*1000)),IF(AV21=0,1000000000,'Parametros'!$B$11/AV21),MIN(U21,AB21)/2,600)/10,0)*10</f>
        <v>170</v>
      </c>
      <c r="AR21" s="10">
        <f>'Parametros'!$B$6*(AJ21+AO21*'Parametros'!$B$11*'Parametros'!$B$4*MIN(U21,AB21)/AP21/1000)</f>
        <v>260.860380287796</v>
      </c>
      <c r="AS21" s="10" t="str">
        <f>IF(AND(AM21="CUMPLE",AR21&gt;=AI21),"CUMPLE","NO CUMPLE")</f>
        <v>CUMPLE</v>
      </c>
      <c r="AT21" s="10">
        <f>'Parametros'!$B$6*0.083*SQRT('Parametros'!$B$2)*(H21*I21)^2/(2*(H21+I21))/1000000</f>
        <v>3.38807353605471</v>
      </c>
      <c r="AU21" s="10" t="str">
        <f>IF(Q21&lt;=AT21,"DESPRECIABLE","DISEÑAR")</f>
        <v>DESPRECIABLE</v>
      </c>
      <c r="AV21" s="10">
        <f>IF(Q21&lt;=AT21,0,Q21*1000000/('Parametros'!$B$6*2*0.85*(H21-2*'Parametros'!$B$7)*(I21-2*'Parametros'!$B$7)*'Parametros'!$B$4))</f>
        <v>0</v>
      </c>
      <c r="AW21" s="10">
        <f>AV21*2*((H21-2*'Parametros'!$B$7)+(I21-2*'Parametros'!$B$7))*'Parametros'!$B$4/'Parametros'!$B$3</f>
        <v>0</v>
      </c>
      <c r="AX21" s="17" t="n">
        <v>0</v>
      </c>
      <c r="AY21" s="10" t="str">
        <f>IF(AV21=0,"DESPRECIABLE",IF('Parametros'!$B$11/AP21&gt;=AV21,"CUMPLE","NO CUMPLE"))</f>
        <v>DESPRECIABLE</v>
      </c>
      <c r="AZ21" s="10" t="str">
        <f>IF(AND(X21="CUMPLE",AE21="CUMPLE",AS21="CUMPLE",OR(AY21="CUMPLE",AY21="DESPRECIABLE")),IF(OR(F21&lt;&gt;H21,G21&lt;&gt;I21),"CUMPLE - REANALIZAR SAP","CUMPLE"),"NO CUMPLE")</f>
        <v>CUMPLE</v>
      </c>
    </row>
    <row r="22">
      <c r="A22" s="14" t="inlineStr">
        <is>
          <t>VC1</t>
        </is>
      </c>
      <c r="B22" s="14" t="inlineStr">
        <is>
          <t>193</t>
        </is>
      </c>
      <c r="C22" s="10" t="n">
        <v>1</v>
      </c>
      <c r="D22" s="10" t="n">
        <v>3.75</v>
      </c>
      <c r="E22" s="10" t="n">
        <v>3.75</v>
      </c>
      <c r="F22" s="10" t="n">
        <v>300</v>
      </c>
      <c r="G22" s="10" t="n">
        <v>400</v>
      </c>
      <c r="H22" s="15" t="n">
        <v>300</v>
      </c>
      <c r="I22" s="15" t="n">
        <v>400</v>
      </c>
      <c r="J22" s="16" t="n">
        <v>9.1623</v>
      </c>
      <c r="K22" s="10" t="inlineStr">
        <is>
          <t>193</t>
        </is>
      </c>
      <c r="L22" s="16" t="n">
        <v>7.0912</v>
      </c>
      <c r="M22" s="10" t="inlineStr">
        <is>
          <t>193</t>
        </is>
      </c>
      <c r="N22" s="16" t="n">
        <v>10.52</v>
      </c>
      <c r="O22" s="16" t="n">
        <v>18.21</v>
      </c>
      <c r="P22" s="10" t="inlineStr">
        <is>
          <t>193</t>
        </is>
      </c>
      <c r="Q22" s="16" t="n">
        <v>1.9218</v>
      </c>
      <c r="R22" s="10">
        <f>MAX(MAX(1.4/'Parametros'!$B$3,0.25*SQRT('Parametros'!$B$2)/'Parametros'!$B$3)*H22*U22,(0.85*'Parametros'!$B$2/'Parametros'!$B$3)*(1-SQRT(1-2*(J22*1000000/('Parametros'!$B$5*H22*U22^2))/(0.85*'Parametros'!$B$2)))*H22*U22)</f>
        <v>342.55</v>
      </c>
      <c r="S22" s="17" t="n">
        <v>2</v>
      </c>
      <c r="T22" s="18" t="n">
        <v>1</v>
      </c>
      <c r="U22" s="10">
        <f>IF(T22=1,I22-('Parametros'!$B$7+'Parametros'!$B$9+'Parametros'!$B$12/2),I22-(ROUNDUP(S22/2,0)*('Parametros'!$B$7+'Parametros'!$B$9+'Parametros'!$B$12/2)+ROUNDDOWN(S22/2,0)*('Parametros'!$B$7+'Parametros'!$B$9+'Parametros'!$B$12/2+'Parametros'!$B$12+'Parametros'!$B$10))/S22)</f>
        <v>342.55</v>
      </c>
      <c r="V22" s="10">
        <f>S22*'Parametros'!$B$8</f>
        <v>398</v>
      </c>
      <c r="W22" s="10">
        <f>'Parametros'!$B$5*V22*'Parametros'!$B$3*(U22-(V22*'Parametros'!$B$3/(0.85*'Parametros'!$B$2*H22))/2)/1000000</f>
        <v>49.7735124352941</v>
      </c>
      <c r="X22" s="10" t="str">
        <f>IF(W22&gt;=J22,"CUMPLE","NO CUMPLE")</f>
        <v>CUMPLE</v>
      </c>
      <c r="Y22" s="10">
        <f>MAX(MAX(1.4/'Parametros'!$B$3,0.25*SQRT('Parametros'!$B$2)/'Parametros'!$B$3)*H22*AB22,(0.85*'Parametros'!$B$2/'Parametros'!$B$3)*(1-SQRT(1-2*(L22*1000000/('Parametros'!$B$5*H22*AB22^2))/(0.85*'Parametros'!$B$2)))*H22*AB22)</f>
        <v>342.55</v>
      </c>
      <c r="Z22" s="17" t="n">
        <v>2</v>
      </c>
      <c r="AA22" s="18" t="n">
        <v>1</v>
      </c>
      <c r="AB22" s="10">
        <f>IF(AA22=1,I22-('Parametros'!$B$7+'Parametros'!$B$9+'Parametros'!$B$12/2),I22-(ROUNDUP(Z22/2,0)*('Parametros'!$B$7+'Parametros'!$B$9+'Parametros'!$B$12/2)+ROUNDDOWN(Z22/2,0)*('Parametros'!$B$7+'Parametros'!$B$9+'Parametros'!$B$12/2+'Parametros'!$B$12+'Parametros'!$B$10))/Z22)</f>
        <v>342.55</v>
      </c>
      <c r="AC22" s="10">
        <f>Z22*'Parametros'!$B$8</f>
        <v>398</v>
      </c>
      <c r="AD22" s="10">
        <f>'Parametros'!$B$5*AC22*'Parametros'!$B$3*(AB22-(AC22*'Parametros'!$B$3/(0.85*'Parametros'!$B$2*H22))/2)/1000000</f>
        <v>49.7735124352941</v>
      </c>
      <c r="AE22" s="10" t="str">
        <f>IF(AD22&gt;=L22,"CUMPLE","NO CUMPLE")</f>
        <v>CUMPLE</v>
      </c>
      <c r="AF22" s="10">
        <f>V22*1.25*'Parametros'!$B$3*(U22-(V22*1.25*'Parametros'!$B$3/(0.85*'Parametros'!$B$2*H22))/2)/1000000</f>
        <v>68.5183923529412</v>
      </c>
      <c r="AG22" s="10">
        <f>AC22*1.25*'Parametros'!$B$3*(AB22-(AC22*1.25*'Parametros'!$B$3/(0.85*'Parametros'!$B$2*H22))/2)/1000000</f>
        <v>68.5183923529412</v>
      </c>
      <c r="AH22" s="10">
        <f>N22+(AF22+AG22)/D22</f>
        <v>47.0631425882353</v>
      </c>
      <c r="AI22" s="10">
        <f>MIN(O22,MAX(N22,AH22))</f>
        <v>18.21</v>
      </c>
      <c r="AJ22" s="10">
        <f>0.17*SQRT('Parametros'!$B$2)*H22*MIN(U22,AB22)/1000</f>
        <v>92.4428153837279</v>
      </c>
      <c r="AK22" s="10">
        <f>MAX(AI22/'Parametros'!$B$6-AJ22,0)</f>
        <v>0</v>
      </c>
      <c r="AL22" s="10">
        <f>0.66*SQRT('Parametros'!$B$2)*H22*MIN(U22,AB22)/1000</f>
        <v>358.89563619565</v>
      </c>
      <c r="AM22" s="10" t="str">
        <f>IF(AK22&lt;=AL22,"CUMPLE","NO CUMPLE")</f>
        <v>CUMPLE</v>
      </c>
      <c r="AN22" s="15" t="inlineStr">
        <is>
          <t>Nº3 cerrado</t>
        </is>
      </c>
      <c r="AO22" s="17" t="n">
        <v>2</v>
      </c>
      <c r="AP22" s="10">
        <f>ROUNDDOWN(MIN(IF(AK22=0,1000000000,AO22*'Parametros'!$B$11*'Parametros'!$B$4*MIN(U22,AB22)/(AK22*1000)),IF(AV22=0,1000000000,'Parametros'!$B$11/AV22),MIN(U22,AB22)/4,8*'Parametros'!$B$12,24*'Parametros'!$B$9,300)/10,0)*10</f>
        <v>80</v>
      </c>
      <c r="AQ22" s="10">
        <f>ROUNDDOWN(MIN(IF(AK22=0,1000000000,AO22*'Parametros'!$B$11*'Parametros'!$B$4*MIN(U22,AB22)/(AK22*1000)),IF(AV22=0,1000000000,'Parametros'!$B$11/AV22),MIN(U22,AB22)/2,600)/10,0)*10</f>
        <v>170</v>
      </c>
      <c r="AR22" s="10">
        <f>'Parametros'!$B$6*(AJ22+AO22*'Parametros'!$B$11*'Parametros'!$B$4*MIN(U22,AB22)/AP22/1000)</f>
        <v>260.860380287796</v>
      </c>
      <c r="AS22" s="10" t="str">
        <f>IF(AND(AM22="CUMPLE",AR22&gt;=AI22),"CUMPLE","NO CUMPLE")</f>
        <v>CUMPLE</v>
      </c>
      <c r="AT22" s="10">
        <f>'Parametros'!$B$6*0.083*SQRT('Parametros'!$B$2)*(H22*I22)^2/(2*(H22+I22))/1000000</f>
        <v>3.38807353605471</v>
      </c>
      <c r="AU22" s="10" t="str">
        <f>IF(Q22&lt;=AT22,"DESPRECIABLE","DISEÑAR")</f>
        <v>DESPRECIABLE</v>
      </c>
      <c r="AV22" s="10">
        <f>IF(Q22&lt;=AT22,0,Q22*1000000/('Parametros'!$B$6*2*0.85*(H22-2*'Parametros'!$B$7)*(I22-2*'Parametros'!$B$7)*'Parametros'!$B$4))</f>
        <v>0</v>
      </c>
      <c r="AW22" s="10">
        <f>AV22*2*((H22-2*'Parametros'!$B$7)+(I22-2*'Parametros'!$B$7))*'Parametros'!$B$4/'Parametros'!$B$3</f>
        <v>0</v>
      </c>
      <c r="AX22" s="17" t="n">
        <v>0</v>
      </c>
      <c r="AY22" s="10" t="str">
        <f>IF(AV22=0,"DESPRECIABLE",IF('Parametros'!$B$11/AP22&gt;=AV22,"CUMPLE","NO CUMPLE"))</f>
        <v>DESPRECIABLE</v>
      </c>
      <c r="AZ22" s="10" t="str">
        <f>IF(AND(X22="CUMPLE",AE22="CUMPLE",AS22="CUMPLE",OR(AY22="CUMPLE",AY22="DESPRECIABLE")),IF(OR(F22&lt;&gt;H22,G22&lt;&gt;I22),"CUMPLE - REANALIZAR SAP","CUMPLE"),"NO CUMPLE")</f>
        <v>CUMPLE</v>
      </c>
    </row>
    <row r="23">
      <c r="A23" s="14" t="inlineStr">
        <is>
          <t>VC1</t>
        </is>
      </c>
      <c r="B23" s="14" t="inlineStr">
        <is>
          <t>194</t>
        </is>
      </c>
      <c r="C23" s="10" t="n">
        <v>1</v>
      </c>
      <c r="D23" s="10" t="n">
        <v>3.75</v>
      </c>
      <c r="E23" s="10" t="n">
        <v>3.75</v>
      </c>
      <c r="F23" s="10" t="n">
        <v>300</v>
      </c>
      <c r="G23" s="10" t="n">
        <v>400</v>
      </c>
      <c r="H23" s="15" t="n">
        <v>300</v>
      </c>
      <c r="I23" s="15" t="n">
        <v>400</v>
      </c>
      <c r="J23" s="16" t="n">
        <v>9.156700000000001</v>
      </c>
      <c r="K23" s="10" t="inlineStr">
        <is>
          <t>194</t>
        </is>
      </c>
      <c r="L23" s="16" t="n">
        <v>7.0886</v>
      </c>
      <c r="M23" s="10" t="inlineStr">
        <is>
          <t>194</t>
        </is>
      </c>
      <c r="N23" s="16" t="n">
        <v>10.518</v>
      </c>
      <c r="O23" s="16" t="n">
        <v>18.207</v>
      </c>
      <c r="P23" s="10" t="inlineStr">
        <is>
          <t>194</t>
        </is>
      </c>
      <c r="Q23" s="16" t="n">
        <v>1.9215</v>
      </c>
      <c r="R23" s="10">
        <f>MAX(MAX(1.4/'Parametros'!$B$3,0.25*SQRT('Parametros'!$B$2)/'Parametros'!$B$3)*H23*U23,(0.85*'Parametros'!$B$2/'Parametros'!$B$3)*(1-SQRT(1-2*(J23*1000000/('Parametros'!$B$5*H23*U23^2))/(0.85*'Parametros'!$B$2)))*H23*U23)</f>
        <v>342.55</v>
      </c>
      <c r="S23" s="17" t="n">
        <v>2</v>
      </c>
      <c r="T23" s="18" t="n">
        <v>1</v>
      </c>
      <c r="U23" s="10">
        <f>IF(T23=1,I23-('Parametros'!$B$7+'Parametros'!$B$9+'Parametros'!$B$12/2),I23-(ROUNDUP(S23/2,0)*('Parametros'!$B$7+'Parametros'!$B$9+'Parametros'!$B$12/2)+ROUNDDOWN(S23/2,0)*('Parametros'!$B$7+'Parametros'!$B$9+'Parametros'!$B$12/2+'Parametros'!$B$12+'Parametros'!$B$10))/S23)</f>
        <v>342.55</v>
      </c>
      <c r="V23" s="10">
        <f>S23*'Parametros'!$B$8</f>
        <v>398</v>
      </c>
      <c r="W23" s="10">
        <f>'Parametros'!$B$5*V23*'Parametros'!$B$3*(U23-(V23*'Parametros'!$B$3/(0.85*'Parametros'!$B$2*H23))/2)/1000000</f>
        <v>49.7735124352941</v>
      </c>
      <c r="X23" s="10" t="str">
        <f>IF(W23&gt;=J23,"CUMPLE","NO CUMPLE")</f>
        <v>CUMPLE</v>
      </c>
      <c r="Y23" s="10">
        <f>MAX(MAX(1.4/'Parametros'!$B$3,0.25*SQRT('Parametros'!$B$2)/'Parametros'!$B$3)*H23*AB23,(0.85*'Parametros'!$B$2/'Parametros'!$B$3)*(1-SQRT(1-2*(L23*1000000/('Parametros'!$B$5*H23*AB23^2))/(0.85*'Parametros'!$B$2)))*H23*AB23)</f>
        <v>342.55</v>
      </c>
      <c r="Z23" s="17" t="n">
        <v>2</v>
      </c>
      <c r="AA23" s="18" t="n">
        <v>1</v>
      </c>
      <c r="AB23" s="10">
        <f>IF(AA23=1,I23-('Parametros'!$B$7+'Parametros'!$B$9+'Parametros'!$B$12/2),I23-(ROUNDUP(Z23/2,0)*('Parametros'!$B$7+'Parametros'!$B$9+'Parametros'!$B$12/2)+ROUNDDOWN(Z23/2,0)*('Parametros'!$B$7+'Parametros'!$B$9+'Parametros'!$B$12/2+'Parametros'!$B$12+'Parametros'!$B$10))/Z23)</f>
        <v>342.55</v>
      </c>
      <c r="AC23" s="10">
        <f>Z23*'Parametros'!$B$8</f>
        <v>398</v>
      </c>
      <c r="AD23" s="10">
        <f>'Parametros'!$B$5*AC23*'Parametros'!$B$3*(AB23-(AC23*'Parametros'!$B$3/(0.85*'Parametros'!$B$2*H23))/2)/1000000</f>
        <v>49.7735124352941</v>
      </c>
      <c r="AE23" s="10" t="str">
        <f>IF(AD23&gt;=L23,"CUMPLE","NO CUMPLE")</f>
        <v>CUMPLE</v>
      </c>
      <c r="AF23" s="10">
        <f>V23*1.25*'Parametros'!$B$3*(U23-(V23*1.25*'Parametros'!$B$3/(0.85*'Parametros'!$B$2*H23))/2)/1000000</f>
        <v>68.5183923529412</v>
      </c>
      <c r="AG23" s="10">
        <f>AC23*1.25*'Parametros'!$B$3*(AB23-(AC23*1.25*'Parametros'!$B$3/(0.85*'Parametros'!$B$2*H23))/2)/1000000</f>
        <v>68.5183923529412</v>
      </c>
      <c r="AH23" s="10">
        <f>N23+(AF23+AG23)/D23</f>
        <v>47.0611425882353</v>
      </c>
      <c r="AI23" s="10">
        <f>MIN(O23,MAX(N23,AH23))</f>
        <v>18.207</v>
      </c>
      <c r="AJ23" s="10">
        <f>0.17*SQRT('Parametros'!$B$2)*H23*MIN(U23,AB23)/1000</f>
        <v>92.4428153837279</v>
      </c>
      <c r="AK23" s="10">
        <f>MAX(AI23/'Parametros'!$B$6-AJ23,0)</f>
        <v>0</v>
      </c>
      <c r="AL23" s="10">
        <f>0.66*SQRT('Parametros'!$B$2)*H23*MIN(U23,AB23)/1000</f>
        <v>358.89563619565</v>
      </c>
      <c r="AM23" s="10" t="str">
        <f>IF(AK23&lt;=AL23,"CUMPLE","NO CUMPLE")</f>
        <v>CUMPLE</v>
      </c>
      <c r="AN23" s="15" t="inlineStr">
        <is>
          <t>Nº3 cerrado</t>
        </is>
      </c>
      <c r="AO23" s="17" t="n">
        <v>2</v>
      </c>
      <c r="AP23" s="10">
        <f>ROUNDDOWN(MIN(IF(AK23=0,1000000000,AO23*'Parametros'!$B$11*'Parametros'!$B$4*MIN(U23,AB23)/(AK23*1000)),IF(AV23=0,1000000000,'Parametros'!$B$11/AV23),MIN(U23,AB23)/4,8*'Parametros'!$B$12,24*'Parametros'!$B$9,300)/10,0)*10</f>
        <v>80</v>
      </c>
      <c r="AQ23" s="10">
        <f>ROUNDDOWN(MIN(IF(AK23=0,1000000000,AO23*'Parametros'!$B$11*'Parametros'!$B$4*MIN(U23,AB23)/(AK23*1000)),IF(AV23=0,1000000000,'Parametros'!$B$11/AV23),MIN(U23,AB23)/2,600)/10,0)*10</f>
        <v>170</v>
      </c>
      <c r="AR23" s="10">
        <f>'Parametros'!$B$6*(AJ23+AO23*'Parametros'!$B$11*'Parametros'!$B$4*MIN(U23,AB23)/AP23/1000)</f>
        <v>260.860380287796</v>
      </c>
      <c r="AS23" s="10" t="str">
        <f>IF(AND(AM23="CUMPLE",AR23&gt;=AI23),"CUMPLE","NO CUMPLE")</f>
        <v>CUMPLE</v>
      </c>
      <c r="AT23" s="10">
        <f>'Parametros'!$B$6*0.083*SQRT('Parametros'!$B$2)*(H23*I23)^2/(2*(H23+I23))/1000000</f>
        <v>3.38807353605471</v>
      </c>
      <c r="AU23" s="10" t="str">
        <f>IF(Q23&lt;=AT23,"DESPRECIABLE","DISEÑAR")</f>
        <v>DESPRECIABLE</v>
      </c>
      <c r="AV23" s="10">
        <f>IF(Q23&lt;=AT23,0,Q23*1000000/('Parametros'!$B$6*2*0.85*(H23-2*'Parametros'!$B$7)*(I23-2*'Parametros'!$B$7)*'Parametros'!$B$4))</f>
        <v>0</v>
      </c>
      <c r="AW23" s="10">
        <f>AV23*2*((H23-2*'Parametros'!$B$7)+(I23-2*'Parametros'!$B$7))*'Parametros'!$B$4/'Parametros'!$B$3</f>
        <v>0</v>
      </c>
      <c r="AX23" s="17" t="n">
        <v>0</v>
      </c>
      <c r="AY23" s="10" t="str">
        <f>IF(AV23=0,"DESPRECIABLE",IF('Parametros'!$B$11/AP23&gt;=AV23,"CUMPLE","NO CUMPLE"))</f>
        <v>DESPRECIABLE</v>
      </c>
      <c r="AZ23" s="10" t="str">
        <f>IF(AND(X23="CUMPLE",AE23="CUMPLE",AS23="CUMPLE",OR(AY23="CUMPLE",AY23="DESPRECIABLE")),IF(OR(F23&lt;&gt;H23,G23&lt;&gt;I23),"CUMPLE - REANALIZAR SAP","CUMPLE"),"NO CUMPLE")</f>
        <v>CUMPLE</v>
      </c>
    </row>
    <row r="24">
      <c r="A24" s="19" t="inlineStr">
        <is>
          <t>VC2</t>
        </is>
      </c>
      <c r="B24" s="19" t="inlineStr">
        <is>
          <t>55</t>
        </is>
      </c>
      <c r="C24" s="10" t="n">
        <v>1</v>
      </c>
      <c r="D24" s="10" t="n">
        <v>4</v>
      </c>
      <c r="E24" s="10" t="n">
        <v>4</v>
      </c>
      <c r="F24" s="10" t="n">
        <v>300</v>
      </c>
      <c r="G24" s="10" t="n">
        <v>400</v>
      </c>
      <c r="H24" s="15" t="n">
        <v>300</v>
      </c>
      <c r="I24" s="15" t="n">
        <v>400</v>
      </c>
      <c r="J24" s="16" t="n">
        <v>66.8205</v>
      </c>
      <c r="K24" s="10" t="inlineStr">
        <is>
          <t>55</t>
        </is>
      </c>
      <c r="L24" s="16" t="n">
        <v>58.8992</v>
      </c>
      <c r="M24" s="10" t="inlineStr">
        <is>
          <t>55</t>
        </is>
      </c>
      <c r="N24" s="16" t="n">
        <v>36.93</v>
      </c>
      <c r="O24" s="16" t="n">
        <v>156.85</v>
      </c>
      <c r="P24" s="10" t="inlineStr">
        <is>
          <t>55</t>
        </is>
      </c>
      <c r="Q24" s="16" t="n">
        <v>4.4653</v>
      </c>
      <c r="R24" s="10">
        <f>MAX(MAX(1.4/'Parametros'!$B$3,0.25*SQRT('Parametros'!$B$2)/'Parametros'!$B$3)*H24*U24,(0.85*'Parametros'!$B$2/'Parametros'!$B$3)*(1-SQRT(1-2*(J24*1000000/('Parametros'!$B$5*H24*U24^2))/(0.85*'Parametros'!$B$2)))*H24*U24)</f>
        <v>541.201223347597</v>
      </c>
      <c r="S24" s="17" t="n">
        <v>3</v>
      </c>
      <c r="T24" s="18" t="n">
        <v>1</v>
      </c>
      <c r="U24" s="10">
        <f>IF(T24=1,I24-('Parametros'!$B$7+'Parametros'!$B$9+'Parametros'!$B$12/2),I24-(ROUNDUP(S24/2,0)*('Parametros'!$B$7+'Parametros'!$B$9+'Parametros'!$B$12/2)+ROUNDDOWN(S24/2,0)*('Parametros'!$B$7+'Parametros'!$B$9+'Parametros'!$B$12/2+'Parametros'!$B$12+'Parametros'!$B$10))/S24)</f>
        <v>342.55</v>
      </c>
      <c r="V24" s="10">
        <f>S24*'Parametros'!$B$8</f>
        <v>597</v>
      </c>
      <c r="W24" s="10">
        <f>'Parametros'!$B$5*V24*'Parametros'!$B$3*(U24-(V24*'Parametros'!$B$3/(0.85*'Parametros'!$B$2*H24))/2)/1000000</f>
        <v>73.3394588294118</v>
      </c>
      <c r="X24" s="10" t="str">
        <f>IF(W24&gt;=J24,"CUMPLE","NO CUMPLE")</f>
        <v>CUMPLE</v>
      </c>
      <c r="Y24" s="10">
        <f>MAX(MAX(1.4/'Parametros'!$B$3,0.25*SQRT('Parametros'!$B$2)/'Parametros'!$B$3)*H24*AB24,(0.85*'Parametros'!$B$2/'Parametros'!$B$3)*(1-SQRT(1-2*(L24*1000000/('Parametros'!$B$5*H24*AB24^2))/(0.85*'Parametros'!$B$2)))*H24*AB24)</f>
        <v>474.182440249384</v>
      </c>
      <c r="Z24" s="17" t="n">
        <v>3</v>
      </c>
      <c r="AA24" s="18" t="n">
        <v>1</v>
      </c>
      <c r="AB24" s="10">
        <f>IF(AA24=1,I24-('Parametros'!$B$7+'Parametros'!$B$9+'Parametros'!$B$12/2),I24-(ROUNDUP(Z24/2,0)*('Parametros'!$B$7+'Parametros'!$B$9+'Parametros'!$B$12/2)+ROUNDDOWN(Z24/2,0)*('Parametros'!$B$7+'Parametros'!$B$9+'Parametros'!$B$12/2+'Parametros'!$B$12+'Parametros'!$B$10))/Z24)</f>
        <v>342.55</v>
      </c>
      <c r="AC24" s="10">
        <f>Z24*'Parametros'!$B$8</f>
        <v>597</v>
      </c>
      <c r="AD24" s="10">
        <f>'Parametros'!$B$5*AC24*'Parametros'!$B$3*(AB24-(AC24*'Parametros'!$B$3/(0.85*'Parametros'!$B$2*H24))/2)/1000000</f>
        <v>73.3394588294118</v>
      </c>
      <c r="AE24" s="10" t="str">
        <f>IF(AD24&gt;=L24,"CUMPLE","NO CUMPLE")</f>
        <v>CUMPLE</v>
      </c>
      <c r="AF24" s="10">
        <f>V24*1.25*'Parametros'!$B$3*(U24-(V24*1.25*'Parametros'!$B$3/(0.85*'Parametros'!$B$2*H24))/2)/1000000</f>
        <v>100.484515919118</v>
      </c>
      <c r="AG24" s="10">
        <f>AC24*1.25*'Parametros'!$B$3*(AB24-(AC24*1.25*'Parametros'!$B$3/(0.85*'Parametros'!$B$2*H24))/2)/1000000</f>
        <v>100.484515919118</v>
      </c>
      <c r="AH24" s="10">
        <f>N24+(AF24+AG24)/D24</f>
        <v>87.1722579595588</v>
      </c>
      <c r="AI24" s="10">
        <f>MIN(O24,MAX(N24,AH24))</f>
        <v>87.1722579595588</v>
      </c>
      <c r="AJ24" s="10">
        <f>0.17*SQRT('Parametros'!$B$2)*H24*MIN(U24,AB24)/1000</f>
        <v>92.4428153837279</v>
      </c>
      <c r="AK24" s="10">
        <f>MAX(AI24/'Parametros'!$B$6-AJ24,0)</f>
        <v>23.7868618956839</v>
      </c>
      <c r="AL24" s="10">
        <f>0.66*SQRT('Parametros'!$B$2)*H24*MIN(U24,AB24)/1000</f>
        <v>358.89563619565</v>
      </c>
      <c r="AM24" s="10" t="str">
        <f>IF(AK24&lt;=AL24,"CUMPLE","NO CUMPLE")</f>
        <v>CUMPLE</v>
      </c>
      <c r="AN24" s="15" t="inlineStr">
        <is>
          <t>Nº3 cerrado</t>
        </is>
      </c>
      <c r="AO24" s="17" t="n">
        <v>2</v>
      </c>
      <c r="AP24" s="10">
        <f>ROUNDDOWN(MIN(IF(AK24=0,1000000000,AO24*'Parametros'!$B$11*'Parametros'!$B$4*MIN(U24,AB24)/(AK24*1000)),IF(AV24=0,1000000000,'Parametros'!$B$11/AV24),MIN(U24,AB24)/4,8*'Parametros'!$B$12,24*'Parametros'!$B$9,300)/10,0)*10</f>
        <v>80</v>
      </c>
      <c r="AQ24" s="10">
        <f>ROUNDDOWN(MIN(IF(AK24=0,1000000000,AO24*'Parametros'!$B$11*'Parametros'!$B$4*MIN(U24,AB24)/(AK24*1000)),IF(AV24=0,1000000000,'Parametros'!$B$11/AV24),MIN(U24,AB24)/2,600)/10,0)*10</f>
        <v>170</v>
      </c>
      <c r="AR24" s="10">
        <f>'Parametros'!$B$6*(AJ24+AO24*'Parametros'!$B$11*'Parametros'!$B$4*MIN(U24,AB24)/AP24/1000)</f>
        <v>260.860380287796</v>
      </c>
      <c r="AS24" s="10" t="str">
        <f>IF(AND(AM24="CUMPLE",AR24&gt;=AI24),"CUMPLE","NO CUMPLE")</f>
        <v>CUMPLE</v>
      </c>
      <c r="AT24" s="10">
        <f>'Parametros'!$B$6*0.083*SQRT('Parametros'!$B$2)*(H24*I24)^2/(2*(H24+I24))/1000000</f>
        <v>3.38807353605471</v>
      </c>
      <c r="AU24" s="10" t="str">
        <f>IF(Q24&lt;=AT24,"DESPRECIABLE","DISEÑAR")</f>
        <v>DISEÑAR</v>
      </c>
      <c r="AV24" s="10">
        <f>IF(Q24&lt;=AT24,0,Q24*1000000/('Parametros'!$B$6*2*0.85*(H24-2*'Parametros'!$B$7)*(I24-2*'Parametros'!$B$7)*'Parametros'!$B$4))</f>
        <v>0.118445484254308</v>
      </c>
      <c r="AW24" s="10">
        <f>AV24*2*((H24-2*'Parametros'!$B$7)+(I24-2*'Parametros'!$B$7))*'Parametros'!$B$4/'Parametros'!$B$3</f>
        <v>127.921122994652</v>
      </c>
      <c r="AX24" s="17" t="n">
        <v>1</v>
      </c>
      <c r="AY24" s="10" t="str">
        <f>IF(AV24=0,"DESPRECIABLE",IF('Parametros'!$B$11/AP24&gt;=AV24,"CUMPLE","NO CUMPLE"))</f>
        <v>CUMPLE</v>
      </c>
      <c r="AZ24" s="10" t="str">
        <f>IF(AND(X24="CUMPLE",AE24="CUMPLE",AS24="CUMPLE",OR(AY24="CUMPLE",AY24="DESPRECIABLE")),IF(OR(F24&lt;&gt;H24,G24&lt;&gt;I24),"CUMPLE - REANALIZAR SAP","CUMPLE"),"NO CUMPLE")</f>
        <v>CUMPLE</v>
      </c>
    </row>
    <row r="25">
      <c r="A25" s="19" t="inlineStr">
        <is>
          <t>VC2</t>
        </is>
      </c>
      <c r="B25" s="19" t="inlineStr">
        <is>
          <t>56</t>
        </is>
      </c>
      <c r="C25" s="10" t="n">
        <v>1</v>
      </c>
      <c r="D25" s="10" t="n">
        <v>4</v>
      </c>
      <c r="E25" s="10" t="n">
        <v>4</v>
      </c>
      <c r="F25" s="10" t="n">
        <v>300</v>
      </c>
      <c r="G25" s="10" t="n">
        <v>400</v>
      </c>
      <c r="H25" s="15" t="n">
        <v>300</v>
      </c>
      <c r="I25" s="15" t="n">
        <v>400</v>
      </c>
      <c r="J25" s="16" t="n">
        <v>66.80289999999999</v>
      </c>
      <c r="K25" s="10" t="inlineStr">
        <is>
          <t>56</t>
        </is>
      </c>
      <c r="L25" s="16" t="n">
        <v>58.9102</v>
      </c>
      <c r="M25" s="10" t="inlineStr">
        <is>
          <t>56</t>
        </is>
      </c>
      <c r="N25" s="16" t="n">
        <v>36.922</v>
      </c>
      <c r="O25" s="16" t="n">
        <v>156.841</v>
      </c>
      <c r="P25" s="10" t="inlineStr">
        <is>
          <t>56</t>
        </is>
      </c>
      <c r="Q25" s="16" t="n">
        <v>4.4653</v>
      </c>
      <c r="R25" s="10">
        <f>MAX(MAX(1.4/'Parametros'!$B$3,0.25*SQRT('Parametros'!$B$2)/'Parametros'!$B$3)*H25*U25,(0.85*'Parametros'!$B$2/'Parametros'!$B$3)*(1-SQRT(1-2*(J25*1000000/('Parametros'!$B$5*H25*U25^2))/(0.85*'Parametros'!$B$2)))*H25*U25)</f>
        <v>541.051374640625</v>
      </c>
      <c r="S25" s="17" t="n">
        <v>3</v>
      </c>
      <c r="T25" s="18" t="n">
        <v>1</v>
      </c>
      <c r="U25" s="10">
        <f>IF(T25=1,I25-('Parametros'!$B$7+'Parametros'!$B$9+'Parametros'!$B$12/2),I25-(ROUNDUP(S25/2,0)*('Parametros'!$B$7+'Parametros'!$B$9+'Parametros'!$B$12/2)+ROUNDDOWN(S25/2,0)*('Parametros'!$B$7+'Parametros'!$B$9+'Parametros'!$B$12/2+'Parametros'!$B$12+'Parametros'!$B$10))/S25)</f>
        <v>342.55</v>
      </c>
      <c r="V25" s="10">
        <f>S25*'Parametros'!$B$8</f>
        <v>597</v>
      </c>
      <c r="W25" s="10">
        <f>'Parametros'!$B$5*V25*'Parametros'!$B$3*(U25-(V25*'Parametros'!$B$3/(0.85*'Parametros'!$B$2*H25))/2)/1000000</f>
        <v>73.3394588294118</v>
      </c>
      <c r="X25" s="10" t="str">
        <f>IF(W25&gt;=J25,"CUMPLE","NO CUMPLE")</f>
        <v>CUMPLE</v>
      </c>
      <c r="Y25" s="10">
        <f>MAX(MAX(1.4/'Parametros'!$B$3,0.25*SQRT('Parametros'!$B$2)/'Parametros'!$B$3)*H25*AB25,(0.85*'Parametros'!$B$2/'Parametros'!$B$3)*(1-SQRT(1-2*(L25*1000000/('Parametros'!$B$5*H25*AB25^2))/(0.85*'Parametros'!$B$2)))*H25*AB25)</f>
        <v>474.274924409927</v>
      </c>
      <c r="Z25" s="17" t="n">
        <v>3</v>
      </c>
      <c r="AA25" s="18" t="n">
        <v>1</v>
      </c>
      <c r="AB25" s="10">
        <f>IF(AA25=1,I25-('Parametros'!$B$7+'Parametros'!$B$9+'Parametros'!$B$12/2),I25-(ROUNDUP(Z25/2,0)*('Parametros'!$B$7+'Parametros'!$B$9+'Parametros'!$B$12/2)+ROUNDDOWN(Z25/2,0)*('Parametros'!$B$7+'Parametros'!$B$9+'Parametros'!$B$12/2+'Parametros'!$B$12+'Parametros'!$B$10))/Z25)</f>
        <v>342.55</v>
      </c>
      <c r="AC25" s="10">
        <f>Z25*'Parametros'!$B$8</f>
        <v>597</v>
      </c>
      <c r="AD25" s="10">
        <f>'Parametros'!$B$5*AC25*'Parametros'!$B$3*(AB25-(AC25*'Parametros'!$B$3/(0.85*'Parametros'!$B$2*H25))/2)/1000000</f>
        <v>73.3394588294118</v>
      </c>
      <c r="AE25" s="10" t="str">
        <f>IF(AD25&gt;=L25,"CUMPLE","NO CUMPLE")</f>
        <v>CUMPLE</v>
      </c>
      <c r="AF25" s="10">
        <f>V25*1.25*'Parametros'!$B$3*(U25-(V25*1.25*'Parametros'!$B$3/(0.85*'Parametros'!$B$2*H25))/2)/1000000</f>
        <v>100.484515919118</v>
      </c>
      <c r="AG25" s="10">
        <f>AC25*1.25*'Parametros'!$B$3*(AB25-(AC25*1.25*'Parametros'!$B$3/(0.85*'Parametros'!$B$2*H25))/2)/1000000</f>
        <v>100.484515919118</v>
      </c>
      <c r="AH25" s="10">
        <f>N25+(AF25+AG25)/D25</f>
        <v>87.1642579595588</v>
      </c>
      <c r="AI25" s="10">
        <f>MIN(O25,MAX(N25,AH25))</f>
        <v>87.1642579595588</v>
      </c>
      <c r="AJ25" s="10">
        <f>0.17*SQRT('Parametros'!$B$2)*H25*MIN(U25,AB25)/1000</f>
        <v>92.4428153837279</v>
      </c>
      <c r="AK25" s="10">
        <f>MAX(AI25/'Parametros'!$B$6-AJ25,0)</f>
        <v>23.7761952290172</v>
      </c>
      <c r="AL25" s="10">
        <f>0.66*SQRT('Parametros'!$B$2)*H25*MIN(U25,AB25)/1000</f>
        <v>358.89563619565</v>
      </c>
      <c r="AM25" s="10" t="str">
        <f>IF(AK25&lt;=AL25,"CUMPLE","NO CUMPLE")</f>
        <v>CUMPLE</v>
      </c>
      <c r="AN25" s="15" t="inlineStr">
        <is>
          <t>Nº3 cerrado</t>
        </is>
      </c>
      <c r="AO25" s="17" t="n">
        <v>2</v>
      </c>
      <c r="AP25" s="10">
        <f>ROUNDDOWN(MIN(IF(AK25=0,1000000000,AO25*'Parametros'!$B$11*'Parametros'!$B$4*MIN(U25,AB25)/(AK25*1000)),IF(AV25=0,1000000000,'Parametros'!$B$11/AV25),MIN(U25,AB25)/4,8*'Parametros'!$B$12,24*'Parametros'!$B$9,300)/10,0)*10</f>
        <v>80</v>
      </c>
      <c r="AQ25" s="10">
        <f>ROUNDDOWN(MIN(IF(AK25=0,1000000000,AO25*'Parametros'!$B$11*'Parametros'!$B$4*MIN(U25,AB25)/(AK25*1000)),IF(AV25=0,1000000000,'Parametros'!$B$11/AV25),MIN(U25,AB25)/2,600)/10,0)*10</f>
        <v>170</v>
      </c>
      <c r="AR25" s="10">
        <f>'Parametros'!$B$6*(AJ25+AO25*'Parametros'!$B$11*'Parametros'!$B$4*MIN(U25,AB25)/AP25/1000)</f>
        <v>260.860380287796</v>
      </c>
      <c r="AS25" s="10" t="str">
        <f>IF(AND(AM25="CUMPLE",AR25&gt;=AI25),"CUMPLE","NO CUMPLE")</f>
        <v>CUMPLE</v>
      </c>
      <c r="AT25" s="10">
        <f>'Parametros'!$B$6*0.083*SQRT('Parametros'!$B$2)*(H25*I25)^2/(2*(H25+I25))/1000000</f>
        <v>3.38807353605471</v>
      </c>
      <c r="AU25" s="10" t="str">
        <f>IF(Q25&lt;=AT25,"DESPRECIABLE","DISEÑAR")</f>
        <v>DISEÑAR</v>
      </c>
      <c r="AV25" s="10">
        <f>IF(Q25&lt;=AT25,0,Q25*1000000/('Parametros'!$B$6*2*0.85*(H25-2*'Parametros'!$B$7)*(I25-2*'Parametros'!$B$7)*'Parametros'!$B$4))</f>
        <v>0.118445484254308</v>
      </c>
      <c r="AW25" s="10">
        <f>AV25*2*((H25-2*'Parametros'!$B$7)+(I25-2*'Parametros'!$B$7))*'Parametros'!$B$4/'Parametros'!$B$3</f>
        <v>127.921122994652</v>
      </c>
      <c r="AX25" s="17" t="n">
        <v>1</v>
      </c>
      <c r="AY25" s="10" t="str">
        <f>IF(AV25=0,"DESPRECIABLE",IF('Parametros'!$B$11/AP25&gt;=AV25,"CUMPLE","NO CUMPLE"))</f>
        <v>CUMPLE</v>
      </c>
      <c r="AZ25" s="10" t="str">
        <f>IF(AND(X25="CUMPLE",AE25="CUMPLE",AS25="CUMPLE",OR(AY25="CUMPLE",AY25="DESPRECIABLE")),IF(OR(F25&lt;&gt;H25,G25&lt;&gt;I25),"CUMPLE - REANALIZAR SAP","CUMPLE"),"NO CUMPLE")</f>
        <v>CUMPLE</v>
      </c>
    </row>
    <row r="26">
      <c r="A26" s="19" t="inlineStr">
        <is>
          <t>VC2</t>
        </is>
      </c>
      <c r="B26" s="19" t="inlineStr">
        <is>
          <t>93</t>
        </is>
      </c>
      <c r="C26" s="10" t="n">
        <v>1</v>
      </c>
      <c r="D26" s="10" t="n">
        <v>4</v>
      </c>
      <c r="E26" s="10" t="n">
        <v>4</v>
      </c>
      <c r="F26" s="10" t="n">
        <v>300</v>
      </c>
      <c r="G26" s="10" t="n">
        <v>400</v>
      </c>
      <c r="H26" s="15" t="n">
        <v>300</v>
      </c>
      <c r="I26" s="15" t="n">
        <v>400</v>
      </c>
      <c r="J26" s="16" t="n">
        <v>66.8062</v>
      </c>
      <c r="K26" s="10" t="inlineStr">
        <is>
          <t>93</t>
        </is>
      </c>
      <c r="L26" s="16" t="n">
        <v>58.912</v>
      </c>
      <c r="M26" s="10" t="inlineStr">
        <is>
          <t>93</t>
        </is>
      </c>
      <c r="N26" s="16" t="n">
        <v>36.923</v>
      </c>
      <c r="O26" s="16" t="n">
        <v>156.848</v>
      </c>
      <c r="P26" s="10" t="inlineStr">
        <is>
          <t>93</t>
        </is>
      </c>
      <c r="Q26" s="16" t="n">
        <v>4.4669</v>
      </c>
      <c r="R26" s="10">
        <f>MAX(MAX(1.4/'Parametros'!$B$3,0.25*SQRT('Parametros'!$B$2)/'Parametros'!$B$3)*H26*U26,(0.85*'Parametros'!$B$2/'Parametros'!$B$3)*(1-SQRT(1-2*(J26*1000000/('Parametros'!$B$5*H26*U26^2))/(0.85*'Parametros'!$B$2)))*H26*U26)</f>
        <v>541.07947094938</v>
      </c>
      <c r="S26" s="17" t="n">
        <v>3</v>
      </c>
      <c r="T26" s="18" t="n">
        <v>1</v>
      </c>
      <c r="U26" s="10">
        <f>IF(T26=1,I26-('Parametros'!$B$7+'Parametros'!$B$9+'Parametros'!$B$12/2),I26-(ROUNDUP(S26/2,0)*('Parametros'!$B$7+'Parametros'!$B$9+'Parametros'!$B$12/2)+ROUNDDOWN(S26/2,0)*('Parametros'!$B$7+'Parametros'!$B$9+'Parametros'!$B$12/2+'Parametros'!$B$12+'Parametros'!$B$10))/S26)</f>
        <v>342.55</v>
      </c>
      <c r="V26" s="10">
        <f>S26*'Parametros'!$B$8</f>
        <v>597</v>
      </c>
      <c r="W26" s="10">
        <f>'Parametros'!$B$5*V26*'Parametros'!$B$3*(U26-(V26*'Parametros'!$B$3/(0.85*'Parametros'!$B$2*H26))/2)/1000000</f>
        <v>73.3394588294118</v>
      </c>
      <c r="X26" s="10" t="str">
        <f>IF(W26&gt;=J26,"CUMPLE","NO CUMPLE")</f>
        <v>CUMPLE</v>
      </c>
      <c r="Y26" s="10">
        <f>MAX(MAX(1.4/'Parametros'!$B$3,0.25*SQRT('Parametros'!$B$2)/'Parametros'!$B$3)*H26*AB26,(0.85*'Parametros'!$B$2/'Parametros'!$B$3)*(1-SQRT(1-2*(L26*1000000/('Parametros'!$B$5*H26*AB26^2))/(0.85*'Parametros'!$B$2)))*H26*AB26)</f>
        <v>474.290058333891</v>
      </c>
      <c r="Z26" s="17" t="n">
        <v>3</v>
      </c>
      <c r="AA26" s="18" t="n">
        <v>1</v>
      </c>
      <c r="AB26" s="10">
        <f>IF(AA26=1,I26-('Parametros'!$B$7+'Parametros'!$B$9+'Parametros'!$B$12/2),I26-(ROUNDUP(Z26/2,0)*('Parametros'!$B$7+'Parametros'!$B$9+'Parametros'!$B$12/2)+ROUNDDOWN(Z26/2,0)*('Parametros'!$B$7+'Parametros'!$B$9+'Parametros'!$B$12/2+'Parametros'!$B$12+'Parametros'!$B$10))/Z26)</f>
        <v>342.55</v>
      </c>
      <c r="AC26" s="10">
        <f>Z26*'Parametros'!$B$8</f>
        <v>597</v>
      </c>
      <c r="AD26" s="10">
        <f>'Parametros'!$B$5*AC26*'Parametros'!$B$3*(AB26-(AC26*'Parametros'!$B$3/(0.85*'Parametros'!$B$2*H26))/2)/1000000</f>
        <v>73.3394588294118</v>
      </c>
      <c r="AE26" s="10" t="str">
        <f>IF(AD26&gt;=L26,"CUMPLE","NO CUMPLE")</f>
        <v>CUMPLE</v>
      </c>
      <c r="AF26" s="10">
        <f>V26*1.25*'Parametros'!$B$3*(U26-(V26*1.25*'Parametros'!$B$3/(0.85*'Parametros'!$B$2*H26))/2)/1000000</f>
        <v>100.484515919118</v>
      </c>
      <c r="AG26" s="10">
        <f>AC26*1.25*'Parametros'!$B$3*(AB26-(AC26*1.25*'Parametros'!$B$3/(0.85*'Parametros'!$B$2*H26))/2)/1000000</f>
        <v>100.484515919118</v>
      </c>
      <c r="AH26" s="10">
        <f>N26+(AF26+AG26)/D26</f>
        <v>87.1652579595588</v>
      </c>
      <c r="AI26" s="10">
        <f>MIN(O26,MAX(N26,AH26))</f>
        <v>87.1652579595588</v>
      </c>
      <c r="AJ26" s="10">
        <f>0.17*SQRT('Parametros'!$B$2)*H26*MIN(U26,AB26)/1000</f>
        <v>92.4428153837279</v>
      </c>
      <c r="AK26" s="10">
        <f>MAX(AI26/'Parametros'!$B$6-AJ26,0)</f>
        <v>23.7775285623505</v>
      </c>
      <c r="AL26" s="10">
        <f>0.66*SQRT('Parametros'!$B$2)*H26*MIN(U26,AB26)/1000</f>
        <v>358.89563619565</v>
      </c>
      <c r="AM26" s="10" t="str">
        <f>IF(AK26&lt;=AL26,"CUMPLE","NO CUMPLE")</f>
        <v>CUMPLE</v>
      </c>
      <c r="AN26" s="15" t="inlineStr">
        <is>
          <t>Nº3 cerrado</t>
        </is>
      </c>
      <c r="AO26" s="17" t="n">
        <v>2</v>
      </c>
      <c r="AP26" s="10">
        <f>ROUNDDOWN(MIN(IF(AK26=0,1000000000,AO26*'Parametros'!$B$11*'Parametros'!$B$4*MIN(U26,AB26)/(AK26*1000)),IF(AV26=0,1000000000,'Parametros'!$B$11/AV26),MIN(U26,AB26)/4,8*'Parametros'!$B$12,24*'Parametros'!$B$9,300)/10,0)*10</f>
        <v>80</v>
      </c>
      <c r="AQ26" s="10">
        <f>ROUNDDOWN(MIN(IF(AK26=0,1000000000,AO26*'Parametros'!$B$11*'Parametros'!$B$4*MIN(U26,AB26)/(AK26*1000)),IF(AV26=0,1000000000,'Parametros'!$B$11/AV26),MIN(U26,AB26)/2,600)/10,0)*10</f>
        <v>170</v>
      </c>
      <c r="AR26" s="10">
        <f>'Parametros'!$B$6*(AJ26+AO26*'Parametros'!$B$11*'Parametros'!$B$4*MIN(U26,AB26)/AP26/1000)</f>
        <v>260.860380287796</v>
      </c>
      <c r="AS26" s="10" t="str">
        <f>IF(AND(AM26="CUMPLE",AR26&gt;=AI26),"CUMPLE","NO CUMPLE")</f>
        <v>CUMPLE</v>
      </c>
      <c r="AT26" s="10">
        <f>'Parametros'!$B$6*0.083*SQRT('Parametros'!$B$2)*(H26*I26)^2/(2*(H26+I26))/1000000</f>
        <v>3.38807353605471</v>
      </c>
      <c r="AU26" s="10" t="str">
        <f>IF(Q26&lt;=AT26,"DESPRECIABLE","DISEÑAR")</f>
        <v>DISEÑAR</v>
      </c>
      <c r="AV26" s="10">
        <f>IF(Q26&lt;=AT26,0,Q26*1000000/('Parametros'!$B$6*2*0.85*(H26-2*'Parametros'!$B$7)*(I26-2*'Parametros'!$B$7)*'Parametros'!$B$4))</f>
        <v>0.11848792547322</v>
      </c>
      <c r="AW26" s="10">
        <f>AV26*2*((H26-2*'Parametros'!$B$7)+(I26-2*'Parametros'!$B$7))*'Parametros'!$B$4/'Parametros'!$B$3</f>
        <v>127.966959511077</v>
      </c>
      <c r="AX26" s="17" t="n">
        <v>1</v>
      </c>
      <c r="AY26" s="10" t="str">
        <f>IF(AV26=0,"DESPRECIABLE",IF('Parametros'!$B$11/AP26&gt;=AV26,"CUMPLE","NO CUMPLE"))</f>
        <v>CUMPLE</v>
      </c>
      <c r="AZ26" s="10" t="str">
        <f>IF(AND(X26="CUMPLE",AE26="CUMPLE",AS26="CUMPLE",OR(AY26="CUMPLE",AY26="DESPRECIABLE")),IF(OR(F26&lt;&gt;H26,G26&lt;&gt;I26),"CUMPLE - REANALIZAR SAP","CUMPLE"),"NO CUMPLE")</f>
        <v>CUMPLE</v>
      </c>
    </row>
    <row r="27">
      <c r="A27" s="19" t="inlineStr">
        <is>
          <t>VC2</t>
        </is>
      </c>
      <c r="B27" s="19" t="inlineStr">
        <is>
          <t>94</t>
        </is>
      </c>
      <c r="C27" s="10" t="n">
        <v>1</v>
      </c>
      <c r="D27" s="10" t="n">
        <v>4</v>
      </c>
      <c r="E27" s="10" t="n">
        <v>4</v>
      </c>
      <c r="F27" s="10" t="n">
        <v>300</v>
      </c>
      <c r="G27" s="10" t="n">
        <v>400</v>
      </c>
      <c r="H27" s="15" t="n">
        <v>300</v>
      </c>
      <c r="I27" s="15" t="n">
        <v>400</v>
      </c>
      <c r="J27" s="16" t="n">
        <v>66.8241</v>
      </c>
      <c r="K27" s="10" t="inlineStr">
        <is>
          <t>94</t>
        </is>
      </c>
      <c r="L27" s="16" t="n">
        <v>58.9011</v>
      </c>
      <c r="M27" s="10" t="inlineStr">
        <is>
          <t>94</t>
        </is>
      </c>
      <c r="N27" s="16" t="n">
        <v>36.932</v>
      </c>
      <c r="O27" s="16" t="n">
        <v>156.856</v>
      </c>
      <c r="P27" s="10" t="inlineStr">
        <is>
          <t>94</t>
        </is>
      </c>
      <c r="Q27" s="16" t="n">
        <v>4.4669</v>
      </c>
      <c r="R27" s="10">
        <f>MAX(MAX(1.4/'Parametros'!$B$3,0.25*SQRT('Parametros'!$B$2)/'Parametros'!$B$3)*H27*U27,(0.85*'Parametros'!$B$2/'Parametros'!$B$3)*(1-SQRT(1-2*(J27*1000000/('Parametros'!$B$5*H27*U27^2))/(0.85*'Parametros'!$B$2)))*H27*U27)</f>
        <v>541.231874743176</v>
      </c>
      <c r="S27" s="17" t="n">
        <v>3</v>
      </c>
      <c r="T27" s="18" t="n">
        <v>1</v>
      </c>
      <c r="U27" s="10">
        <f>IF(T27=1,I27-('Parametros'!$B$7+'Parametros'!$B$9+'Parametros'!$B$12/2),I27-(ROUNDUP(S27/2,0)*('Parametros'!$B$7+'Parametros'!$B$9+'Parametros'!$B$12/2)+ROUNDDOWN(S27/2,0)*('Parametros'!$B$7+'Parametros'!$B$9+'Parametros'!$B$12/2+'Parametros'!$B$12+'Parametros'!$B$10))/S27)</f>
        <v>342.55</v>
      </c>
      <c r="V27" s="10">
        <f>S27*'Parametros'!$B$8</f>
        <v>597</v>
      </c>
      <c r="W27" s="10">
        <f>'Parametros'!$B$5*V27*'Parametros'!$B$3*(U27-(V27*'Parametros'!$B$3/(0.85*'Parametros'!$B$2*H27))/2)/1000000</f>
        <v>73.3394588294118</v>
      </c>
      <c r="X27" s="10" t="str">
        <f>IF(W27&gt;=J27,"CUMPLE","NO CUMPLE")</f>
        <v>CUMPLE</v>
      </c>
      <c r="Y27" s="10">
        <f>MAX(MAX(1.4/'Parametros'!$B$3,0.25*SQRT('Parametros'!$B$2)/'Parametros'!$B$3)*H27*AB27,(0.85*'Parametros'!$B$2/'Parametros'!$B$3)*(1-SQRT(1-2*(L27*1000000/('Parametros'!$B$5*H27*AB27^2))/(0.85*'Parametros'!$B$2)))*H27*AB27)</f>
        <v>474.198414671962</v>
      </c>
      <c r="Z27" s="17" t="n">
        <v>3</v>
      </c>
      <c r="AA27" s="18" t="n">
        <v>1</v>
      </c>
      <c r="AB27" s="10">
        <f>IF(AA27=1,I27-('Parametros'!$B$7+'Parametros'!$B$9+'Parametros'!$B$12/2),I27-(ROUNDUP(Z27/2,0)*('Parametros'!$B$7+'Parametros'!$B$9+'Parametros'!$B$12/2)+ROUNDDOWN(Z27/2,0)*('Parametros'!$B$7+'Parametros'!$B$9+'Parametros'!$B$12/2+'Parametros'!$B$12+'Parametros'!$B$10))/Z27)</f>
        <v>342.55</v>
      </c>
      <c r="AC27" s="10">
        <f>Z27*'Parametros'!$B$8</f>
        <v>597</v>
      </c>
      <c r="AD27" s="10">
        <f>'Parametros'!$B$5*AC27*'Parametros'!$B$3*(AB27-(AC27*'Parametros'!$B$3/(0.85*'Parametros'!$B$2*H27))/2)/1000000</f>
        <v>73.3394588294118</v>
      </c>
      <c r="AE27" s="10" t="str">
        <f>IF(AD27&gt;=L27,"CUMPLE","NO CUMPLE")</f>
        <v>CUMPLE</v>
      </c>
      <c r="AF27" s="10">
        <f>V27*1.25*'Parametros'!$B$3*(U27-(V27*1.25*'Parametros'!$B$3/(0.85*'Parametros'!$B$2*H27))/2)/1000000</f>
        <v>100.484515919118</v>
      </c>
      <c r="AG27" s="10">
        <f>AC27*1.25*'Parametros'!$B$3*(AB27-(AC27*1.25*'Parametros'!$B$3/(0.85*'Parametros'!$B$2*H27))/2)/1000000</f>
        <v>100.484515919118</v>
      </c>
      <c r="AH27" s="10">
        <f>N27+(AF27+AG27)/D27</f>
        <v>87.1742579595588</v>
      </c>
      <c r="AI27" s="10">
        <f>MIN(O27,MAX(N27,AH27))</f>
        <v>87.1742579595588</v>
      </c>
      <c r="AJ27" s="10">
        <f>0.17*SQRT('Parametros'!$B$2)*H27*MIN(U27,AB27)/1000</f>
        <v>92.4428153837279</v>
      </c>
      <c r="AK27" s="10">
        <f>MAX(AI27/'Parametros'!$B$6-AJ27,0)</f>
        <v>23.7895285623505</v>
      </c>
      <c r="AL27" s="10">
        <f>0.66*SQRT('Parametros'!$B$2)*H27*MIN(U27,AB27)/1000</f>
        <v>358.89563619565</v>
      </c>
      <c r="AM27" s="10" t="str">
        <f>IF(AK27&lt;=AL27,"CUMPLE","NO CUMPLE")</f>
        <v>CUMPLE</v>
      </c>
      <c r="AN27" s="15" t="inlineStr">
        <is>
          <t>Nº3 cerrado</t>
        </is>
      </c>
      <c r="AO27" s="17" t="n">
        <v>2</v>
      </c>
      <c r="AP27" s="10">
        <f>ROUNDDOWN(MIN(IF(AK27=0,1000000000,AO27*'Parametros'!$B$11*'Parametros'!$B$4*MIN(U27,AB27)/(AK27*1000)),IF(AV27=0,1000000000,'Parametros'!$B$11/AV27),MIN(U27,AB27)/4,8*'Parametros'!$B$12,24*'Parametros'!$B$9,300)/10,0)*10</f>
        <v>80</v>
      </c>
      <c r="AQ27" s="10">
        <f>ROUNDDOWN(MIN(IF(AK27=0,1000000000,AO27*'Parametros'!$B$11*'Parametros'!$B$4*MIN(U27,AB27)/(AK27*1000)),IF(AV27=0,1000000000,'Parametros'!$B$11/AV27),MIN(U27,AB27)/2,600)/10,0)*10</f>
        <v>170</v>
      </c>
      <c r="AR27" s="10">
        <f>'Parametros'!$B$6*(AJ27+AO27*'Parametros'!$B$11*'Parametros'!$B$4*MIN(U27,AB27)/AP27/1000)</f>
        <v>260.860380287796</v>
      </c>
      <c r="AS27" s="10" t="str">
        <f>IF(AND(AM27="CUMPLE",AR27&gt;=AI27),"CUMPLE","NO CUMPLE")</f>
        <v>CUMPLE</v>
      </c>
      <c r="AT27" s="10">
        <f>'Parametros'!$B$6*0.083*SQRT('Parametros'!$B$2)*(H27*I27)^2/(2*(H27+I27))/1000000</f>
        <v>3.38807353605471</v>
      </c>
      <c r="AU27" s="10" t="str">
        <f>IF(Q27&lt;=AT27,"DESPRECIABLE","DISEÑAR")</f>
        <v>DISEÑAR</v>
      </c>
      <c r="AV27" s="10">
        <f>IF(Q27&lt;=AT27,0,Q27*1000000/('Parametros'!$B$6*2*0.85*(H27-2*'Parametros'!$B$7)*(I27-2*'Parametros'!$B$7)*'Parametros'!$B$4))</f>
        <v>0.11848792547322</v>
      </c>
      <c r="AW27" s="10">
        <f>AV27*2*((H27-2*'Parametros'!$B$7)+(I27-2*'Parametros'!$B$7))*'Parametros'!$B$4/'Parametros'!$B$3</f>
        <v>127.966959511077</v>
      </c>
      <c r="AX27" s="17" t="n">
        <v>1</v>
      </c>
      <c r="AY27" s="10" t="str">
        <f>IF(AV27=0,"DESPRECIABLE",IF('Parametros'!$B$11/AP27&gt;=AV27,"CUMPLE","NO CUMPLE"))</f>
        <v>CUMPLE</v>
      </c>
      <c r="AZ27" s="10" t="str">
        <f>IF(AND(X27="CUMPLE",AE27="CUMPLE",AS27="CUMPLE",OR(AY27="CUMPLE",AY27="DESPRECIABLE")),IF(OR(F27&lt;&gt;H27,G27&lt;&gt;I27),"CUMPLE - REANALIZAR SAP","CUMPLE"),"NO CUMPLE")</f>
        <v>CUMPLE</v>
      </c>
    </row>
    <row r="28">
      <c r="A28" s="19" t="inlineStr">
        <is>
          <t>VC2</t>
        </is>
      </c>
      <c r="B28" s="19" t="inlineStr">
        <is>
          <t>95</t>
        </is>
      </c>
      <c r="C28" s="10" t="n">
        <v>1</v>
      </c>
      <c r="D28" s="10" t="n">
        <v>3.75</v>
      </c>
      <c r="E28" s="10" t="n">
        <v>3.75</v>
      </c>
      <c r="F28" s="10" t="n">
        <v>300</v>
      </c>
      <c r="G28" s="10" t="n">
        <v>400</v>
      </c>
      <c r="H28" s="15" t="n">
        <v>300</v>
      </c>
      <c r="I28" s="15" t="n">
        <v>400</v>
      </c>
      <c r="J28" s="16" t="n">
        <v>77.2886</v>
      </c>
      <c r="K28" s="10" t="inlineStr">
        <is>
          <t>95</t>
        </is>
      </c>
      <c r="L28" s="16" t="n">
        <v>68.8737</v>
      </c>
      <c r="M28" s="10" t="inlineStr">
        <is>
          <t>95</t>
        </is>
      </c>
      <c r="N28" s="16" t="n">
        <v>45.339</v>
      </c>
      <c r="O28" s="16" t="n">
        <v>195.989</v>
      </c>
      <c r="P28" s="10" t="inlineStr">
        <is>
          <t>95</t>
        </is>
      </c>
      <c r="Q28" s="16" t="n">
        <v>0.7627</v>
      </c>
      <c r="R28" s="10">
        <f>MAX(MAX(1.4/'Parametros'!$B$3,0.25*SQRT('Parametros'!$B$2)/'Parametros'!$B$3)*H28*U28,(0.85*'Parametros'!$B$2/'Parametros'!$B$3)*(1-SQRT(1-2*(J28*1000000/('Parametros'!$B$5*H28*U28^2))/(0.85*'Parametros'!$B$2)))*H28*U28)</f>
        <v>631.094173635572</v>
      </c>
      <c r="S28" s="17" t="n">
        <v>4</v>
      </c>
      <c r="T28" s="18" t="n">
        <v>1</v>
      </c>
      <c r="U28" s="10">
        <f>IF(T28=1,I28-('Parametros'!$B$7+'Parametros'!$B$9+'Parametros'!$B$12/2),I28-(ROUNDUP(S28/2,0)*('Parametros'!$B$7+'Parametros'!$B$9+'Parametros'!$B$12/2)+ROUNDDOWN(S28/2,0)*('Parametros'!$B$7+'Parametros'!$B$9+'Parametros'!$B$12/2+'Parametros'!$B$12+'Parametros'!$B$10))/S28)</f>
        <v>342.55</v>
      </c>
      <c r="V28" s="10">
        <f>S28*'Parametros'!$B$8</f>
        <v>796</v>
      </c>
      <c r="W28" s="10">
        <f>'Parametros'!$B$5*V28*'Parametros'!$B$3*(U28-(V28*'Parametros'!$B$3/(0.85*'Parametros'!$B$2*H28))/2)/1000000</f>
        <v>96.0248653411765</v>
      </c>
      <c r="X28" s="10" t="str">
        <f>IF(W28&gt;=J28,"CUMPLE","NO CUMPLE")</f>
        <v>CUMPLE</v>
      </c>
      <c r="Y28" s="10">
        <f>MAX(MAX(1.4/'Parametros'!$B$3,0.25*SQRT('Parametros'!$B$2)/'Parametros'!$B$3)*H28*AB28,(0.85*'Parametros'!$B$2/'Parametros'!$B$3)*(1-SQRT(1-2*(L28*1000000/('Parametros'!$B$5*H28*AB28^2))/(0.85*'Parametros'!$B$2)))*H28*AB28)</f>
        <v>558.711709137929</v>
      </c>
      <c r="Z28" s="17" t="n">
        <v>3</v>
      </c>
      <c r="AA28" s="18" t="n">
        <v>1</v>
      </c>
      <c r="AB28" s="10">
        <f>IF(AA28=1,I28-('Parametros'!$B$7+'Parametros'!$B$9+'Parametros'!$B$12/2),I28-(ROUNDUP(Z28/2,0)*('Parametros'!$B$7+'Parametros'!$B$9+'Parametros'!$B$12/2)+ROUNDDOWN(Z28/2,0)*('Parametros'!$B$7+'Parametros'!$B$9+'Parametros'!$B$12/2+'Parametros'!$B$12+'Parametros'!$B$10))/Z28)</f>
        <v>342.55</v>
      </c>
      <c r="AC28" s="10">
        <f>Z28*'Parametros'!$B$8</f>
        <v>597</v>
      </c>
      <c r="AD28" s="10">
        <f>'Parametros'!$B$5*AC28*'Parametros'!$B$3*(AB28-(AC28*'Parametros'!$B$3/(0.85*'Parametros'!$B$2*H28))/2)/1000000</f>
        <v>73.3394588294118</v>
      </c>
      <c r="AE28" s="10" t="str">
        <f>IF(AD28&gt;=L28,"CUMPLE","NO CUMPLE")</f>
        <v>CUMPLE</v>
      </c>
      <c r="AF28" s="10">
        <f>V28*1.25*'Parametros'!$B$3*(U28-(V28*1.25*'Parametros'!$B$3/(0.85*'Parametros'!$B$2*H28))/2)/1000000</f>
        <v>130.921924411765</v>
      </c>
      <c r="AG28" s="10">
        <f>AC28*1.25*'Parametros'!$B$3*(AB28-(AC28*1.25*'Parametros'!$B$3/(0.85*'Parametros'!$B$2*H28))/2)/1000000</f>
        <v>100.484515919118</v>
      </c>
      <c r="AH28" s="10">
        <f>N28+(AF28+AG28)/D28</f>
        <v>107.047384088235</v>
      </c>
      <c r="AI28" s="10">
        <f>MIN(O28,MAX(N28,AH28))</f>
        <v>107.047384088235</v>
      </c>
      <c r="AJ28" s="10">
        <f>0.17*SQRT('Parametros'!$B$2)*H28*MIN(U28,AB28)/1000</f>
        <v>92.4428153837279</v>
      </c>
      <c r="AK28" s="10">
        <f>MAX(AI28/'Parametros'!$B$6-AJ28,0)</f>
        <v>50.2870300672525</v>
      </c>
      <c r="AL28" s="10">
        <f>0.66*SQRT('Parametros'!$B$2)*H28*MIN(U28,AB28)/1000</f>
        <v>358.89563619565</v>
      </c>
      <c r="AM28" s="10" t="str">
        <f>IF(AK28&lt;=AL28,"CUMPLE","NO CUMPLE")</f>
        <v>CUMPLE</v>
      </c>
      <c r="AN28" s="15" t="inlineStr">
        <is>
          <t>Nº3 cerrado</t>
        </is>
      </c>
      <c r="AO28" s="17" t="n">
        <v>2</v>
      </c>
      <c r="AP28" s="10">
        <f>ROUNDDOWN(MIN(IF(AK28=0,1000000000,AO28*'Parametros'!$B$11*'Parametros'!$B$4*MIN(U28,AB28)/(AK28*1000)),IF(AV28=0,1000000000,'Parametros'!$B$11/AV28),MIN(U28,AB28)/4,8*'Parametros'!$B$12,24*'Parametros'!$B$9,300)/10,0)*10</f>
        <v>80</v>
      </c>
      <c r="AQ28" s="10">
        <f>ROUNDDOWN(MIN(IF(AK28=0,1000000000,AO28*'Parametros'!$B$11*'Parametros'!$B$4*MIN(U28,AB28)/(AK28*1000)),IF(AV28=0,1000000000,'Parametros'!$B$11/AV28),MIN(U28,AB28)/2,600)/10,0)*10</f>
        <v>170</v>
      </c>
      <c r="AR28" s="10">
        <f>'Parametros'!$B$6*(AJ28+AO28*'Parametros'!$B$11*'Parametros'!$B$4*MIN(U28,AB28)/AP28/1000)</f>
        <v>260.860380287796</v>
      </c>
      <c r="AS28" s="10" t="str">
        <f>IF(AND(AM28="CUMPLE",AR28&gt;=AI28),"CUMPLE","NO CUMPLE")</f>
        <v>CUMPLE</v>
      </c>
      <c r="AT28" s="10">
        <f>'Parametros'!$B$6*0.083*SQRT('Parametros'!$B$2)*(H28*I28)^2/(2*(H28+I28))/1000000</f>
        <v>3.38807353605471</v>
      </c>
      <c r="AU28" s="10" t="str">
        <f>IF(Q28&lt;=AT28,"DESPRECIABLE","DISEÑAR")</f>
        <v>DESPRECIABLE</v>
      </c>
      <c r="AV28" s="10">
        <f>IF(Q28&lt;=AT28,0,Q28*1000000/('Parametros'!$B$6*2*0.85*(H28-2*'Parametros'!$B$7)*(I28-2*'Parametros'!$B$7)*'Parametros'!$B$4))</f>
        <v>0</v>
      </c>
      <c r="AW28" s="10">
        <f>AV28*2*((H28-2*'Parametros'!$B$7)+(I28-2*'Parametros'!$B$7))*'Parametros'!$B$4/'Parametros'!$B$3</f>
        <v>0</v>
      </c>
      <c r="AX28" s="17" t="n">
        <v>0</v>
      </c>
      <c r="AY28" s="10" t="str">
        <f>IF(AV28=0,"DESPRECIABLE",IF('Parametros'!$B$11/AP28&gt;=AV28,"CUMPLE","NO CUMPLE"))</f>
        <v>DESPRECIABLE</v>
      </c>
      <c r="AZ28" s="10" t="str">
        <f>IF(AND(X28="CUMPLE",AE28="CUMPLE",AS28="CUMPLE",OR(AY28="CUMPLE",AY28="DESPRECIABLE")),IF(OR(F28&lt;&gt;H28,G28&lt;&gt;I28),"CUMPLE - REANALIZAR SAP","CUMPLE"),"NO CUMPLE")</f>
        <v>CUMPLE</v>
      </c>
    </row>
    <row r="29">
      <c r="A29" s="19" t="inlineStr">
        <is>
          <t>VC2</t>
        </is>
      </c>
      <c r="B29" s="19" t="inlineStr">
        <is>
          <t>96</t>
        </is>
      </c>
      <c r="C29" s="10" t="n">
        <v>1</v>
      </c>
      <c r="D29" s="10" t="n">
        <v>3.75</v>
      </c>
      <c r="E29" s="10" t="n">
        <v>3.75</v>
      </c>
      <c r="F29" s="10" t="n">
        <v>300</v>
      </c>
      <c r="G29" s="10" t="n">
        <v>400</v>
      </c>
      <c r="H29" s="15" t="n">
        <v>300</v>
      </c>
      <c r="I29" s="15" t="n">
        <v>400</v>
      </c>
      <c r="J29" s="16" t="n">
        <v>77.3095</v>
      </c>
      <c r="K29" s="10" t="inlineStr">
        <is>
          <t>96</t>
        </is>
      </c>
      <c r="L29" s="16" t="n">
        <v>68.8954</v>
      </c>
      <c r="M29" s="10" t="inlineStr">
        <is>
          <t>96</t>
        </is>
      </c>
      <c r="N29" s="16" t="n">
        <v>45.35</v>
      </c>
      <c r="O29" s="16" t="n">
        <v>196.001</v>
      </c>
      <c r="P29" s="10" t="inlineStr">
        <is>
          <t>96</t>
        </is>
      </c>
      <c r="Q29" s="16" t="n">
        <v>0.7631</v>
      </c>
      <c r="R29" s="10">
        <f>MAX(MAX(1.4/'Parametros'!$B$3,0.25*SQRT('Parametros'!$B$2)/'Parametros'!$B$3)*H29*U29,(0.85*'Parametros'!$B$2/'Parametros'!$B$3)*(1-SQRT(1-2*(J29*1000000/('Parametros'!$B$5*H29*U29^2))/(0.85*'Parametros'!$B$2)))*H29*U29)</f>
        <v>631.275205446724</v>
      </c>
      <c r="S29" s="17" t="n">
        <v>4</v>
      </c>
      <c r="T29" s="18" t="n">
        <v>1</v>
      </c>
      <c r="U29" s="10">
        <f>IF(T29=1,I29-('Parametros'!$B$7+'Parametros'!$B$9+'Parametros'!$B$12/2),I29-(ROUNDUP(S29/2,0)*('Parametros'!$B$7+'Parametros'!$B$9+'Parametros'!$B$12/2)+ROUNDDOWN(S29/2,0)*('Parametros'!$B$7+'Parametros'!$B$9+'Parametros'!$B$12/2+'Parametros'!$B$12+'Parametros'!$B$10))/S29)</f>
        <v>342.55</v>
      </c>
      <c r="V29" s="10">
        <f>S29*'Parametros'!$B$8</f>
        <v>796</v>
      </c>
      <c r="W29" s="10">
        <f>'Parametros'!$B$5*V29*'Parametros'!$B$3*(U29-(V29*'Parametros'!$B$3/(0.85*'Parametros'!$B$2*H29))/2)/1000000</f>
        <v>96.0248653411765</v>
      </c>
      <c r="X29" s="10" t="str">
        <f>IF(W29&gt;=J29,"CUMPLE","NO CUMPLE")</f>
        <v>CUMPLE</v>
      </c>
      <c r="Y29" s="10">
        <f>MAX(MAX(1.4/'Parametros'!$B$3,0.25*SQRT('Parametros'!$B$2)/'Parametros'!$B$3)*H29*AB29,(0.85*'Parametros'!$B$2/'Parametros'!$B$3)*(1-SQRT(1-2*(L29*1000000/('Parametros'!$B$5*H29*AB29^2))/(0.85*'Parametros'!$B$2)))*H29*AB29)</f>
        <v>558.897086186518</v>
      </c>
      <c r="Z29" s="17" t="n">
        <v>3</v>
      </c>
      <c r="AA29" s="18" t="n">
        <v>1</v>
      </c>
      <c r="AB29" s="10">
        <f>IF(AA29=1,I29-('Parametros'!$B$7+'Parametros'!$B$9+'Parametros'!$B$12/2),I29-(ROUNDUP(Z29/2,0)*('Parametros'!$B$7+'Parametros'!$B$9+'Parametros'!$B$12/2)+ROUNDDOWN(Z29/2,0)*('Parametros'!$B$7+'Parametros'!$B$9+'Parametros'!$B$12/2+'Parametros'!$B$12+'Parametros'!$B$10))/Z29)</f>
        <v>342.55</v>
      </c>
      <c r="AC29" s="10">
        <f>Z29*'Parametros'!$B$8</f>
        <v>597</v>
      </c>
      <c r="AD29" s="10">
        <f>'Parametros'!$B$5*AC29*'Parametros'!$B$3*(AB29-(AC29*'Parametros'!$B$3/(0.85*'Parametros'!$B$2*H29))/2)/1000000</f>
        <v>73.3394588294118</v>
      </c>
      <c r="AE29" s="10" t="str">
        <f>IF(AD29&gt;=L29,"CUMPLE","NO CUMPLE")</f>
        <v>CUMPLE</v>
      </c>
      <c r="AF29" s="10">
        <f>V29*1.25*'Parametros'!$B$3*(U29-(V29*1.25*'Parametros'!$B$3/(0.85*'Parametros'!$B$2*H29))/2)/1000000</f>
        <v>130.921924411765</v>
      </c>
      <c r="AG29" s="10">
        <f>AC29*1.25*'Parametros'!$B$3*(AB29-(AC29*1.25*'Parametros'!$B$3/(0.85*'Parametros'!$B$2*H29))/2)/1000000</f>
        <v>100.484515919118</v>
      </c>
      <c r="AH29" s="10">
        <f>N29+(AF29+AG29)/D29</f>
        <v>107.058384088235</v>
      </c>
      <c r="AI29" s="10">
        <f>MIN(O29,MAX(N29,AH29))</f>
        <v>107.058384088235</v>
      </c>
      <c r="AJ29" s="10">
        <f>0.17*SQRT('Parametros'!$B$2)*H29*MIN(U29,AB29)/1000</f>
        <v>92.4428153837279</v>
      </c>
      <c r="AK29" s="10">
        <f>MAX(AI29/'Parametros'!$B$6-AJ29,0)</f>
        <v>50.3016967339192</v>
      </c>
      <c r="AL29" s="10">
        <f>0.66*SQRT('Parametros'!$B$2)*H29*MIN(U29,AB29)/1000</f>
        <v>358.89563619565</v>
      </c>
      <c r="AM29" s="10" t="str">
        <f>IF(AK29&lt;=AL29,"CUMPLE","NO CUMPLE")</f>
        <v>CUMPLE</v>
      </c>
      <c r="AN29" s="15" t="inlineStr">
        <is>
          <t>Nº3 cerrado</t>
        </is>
      </c>
      <c r="AO29" s="17" t="n">
        <v>2</v>
      </c>
      <c r="AP29" s="10">
        <f>ROUNDDOWN(MIN(IF(AK29=0,1000000000,AO29*'Parametros'!$B$11*'Parametros'!$B$4*MIN(U29,AB29)/(AK29*1000)),IF(AV29=0,1000000000,'Parametros'!$B$11/AV29),MIN(U29,AB29)/4,8*'Parametros'!$B$12,24*'Parametros'!$B$9,300)/10,0)*10</f>
        <v>80</v>
      </c>
      <c r="AQ29" s="10">
        <f>ROUNDDOWN(MIN(IF(AK29=0,1000000000,AO29*'Parametros'!$B$11*'Parametros'!$B$4*MIN(U29,AB29)/(AK29*1000)),IF(AV29=0,1000000000,'Parametros'!$B$11/AV29),MIN(U29,AB29)/2,600)/10,0)*10</f>
        <v>170</v>
      </c>
      <c r="AR29" s="10">
        <f>'Parametros'!$B$6*(AJ29+AO29*'Parametros'!$B$11*'Parametros'!$B$4*MIN(U29,AB29)/AP29/1000)</f>
        <v>260.860380287796</v>
      </c>
      <c r="AS29" s="10" t="str">
        <f>IF(AND(AM29="CUMPLE",AR29&gt;=AI29),"CUMPLE","NO CUMPLE")</f>
        <v>CUMPLE</v>
      </c>
      <c r="AT29" s="10">
        <f>'Parametros'!$B$6*0.083*SQRT('Parametros'!$B$2)*(H29*I29)^2/(2*(H29+I29))/1000000</f>
        <v>3.38807353605471</v>
      </c>
      <c r="AU29" s="10" t="str">
        <f>IF(Q29&lt;=AT29,"DESPRECIABLE","DISEÑAR")</f>
        <v>DESPRECIABLE</v>
      </c>
      <c r="AV29" s="10">
        <f>IF(Q29&lt;=AT29,0,Q29*1000000/('Parametros'!$B$6*2*0.85*(H29-2*'Parametros'!$B$7)*(I29-2*'Parametros'!$B$7)*'Parametros'!$B$4))</f>
        <v>0</v>
      </c>
      <c r="AW29" s="10">
        <f>AV29*2*((H29-2*'Parametros'!$B$7)+(I29-2*'Parametros'!$B$7))*'Parametros'!$B$4/'Parametros'!$B$3</f>
        <v>0</v>
      </c>
      <c r="AX29" s="17" t="n">
        <v>0</v>
      </c>
      <c r="AY29" s="10" t="str">
        <f>IF(AV29=0,"DESPRECIABLE",IF('Parametros'!$B$11/AP29&gt;=AV29,"CUMPLE","NO CUMPLE"))</f>
        <v>DESPRECIABLE</v>
      </c>
      <c r="AZ29" s="10" t="str">
        <f>IF(AND(X29="CUMPLE",AE29="CUMPLE",AS29="CUMPLE",OR(AY29="CUMPLE",AY29="DESPRECIABLE")),IF(OR(F29&lt;&gt;H29,G29&lt;&gt;I29),"CUMPLE - REANALIZAR SAP","CUMPLE"),"NO CUMPLE")</f>
        <v>CUMPLE</v>
      </c>
    </row>
    <row r="30">
      <c r="A30" s="19" t="inlineStr">
        <is>
          <t>VC2</t>
        </is>
      </c>
      <c r="B30" s="19" t="inlineStr">
        <is>
          <t>97</t>
        </is>
      </c>
      <c r="C30" s="10" t="n">
        <v>1</v>
      </c>
      <c r="D30" s="10" t="n">
        <v>3.75</v>
      </c>
      <c r="E30" s="10" t="n">
        <v>3.75</v>
      </c>
      <c r="F30" s="10" t="n">
        <v>300</v>
      </c>
      <c r="G30" s="10" t="n">
        <v>400</v>
      </c>
      <c r="H30" s="15" t="n">
        <v>300</v>
      </c>
      <c r="I30" s="15" t="n">
        <v>400</v>
      </c>
      <c r="J30" s="16" t="n">
        <v>77.3113</v>
      </c>
      <c r="K30" s="10" t="inlineStr">
        <is>
          <t>97</t>
        </is>
      </c>
      <c r="L30" s="16" t="n">
        <v>68.8968</v>
      </c>
      <c r="M30" s="10" t="inlineStr">
        <is>
          <t>97</t>
        </is>
      </c>
      <c r="N30" s="16" t="n">
        <v>45.351</v>
      </c>
      <c r="O30" s="16" t="n">
        <v>196.007</v>
      </c>
      <c r="P30" s="10" t="inlineStr">
        <is>
          <t>97</t>
        </is>
      </c>
      <c r="Q30" s="16" t="n">
        <v>0.7629</v>
      </c>
      <c r="R30" s="10">
        <f>MAX(MAX(1.4/'Parametros'!$B$3,0.25*SQRT('Parametros'!$B$2)/'Parametros'!$B$3)*H30*U30,(0.85*'Parametros'!$B$2/'Parametros'!$B$3)*(1-SQRT(1-2*(J30*1000000/('Parametros'!$B$5*H30*U30^2))/(0.85*'Parametros'!$B$2)))*H30*U30)</f>
        <v>631.290796998406</v>
      </c>
      <c r="S30" s="17" t="n">
        <v>4</v>
      </c>
      <c r="T30" s="18" t="n">
        <v>1</v>
      </c>
      <c r="U30" s="10">
        <f>IF(T30=1,I30-('Parametros'!$B$7+'Parametros'!$B$9+'Parametros'!$B$12/2),I30-(ROUNDUP(S30/2,0)*('Parametros'!$B$7+'Parametros'!$B$9+'Parametros'!$B$12/2)+ROUNDDOWN(S30/2,0)*('Parametros'!$B$7+'Parametros'!$B$9+'Parametros'!$B$12/2+'Parametros'!$B$12+'Parametros'!$B$10))/S30)</f>
        <v>342.55</v>
      </c>
      <c r="V30" s="10">
        <f>S30*'Parametros'!$B$8</f>
        <v>796</v>
      </c>
      <c r="W30" s="10">
        <f>'Parametros'!$B$5*V30*'Parametros'!$B$3*(U30-(V30*'Parametros'!$B$3/(0.85*'Parametros'!$B$2*H30))/2)/1000000</f>
        <v>96.0248653411765</v>
      </c>
      <c r="X30" s="10" t="str">
        <f>IF(W30&gt;=J30,"CUMPLE","NO CUMPLE")</f>
        <v>CUMPLE</v>
      </c>
      <c r="Y30" s="10">
        <f>MAX(MAX(1.4/'Parametros'!$B$3,0.25*SQRT('Parametros'!$B$2)/'Parametros'!$B$3)*H30*AB30,(0.85*'Parametros'!$B$2/'Parametros'!$B$3)*(1-SQRT(1-2*(L30*1000000/('Parametros'!$B$5*H30*AB30^2))/(0.85*'Parametros'!$B$2)))*H30*AB30)</f>
        <v>558.90904622026</v>
      </c>
      <c r="Z30" s="17" t="n">
        <v>3</v>
      </c>
      <c r="AA30" s="18" t="n">
        <v>1</v>
      </c>
      <c r="AB30" s="10">
        <f>IF(AA30=1,I30-('Parametros'!$B$7+'Parametros'!$B$9+'Parametros'!$B$12/2),I30-(ROUNDUP(Z30/2,0)*('Parametros'!$B$7+'Parametros'!$B$9+'Parametros'!$B$12/2)+ROUNDDOWN(Z30/2,0)*('Parametros'!$B$7+'Parametros'!$B$9+'Parametros'!$B$12/2+'Parametros'!$B$12+'Parametros'!$B$10))/Z30)</f>
        <v>342.55</v>
      </c>
      <c r="AC30" s="10">
        <f>Z30*'Parametros'!$B$8</f>
        <v>597</v>
      </c>
      <c r="AD30" s="10">
        <f>'Parametros'!$B$5*AC30*'Parametros'!$B$3*(AB30-(AC30*'Parametros'!$B$3/(0.85*'Parametros'!$B$2*H30))/2)/1000000</f>
        <v>73.3394588294118</v>
      </c>
      <c r="AE30" s="10" t="str">
        <f>IF(AD30&gt;=L30,"CUMPLE","NO CUMPLE")</f>
        <v>CUMPLE</v>
      </c>
      <c r="AF30" s="10">
        <f>V30*1.25*'Parametros'!$B$3*(U30-(V30*1.25*'Parametros'!$B$3/(0.85*'Parametros'!$B$2*H30))/2)/1000000</f>
        <v>130.921924411765</v>
      </c>
      <c r="AG30" s="10">
        <f>AC30*1.25*'Parametros'!$B$3*(AB30-(AC30*1.25*'Parametros'!$B$3/(0.85*'Parametros'!$B$2*H30))/2)/1000000</f>
        <v>100.484515919118</v>
      </c>
      <c r="AH30" s="10">
        <f>N30+(AF30+AG30)/D30</f>
        <v>107.059384088235</v>
      </c>
      <c r="AI30" s="10">
        <f>MIN(O30,MAX(N30,AH30))</f>
        <v>107.059384088235</v>
      </c>
      <c r="AJ30" s="10">
        <f>0.17*SQRT('Parametros'!$B$2)*H30*MIN(U30,AB30)/1000</f>
        <v>92.4428153837279</v>
      </c>
      <c r="AK30" s="10">
        <f>MAX(AI30/'Parametros'!$B$6-AJ30,0)</f>
        <v>50.3030300672525</v>
      </c>
      <c r="AL30" s="10">
        <f>0.66*SQRT('Parametros'!$B$2)*H30*MIN(U30,AB30)/1000</f>
        <v>358.89563619565</v>
      </c>
      <c r="AM30" s="10" t="str">
        <f>IF(AK30&lt;=AL30,"CUMPLE","NO CUMPLE")</f>
        <v>CUMPLE</v>
      </c>
      <c r="AN30" s="15" t="inlineStr">
        <is>
          <t>Nº3 cerrado</t>
        </is>
      </c>
      <c r="AO30" s="17" t="n">
        <v>2</v>
      </c>
      <c r="AP30" s="10">
        <f>ROUNDDOWN(MIN(IF(AK30=0,1000000000,AO30*'Parametros'!$B$11*'Parametros'!$B$4*MIN(U30,AB30)/(AK30*1000)),IF(AV30=0,1000000000,'Parametros'!$B$11/AV30),MIN(U30,AB30)/4,8*'Parametros'!$B$12,24*'Parametros'!$B$9,300)/10,0)*10</f>
        <v>80</v>
      </c>
      <c r="AQ30" s="10">
        <f>ROUNDDOWN(MIN(IF(AK30=0,1000000000,AO30*'Parametros'!$B$11*'Parametros'!$B$4*MIN(U30,AB30)/(AK30*1000)),IF(AV30=0,1000000000,'Parametros'!$B$11/AV30),MIN(U30,AB30)/2,600)/10,0)*10</f>
        <v>170</v>
      </c>
      <c r="AR30" s="10">
        <f>'Parametros'!$B$6*(AJ30+AO30*'Parametros'!$B$11*'Parametros'!$B$4*MIN(U30,AB30)/AP30/1000)</f>
        <v>260.860380287796</v>
      </c>
      <c r="AS30" s="10" t="str">
        <f>IF(AND(AM30="CUMPLE",AR30&gt;=AI30),"CUMPLE","NO CUMPLE")</f>
        <v>CUMPLE</v>
      </c>
      <c r="AT30" s="10">
        <f>'Parametros'!$B$6*0.083*SQRT('Parametros'!$B$2)*(H30*I30)^2/(2*(H30+I30))/1000000</f>
        <v>3.38807353605471</v>
      </c>
      <c r="AU30" s="10" t="str">
        <f>IF(Q30&lt;=AT30,"DESPRECIABLE","DISEÑAR")</f>
        <v>DESPRECIABLE</v>
      </c>
      <c r="AV30" s="10">
        <f>IF(Q30&lt;=AT30,0,Q30*1000000/('Parametros'!$B$6*2*0.85*(H30-2*'Parametros'!$B$7)*(I30-2*'Parametros'!$B$7)*'Parametros'!$B$4))</f>
        <v>0</v>
      </c>
      <c r="AW30" s="10">
        <f>AV30*2*((H30-2*'Parametros'!$B$7)+(I30-2*'Parametros'!$B$7))*'Parametros'!$B$4/'Parametros'!$B$3</f>
        <v>0</v>
      </c>
      <c r="AX30" s="17" t="n">
        <v>0</v>
      </c>
      <c r="AY30" s="10" t="str">
        <f>IF(AV30=0,"DESPRECIABLE",IF('Parametros'!$B$11/AP30&gt;=AV30,"CUMPLE","NO CUMPLE"))</f>
        <v>DESPRECIABLE</v>
      </c>
      <c r="AZ30" s="10" t="str">
        <f>IF(AND(X30="CUMPLE",AE30="CUMPLE",AS30="CUMPLE",OR(AY30="CUMPLE",AY30="DESPRECIABLE")),IF(OR(F30&lt;&gt;H30,G30&lt;&gt;I30),"CUMPLE - REANALIZAR SAP","CUMPLE"),"NO CUMPLE")</f>
        <v>CUMPLE</v>
      </c>
    </row>
    <row r="31">
      <c r="A31" s="19" t="inlineStr">
        <is>
          <t>VC2</t>
        </is>
      </c>
      <c r="B31" s="19" t="inlineStr">
        <is>
          <t>98</t>
        </is>
      </c>
      <c r="C31" s="10" t="n">
        <v>1</v>
      </c>
      <c r="D31" s="10" t="n">
        <v>3.75</v>
      </c>
      <c r="E31" s="10" t="n">
        <v>3.75</v>
      </c>
      <c r="F31" s="10" t="n">
        <v>300</v>
      </c>
      <c r="G31" s="10" t="n">
        <v>400</v>
      </c>
      <c r="H31" s="15" t="n">
        <v>300</v>
      </c>
      <c r="I31" s="15" t="n">
        <v>400</v>
      </c>
      <c r="J31" s="16" t="n">
        <v>77.29089999999999</v>
      </c>
      <c r="K31" s="10" t="inlineStr">
        <is>
          <t>98</t>
        </is>
      </c>
      <c r="L31" s="16" t="n">
        <v>68.87609999999999</v>
      </c>
      <c r="M31" s="10" t="inlineStr">
        <is>
          <t>98</t>
        </is>
      </c>
      <c r="N31" s="16" t="n">
        <v>45.34</v>
      </c>
      <c r="O31" s="16" t="n">
        <v>195.997</v>
      </c>
      <c r="P31" s="10" t="inlineStr">
        <is>
          <t>98</t>
        </is>
      </c>
      <c r="Q31" s="16" t="n">
        <v>0.7625</v>
      </c>
      <c r="R31" s="10">
        <f>MAX(MAX(1.4/'Parametros'!$B$3,0.25*SQRT('Parametros'!$B$2)/'Parametros'!$B$3)*H31*U31,(0.85*'Parametros'!$B$2/'Parametros'!$B$3)*(1-SQRT(1-2*(J31*1000000/('Parametros'!$B$5*H31*U31^2))/(0.85*'Parametros'!$B$2)))*H31*U31)</f>
        <v>631.114095487526</v>
      </c>
      <c r="S31" s="17" t="n">
        <v>4</v>
      </c>
      <c r="T31" s="18" t="n">
        <v>1</v>
      </c>
      <c r="U31" s="10">
        <f>IF(T31=1,I31-('Parametros'!$B$7+'Parametros'!$B$9+'Parametros'!$B$12/2),I31-(ROUNDUP(S31/2,0)*('Parametros'!$B$7+'Parametros'!$B$9+'Parametros'!$B$12/2)+ROUNDDOWN(S31/2,0)*('Parametros'!$B$7+'Parametros'!$B$9+'Parametros'!$B$12/2+'Parametros'!$B$12+'Parametros'!$B$10))/S31)</f>
        <v>342.55</v>
      </c>
      <c r="V31" s="10">
        <f>S31*'Parametros'!$B$8</f>
        <v>796</v>
      </c>
      <c r="W31" s="10">
        <f>'Parametros'!$B$5*V31*'Parametros'!$B$3*(U31-(V31*'Parametros'!$B$3/(0.85*'Parametros'!$B$2*H31))/2)/1000000</f>
        <v>96.0248653411765</v>
      </c>
      <c r="X31" s="10" t="str">
        <f>IF(W31&gt;=J31,"CUMPLE","NO CUMPLE")</f>
        <v>CUMPLE</v>
      </c>
      <c r="Y31" s="10">
        <f>MAX(MAX(1.4/'Parametros'!$B$3,0.25*SQRT('Parametros'!$B$2)/'Parametros'!$B$3)*H31*AB31,(0.85*'Parametros'!$B$2/'Parametros'!$B$3)*(1-SQRT(1-2*(L31*1000000/('Parametros'!$B$5*H31*AB31^2))/(0.85*'Parametros'!$B$2)))*H31*AB31)</f>
        <v>558.732211347604</v>
      </c>
      <c r="Z31" s="17" t="n">
        <v>3</v>
      </c>
      <c r="AA31" s="18" t="n">
        <v>1</v>
      </c>
      <c r="AB31" s="10">
        <f>IF(AA31=1,I31-('Parametros'!$B$7+'Parametros'!$B$9+'Parametros'!$B$12/2),I31-(ROUNDUP(Z31/2,0)*('Parametros'!$B$7+'Parametros'!$B$9+'Parametros'!$B$12/2)+ROUNDDOWN(Z31/2,0)*('Parametros'!$B$7+'Parametros'!$B$9+'Parametros'!$B$12/2+'Parametros'!$B$12+'Parametros'!$B$10))/Z31)</f>
        <v>342.55</v>
      </c>
      <c r="AC31" s="10">
        <f>Z31*'Parametros'!$B$8</f>
        <v>597</v>
      </c>
      <c r="AD31" s="10">
        <f>'Parametros'!$B$5*AC31*'Parametros'!$B$3*(AB31-(AC31*'Parametros'!$B$3/(0.85*'Parametros'!$B$2*H31))/2)/1000000</f>
        <v>73.3394588294118</v>
      </c>
      <c r="AE31" s="10" t="str">
        <f>IF(AD31&gt;=L31,"CUMPLE","NO CUMPLE")</f>
        <v>CUMPLE</v>
      </c>
      <c r="AF31" s="10">
        <f>V31*1.25*'Parametros'!$B$3*(U31-(V31*1.25*'Parametros'!$B$3/(0.85*'Parametros'!$B$2*H31))/2)/1000000</f>
        <v>130.921924411765</v>
      </c>
      <c r="AG31" s="10">
        <f>AC31*1.25*'Parametros'!$B$3*(AB31-(AC31*1.25*'Parametros'!$B$3/(0.85*'Parametros'!$B$2*H31))/2)/1000000</f>
        <v>100.484515919118</v>
      </c>
      <c r="AH31" s="10">
        <f>N31+(AF31+AG31)/D31</f>
        <v>107.048384088235</v>
      </c>
      <c r="AI31" s="10">
        <f>MIN(O31,MAX(N31,AH31))</f>
        <v>107.048384088235</v>
      </c>
      <c r="AJ31" s="10">
        <f>0.17*SQRT('Parametros'!$B$2)*H31*MIN(U31,AB31)/1000</f>
        <v>92.4428153837279</v>
      </c>
      <c r="AK31" s="10">
        <f>MAX(AI31/'Parametros'!$B$6-AJ31,0)</f>
        <v>50.2883634005858</v>
      </c>
      <c r="AL31" s="10">
        <f>0.66*SQRT('Parametros'!$B$2)*H31*MIN(U31,AB31)/1000</f>
        <v>358.89563619565</v>
      </c>
      <c r="AM31" s="10" t="str">
        <f>IF(AK31&lt;=AL31,"CUMPLE","NO CUMPLE")</f>
        <v>CUMPLE</v>
      </c>
      <c r="AN31" s="15" t="inlineStr">
        <is>
          <t>Nº3 cerrado</t>
        </is>
      </c>
      <c r="AO31" s="17" t="n">
        <v>2</v>
      </c>
      <c r="AP31" s="10">
        <f>ROUNDDOWN(MIN(IF(AK31=0,1000000000,AO31*'Parametros'!$B$11*'Parametros'!$B$4*MIN(U31,AB31)/(AK31*1000)),IF(AV31=0,1000000000,'Parametros'!$B$11/AV31),MIN(U31,AB31)/4,8*'Parametros'!$B$12,24*'Parametros'!$B$9,300)/10,0)*10</f>
        <v>80</v>
      </c>
      <c r="AQ31" s="10">
        <f>ROUNDDOWN(MIN(IF(AK31=0,1000000000,AO31*'Parametros'!$B$11*'Parametros'!$B$4*MIN(U31,AB31)/(AK31*1000)),IF(AV31=0,1000000000,'Parametros'!$B$11/AV31),MIN(U31,AB31)/2,600)/10,0)*10</f>
        <v>170</v>
      </c>
      <c r="AR31" s="10">
        <f>'Parametros'!$B$6*(AJ31+AO31*'Parametros'!$B$11*'Parametros'!$B$4*MIN(U31,AB31)/AP31/1000)</f>
        <v>260.860380287796</v>
      </c>
      <c r="AS31" s="10" t="str">
        <f>IF(AND(AM31="CUMPLE",AR31&gt;=AI31),"CUMPLE","NO CUMPLE")</f>
        <v>CUMPLE</v>
      </c>
      <c r="AT31" s="10">
        <f>'Parametros'!$B$6*0.083*SQRT('Parametros'!$B$2)*(H31*I31)^2/(2*(H31+I31))/1000000</f>
        <v>3.38807353605471</v>
      </c>
      <c r="AU31" s="10" t="str">
        <f>IF(Q31&lt;=AT31,"DESPRECIABLE","DISEÑAR")</f>
        <v>DESPRECIABLE</v>
      </c>
      <c r="AV31" s="10">
        <f>IF(Q31&lt;=AT31,0,Q31*1000000/('Parametros'!$B$6*2*0.85*(H31-2*'Parametros'!$B$7)*(I31-2*'Parametros'!$B$7)*'Parametros'!$B$4))</f>
        <v>0</v>
      </c>
      <c r="AW31" s="10">
        <f>AV31*2*((H31-2*'Parametros'!$B$7)+(I31-2*'Parametros'!$B$7))*'Parametros'!$B$4/'Parametros'!$B$3</f>
        <v>0</v>
      </c>
      <c r="AX31" s="17" t="n">
        <v>0</v>
      </c>
      <c r="AY31" s="10" t="str">
        <f>IF(AV31=0,"DESPRECIABLE",IF('Parametros'!$B$11/AP31&gt;=AV31,"CUMPLE","NO CUMPLE"))</f>
        <v>DESPRECIABLE</v>
      </c>
      <c r="AZ31" s="10" t="str">
        <f>IF(AND(X31="CUMPLE",AE31="CUMPLE",AS31="CUMPLE",OR(AY31="CUMPLE",AY31="DESPRECIABLE")),IF(OR(F31&lt;&gt;H31,G31&lt;&gt;I31),"CUMPLE - REANALIZAR SAP","CUMPLE"),"NO CUMPLE")</f>
        <v>CUMPLE</v>
      </c>
    </row>
    <row r="32">
      <c r="A32" s="19" t="inlineStr">
        <is>
          <t>VC2</t>
        </is>
      </c>
      <c r="B32" s="19" t="inlineStr">
        <is>
          <t>255</t>
        </is>
      </c>
      <c r="C32" s="10" t="n">
        <v>1</v>
      </c>
      <c r="D32" s="10" t="n">
        <v>4</v>
      </c>
      <c r="E32" s="10" t="n">
        <v>4</v>
      </c>
      <c r="F32" s="10" t="n">
        <v>300</v>
      </c>
      <c r="G32" s="10" t="n">
        <v>400</v>
      </c>
      <c r="H32" s="15" t="n">
        <v>300</v>
      </c>
      <c r="I32" s="15" t="n">
        <v>400</v>
      </c>
      <c r="J32" s="16" t="n">
        <v>68.23950000000001</v>
      </c>
      <c r="K32" s="10" t="inlineStr">
        <is>
          <t>255</t>
        </is>
      </c>
      <c r="L32" s="16" t="n">
        <v>61.9289</v>
      </c>
      <c r="M32" s="10" t="inlineStr">
        <is>
          <t>255</t>
        </is>
      </c>
      <c r="N32" s="16" t="n">
        <v>38.386</v>
      </c>
      <c r="O32" s="16" t="n">
        <v>163.53</v>
      </c>
      <c r="P32" s="10" t="inlineStr">
        <is>
          <t>255</t>
        </is>
      </c>
      <c r="Q32" s="16" t="n">
        <v>3.4393</v>
      </c>
      <c r="R32" s="10">
        <f>MAX(MAX(1.4/'Parametros'!$B$3,0.25*SQRT('Parametros'!$B$2)/'Parametros'!$B$3)*H32*U32,(0.85*'Parametros'!$B$2/'Parametros'!$B$3)*(1-SQRT(1-2*(J32*1000000/('Parametros'!$B$5*H32*U32^2))/(0.85*'Parametros'!$B$2)))*H32*U32)</f>
        <v>553.296795519465</v>
      </c>
      <c r="S32" s="17" t="n">
        <v>3</v>
      </c>
      <c r="T32" s="18" t="n">
        <v>1</v>
      </c>
      <c r="U32" s="10">
        <f>IF(T32=1,I32-('Parametros'!$B$7+'Parametros'!$B$9+'Parametros'!$B$12/2),I32-(ROUNDUP(S32/2,0)*('Parametros'!$B$7+'Parametros'!$B$9+'Parametros'!$B$12/2)+ROUNDDOWN(S32/2,0)*('Parametros'!$B$7+'Parametros'!$B$9+'Parametros'!$B$12/2+'Parametros'!$B$12+'Parametros'!$B$10))/S32)</f>
        <v>342.55</v>
      </c>
      <c r="V32" s="10">
        <f>S32*'Parametros'!$B$8</f>
        <v>597</v>
      </c>
      <c r="W32" s="10">
        <f>'Parametros'!$B$5*V32*'Parametros'!$B$3*(U32-(V32*'Parametros'!$B$3/(0.85*'Parametros'!$B$2*H32))/2)/1000000</f>
        <v>73.3394588294118</v>
      </c>
      <c r="X32" s="10" t="str">
        <f>IF(W32&gt;=J32,"CUMPLE","NO CUMPLE")</f>
        <v>CUMPLE</v>
      </c>
      <c r="Y32" s="10">
        <f>MAX(MAX(1.4/'Parametros'!$B$3,0.25*SQRT('Parametros'!$B$2)/'Parametros'!$B$3)*H32*AB32,(0.85*'Parametros'!$B$2/'Parametros'!$B$3)*(1-SQRT(1-2*(L32*1000000/('Parametros'!$B$5*H32*AB32^2))/(0.85*'Parametros'!$B$2)))*H32*AB32)</f>
        <v>499.715819867441</v>
      </c>
      <c r="Z32" s="17" t="n">
        <v>3</v>
      </c>
      <c r="AA32" s="18" t="n">
        <v>1</v>
      </c>
      <c r="AB32" s="10">
        <f>IF(AA32=1,I32-('Parametros'!$B$7+'Parametros'!$B$9+'Parametros'!$B$12/2),I32-(ROUNDUP(Z32/2,0)*('Parametros'!$B$7+'Parametros'!$B$9+'Parametros'!$B$12/2)+ROUNDDOWN(Z32/2,0)*('Parametros'!$B$7+'Parametros'!$B$9+'Parametros'!$B$12/2+'Parametros'!$B$12+'Parametros'!$B$10))/Z32)</f>
        <v>342.55</v>
      </c>
      <c r="AC32" s="10">
        <f>Z32*'Parametros'!$B$8</f>
        <v>597</v>
      </c>
      <c r="AD32" s="10">
        <f>'Parametros'!$B$5*AC32*'Parametros'!$B$3*(AB32-(AC32*'Parametros'!$B$3/(0.85*'Parametros'!$B$2*H32))/2)/1000000</f>
        <v>73.3394588294118</v>
      </c>
      <c r="AE32" s="10" t="str">
        <f>IF(AD32&gt;=L32,"CUMPLE","NO CUMPLE")</f>
        <v>CUMPLE</v>
      </c>
      <c r="AF32" s="10">
        <f>V32*1.25*'Parametros'!$B$3*(U32-(V32*1.25*'Parametros'!$B$3/(0.85*'Parametros'!$B$2*H32))/2)/1000000</f>
        <v>100.484515919118</v>
      </c>
      <c r="AG32" s="10">
        <f>AC32*1.25*'Parametros'!$B$3*(AB32-(AC32*1.25*'Parametros'!$B$3/(0.85*'Parametros'!$B$2*H32))/2)/1000000</f>
        <v>100.484515919118</v>
      </c>
      <c r="AH32" s="10">
        <f>N32+(AF32+AG32)/D32</f>
        <v>88.6282579595588</v>
      </c>
      <c r="AI32" s="10">
        <f>MIN(O32,MAX(N32,AH32))</f>
        <v>88.6282579595588</v>
      </c>
      <c r="AJ32" s="10">
        <f>0.17*SQRT('Parametros'!$B$2)*H32*MIN(U32,AB32)/1000</f>
        <v>92.4428153837279</v>
      </c>
      <c r="AK32" s="10">
        <f>MAX(AI32/'Parametros'!$B$6-AJ32,0)</f>
        <v>25.7281952290172</v>
      </c>
      <c r="AL32" s="10">
        <f>0.66*SQRT('Parametros'!$B$2)*H32*MIN(U32,AB32)/1000</f>
        <v>358.89563619565</v>
      </c>
      <c r="AM32" s="10" t="str">
        <f>IF(AK32&lt;=AL32,"CUMPLE","NO CUMPLE")</f>
        <v>CUMPLE</v>
      </c>
      <c r="AN32" s="15" t="inlineStr">
        <is>
          <t>Nº3 cerrado</t>
        </is>
      </c>
      <c r="AO32" s="17" t="n">
        <v>2</v>
      </c>
      <c r="AP32" s="10">
        <f>ROUNDDOWN(MIN(IF(AK32=0,1000000000,AO32*'Parametros'!$B$11*'Parametros'!$B$4*MIN(U32,AB32)/(AK32*1000)),IF(AV32=0,1000000000,'Parametros'!$B$11/AV32),MIN(U32,AB32)/4,8*'Parametros'!$B$12,24*'Parametros'!$B$9,300)/10,0)*10</f>
        <v>80</v>
      </c>
      <c r="AQ32" s="10">
        <f>ROUNDDOWN(MIN(IF(AK32=0,1000000000,AO32*'Parametros'!$B$11*'Parametros'!$B$4*MIN(U32,AB32)/(AK32*1000)),IF(AV32=0,1000000000,'Parametros'!$B$11/AV32),MIN(U32,AB32)/2,600)/10,0)*10</f>
        <v>170</v>
      </c>
      <c r="AR32" s="10">
        <f>'Parametros'!$B$6*(AJ32+AO32*'Parametros'!$B$11*'Parametros'!$B$4*MIN(U32,AB32)/AP32/1000)</f>
        <v>260.860380287796</v>
      </c>
      <c r="AS32" s="10" t="str">
        <f>IF(AND(AM32="CUMPLE",AR32&gt;=AI32),"CUMPLE","NO CUMPLE")</f>
        <v>CUMPLE</v>
      </c>
      <c r="AT32" s="10">
        <f>'Parametros'!$B$6*0.083*SQRT('Parametros'!$B$2)*(H32*I32)^2/(2*(H32+I32))/1000000</f>
        <v>3.38807353605471</v>
      </c>
      <c r="AU32" s="10" t="str">
        <f>IF(Q32&lt;=AT32,"DESPRECIABLE","DISEÑAR")</f>
        <v>DISEÑAR</v>
      </c>
      <c r="AV32" s="10">
        <f>IF(Q32&lt;=AT32,0,Q32*1000000/('Parametros'!$B$6*2*0.85*(H32-2*'Parametros'!$B$7)*(I32-2*'Parametros'!$B$7)*'Parametros'!$B$4))</f>
        <v>0.0912300526271115</v>
      </c>
      <c r="AW32" s="10">
        <f>AV32*2*((H32-2*'Parametros'!$B$7)+(I32-2*'Parametros'!$B$7))*'Parametros'!$B$4/'Parametros'!$B$3</f>
        <v>98.5284568372804</v>
      </c>
      <c r="AX32" s="17" t="n">
        <v>1</v>
      </c>
      <c r="AY32" s="10" t="str">
        <f>IF(AV32=0,"DESPRECIABLE",IF('Parametros'!$B$11/AP32&gt;=AV32,"CUMPLE","NO CUMPLE"))</f>
        <v>CUMPLE</v>
      </c>
      <c r="AZ32" s="10" t="str">
        <f>IF(AND(X32="CUMPLE",AE32="CUMPLE",AS32="CUMPLE",OR(AY32="CUMPLE",AY32="DESPRECIABLE")),IF(OR(F32&lt;&gt;H32,G32&lt;&gt;I32),"CUMPLE - REANALIZAR SAP","CUMPLE"),"NO CUMPLE")</f>
        <v>CUMPLE</v>
      </c>
    </row>
    <row r="33">
      <c r="A33" s="19" t="inlineStr">
        <is>
          <t>VC2</t>
        </is>
      </c>
      <c r="B33" s="19" t="inlineStr">
        <is>
          <t>256</t>
        </is>
      </c>
      <c r="C33" s="10" t="n">
        <v>1</v>
      </c>
      <c r="D33" s="10" t="n">
        <v>4</v>
      </c>
      <c r="E33" s="10" t="n">
        <v>4</v>
      </c>
      <c r="F33" s="10" t="n">
        <v>300</v>
      </c>
      <c r="G33" s="10" t="n">
        <v>400</v>
      </c>
      <c r="H33" s="15" t="n">
        <v>300</v>
      </c>
      <c r="I33" s="15" t="n">
        <v>400</v>
      </c>
      <c r="J33" s="16" t="n">
        <v>68.21729999999999</v>
      </c>
      <c r="K33" s="10" t="inlineStr">
        <is>
          <t>256</t>
        </is>
      </c>
      <c r="L33" s="16" t="n">
        <v>61.9421</v>
      </c>
      <c r="M33" s="10" t="inlineStr">
        <is>
          <t>256</t>
        </is>
      </c>
      <c r="N33" s="16" t="n">
        <v>38.397</v>
      </c>
      <c r="O33" s="16" t="n">
        <v>163.541</v>
      </c>
      <c r="P33" s="10" t="inlineStr">
        <is>
          <t>256</t>
        </is>
      </c>
      <c r="Q33" s="16" t="n">
        <v>3.4394</v>
      </c>
      <c r="R33" s="10">
        <f>MAX(MAX(1.4/'Parametros'!$B$3,0.25*SQRT('Parametros'!$B$2)/'Parametros'!$B$3)*H33*U33,(0.85*'Parametros'!$B$2/'Parametros'!$B$3)*(1-SQRT(1-2*(J33*1000000/('Parametros'!$B$5*H33*U33^2))/(0.85*'Parametros'!$B$2)))*H33*U33)</f>
        <v>553.107348712265</v>
      </c>
      <c r="S33" s="17" t="n">
        <v>3</v>
      </c>
      <c r="T33" s="18" t="n">
        <v>1</v>
      </c>
      <c r="U33" s="10">
        <f>IF(T33=1,I33-('Parametros'!$B$7+'Parametros'!$B$9+'Parametros'!$B$12/2),I33-(ROUNDUP(S33/2,0)*('Parametros'!$B$7+'Parametros'!$B$9+'Parametros'!$B$12/2)+ROUNDDOWN(S33/2,0)*('Parametros'!$B$7+'Parametros'!$B$9+'Parametros'!$B$12/2+'Parametros'!$B$12+'Parametros'!$B$10))/S33)</f>
        <v>342.55</v>
      </c>
      <c r="V33" s="10">
        <f>S33*'Parametros'!$B$8</f>
        <v>597</v>
      </c>
      <c r="W33" s="10">
        <f>'Parametros'!$B$5*V33*'Parametros'!$B$3*(U33-(V33*'Parametros'!$B$3/(0.85*'Parametros'!$B$2*H33))/2)/1000000</f>
        <v>73.3394588294118</v>
      </c>
      <c r="X33" s="10" t="str">
        <f>IF(W33&gt;=J33,"CUMPLE","NO CUMPLE")</f>
        <v>CUMPLE</v>
      </c>
      <c r="Y33" s="10">
        <f>MAX(MAX(1.4/'Parametros'!$B$3,0.25*SQRT('Parametros'!$B$2)/'Parametros'!$B$3)*H33*AB33,(0.85*'Parametros'!$B$2/'Parametros'!$B$3)*(1-SQRT(1-2*(L33*1000000/('Parametros'!$B$5*H33*AB33^2))/(0.85*'Parametros'!$B$2)))*H33*AB33)</f>
        <v>499.827333354505</v>
      </c>
      <c r="Z33" s="17" t="n">
        <v>3</v>
      </c>
      <c r="AA33" s="18" t="n">
        <v>1</v>
      </c>
      <c r="AB33" s="10">
        <f>IF(AA33=1,I33-('Parametros'!$B$7+'Parametros'!$B$9+'Parametros'!$B$12/2),I33-(ROUNDUP(Z33/2,0)*('Parametros'!$B$7+'Parametros'!$B$9+'Parametros'!$B$12/2)+ROUNDDOWN(Z33/2,0)*('Parametros'!$B$7+'Parametros'!$B$9+'Parametros'!$B$12/2+'Parametros'!$B$12+'Parametros'!$B$10))/Z33)</f>
        <v>342.55</v>
      </c>
      <c r="AC33" s="10">
        <f>Z33*'Parametros'!$B$8</f>
        <v>597</v>
      </c>
      <c r="AD33" s="10">
        <f>'Parametros'!$B$5*AC33*'Parametros'!$B$3*(AB33-(AC33*'Parametros'!$B$3/(0.85*'Parametros'!$B$2*H33))/2)/1000000</f>
        <v>73.3394588294118</v>
      </c>
      <c r="AE33" s="10" t="str">
        <f>IF(AD33&gt;=L33,"CUMPLE","NO CUMPLE")</f>
        <v>CUMPLE</v>
      </c>
      <c r="AF33" s="10">
        <f>V33*1.25*'Parametros'!$B$3*(U33-(V33*1.25*'Parametros'!$B$3/(0.85*'Parametros'!$B$2*H33))/2)/1000000</f>
        <v>100.484515919118</v>
      </c>
      <c r="AG33" s="10">
        <f>AC33*1.25*'Parametros'!$B$3*(AB33-(AC33*1.25*'Parametros'!$B$3/(0.85*'Parametros'!$B$2*H33))/2)/1000000</f>
        <v>100.484515919118</v>
      </c>
      <c r="AH33" s="10">
        <f>N33+(AF33+AG33)/D33</f>
        <v>88.6392579595588</v>
      </c>
      <c r="AI33" s="10">
        <f>MIN(O33,MAX(N33,AH33))</f>
        <v>88.6392579595588</v>
      </c>
      <c r="AJ33" s="10">
        <f>0.17*SQRT('Parametros'!$B$2)*H33*MIN(U33,AB33)/1000</f>
        <v>92.4428153837279</v>
      </c>
      <c r="AK33" s="10">
        <f>MAX(AI33/'Parametros'!$B$6-AJ33,0)</f>
        <v>25.7428618956838</v>
      </c>
      <c r="AL33" s="10">
        <f>0.66*SQRT('Parametros'!$B$2)*H33*MIN(U33,AB33)/1000</f>
        <v>358.89563619565</v>
      </c>
      <c r="AM33" s="10" t="str">
        <f>IF(AK33&lt;=AL33,"CUMPLE","NO CUMPLE")</f>
        <v>CUMPLE</v>
      </c>
      <c r="AN33" s="15" t="inlineStr">
        <is>
          <t>Nº3 cerrado</t>
        </is>
      </c>
      <c r="AO33" s="17" t="n">
        <v>2</v>
      </c>
      <c r="AP33" s="10">
        <f>ROUNDDOWN(MIN(IF(AK33=0,1000000000,AO33*'Parametros'!$B$11*'Parametros'!$B$4*MIN(U33,AB33)/(AK33*1000)),IF(AV33=0,1000000000,'Parametros'!$B$11/AV33),MIN(U33,AB33)/4,8*'Parametros'!$B$12,24*'Parametros'!$B$9,300)/10,0)*10</f>
        <v>80</v>
      </c>
      <c r="AQ33" s="10">
        <f>ROUNDDOWN(MIN(IF(AK33=0,1000000000,AO33*'Parametros'!$B$11*'Parametros'!$B$4*MIN(U33,AB33)/(AK33*1000)),IF(AV33=0,1000000000,'Parametros'!$B$11/AV33),MIN(U33,AB33)/2,600)/10,0)*10</f>
        <v>170</v>
      </c>
      <c r="AR33" s="10">
        <f>'Parametros'!$B$6*(AJ33+AO33*'Parametros'!$B$11*'Parametros'!$B$4*MIN(U33,AB33)/AP33/1000)</f>
        <v>260.860380287796</v>
      </c>
      <c r="AS33" s="10" t="str">
        <f>IF(AND(AM33="CUMPLE",AR33&gt;=AI33),"CUMPLE","NO CUMPLE")</f>
        <v>CUMPLE</v>
      </c>
      <c r="AT33" s="10">
        <f>'Parametros'!$B$6*0.083*SQRT('Parametros'!$B$2)*(H33*I33)^2/(2*(H33+I33))/1000000</f>
        <v>3.38807353605471</v>
      </c>
      <c r="AU33" s="10" t="str">
        <f>IF(Q33&lt;=AT33,"DESPRECIABLE","DISEÑAR")</f>
        <v>DISEÑAR</v>
      </c>
      <c r="AV33" s="10">
        <f>IF(Q33&lt;=AT33,0,Q33*1000000/('Parametros'!$B$6*2*0.85*(H33-2*'Parametros'!$B$7)*(I33-2*'Parametros'!$B$7)*'Parametros'!$B$4))</f>
        <v>0.0912327052032934</v>
      </c>
      <c r="AW33" s="10">
        <f>AV33*2*((H33-2*'Parametros'!$B$7)+(I33-2*'Parametros'!$B$7))*'Parametros'!$B$4/'Parametros'!$B$3</f>
        <v>98.5313216195569</v>
      </c>
      <c r="AX33" s="17" t="n">
        <v>1</v>
      </c>
      <c r="AY33" s="10" t="str">
        <f>IF(AV33=0,"DESPRECIABLE",IF('Parametros'!$B$11/AP33&gt;=AV33,"CUMPLE","NO CUMPLE"))</f>
        <v>CUMPLE</v>
      </c>
      <c r="AZ33" s="10" t="str">
        <f>IF(AND(X33="CUMPLE",AE33="CUMPLE",AS33="CUMPLE",OR(AY33="CUMPLE",AY33="DESPRECIABLE")),IF(OR(F33&lt;&gt;H33,G33&lt;&gt;I33),"CUMPLE - REANALIZAR SAP","CUMPLE"),"NO CUMPLE")</f>
        <v>CUMPLE</v>
      </c>
    </row>
    <row r="34">
      <c r="A34" s="19" t="inlineStr">
        <is>
          <t>VC2</t>
        </is>
      </c>
      <c r="B34" s="19" t="inlineStr">
        <is>
          <t>293</t>
        </is>
      </c>
      <c r="C34" s="10" t="n">
        <v>1</v>
      </c>
      <c r="D34" s="10" t="n">
        <v>4</v>
      </c>
      <c r="E34" s="10" t="n">
        <v>4</v>
      </c>
      <c r="F34" s="10" t="n">
        <v>300</v>
      </c>
      <c r="G34" s="10" t="n">
        <v>400</v>
      </c>
      <c r="H34" s="15" t="n">
        <v>300</v>
      </c>
      <c r="I34" s="15" t="n">
        <v>400</v>
      </c>
      <c r="J34" s="16" t="n">
        <v>68.2236</v>
      </c>
      <c r="K34" s="10" t="inlineStr">
        <is>
          <t>293</t>
        </is>
      </c>
      <c r="L34" s="16" t="n">
        <v>61.9479</v>
      </c>
      <c r="M34" s="10" t="inlineStr">
        <is>
          <t>293</t>
        </is>
      </c>
      <c r="N34" s="16" t="n">
        <v>38.4</v>
      </c>
      <c r="O34" s="16" t="n">
        <v>163.556</v>
      </c>
      <c r="P34" s="10" t="inlineStr">
        <is>
          <t>293</t>
        </is>
      </c>
      <c r="Q34" s="16" t="n">
        <v>3.4416</v>
      </c>
      <c r="R34" s="10">
        <f>MAX(MAX(1.4/'Parametros'!$B$3,0.25*SQRT('Parametros'!$B$2)/'Parametros'!$B$3)*H34*U34,(0.85*'Parametros'!$B$2/'Parametros'!$B$3)*(1-SQRT(1-2*(J34*1000000/('Parametros'!$B$5*H34*U34^2))/(0.85*'Parametros'!$B$2)))*H34*U34)</f>
        <v>553.161109951967</v>
      </c>
      <c r="S34" s="17" t="n">
        <v>3</v>
      </c>
      <c r="T34" s="18" t="n">
        <v>1</v>
      </c>
      <c r="U34" s="10">
        <f>IF(T34=1,I34-('Parametros'!$B$7+'Parametros'!$B$9+'Parametros'!$B$12/2),I34-(ROUNDUP(S34/2,0)*('Parametros'!$B$7+'Parametros'!$B$9+'Parametros'!$B$12/2)+ROUNDDOWN(S34/2,0)*('Parametros'!$B$7+'Parametros'!$B$9+'Parametros'!$B$12/2+'Parametros'!$B$12+'Parametros'!$B$10))/S34)</f>
        <v>342.55</v>
      </c>
      <c r="V34" s="10">
        <f>S34*'Parametros'!$B$8</f>
        <v>597</v>
      </c>
      <c r="W34" s="10">
        <f>'Parametros'!$B$5*V34*'Parametros'!$B$3*(U34-(V34*'Parametros'!$B$3/(0.85*'Parametros'!$B$2*H34))/2)/1000000</f>
        <v>73.3394588294118</v>
      </c>
      <c r="X34" s="10" t="str">
        <f>IF(W34&gt;=J34,"CUMPLE","NO CUMPLE")</f>
        <v>CUMPLE</v>
      </c>
      <c r="Y34" s="10">
        <f>MAX(MAX(1.4/'Parametros'!$B$3,0.25*SQRT('Parametros'!$B$2)/'Parametros'!$B$3)*H34*AB34,(0.85*'Parametros'!$B$2/'Parametros'!$B$3)*(1-SQRT(1-2*(L34*1000000/('Parametros'!$B$5*H34*AB34^2))/(0.85*'Parametros'!$B$2)))*H34*AB34)</f>
        <v>499.876332443574</v>
      </c>
      <c r="Z34" s="17" t="n">
        <v>3</v>
      </c>
      <c r="AA34" s="18" t="n">
        <v>1</v>
      </c>
      <c r="AB34" s="10">
        <f>IF(AA34=1,I34-('Parametros'!$B$7+'Parametros'!$B$9+'Parametros'!$B$12/2),I34-(ROUNDUP(Z34/2,0)*('Parametros'!$B$7+'Parametros'!$B$9+'Parametros'!$B$12/2)+ROUNDDOWN(Z34/2,0)*('Parametros'!$B$7+'Parametros'!$B$9+'Parametros'!$B$12/2+'Parametros'!$B$12+'Parametros'!$B$10))/Z34)</f>
        <v>342.55</v>
      </c>
      <c r="AC34" s="10">
        <f>Z34*'Parametros'!$B$8</f>
        <v>597</v>
      </c>
      <c r="AD34" s="10">
        <f>'Parametros'!$B$5*AC34*'Parametros'!$B$3*(AB34-(AC34*'Parametros'!$B$3/(0.85*'Parametros'!$B$2*H34))/2)/1000000</f>
        <v>73.3394588294118</v>
      </c>
      <c r="AE34" s="10" t="str">
        <f>IF(AD34&gt;=L34,"CUMPLE","NO CUMPLE")</f>
        <v>CUMPLE</v>
      </c>
      <c r="AF34" s="10">
        <f>V34*1.25*'Parametros'!$B$3*(U34-(V34*1.25*'Parametros'!$B$3/(0.85*'Parametros'!$B$2*H34))/2)/1000000</f>
        <v>100.484515919118</v>
      </c>
      <c r="AG34" s="10">
        <f>AC34*1.25*'Parametros'!$B$3*(AB34-(AC34*1.25*'Parametros'!$B$3/(0.85*'Parametros'!$B$2*H34))/2)/1000000</f>
        <v>100.484515919118</v>
      </c>
      <c r="AH34" s="10">
        <f>N34+(AF34+AG34)/D34</f>
        <v>88.6422579595588</v>
      </c>
      <c r="AI34" s="10">
        <f>MIN(O34,MAX(N34,AH34))</f>
        <v>88.6422579595588</v>
      </c>
      <c r="AJ34" s="10">
        <f>0.17*SQRT('Parametros'!$B$2)*H34*MIN(U34,AB34)/1000</f>
        <v>92.4428153837279</v>
      </c>
      <c r="AK34" s="10">
        <f>MAX(AI34/'Parametros'!$B$6-AJ34,0)</f>
        <v>25.7468618956839</v>
      </c>
      <c r="AL34" s="10">
        <f>0.66*SQRT('Parametros'!$B$2)*H34*MIN(U34,AB34)/1000</f>
        <v>358.89563619565</v>
      </c>
      <c r="AM34" s="10" t="str">
        <f>IF(AK34&lt;=AL34,"CUMPLE","NO CUMPLE")</f>
        <v>CUMPLE</v>
      </c>
      <c r="AN34" s="15" t="inlineStr">
        <is>
          <t>Nº3 cerrado</t>
        </is>
      </c>
      <c r="AO34" s="17" t="n">
        <v>2</v>
      </c>
      <c r="AP34" s="10">
        <f>ROUNDDOWN(MIN(IF(AK34=0,1000000000,AO34*'Parametros'!$B$11*'Parametros'!$B$4*MIN(U34,AB34)/(AK34*1000)),IF(AV34=0,1000000000,'Parametros'!$B$11/AV34),MIN(U34,AB34)/4,8*'Parametros'!$B$12,24*'Parametros'!$B$9,300)/10,0)*10</f>
        <v>80</v>
      </c>
      <c r="AQ34" s="10">
        <f>ROUNDDOWN(MIN(IF(AK34=0,1000000000,AO34*'Parametros'!$B$11*'Parametros'!$B$4*MIN(U34,AB34)/(AK34*1000)),IF(AV34=0,1000000000,'Parametros'!$B$11/AV34),MIN(U34,AB34)/2,600)/10,0)*10</f>
        <v>170</v>
      </c>
      <c r="AR34" s="10">
        <f>'Parametros'!$B$6*(AJ34+AO34*'Parametros'!$B$11*'Parametros'!$B$4*MIN(U34,AB34)/AP34/1000)</f>
        <v>260.860380287796</v>
      </c>
      <c r="AS34" s="10" t="str">
        <f>IF(AND(AM34="CUMPLE",AR34&gt;=AI34),"CUMPLE","NO CUMPLE")</f>
        <v>CUMPLE</v>
      </c>
      <c r="AT34" s="10">
        <f>'Parametros'!$B$6*0.083*SQRT('Parametros'!$B$2)*(H34*I34)^2/(2*(H34+I34))/1000000</f>
        <v>3.38807353605471</v>
      </c>
      <c r="AU34" s="10" t="str">
        <f>IF(Q34&lt;=AT34,"DESPRECIABLE","DISEÑAR")</f>
        <v>DISEÑAR</v>
      </c>
      <c r="AV34" s="10">
        <f>IF(Q34&lt;=AT34,0,Q34*1000000/('Parametros'!$B$6*2*0.85*(H34-2*'Parametros'!$B$7)*(I34-2*'Parametros'!$B$7)*'Parametros'!$B$4))</f>
        <v>0.0912910618792972</v>
      </c>
      <c r="AW34" s="10">
        <f>AV34*2*((H34-2*'Parametros'!$B$7)+(I34-2*'Parametros'!$B$7))*'Parametros'!$B$4/'Parametros'!$B$3</f>
        <v>98.5943468296409</v>
      </c>
      <c r="AX34" s="17" t="n">
        <v>1</v>
      </c>
      <c r="AY34" s="10" t="str">
        <f>IF(AV34=0,"DESPRECIABLE",IF('Parametros'!$B$11/AP34&gt;=AV34,"CUMPLE","NO CUMPLE"))</f>
        <v>CUMPLE</v>
      </c>
      <c r="AZ34" s="10" t="str">
        <f>IF(AND(X34="CUMPLE",AE34="CUMPLE",AS34="CUMPLE",OR(AY34="CUMPLE",AY34="DESPRECIABLE")),IF(OR(F34&lt;&gt;H34,G34&lt;&gt;I34),"CUMPLE - REANALIZAR SAP","CUMPLE"),"NO CUMPLE")</f>
        <v>CUMPLE</v>
      </c>
    </row>
    <row r="35">
      <c r="A35" s="19" t="inlineStr">
        <is>
          <t>VC2</t>
        </is>
      </c>
      <c r="B35" s="19" t="inlineStr">
        <is>
          <t>294</t>
        </is>
      </c>
      <c r="C35" s="10" t="n">
        <v>1</v>
      </c>
      <c r="D35" s="10" t="n">
        <v>4</v>
      </c>
      <c r="E35" s="10" t="n">
        <v>4</v>
      </c>
      <c r="F35" s="10" t="n">
        <v>300</v>
      </c>
      <c r="G35" s="10" t="n">
        <v>400</v>
      </c>
      <c r="H35" s="15" t="n">
        <v>300</v>
      </c>
      <c r="I35" s="15" t="n">
        <v>400</v>
      </c>
      <c r="J35" s="16" t="n">
        <v>68.2486</v>
      </c>
      <c r="K35" s="10" t="inlineStr">
        <is>
          <t>294</t>
        </is>
      </c>
      <c r="L35" s="16" t="n">
        <v>61.9332</v>
      </c>
      <c r="M35" s="10" t="inlineStr">
        <is>
          <t>294</t>
        </is>
      </c>
      <c r="N35" s="16" t="n">
        <v>38.387</v>
      </c>
      <c r="O35" s="16" t="n">
        <v>163.543</v>
      </c>
      <c r="P35" s="10" t="inlineStr">
        <is>
          <t>294</t>
        </is>
      </c>
      <c r="Q35" s="16" t="n">
        <v>3.4415</v>
      </c>
      <c r="R35" s="10">
        <f>MAX(MAX(1.4/'Parametros'!$B$3,0.25*SQRT('Parametros'!$B$2)/'Parametros'!$B$3)*H35*U35,(0.85*'Parametros'!$B$2/'Parametros'!$B$3)*(1-SQRT(1-2*(J35*1000000/('Parametros'!$B$5*H35*U35^2))/(0.85*'Parametros'!$B$2)))*H35*U35)</f>
        <v>553.374453611096</v>
      </c>
      <c r="S35" s="17" t="n">
        <v>3</v>
      </c>
      <c r="T35" s="18" t="n">
        <v>1</v>
      </c>
      <c r="U35" s="10">
        <f>IF(T35=1,I35-('Parametros'!$B$7+'Parametros'!$B$9+'Parametros'!$B$12/2),I35-(ROUNDUP(S35/2,0)*('Parametros'!$B$7+'Parametros'!$B$9+'Parametros'!$B$12/2)+ROUNDDOWN(S35/2,0)*('Parametros'!$B$7+'Parametros'!$B$9+'Parametros'!$B$12/2+'Parametros'!$B$12+'Parametros'!$B$10))/S35)</f>
        <v>342.55</v>
      </c>
      <c r="V35" s="10">
        <f>S35*'Parametros'!$B$8</f>
        <v>597</v>
      </c>
      <c r="W35" s="10">
        <f>'Parametros'!$B$5*V35*'Parametros'!$B$3*(U35-(V35*'Parametros'!$B$3/(0.85*'Parametros'!$B$2*H35))/2)/1000000</f>
        <v>73.3394588294118</v>
      </c>
      <c r="X35" s="10" t="str">
        <f>IF(W35&gt;=J35,"CUMPLE","NO CUMPLE")</f>
        <v>CUMPLE</v>
      </c>
      <c r="Y35" s="10">
        <f>MAX(MAX(1.4/'Parametros'!$B$3,0.25*SQRT('Parametros'!$B$2)/'Parametros'!$B$3)*H35*AB35,(0.85*'Parametros'!$B$2/'Parametros'!$B$3)*(1-SQRT(1-2*(L35*1000000/('Parametros'!$B$5*H35*AB35^2))/(0.85*'Parametros'!$B$2)))*H35*AB35)</f>
        <v>499.752145974126</v>
      </c>
      <c r="Z35" s="17" t="n">
        <v>3</v>
      </c>
      <c r="AA35" s="18" t="n">
        <v>1</v>
      </c>
      <c r="AB35" s="10">
        <f>IF(AA35=1,I35-('Parametros'!$B$7+'Parametros'!$B$9+'Parametros'!$B$12/2),I35-(ROUNDUP(Z35/2,0)*('Parametros'!$B$7+'Parametros'!$B$9+'Parametros'!$B$12/2)+ROUNDDOWN(Z35/2,0)*('Parametros'!$B$7+'Parametros'!$B$9+'Parametros'!$B$12/2+'Parametros'!$B$12+'Parametros'!$B$10))/Z35)</f>
        <v>342.55</v>
      </c>
      <c r="AC35" s="10">
        <f>Z35*'Parametros'!$B$8</f>
        <v>597</v>
      </c>
      <c r="AD35" s="10">
        <f>'Parametros'!$B$5*AC35*'Parametros'!$B$3*(AB35-(AC35*'Parametros'!$B$3/(0.85*'Parametros'!$B$2*H35))/2)/1000000</f>
        <v>73.3394588294118</v>
      </c>
      <c r="AE35" s="10" t="str">
        <f>IF(AD35&gt;=L35,"CUMPLE","NO CUMPLE")</f>
        <v>CUMPLE</v>
      </c>
      <c r="AF35" s="10">
        <f>V35*1.25*'Parametros'!$B$3*(U35-(V35*1.25*'Parametros'!$B$3/(0.85*'Parametros'!$B$2*H35))/2)/1000000</f>
        <v>100.484515919118</v>
      </c>
      <c r="AG35" s="10">
        <f>AC35*1.25*'Parametros'!$B$3*(AB35-(AC35*1.25*'Parametros'!$B$3/(0.85*'Parametros'!$B$2*H35))/2)/1000000</f>
        <v>100.484515919118</v>
      </c>
      <c r="AH35" s="10">
        <f>N35+(AF35+AG35)/D35</f>
        <v>88.6292579595588</v>
      </c>
      <c r="AI35" s="10">
        <f>MIN(O35,MAX(N35,AH35))</f>
        <v>88.6292579595588</v>
      </c>
      <c r="AJ35" s="10">
        <f>0.17*SQRT('Parametros'!$B$2)*H35*MIN(U35,AB35)/1000</f>
        <v>92.4428153837279</v>
      </c>
      <c r="AK35" s="10">
        <f>MAX(AI35/'Parametros'!$B$6-AJ35,0)</f>
        <v>25.7295285623505</v>
      </c>
      <c r="AL35" s="10">
        <f>0.66*SQRT('Parametros'!$B$2)*H35*MIN(U35,AB35)/1000</f>
        <v>358.89563619565</v>
      </c>
      <c r="AM35" s="10" t="str">
        <f>IF(AK35&lt;=AL35,"CUMPLE","NO CUMPLE")</f>
        <v>CUMPLE</v>
      </c>
      <c r="AN35" s="15" t="inlineStr">
        <is>
          <t>Nº3 cerrado</t>
        </is>
      </c>
      <c r="AO35" s="17" t="n">
        <v>2</v>
      </c>
      <c r="AP35" s="10">
        <f>ROUNDDOWN(MIN(IF(AK35=0,1000000000,AO35*'Parametros'!$B$11*'Parametros'!$B$4*MIN(U35,AB35)/(AK35*1000)),IF(AV35=0,1000000000,'Parametros'!$B$11/AV35),MIN(U35,AB35)/4,8*'Parametros'!$B$12,24*'Parametros'!$B$9,300)/10,0)*10</f>
        <v>80</v>
      </c>
      <c r="AQ35" s="10">
        <f>ROUNDDOWN(MIN(IF(AK35=0,1000000000,AO35*'Parametros'!$B$11*'Parametros'!$B$4*MIN(U35,AB35)/(AK35*1000)),IF(AV35=0,1000000000,'Parametros'!$B$11/AV35),MIN(U35,AB35)/2,600)/10,0)*10</f>
        <v>170</v>
      </c>
      <c r="AR35" s="10">
        <f>'Parametros'!$B$6*(AJ35+AO35*'Parametros'!$B$11*'Parametros'!$B$4*MIN(U35,AB35)/AP35/1000)</f>
        <v>260.860380287796</v>
      </c>
      <c r="AS35" s="10" t="str">
        <f>IF(AND(AM35="CUMPLE",AR35&gt;=AI35),"CUMPLE","NO CUMPLE")</f>
        <v>CUMPLE</v>
      </c>
      <c r="AT35" s="10">
        <f>'Parametros'!$B$6*0.083*SQRT('Parametros'!$B$2)*(H35*I35)^2/(2*(H35+I35))/1000000</f>
        <v>3.38807353605471</v>
      </c>
      <c r="AU35" s="10" t="str">
        <f>IF(Q35&lt;=AT35,"DESPRECIABLE","DISEÑAR")</f>
        <v>DISEÑAR</v>
      </c>
      <c r="AV35" s="10">
        <f>IF(Q35&lt;=AT35,0,Q35*1000000/('Parametros'!$B$6*2*0.85*(H35-2*'Parametros'!$B$7)*(I35-2*'Parametros'!$B$7)*'Parametros'!$B$4))</f>
        <v>0.0912884093031152</v>
      </c>
      <c r="AW35" s="10">
        <f>AV35*2*((H35-2*'Parametros'!$B$7)+(I35-2*'Parametros'!$B$7))*'Parametros'!$B$4/'Parametros'!$B$3</f>
        <v>98.5914820473644</v>
      </c>
      <c r="AX35" s="17" t="n">
        <v>1</v>
      </c>
      <c r="AY35" s="10" t="str">
        <f>IF(AV35=0,"DESPRECIABLE",IF('Parametros'!$B$11/AP35&gt;=AV35,"CUMPLE","NO CUMPLE"))</f>
        <v>CUMPLE</v>
      </c>
      <c r="AZ35" s="10" t="str">
        <f>IF(AND(X35="CUMPLE",AE35="CUMPLE",AS35="CUMPLE",OR(AY35="CUMPLE",AY35="DESPRECIABLE")),IF(OR(F35&lt;&gt;H35,G35&lt;&gt;I35),"CUMPLE - REANALIZAR SAP","CUMPLE"),"NO CUMPLE")</f>
        <v>CUMPLE</v>
      </c>
    </row>
    <row r="36">
      <c r="A36" s="19" t="inlineStr">
        <is>
          <t>VC2</t>
        </is>
      </c>
      <c r="B36" s="19" t="inlineStr">
        <is>
          <t>813</t>
        </is>
      </c>
      <c r="C36" s="10" t="n">
        <v>1</v>
      </c>
      <c r="D36" s="10" t="n">
        <v>4</v>
      </c>
      <c r="E36" s="10" t="n">
        <v>4</v>
      </c>
      <c r="F36" s="10" t="n">
        <v>300</v>
      </c>
      <c r="G36" s="10" t="n">
        <v>400</v>
      </c>
      <c r="H36" s="15" t="n">
        <v>300</v>
      </c>
      <c r="I36" s="15" t="n">
        <v>400</v>
      </c>
      <c r="J36" s="16" t="n">
        <v>55.3946</v>
      </c>
      <c r="K36" s="10" t="inlineStr">
        <is>
          <t>813</t>
        </is>
      </c>
      <c r="L36" s="16" t="n">
        <v>49.8448</v>
      </c>
      <c r="M36" s="10" t="inlineStr">
        <is>
          <t>813</t>
        </is>
      </c>
      <c r="N36" s="16" t="n">
        <v>32.601</v>
      </c>
      <c r="O36" s="16" t="n">
        <v>133.717</v>
      </c>
      <c r="P36" s="10" t="inlineStr">
        <is>
          <t>813</t>
        </is>
      </c>
      <c r="Q36" s="16" t="n">
        <v>2.8666</v>
      </c>
      <c r="R36" s="10">
        <f>MAX(MAX(1.4/'Parametros'!$B$3,0.25*SQRT('Parametros'!$B$2)/'Parametros'!$B$3)*H36*U36,(0.85*'Parametros'!$B$2/'Parametros'!$B$3)*(1-SQRT(1-2*(J36*1000000/('Parametros'!$B$5*H36*U36^2))/(0.85*'Parametros'!$B$2)))*H36*U36)</f>
        <v>444.797950078299</v>
      </c>
      <c r="S36" s="17" t="n">
        <v>3</v>
      </c>
      <c r="T36" s="18" t="n">
        <v>1</v>
      </c>
      <c r="U36" s="10">
        <f>IF(T36=1,I36-('Parametros'!$B$7+'Parametros'!$B$9+'Parametros'!$B$12/2),I36-(ROUNDUP(S36/2,0)*('Parametros'!$B$7+'Parametros'!$B$9+'Parametros'!$B$12/2)+ROUNDDOWN(S36/2,0)*('Parametros'!$B$7+'Parametros'!$B$9+'Parametros'!$B$12/2+'Parametros'!$B$12+'Parametros'!$B$10))/S36)</f>
        <v>342.55</v>
      </c>
      <c r="V36" s="10">
        <f>S36*'Parametros'!$B$8</f>
        <v>597</v>
      </c>
      <c r="W36" s="10">
        <f>'Parametros'!$B$5*V36*'Parametros'!$B$3*(U36-(V36*'Parametros'!$B$3/(0.85*'Parametros'!$B$2*H36))/2)/1000000</f>
        <v>73.3394588294118</v>
      </c>
      <c r="X36" s="10" t="str">
        <f>IF(W36&gt;=J36,"CUMPLE","NO CUMPLE")</f>
        <v>CUMPLE</v>
      </c>
      <c r="Y36" s="10">
        <f>MAX(MAX(1.4/'Parametros'!$B$3,0.25*SQRT('Parametros'!$B$2)/'Parametros'!$B$3)*H36*AB36,(0.85*'Parametros'!$B$2/'Parametros'!$B$3)*(1-SQRT(1-2*(L36*1000000/('Parametros'!$B$5*H36*AB36^2))/(0.85*'Parametros'!$B$2)))*H36*AB36)</f>
        <v>398.590971849046</v>
      </c>
      <c r="Z36" s="17" t="n">
        <v>3</v>
      </c>
      <c r="AA36" s="18" t="n">
        <v>1</v>
      </c>
      <c r="AB36" s="10">
        <f>IF(AA36=1,I36-('Parametros'!$B$7+'Parametros'!$B$9+'Parametros'!$B$12/2),I36-(ROUNDUP(Z36/2,0)*('Parametros'!$B$7+'Parametros'!$B$9+'Parametros'!$B$12/2)+ROUNDDOWN(Z36/2,0)*('Parametros'!$B$7+'Parametros'!$B$9+'Parametros'!$B$12/2+'Parametros'!$B$12+'Parametros'!$B$10))/Z36)</f>
        <v>342.55</v>
      </c>
      <c r="AC36" s="10">
        <f>Z36*'Parametros'!$B$8</f>
        <v>597</v>
      </c>
      <c r="AD36" s="10">
        <f>'Parametros'!$B$5*AC36*'Parametros'!$B$3*(AB36-(AC36*'Parametros'!$B$3/(0.85*'Parametros'!$B$2*H36))/2)/1000000</f>
        <v>73.3394588294118</v>
      </c>
      <c r="AE36" s="10" t="str">
        <f>IF(AD36&gt;=L36,"CUMPLE","NO CUMPLE")</f>
        <v>CUMPLE</v>
      </c>
      <c r="AF36" s="10">
        <f>V36*1.25*'Parametros'!$B$3*(U36-(V36*1.25*'Parametros'!$B$3/(0.85*'Parametros'!$B$2*H36))/2)/1000000</f>
        <v>100.484515919118</v>
      </c>
      <c r="AG36" s="10">
        <f>AC36*1.25*'Parametros'!$B$3*(AB36-(AC36*1.25*'Parametros'!$B$3/(0.85*'Parametros'!$B$2*H36))/2)/1000000</f>
        <v>100.484515919118</v>
      </c>
      <c r="AH36" s="10">
        <f>N36+(AF36+AG36)/D36</f>
        <v>82.8432579595588</v>
      </c>
      <c r="AI36" s="10">
        <f>MIN(O36,MAX(N36,AH36))</f>
        <v>82.8432579595588</v>
      </c>
      <c r="AJ36" s="10">
        <f>0.17*SQRT('Parametros'!$B$2)*H36*MIN(U36,AB36)/1000</f>
        <v>92.4428153837279</v>
      </c>
      <c r="AK36" s="10">
        <f>MAX(AI36/'Parametros'!$B$6-AJ36,0)</f>
        <v>18.0148618956839</v>
      </c>
      <c r="AL36" s="10">
        <f>0.66*SQRT('Parametros'!$B$2)*H36*MIN(U36,AB36)/1000</f>
        <v>358.89563619565</v>
      </c>
      <c r="AM36" s="10" t="str">
        <f>IF(AK36&lt;=AL36,"CUMPLE","NO CUMPLE")</f>
        <v>CUMPLE</v>
      </c>
      <c r="AN36" s="15" t="inlineStr">
        <is>
          <t>Nº3 cerrado</t>
        </is>
      </c>
      <c r="AO36" s="17" t="n">
        <v>2</v>
      </c>
      <c r="AP36" s="10">
        <f>ROUNDDOWN(MIN(IF(AK36=0,1000000000,AO36*'Parametros'!$B$11*'Parametros'!$B$4*MIN(U36,AB36)/(AK36*1000)),IF(AV36=0,1000000000,'Parametros'!$B$11/AV36),MIN(U36,AB36)/4,8*'Parametros'!$B$12,24*'Parametros'!$B$9,300)/10,0)*10</f>
        <v>80</v>
      </c>
      <c r="AQ36" s="10">
        <f>ROUNDDOWN(MIN(IF(AK36=0,1000000000,AO36*'Parametros'!$B$11*'Parametros'!$B$4*MIN(U36,AB36)/(AK36*1000)),IF(AV36=0,1000000000,'Parametros'!$B$11/AV36),MIN(U36,AB36)/2,600)/10,0)*10</f>
        <v>170</v>
      </c>
      <c r="AR36" s="10">
        <f>'Parametros'!$B$6*(AJ36+AO36*'Parametros'!$B$11*'Parametros'!$B$4*MIN(U36,AB36)/AP36/1000)</f>
        <v>260.860380287796</v>
      </c>
      <c r="AS36" s="10" t="str">
        <f>IF(AND(AM36="CUMPLE",AR36&gt;=AI36),"CUMPLE","NO CUMPLE")</f>
        <v>CUMPLE</v>
      </c>
      <c r="AT36" s="10">
        <f>'Parametros'!$B$6*0.083*SQRT('Parametros'!$B$2)*(H36*I36)^2/(2*(H36+I36))/1000000</f>
        <v>3.38807353605471</v>
      </c>
      <c r="AU36" s="10" t="str">
        <f>IF(Q36&lt;=AT36,"DESPRECIABLE","DISEÑAR")</f>
        <v>DESPRECIABLE</v>
      </c>
      <c r="AV36" s="10">
        <f>IF(Q36&lt;=AT36,0,Q36*1000000/('Parametros'!$B$6*2*0.85*(H36-2*'Parametros'!$B$7)*(I36-2*'Parametros'!$B$7)*'Parametros'!$B$4))</f>
        <v>0</v>
      </c>
      <c r="AW36" s="10">
        <f>AV36*2*((H36-2*'Parametros'!$B$7)+(I36-2*'Parametros'!$B$7))*'Parametros'!$B$4/'Parametros'!$B$3</f>
        <v>0</v>
      </c>
      <c r="AX36" s="17" t="n">
        <v>0</v>
      </c>
      <c r="AY36" s="10" t="str">
        <f>IF(AV36=0,"DESPRECIABLE",IF('Parametros'!$B$11/AP36&gt;=AV36,"CUMPLE","NO CUMPLE"))</f>
        <v>DESPRECIABLE</v>
      </c>
      <c r="AZ36" s="10" t="str">
        <f>IF(AND(X36="CUMPLE",AE36="CUMPLE",AS36="CUMPLE",OR(AY36="CUMPLE",AY36="DESPRECIABLE")),IF(OR(F36&lt;&gt;H36,G36&lt;&gt;I36),"CUMPLE - REANALIZAR SAP","CUMPLE"),"NO CUMPLE")</f>
        <v>CUMPLE</v>
      </c>
    </row>
    <row r="37">
      <c r="A37" s="19" t="inlineStr">
        <is>
          <t>VC2</t>
        </is>
      </c>
      <c r="B37" s="19" t="inlineStr">
        <is>
          <t>814</t>
        </is>
      </c>
      <c r="C37" s="10" t="n">
        <v>1</v>
      </c>
      <c r="D37" s="10" t="n">
        <v>4</v>
      </c>
      <c r="E37" s="10" t="n">
        <v>4</v>
      </c>
      <c r="F37" s="10" t="n">
        <v>300</v>
      </c>
      <c r="G37" s="10" t="n">
        <v>400</v>
      </c>
      <c r="H37" s="15" t="n">
        <v>300</v>
      </c>
      <c r="I37" s="15" t="n">
        <v>400</v>
      </c>
      <c r="J37" s="16" t="n">
        <v>55.3631</v>
      </c>
      <c r="K37" s="10" t="inlineStr">
        <is>
          <t>814</t>
        </is>
      </c>
      <c r="L37" s="16" t="n">
        <v>49.8628</v>
      </c>
      <c r="M37" s="10" t="inlineStr">
        <is>
          <t>814</t>
        </is>
      </c>
      <c r="N37" s="16" t="n">
        <v>32.616</v>
      </c>
      <c r="O37" s="16" t="n">
        <v>133.732</v>
      </c>
      <c r="P37" s="10" t="inlineStr">
        <is>
          <t>814</t>
        </is>
      </c>
      <c r="Q37" s="16" t="n">
        <v>2.8666</v>
      </c>
      <c r="R37" s="10">
        <f>MAX(MAX(1.4/'Parametros'!$B$3,0.25*SQRT('Parametros'!$B$2)/'Parametros'!$B$3)*H37*U37,(0.85*'Parametros'!$B$2/'Parametros'!$B$3)*(1-SQRT(1-2*(J37*1000000/('Parametros'!$B$5*H37*U37^2))/(0.85*'Parametros'!$B$2)))*H37*U37)</f>
        <v>444.534564697329</v>
      </c>
      <c r="S37" s="17" t="n">
        <v>3</v>
      </c>
      <c r="T37" s="18" t="n">
        <v>1</v>
      </c>
      <c r="U37" s="10">
        <f>IF(T37=1,I37-('Parametros'!$B$7+'Parametros'!$B$9+'Parametros'!$B$12/2),I37-(ROUNDUP(S37/2,0)*('Parametros'!$B$7+'Parametros'!$B$9+'Parametros'!$B$12/2)+ROUNDDOWN(S37/2,0)*('Parametros'!$B$7+'Parametros'!$B$9+'Parametros'!$B$12/2+'Parametros'!$B$12+'Parametros'!$B$10))/S37)</f>
        <v>342.55</v>
      </c>
      <c r="V37" s="10">
        <f>S37*'Parametros'!$B$8</f>
        <v>597</v>
      </c>
      <c r="W37" s="10">
        <f>'Parametros'!$B$5*V37*'Parametros'!$B$3*(U37-(V37*'Parametros'!$B$3/(0.85*'Parametros'!$B$2*H37))/2)/1000000</f>
        <v>73.3394588294118</v>
      </c>
      <c r="X37" s="10" t="str">
        <f>IF(W37&gt;=J37,"CUMPLE","NO CUMPLE")</f>
        <v>CUMPLE</v>
      </c>
      <c r="Y37" s="10">
        <f>MAX(MAX(1.4/'Parametros'!$B$3,0.25*SQRT('Parametros'!$B$2)/'Parametros'!$B$3)*H37*AB37,(0.85*'Parametros'!$B$2/'Parametros'!$B$3)*(1-SQRT(1-2*(L37*1000000/('Parametros'!$B$5*H37*AB37^2))/(0.85*'Parametros'!$B$2)))*H37*AB37)</f>
        <v>398.740201508846</v>
      </c>
      <c r="Z37" s="17" t="n">
        <v>3</v>
      </c>
      <c r="AA37" s="18" t="n">
        <v>1</v>
      </c>
      <c r="AB37" s="10">
        <f>IF(AA37=1,I37-('Parametros'!$B$7+'Parametros'!$B$9+'Parametros'!$B$12/2),I37-(ROUNDUP(Z37/2,0)*('Parametros'!$B$7+'Parametros'!$B$9+'Parametros'!$B$12/2)+ROUNDDOWN(Z37/2,0)*('Parametros'!$B$7+'Parametros'!$B$9+'Parametros'!$B$12/2+'Parametros'!$B$12+'Parametros'!$B$10))/Z37)</f>
        <v>342.55</v>
      </c>
      <c r="AC37" s="10">
        <f>Z37*'Parametros'!$B$8</f>
        <v>597</v>
      </c>
      <c r="AD37" s="10">
        <f>'Parametros'!$B$5*AC37*'Parametros'!$B$3*(AB37-(AC37*'Parametros'!$B$3/(0.85*'Parametros'!$B$2*H37))/2)/1000000</f>
        <v>73.3394588294118</v>
      </c>
      <c r="AE37" s="10" t="str">
        <f>IF(AD37&gt;=L37,"CUMPLE","NO CUMPLE")</f>
        <v>CUMPLE</v>
      </c>
      <c r="AF37" s="10">
        <f>V37*1.25*'Parametros'!$B$3*(U37-(V37*1.25*'Parametros'!$B$3/(0.85*'Parametros'!$B$2*H37))/2)/1000000</f>
        <v>100.484515919118</v>
      </c>
      <c r="AG37" s="10">
        <f>AC37*1.25*'Parametros'!$B$3*(AB37-(AC37*1.25*'Parametros'!$B$3/(0.85*'Parametros'!$B$2*H37))/2)/1000000</f>
        <v>100.484515919118</v>
      </c>
      <c r="AH37" s="10">
        <f>N37+(AF37+AG37)/D37</f>
        <v>82.8582579595588</v>
      </c>
      <c r="AI37" s="10">
        <f>MIN(O37,MAX(N37,AH37))</f>
        <v>82.8582579595588</v>
      </c>
      <c r="AJ37" s="10">
        <f>0.17*SQRT('Parametros'!$B$2)*H37*MIN(U37,AB37)/1000</f>
        <v>92.4428153837279</v>
      </c>
      <c r="AK37" s="10">
        <f>MAX(AI37/'Parametros'!$B$6-AJ37,0)</f>
        <v>18.0348618956838</v>
      </c>
      <c r="AL37" s="10">
        <f>0.66*SQRT('Parametros'!$B$2)*H37*MIN(U37,AB37)/1000</f>
        <v>358.89563619565</v>
      </c>
      <c r="AM37" s="10" t="str">
        <f>IF(AK37&lt;=AL37,"CUMPLE","NO CUMPLE")</f>
        <v>CUMPLE</v>
      </c>
      <c r="AN37" s="15" t="inlineStr">
        <is>
          <t>Nº3 cerrado</t>
        </is>
      </c>
      <c r="AO37" s="17" t="n">
        <v>2</v>
      </c>
      <c r="AP37" s="10">
        <f>ROUNDDOWN(MIN(IF(AK37=0,1000000000,AO37*'Parametros'!$B$11*'Parametros'!$B$4*MIN(U37,AB37)/(AK37*1000)),IF(AV37=0,1000000000,'Parametros'!$B$11/AV37),MIN(U37,AB37)/4,8*'Parametros'!$B$12,24*'Parametros'!$B$9,300)/10,0)*10</f>
        <v>80</v>
      </c>
      <c r="AQ37" s="10">
        <f>ROUNDDOWN(MIN(IF(AK37=0,1000000000,AO37*'Parametros'!$B$11*'Parametros'!$B$4*MIN(U37,AB37)/(AK37*1000)),IF(AV37=0,1000000000,'Parametros'!$B$11/AV37),MIN(U37,AB37)/2,600)/10,0)*10</f>
        <v>170</v>
      </c>
      <c r="AR37" s="10">
        <f>'Parametros'!$B$6*(AJ37+AO37*'Parametros'!$B$11*'Parametros'!$B$4*MIN(U37,AB37)/AP37/1000)</f>
        <v>260.860380287796</v>
      </c>
      <c r="AS37" s="10" t="str">
        <f>IF(AND(AM37="CUMPLE",AR37&gt;=AI37),"CUMPLE","NO CUMPLE")</f>
        <v>CUMPLE</v>
      </c>
      <c r="AT37" s="10">
        <f>'Parametros'!$B$6*0.083*SQRT('Parametros'!$B$2)*(H37*I37)^2/(2*(H37+I37))/1000000</f>
        <v>3.38807353605471</v>
      </c>
      <c r="AU37" s="10" t="str">
        <f>IF(Q37&lt;=AT37,"DESPRECIABLE","DISEÑAR")</f>
        <v>DESPRECIABLE</v>
      </c>
      <c r="AV37" s="10">
        <f>IF(Q37&lt;=AT37,0,Q37*1000000/('Parametros'!$B$6*2*0.85*(H37-2*'Parametros'!$B$7)*(I37-2*'Parametros'!$B$7)*'Parametros'!$B$4))</f>
        <v>0</v>
      </c>
      <c r="AW37" s="10">
        <f>AV37*2*((H37-2*'Parametros'!$B$7)+(I37-2*'Parametros'!$B$7))*'Parametros'!$B$4/'Parametros'!$B$3</f>
        <v>0</v>
      </c>
      <c r="AX37" s="17" t="n">
        <v>0</v>
      </c>
      <c r="AY37" s="10" t="str">
        <f>IF(AV37=0,"DESPRECIABLE",IF('Parametros'!$B$11/AP37&gt;=AV37,"CUMPLE","NO CUMPLE"))</f>
        <v>DESPRECIABLE</v>
      </c>
      <c r="AZ37" s="10" t="str">
        <f>IF(AND(X37="CUMPLE",AE37="CUMPLE",AS37="CUMPLE",OR(AY37="CUMPLE",AY37="DESPRECIABLE")),IF(OR(F37&lt;&gt;H37,G37&lt;&gt;I37),"CUMPLE - REANALIZAR SAP","CUMPLE"),"NO CUMPLE")</f>
        <v>CUMPLE</v>
      </c>
    </row>
    <row r="38">
      <c r="A38" s="19" t="inlineStr">
        <is>
          <t>VC2</t>
        </is>
      </c>
      <c r="B38" s="19" t="inlineStr">
        <is>
          <t>851</t>
        </is>
      </c>
      <c r="C38" s="10" t="n">
        <v>1</v>
      </c>
      <c r="D38" s="10" t="n">
        <v>4</v>
      </c>
      <c r="E38" s="10" t="n">
        <v>4</v>
      </c>
      <c r="F38" s="10" t="n">
        <v>300</v>
      </c>
      <c r="G38" s="10" t="n">
        <v>400</v>
      </c>
      <c r="H38" s="15" t="n">
        <v>300</v>
      </c>
      <c r="I38" s="15" t="n">
        <v>400</v>
      </c>
      <c r="J38" s="16" t="n">
        <v>55.3731</v>
      </c>
      <c r="K38" s="10" t="inlineStr">
        <is>
          <t>851</t>
        </is>
      </c>
      <c r="L38" s="16" t="n">
        <v>49.866</v>
      </c>
      <c r="M38" s="10" t="inlineStr">
        <is>
          <t>851</t>
        </is>
      </c>
      <c r="N38" s="16" t="n">
        <v>32.617</v>
      </c>
      <c r="O38" s="16" t="n">
        <v>133.744</v>
      </c>
      <c r="P38" s="10" t="inlineStr">
        <is>
          <t>851</t>
        </is>
      </c>
      <c r="Q38" s="16" t="n">
        <v>2.8691</v>
      </c>
      <c r="R38" s="10">
        <f>MAX(MAX(1.4/'Parametros'!$B$3,0.25*SQRT('Parametros'!$B$2)/'Parametros'!$B$3)*H38*U38,(0.85*'Parametros'!$B$2/'Parametros'!$B$3)*(1-SQRT(1-2*(J38*1000000/('Parametros'!$B$5*H38*U38^2))/(0.85*'Parametros'!$B$2)))*H38*U38)</f>
        <v>444.618177706682</v>
      </c>
      <c r="S38" s="17" t="n">
        <v>3</v>
      </c>
      <c r="T38" s="18" t="n">
        <v>1</v>
      </c>
      <c r="U38" s="10">
        <f>IF(T38=1,I38-('Parametros'!$B$7+'Parametros'!$B$9+'Parametros'!$B$12/2),I38-(ROUNDUP(S38/2,0)*('Parametros'!$B$7+'Parametros'!$B$9+'Parametros'!$B$12/2)+ROUNDDOWN(S38/2,0)*('Parametros'!$B$7+'Parametros'!$B$9+'Parametros'!$B$12/2+'Parametros'!$B$12+'Parametros'!$B$10))/S38)</f>
        <v>342.55</v>
      </c>
      <c r="V38" s="10">
        <f>S38*'Parametros'!$B$8</f>
        <v>597</v>
      </c>
      <c r="W38" s="10">
        <f>'Parametros'!$B$5*V38*'Parametros'!$B$3*(U38-(V38*'Parametros'!$B$3/(0.85*'Parametros'!$B$2*H38))/2)/1000000</f>
        <v>73.3394588294118</v>
      </c>
      <c r="X38" s="10" t="str">
        <f>IF(W38&gt;=J38,"CUMPLE","NO CUMPLE")</f>
        <v>CUMPLE</v>
      </c>
      <c r="Y38" s="10">
        <f>MAX(MAX(1.4/'Parametros'!$B$3,0.25*SQRT('Parametros'!$B$2)/'Parametros'!$B$3)*H38*AB38,(0.85*'Parametros'!$B$2/'Parametros'!$B$3)*(1-SQRT(1-2*(L38*1000000/('Parametros'!$B$5*H38*AB38^2))/(0.85*'Parametros'!$B$2)))*H38*AB38)</f>
        <v>398.766731655931</v>
      </c>
      <c r="Z38" s="17" t="n">
        <v>3</v>
      </c>
      <c r="AA38" s="18" t="n">
        <v>1</v>
      </c>
      <c r="AB38" s="10">
        <f>IF(AA38=1,I38-('Parametros'!$B$7+'Parametros'!$B$9+'Parametros'!$B$12/2),I38-(ROUNDUP(Z38/2,0)*('Parametros'!$B$7+'Parametros'!$B$9+'Parametros'!$B$12/2)+ROUNDDOWN(Z38/2,0)*('Parametros'!$B$7+'Parametros'!$B$9+'Parametros'!$B$12/2+'Parametros'!$B$12+'Parametros'!$B$10))/Z38)</f>
        <v>342.55</v>
      </c>
      <c r="AC38" s="10">
        <f>Z38*'Parametros'!$B$8</f>
        <v>597</v>
      </c>
      <c r="AD38" s="10">
        <f>'Parametros'!$B$5*AC38*'Parametros'!$B$3*(AB38-(AC38*'Parametros'!$B$3/(0.85*'Parametros'!$B$2*H38))/2)/1000000</f>
        <v>73.3394588294118</v>
      </c>
      <c r="AE38" s="10" t="str">
        <f>IF(AD38&gt;=L38,"CUMPLE","NO CUMPLE")</f>
        <v>CUMPLE</v>
      </c>
      <c r="AF38" s="10">
        <f>V38*1.25*'Parametros'!$B$3*(U38-(V38*1.25*'Parametros'!$B$3/(0.85*'Parametros'!$B$2*H38))/2)/1000000</f>
        <v>100.484515919118</v>
      </c>
      <c r="AG38" s="10">
        <f>AC38*1.25*'Parametros'!$B$3*(AB38-(AC38*1.25*'Parametros'!$B$3/(0.85*'Parametros'!$B$2*H38))/2)/1000000</f>
        <v>100.484515919118</v>
      </c>
      <c r="AH38" s="10">
        <f>N38+(AF38+AG38)/D38</f>
        <v>82.8592579595588</v>
      </c>
      <c r="AI38" s="10">
        <f>MIN(O38,MAX(N38,AH38))</f>
        <v>82.8592579595588</v>
      </c>
      <c r="AJ38" s="10">
        <f>0.17*SQRT('Parametros'!$B$2)*H38*MIN(U38,AB38)/1000</f>
        <v>92.4428153837279</v>
      </c>
      <c r="AK38" s="10">
        <f>MAX(AI38/'Parametros'!$B$6-AJ38,0)</f>
        <v>18.0361952290172</v>
      </c>
      <c r="AL38" s="10">
        <f>0.66*SQRT('Parametros'!$B$2)*H38*MIN(U38,AB38)/1000</f>
        <v>358.89563619565</v>
      </c>
      <c r="AM38" s="10" t="str">
        <f>IF(AK38&lt;=AL38,"CUMPLE","NO CUMPLE")</f>
        <v>CUMPLE</v>
      </c>
      <c r="AN38" s="15" t="inlineStr">
        <is>
          <t>Nº3 cerrado</t>
        </is>
      </c>
      <c r="AO38" s="17" t="n">
        <v>2</v>
      </c>
      <c r="AP38" s="10">
        <f>ROUNDDOWN(MIN(IF(AK38=0,1000000000,AO38*'Parametros'!$B$11*'Parametros'!$B$4*MIN(U38,AB38)/(AK38*1000)),IF(AV38=0,1000000000,'Parametros'!$B$11/AV38),MIN(U38,AB38)/4,8*'Parametros'!$B$12,24*'Parametros'!$B$9,300)/10,0)*10</f>
        <v>80</v>
      </c>
      <c r="AQ38" s="10">
        <f>ROUNDDOWN(MIN(IF(AK38=0,1000000000,AO38*'Parametros'!$B$11*'Parametros'!$B$4*MIN(U38,AB38)/(AK38*1000)),IF(AV38=0,1000000000,'Parametros'!$B$11/AV38),MIN(U38,AB38)/2,600)/10,0)*10</f>
        <v>170</v>
      </c>
      <c r="AR38" s="10">
        <f>'Parametros'!$B$6*(AJ38+AO38*'Parametros'!$B$11*'Parametros'!$B$4*MIN(U38,AB38)/AP38/1000)</f>
        <v>260.860380287796</v>
      </c>
      <c r="AS38" s="10" t="str">
        <f>IF(AND(AM38="CUMPLE",AR38&gt;=AI38),"CUMPLE","NO CUMPLE")</f>
        <v>CUMPLE</v>
      </c>
      <c r="AT38" s="10">
        <f>'Parametros'!$B$6*0.083*SQRT('Parametros'!$B$2)*(H38*I38)^2/(2*(H38+I38))/1000000</f>
        <v>3.38807353605471</v>
      </c>
      <c r="AU38" s="10" t="str">
        <f>IF(Q38&lt;=AT38,"DESPRECIABLE","DISEÑAR")</f>
        <v>DESPRECIABLE</v>
      </c>
      <c r="AV38" s="10">
        <f>IF(Q38&lt;=AT38,0,Q38*1000000/('Parametros'!$B$6*2*0.85*(H38-2*'Parametros'!$B$7)*(I38-2*'Parametros'!$B$7)*'Parametros'!$B$4))</f>
        <v>0</v>
      </c>
      <c r="AW38" s="10">
        <f>AV38*2*((H38-2*'Parametros'!$B$7)+(I38-2*'Parametros'!$B$7))*'Parametros'!$B$4/'Parametros'!$B$3</f>
        <v>0</v>
      </c>
      <c r="AX38" s="17" t="n">
        <v>0</v>
      </c>
      <c r="AY38" s="10" t="str">
        <f>IF(AV38=0,"DESPRECIABLE",IF('Parametros'!$B$11/AP38&gt;=AV38,"CUMPLE","NO CUMPLE"))</f>
        <v>DESPRECIABLE</v>
      </c>
      <c r="AZ38" s="10" t="str">
        <f>IF(AND(X38="CUMPLE",AE38="CUMPLE",AS38="CUMPLE",OR(AY38="CUMPLE",AY38="DESPRECIABLE")),IF(OR(F38&lt;&gt;H38,G38&lt;&gt;I38),"CUMPLE - REANALIZAR SAP","CUMPLE"),"NO CUMPLE")</f>
        <v>CUMPLE</v>
      </c>
    </row>
    <row r="39">
      <c r="A39" s="19" t="inlineStr">
        <is>
          <t>VC2</t>
        </is>
      </c>
      <c r="B39" s="19" t="inlineStr">
        <is>
          <t>852</t>
        </is>
      </c>
      <c r="C39" s="10" t="n">
        <v>1</v>
      </c>
      <c r="D39" s="10" t="n">
        <v>4</v>
      </c>
      <c r="E39" s="10" t="n">
        <v>4</v>
      </c>
      <c r="F39" s="10" t="n">
        <v>300</v>
      </c>
      <c r="G39" s="10" t="n">
        <v>400</v>
      </c>
      <c r="H39" s="15" t="n">
        <v>300</v>
      </c>
      <c r="I39" s="15" t="n">
        <v>400</v>
      </c>
      <c r="J39" s="16" t="n">
        <v>55.4005</v>
      </c>
      <c r="K39" s="10" t="inlineStr">
        <is>
          <t>852</t>
        </is>
      </c>
      <c r="L39" s="16" t="n">
        <v>49.8502</v>
      </c>
      <c r="M39" s="10" t="inlineStr">
        <is>
          <t>852</t>
        </is>
      </c>
      <c r="N39" s="16" t="n">
        <v>32.604</v>
      </c>
      <c r="O39" s="16" t="n">
        <v>133.731</v>
      </c>
      <c r="P39" s="10" t="inlineStr">
        <is>
          <t>852</t>
        </is>
      </c>
      <c r="Q39" s="16" t="n">
        <v>2.869</v>
      </c>
      <c r="R39" s="10">
        <f>MAX(MAX(1.4/'Parametros'!$B$3,0.25*SQRT('Parametros'!$B$2)/'Parametros'!$B$3)*H39*U39,(0.85*'Parametros'!$B$2/'Parametros'!$B$3)*(1-SQRT(1-2*(J39*1000000/('Parametros'!$B$5*H39*U39^2))/(0.85*'Parametros'!$B$2)))*H39*U39)</f>
        <v>444.847284012377</v>
      </c>
      <c r="S39" s="17" t="n">
        <v>3</v>
      </c>
      <c r="T39" s="18" t="n">
        <v>1</v>
      </c>
      <c r="U39" s="10">
        <f>IF(T39=1,I39-('Parametros'!$B$7+'Parametros'!$B$9+'Parametros'!$B$12/2),I39-(ROUNDUP(S39/2,0)*('Parametros'!$B$7+'Parametros'!$B$9+'Parametros'!$B$12/2)+ROUNDDOWN(S39/2,0)*('Parametros'!$B$7+'Parametros'!$B$9+'Parametros'!$B$12/2+'Parametros'!$B$12+'Parametros'!$B$10))/S39)</f>
        <v>342.55</v>
      </c>
      <c r="V39" s="10">
        <f>S39*'Parametros'!$B$8</f>
        <v>597</v>
      </c>
      <c r="W39" s="10">
        <f>'Parametros'!$B$5*V39*'Parametros'!$B$3*(U39-(V39*'Parametros'!$B$3/(0.85*'Parametros'!$B$2*H39))/2)/1000000</f>
        <v>73.3394588294118</v>
      </c>
      <c r="X39" s="10" t="str">
        <f>IF(W39&gt;=J39,"CUMPLE","NO CUMPLE")</f>
        <v>CUMPLE</v>
      </c>
      <c r="Y39" s="10">
        <f>MAX(MAX(1.4/'Parametros'!$B$3,0.25*SQRT('Parametros'!$B$2)/'Parametros'!$B$3)*H39*AB39,(0.85*'Parametros'!$B$2/'Parametros'!$B$3)*(1-SQRT(1-2*(L39*1000000/('Parametros'!$B$5*H39*AB39^2))/(0.85*'Parametros'!$B$2)))*H39*AB39)</f>
        <v>398.63574031594</v>
      </c>
      <c r="Z39" s="17" t="n">
        <v>3</v>
      </c>
      <c r="AA39" s="18" t="n">
        <v>1</v>
      </c>
      <c r="AB39" s="10">
        <f>IF(AA39=1,I39-('Parametros'!$B$7+'Parametros'!$B$9+'Parametros'!$B$12/2),I39-(ROUNDUP(Z39/2,0)*('Parametros'!$B$7+'Parametros'!$B$9+'Parametros'!$B$12/2)+ROUNDDOWN(Z39/2,0)*('Parametros'!$B$7+'Parametros'!$B$9+'Parametros'!$B$12/2+'Parametros'!$B$12+'Parametros'!$B$10))/Z39)</f>
        <v>342.55</v>
      </c>
      <c r="AC39" s="10">
        <f>Z39*'Parametros'!$B$8</f>
        <v>597</v>
      </c>
      <c r="AD39" s="10">
        <f>'Parametros'!$B$5*AC39*'Parametros'!$B$3*(AB39-(AC39*'Parametros'!$B$3/(0.85*'Parametros'!$B$2*H39))/2)/1000000</f>
        <v>73.3394588294118</v>
      </c>
      <c r="AE39" s="10" t="str">
        <f>IF(AD39&gt;=L39,"CUMPLE","NO CUMPLE")</f>
        <v>CUMPLE</v>
      </c>
      <c r="AF39" s="10">
        <f>V39*1.25*'Parametros'!$B$3*(U39-(V39*1.25*'Parametros'!$B$3/(0.85*'Parametros'!$B$2*H39))/2)/1000000</f>
        <v>100.484515919118</v>
      </c>
      <c r="AG39" s="10">
        <f>AC39*1.25*'Parametros'!$B$3*(AB39-(AC39*1.25*'Parametros'!$B$3/(0.85*'Parametros'!$B$2*H39))/2)/1000000</f>
        <v>100.484515919118</v>
      </c>
      <c r="AH39" s="10">
        <f>N39+(AF39+AG39)/D39</f>
        <v>82.8462579595588</v>
      </c>
      <c r="AI39" s="10">
        <f>MIN(O39,MAX(N39,AH39))</f>
        <v>82.8462579595588</v>
      </c>
      <c r="AJ39" s="10">
        <f>0.17*SQRT('Parametros'!$B$2)*H39*MIN(U39,AB39)/1000</f>
        <v>92.4428153837279</v>
      </c>
      <c r="AK39" s="10">
        <f>MAX(AI39/'Parametros'!$B$6-AJ39,0)</f>
        <v>18.0188618956839</v>
      </c>
      <c r="AL39" s="10">
        <f>0.66*SQRT('Parametros'!$B$2)*H39*MIN(U39,AB39)/1000</f>
        <v>358.89563619565</v>
      </c>
      <c r="AM39" s="10" t="str">
        <f>IF(AK39&lt;=AL39,"CUMPLE","NO CUMPLE")</f>
        <v>CUMPLE</v>
      </c>
      <c r="AN39" s="15" t="inlineStr">
        <is>
          <t>Nº3 cerrado</t>
        </is>
      </c>
      <c r="AO39" s="17" t="n">
        <v>2</v>
      </c>
      <c r="AP39" s="10">
        <f>ROUNDDOWN(MIN(IF(AK39=0,1000000000,AO39*'Parametros'!$B$11*'Parametros'!$B$4*MIN(U39,AB39)/(AK39*1000)),IF(AV39=0,1000000000,'Parametros'!$B$11/AV39),MIN(U39,AB39)/4,8*'Parametros'!$B$12,24*'Parametros'!$B$9,300)/10,0)*10</f>
        <v>80</v>
      </c>
      <c r="AQ39" s="10">
        <f>ROUNDDOWN(MIN(IF(AK39=0,1000000000,AO39*'Parametros'!$B$11*'Parametros'!$B$4*MIN(U39,AB39)/(AK39*1000)),IF(AV39=0,1000000000,'Parametros'!$B$11/AV39),MIN(U39,AB39)/2,600)/10,0)*10</f>
        <v>170</v>
      </c>
      <c r="AR39" s="10">
        <f>'Parametros'!$B$6*(AJ39+AO39*'Parametros'!$B$11*'Parametros'!$B$4*MIN(U39,AB39)/AP39/1000)</f>
        <v>260.860380287796</v>
      </c>
      <c r="AS39" s="10" t="str">
        <f>IF(AND(AM39="CUMPLE",AR39&gt;=AI39),"CUMPLE","NO CUMPLE")</f>
        <v>CUMPLE</v>
      </c>
      <c r="AT39" s="10">
        <f>'Parametros'!$B$6*0.083*SQRT('Parametros'!$B$2)*(H39*I39)^2/(2*(H39+I39))/1000000</f>
        <v>3.38807353605471</v>
      </c>
      <c r="AU39" s="10" t="str">
        <f>IF(Q39&lt;=AT39,"DESPRECIABLE","DISEÑAR")</f>
        <v>DESPRECIABLE</v>
      </c>
      <c r="AV39" s="10">
        <f>IF(Q39&lt;=AT39,0,Q39*1000000/('Parametros'!$B$6*2*0.85*(H39-2*'Parametros'!$B$7)*(I39-2*'Parametros'!$B$7)*'Parametros'!$B$4))</f>
        <v>0</v>
      </c>
      <c r="AW39" s="10">
        <f>AV39*2*((H39-2*'Parametros'!$B$7)+(I39-2*'Parametros'!$B$7))*'Parametros'!$B$4/'Parametros'!$B$3</f>
        <v>0</v>
      </c>
      <c r="AX39" s="17" t="n">
        <v>0</v>
      </c>
      <c r="AY39" s="10" t="str">
        <f>IF(AV39=0,"DESPRECIABLE",IF('Parametros'!$B$11/AP39&gt;=AV39,"CUMPLE","NO CUMPLE"))</f>
        <v>DESPRECIABLE</v>
      </c>
      <c r="AZ39" s="10" t="str">
        <f>IF(AND(X39="CUMPLE",AE39="CUMPLE",AS39="CUMPLE",OR(AY39="CUMPLE",AY39="DESPRECIABLE")),IF(OR(F39&lt;&gt;H39,G39&lt;&gt;I39),"CUMPLE - REANALIZAR SAP","CUMPLE"),"NO CUMPLE")</f>
        <v>CUMPLE</v>
      </c>
    </row>
    <row r="40">
      <c r="A40" s="19" t="inlineStr">
        <is>
          <t>VC2</t>
        </is>
      </c>
      <c r="B40" s="19" t="inlineStr">
        <is>
          <t>907</t>
        </is>
      </c>
      <c r="C40" s="10" t="n">
        <v>1</v>
      </c>
      <c r="D40" s="10" t="n">
        <v>4</v>
      </c>
      <c r="E40" s="10" t="n">
        <v>4</v>
      </c>
      <c r="F40" s="10" t="n">
        <v>300</v>
      </c>
      <c r="G40" s="10" t="n">
        <v>400</v>
      </c>
      <c r="H40" s="15" t="n">
        <v>300</v>
      </c>
      <c r="I40" s="15" t="n">
        <v>400</v>
      </c>
      <c r="J40" s="16" t="n">
        <v>38.9547</v>
      </c>
      <c r="K40" s="10" t="inlineStr">
        <is>
          <t>907</t>
        </is>
      </c>
      <c r="L40" s="16" t="n">
        <v>33.1177</v>
      </c>
      <c r="M40" s="10" t="inlineStr">
        <is>
          <t>907</t>
        </is>
      </c>
      <c r="N40" s="16" t="n">
        <v>24.63</v>
      </c>
      <c r="O40" s="16" t="n">
        <v>92.56699999999999</v>
      </c>
      <c r="P40" s="10" t="inlineStr">
        <is>
          <t>907</t>
        </is>
      </c>
      <c r="Q40" s="16" t="n">
        <v>2.1404</v>
      </c>
      <c r="R40" s="10">
        <f>MAX(MAX(1.4/'Parametros'!$B$3,0.25*SQRT('Parametros'!$B$2)/'Parametros'!$B$3)*H40*U40,(0.85*'Parametros'!$B$2/'Parametros'!$B$3)*(1-SQRT(1-2*(J40*1000000/('Parametros'!$B$5*H40*U40^2))/(0.85*'Parametros'!$B$2)))*H40*U40)</f>
        <v>342.55</v>
      </c>
      <c r="S40" s="17" t="n">
        <v>2</v>
      </c>
      <c r="T40" s="18" t="n">
        <v>1</v>
      </c>
      <c r="U40" s="10">
        <f>IF(T40=1,I40-('Parametros'!$B$7+'Parametros'!$B$9+'Parametros'!$B$12/2),I40-(ROUNDUP(S40/2,0)*('Parametros'!$B$7+'Parametros'!$B$9+'Parametros'!$B$12/2)+ROUNDDOWN(S40/2,0)*('Parametros'!$B$7+'Parametros'!$B$9+'Parametros'!$B$12/2+'Parametros'!$B$12+'Parametros'!$B$10))/S40)</f>
        <v>342.55</v>
      </c>
      <c r="V40" s="10">
        <f>S40*'Parametros'!$B$8</f>
        <v>398</v>
      </c>
      <c r="W40" s="10">
        <f>'Parametros'!$B$5*V40*'Parametros'!$B$3*(U40-(V40*'Parametros'!$B$3/(0.85*'Parametros'!$B$2*H40))/2)/1000000</f>
        <v>49.7735124352941</v>
      </c>
      <c r="X40" s="10" t="str">
        <f>IF(W40&gt;=J40,"CUMPLE","NO CUMPLE")</f>
        <v>CUMPLE</v>
      </c>
      <c r="Y40" s="10">
        <f>MAX(MAX(1.4/'Parametros'!$B$3,0.25*SQRT('Parametros'!$B$2)/'Parametros'!$B$3)*H40*AB40,(0.85*'Parametros'!$B$2/'Parametros'!$B$3)*(1-SQRT(1-2*(L40*1000000/('Parametros'!$B$5*H40*AB40^2))/(0.85*'Parametros'!$B$2)))*H40*AB40)</f>
        <v>342.55</v>
      </c>
      <c r="Z40" s="17" t="n">
        <v>2</v>
      </c>
      <c r="AA40" s="18" t="n">
        <v>1</v>
      </c>
      <c r="AB40" s="10">
        <f>IF(AA40=1,I40-('Parametros'!$B$7+'Parametros'!$B$9+'Parametros'!$B$12/2),I40-(ROUNDUP(Z40/2,0)*('Parametros'!$B$7+'Parametros'!$B$9+'Parametros'!$B$12/2)+ROUNDDOWN(Z40/2,0)*('Parametros'!$B$7+'Parametros'!$B$9+'Parametros'!$B$12/2+'Parametros'!$B$12+'Parametros'!$B$10))/Z40)</f>
        <v>342.55</v>
      </c>
      <c r="AC40" s="10">
        <f>Z40*'Parametros'!$B$8</f>
        <v>398</v>
      </c>
      <c r="AD40" s="10">
        <f>'Parametros'!$B$5*AC40*'Parametros'!$B$3*(AB40-(AC40*'Parametros'!$B$3/(0.85*'Parametros'!$B$2*H40))/2)/1000000</f>
        <v>49.7735124352941</v>
      </c>
      <c r="AE40" s="10" t="str">
        <f>IF(AD40&gt;=L40,"CUMPLE","NO CUMPLE")</f>
        <v>CUMPLE</v>
      </c>
      <c r="AF40" s="10">
        <f>V40*1.25*'Parametros'!$B$3*(U40-(V40*1.25*'Parametros'!$B$3/(0.85*'Parametros'!$B$2*H40))/2)/1000000</f>
        <v>68.5183923529412</v>
      </c>
      <c r="AG40" s="10">
        <f>AC40*1.25*'Parametros'!$B$3*(AB40-(AC40*1.25*'Parametros'!$B$3/(0.85*'Parametros'!$B$2*H40))/2)/1000000</f>
        <v>68.5183923529412</v>
      </c>
      <c r="AH40" s="10">
        <f>N40+(AF40+AG40)/D40</f>
        <v>58.8891961764706</v>
      </c>
      <c r="AI40" s="10">
        <f>MIN(O40,MAX(N40,AH40))</f>
        <v>58.8891961764706</v>
      </c>
      <c r="AJ40" s="10">
        <f>0.17*SQRT('Parametros'!$B$2)*H40*MIN(U40,AB40)/1000</f>
        <v>92.4428153837279</v>
      </c>
      <c r="AK40" s="10">
        <f>MAX(AI40/'Parametros'!$B$6-AJ40,0)</f>
        <v>0</v>
      </c>
      <c r="AL40" s="10">
        <f>0.66*SQRT('Parametros'!$B$2)*H40*MIN(U40,AB40)/1000</f>
        <v>358.89563619565</v>
      </c>
      <c r="AM40" s="10" t="str">
        <f>IF(AK40&lt;=AL40,"CUMPLE","NO CUMPLE")</f>
        <v>CUMPLE</v>
      </c>
      <c r="AN40" s="15" t="inlineStr">
        <is>
          <t>Nº3 cerrado</t>
        </is>
      </c>
      <c r="AO40" s="17" t="n">
        <v>2</v>
      </c>
      <c r="AP40" s="10">
        <f>ROUNDDOWN(MIN(IF(AK40=0,1000000000,AO40*'Parametros'!$B$11*'Parametros'!$B$4*MIN(U40,AB40)/(AK40*1000)),IF(AV40=0,1000000000,'Parametros'!$B$11/AV40),MIN(U40,AB40)/4,8*'Parametros'!$B$12,24*'Parametros'!$B$9,300)/10,0)*10</f>
        <v>80</v>
      </c>
      <c r="AQ40" s="10">
        <f>ROUNDDOWN(MIN(IF(AK40=0,1000000000,AO40*'Parametros'!$B$11*'Parametros'!$B$4*MIN(U40,AB40)/(AK40*1000)),IF(AV40=0,1000000000,'Parametros'!$B$11/AV40),MIN(U40,AB40)/2,600)/10,0)*10</f>
        <v>170</v>
      </c>
      <c r="AR40" s="10">
        <f>'Parametros'!$B$6*(AJ40+AO40*'Parametros'!$B$11*'Parametros'!$B$4*MIN(U40,AB40)/AP40/1000)</f>
        <v>260.860380287796</v>
      </c>
      <c r="AS40" s="10" t="str">
        <f>IF(AND(AM40="CUMPLE",AR40&gt;=AI40),"CUMPLE","NO CUMPLE")</f>
        <v>CUMPLE</v>
      </c>
      <c r="AT40" s="10">
        <f>'Parametros'!$B$6*0.083*SQRT('Parametros'!$B$2)*(H40*I40)^2/(2*(H40+I40))/1000000</f>
        <v>3.38807353605471</v>
      </c>
      <c r="AU40" s="10" t="str">
        <f>IF(Q40&lt;=AT40,"DESPRECIABLE","DISEÑAR")</f>
        <v>DESPRECIABLE</v>
      </c>
      <c r="AV40" s="10">
        <f>IF(Q40&lt;=AT40,0,Q40*1000000/('Parametros'!$B$6*2*0.85*(H40-2*'Parametros'!$B$7)*(I40-2*'Parametros'!$B$7)*'Parametros'!$B$4))</f>
        <v>0</v>
      </c>
      <c r="AW40" s="10">
        <f>AV40*2*((H40-2*'Parametros'!$B$7)+(I40-2*'Parametros'!$B$7))*'Parametros'!$B$4/'Parametros'!$B$3</f>
        <v>0</v>
      </c>
      <c r="AX40" s="17" t="n">
        <v>0</v>
      </c>
      <c r="AY40" s="10" t="str">
        <f>IF(AV40=0,"DESPRECIABLE",IF('Parametros'!$B$11/AP40&gt;=AV40,"CUMPLE","NO CUMPLE"))</f>
        <v>DESPRECIABLE</v>
      </c>
      <c r="AZ40" s="10" t="str">
        <f>IF(AND(X40="CUMPLE",AE40="CUMPLE",AS40="CUMPLE",OR(AY40="CUMPLE",AY40="DESPRECIABLE")),IF(OR(F40&lt;&gt;H40,G40&lt;&gt;I40),"CUMPLE - REANALIZAR SAP","CUMPLE"),"NO CUMPLE")</f>
        <v>CUMPLE</v>
      </c>
    </row>
    <row r="41">
      <c r="A41" s="19" t="inlineStr">
        <is>
          <t>VC2</t>
        </is>
      </c>
      <c r="B41" s="19" t="inlineStr">
        <is>
          <t>908</t>
        </is>
      </c>
      <c r="C41" s="10" t="n">
        <v>1</v>
      </c>
      <c r="D41" s="10" t="n">
        <v>4</v>
      </c>
      <c r="E41" s="10" t="n">
        <v>4</v>
      </c>
      <c r="F41" s="10" t="n">
        <v>300</v>
      </c>
      <c r="G41" s="10" t="n">
        <v>400</v>
      </c>
      <c r="H41" s="15" t="n">
        <v>300</v>
      </c>
      <c r="I41" s="15" t="n">
        <v>400</v>
      </c>
      <c r="J41" s="16" t="n">
        <v>38.9937</v>
      </c>
      <c r="K41" s="10" t="inlineStr">
        <is>
          <t>908</t>
        </is>
      </c>
      <c r="L41" s="16" t="n">
        <v>33.1402</v>
      </c>
      <c r="M41" s="10" t="inlineStr">
        <is>
          <t>908</t>
        </is>
      </c>
      <c r="N41" s="16" t="n">
        <v>24.65</v>
      </c>
      <c r="O41" s="16" t="n">
        <v>92.587</v>
      </c>
      <c r="P41" s="10" t="inlineStr">
        <is>
          <t>908</t>
        </is>
      </c>
      <c r="Q41" s="16" t="n">
        <v>2.1405</v>
      </c>
      <c r="R41" s="10">
        <f>MAX(MAX(1.4/'Parametros'!$B$3,0.25*SQRT('Parametros'!$B$2)/'Parametros'!$B$3)*H41*U41,(0.85*'Parametros'!$B$2/'Parametros'!$B$3)*(1-SQRT(1-2*(J41*1000000/('Parametros'!$B$5*H41*U41^2))/(0.85*'Parametros'!$B$2)))*H41*U41)</f>
        <v>342.55</v>
      </c>
      <c r="S41" s="17" t="n">
        <v>2</v>
      </c>
      <c r="T41" s="18" t="n">
        <v>1</v>
      </c>
      <c r="U41" s="10">
        <f>IF(T41=1,I41-('Parametros'!$B$7+'Parametros'!$B$9+'Parametros'!$B$12/2),I41-(ROUNDUP(S41/2,0)*('Parametros'!$B$7+'Parametros'!$B$9+'Parametros'!$B$12/2)+ROUNDDOWN(S41/2,0)*('Parametros'!$B$7+'Parametros'!$B$9+'Parametros'!$B$12/2+'Parametros'!$B$12+'Parametros'!$B$10))/S41)</f>
        <v>342.55</v>
      </c>
      <c r="V41" s="10">
        <f>S41*'Parametros'!$B$8</f>
        <v>398</v>
      </c>
      <c r="W41" s="10">
        <f>'Parametros'!$B$5*V41*'Parametros'!$B$3*(U41-(V41*'Parametros'!$B$3/(0.85*'Parametros'!$B$2*H41))/2)/1000000</f>
        <v>49.7735124352941</v>
      </c>
      <c r="X41" s="10" t="str">
        <f>IF(W41&gt;=J41,"CUMPLE","NO CUMPLE")</f>
        <v>CUMPLE</v>
      </c>
      <c r="Y41" s="10">
        <f>MAX(MAX(1.4/'Parametros'!$B$3,0.25*SQRT('Parametros'!$B$2)/'Parametros'!$B$3)*H41*AB41,(0.85*'Parametros'!$B$2/'Parametros'!$B$3)*(1-SQRT(1-2*(L41*1000000/('Parametros'!$B$5*H41*AB41^2))/(0.85*'Parametros'!$B$2)))*H41*AB41)</f>
        <v>342.55</v>
      </c>
      <c r="Z41" s="17" t="n">
        <v>2</v>
      </c>
      <c r="AA41" s="18" t="n">
        <v>1</v>
      </c>
      <c r="AB41" s="10">
        <f>IF(AA41=1,I41-('Parametros'!$B$7+'Parametros'!$B$9+'Parametros'!$B$12/2),I41-(ROUNDUP(Z41/2,0)*('Parametros'!$B$7+'Parametros'!$B$9+'Parametros'!$B$12/2)+ROUNDDOWN(Z41/2,0)*('Parametros'!$B$7+'Parametros'!$B$9+'Parametros'!$B$12/2+'Parametros'!$B$12+'Parametros'!$B$10))/Z41)</f>
        <v>342.55</v>
      </c>
      <c r="AC41" s="10">
        <f>Z41*'Parametros'!$B$8</f>
        <v>398</v>
      </c>
      <c r="AD41" s="10">
        <f>'Parametros'!$B$5*AC41*'Parametros'!$B$3*(AB41-(AC41*'Parametros'!$B$3/(0.85*'Parametros'!$B$2*H41))/2)/1000000</f>
        <v>49.7735124352941</v>
      </c>
      <c r="AE41" s="10" t="str">
        <f>IF(AD41&gt;=L41,"CUMPLE","NO CUMPLE")</f>
        <v>CUMPLE</v>
      </c>
      <c r="AF41" s="10">
        <f>V41*1.25*'Parametros'!$B$3*(U41-(V41*1.25*'Parametros'!$B$3/(0.85*'Parametros'!$B$2*H41))/2)/1000000</f>
        <v>68.5183923529412</v>
      </c>
      <c r="AG41" s="10">
        <f>AC41*1.25*'Parametros'!$B$3*(AB41-(AC41*1.25*'Parametros'!$B$3/(0.85*'Parametros'!$B$2*H41))/2)/1000000</f>
        <v>68.5183923529412</v>
      </c>
      <c r="AH41" s="10">
        <f>N41+(AF41+AG41)/D41</f>
        <v>58.9091961764706</v>
      </c>
      <c r="AI41" s="10">
        <f>MIN(O41,MAX(N41,AH41))</f>
        <v>58.9091961764706</v>
      </c>
      <c r="AJ41" s="10">
        <f>0.17*SQRT('Parametros'!$B$2)*H41*MIN(U41,AB41)/1000</f>
        <v>92.4428153837279</v>
      </c>
      <c r="AK41" s="10">
        <f>MAX(AI41/'Parametros'!$B$6-AJ41,0)</f>
        <v>0</v>
      </c>
      <c r="AL41" s="10">
        <f>0.66*SQRT('Parametros'!$B$2)*H41*MIN(U41,AB41)/1000</f>
        <v>358.89563619565</v>
      </c>
      <c r="AM41" s="10" t="str">
        <f>IF(AK41&lt;=AL41,"CUMPLE","NO CUMPLE")</f>
        <v>CUMPLE</v>
      </c>
      <c r="AN41" s="15" t="inlineStr">
        <is>
          <t>Nº3 cerrado</t>
        </is>
      </c>
      <c r="AO41" s="17" t="n">
        <v>2</v>
      </c>
      <c r="AP41" s="10">
        <f>ROUNDDOWN(MIN(IF(AK41=0,1000000000,AO41*'Parametros'!$B$11*'Parametros'!$B$4*MIN(U41,AB41)/(AK41*1000)),IF(AV41=0,1000000000,'Parametros'!$B$11/AV41),MIN(U41,AB41)/4,8*'Parametros'!$B$12,24*'Parametros'!$B$9,300)/10,0)*10</f>
        <v>80</v>
      </c>
      <c r="AQ41" s="10">
        <f>ROUNDDOWN(MIN(IF(AK41=0,1000000000,AO41*'Parametros'!$B$11*'Parametros'!$B$4*MIN(U41,AB41)/(AK41*1000)),IF(AV41=0,1000000000,'Parametros'!$B$11/AV41),MIN(U41,AB41)/2,600)/10,0)*10</f>
        <v>170</v>
      </c>
      <c r="AR41" s="10">
        <f>'Parametros'!$B$6*(AJ41+AO41*'Parametros'!$B$11*'Parametros'!$B$4*MIN(U41,AB41)/AP41/1000)</f>
        <v>260.860380287796</v>
      </c>
      <c r="AS41" s="10" t="str">
        <f>IF(AND(AM41="CUMPLE",AR41&gt;=AI41),"CUMPLE","NO CUMPLE")</f>
        <v>CUMPLE</v>
      </c>
      <c r="AT41" s="10">
        <f>'Parametros'!$B$6*0.083*SQRT('Parametros'!$B$2)*(H41*I41)^2/(2*(H41+I41))/1000000</f>
        <v>3.38807353605471</v>
      </c>
      <c r="AU41" s="10" t="str">
        <f>IF(Q41&lt;=AT41,"DESPRECIABLE","DISEÑAR")</f>
        <v>DESPRECIABLE</v>
      </c>
      <c r="AV41" s="10">
        <f>IF(Q41&lt;=AT41,0,Q41*1000000/('Parametros'!$B$6*2*0.85*(H41-2*'Parametros'!$B$7)*(I41-2*'Parametros'!$B$7)*'Parametros'!$B$4))</f>
        <v>0</v>
      </c>
      <c r="AW41" s="10">
        <f>AV41*2*((H41-2*'Parametros'!$B$7)+(I41-2*'Parametros'!$B$7))*'Parametros'!$B$4/'Parametros'!$B$3</f>
        <v>0</v>
      </c>
      <c r="AX41" s="17" t="n">
        <v>0</v>
      </c>
      <c r="AY41" s="10" t="str">
        <f>IF(AV41=0,"DESPRECIABLE",IF('Parametros'!$B$11/AP41&gt;=AV41,"CUMPLE","NO CUMPLE"))</f>
        <v>DESPRECIABLE</v>
      </c>
      <c r="AZ41" s="10" t="str">
        <f>IF(AND(X41="CUMPLE",AE41="CUMPLE",AS41="CUMPLE",OR(AY41="CUMPLE",AY41="DESPRECIABLE")),IF(OR(F41&lt;&gt;H41,G41&lt;&gt;I41),"CUMPLE - REANALIZAR SAP","CUMPLE"),"NO CUMPLE")</f>
        <v>CUMPLE</v>
      </c>
    </row>
    <row r="42">
      <c r="A42" s="19" t="inlineStr">
        <is>
          <t>VC2</t>
        </is>
      </c>
      <c r="B42" s="19" t="inlineStr">
        <is>
          <t>945</t>
        </is>
      </c>
      <c r="C42" s="10" t="n">
        <v>1</v>
      </c>
      <c r="D42" s="10" t="n">
        <v>4</v>
      </c>
      <c r="E42" s="10" t="n">
        <v>4</v>
      </c>
      <c r="F42" s="10" t="n">
        <v>300</v>
      </c>
      <c r="G42" s="10" t="n">
        <v>400</v>
      </c>
      <c r="H42" s="15" t="n">
        <v>300</v>
      </c>
      <c r="I42" s="15" t="n">
        <v>400</v>
      </c>
      <c r="J42" s="16" t="n">
        <v>38.9905</v>
      </c>
      <c r="K42" s="10" t="inlineStr">
        <is>
          <t>945</t>
        </is>
      </c>
      <c r="L42" s="16" t="n">
        <v>33.1405</v>
      </c>
      <c r="M42" s="10" t="inlineStr">
        <is>
          <t>945</t>
        </is>
      </c>
      <c r="N42" s="16" t="n">
        <v>24.648</v>
      </c>
      <c r="O42" s="16" t="n">
        <v>92.595</v>
      </c>
      <c r="P42" s="10" t="inlineStr">
        <is>
          <t>945</t>
        </is>
      </c>
      <c r="Q42" s="16" t="n">
        <v>2.1434</v>
      </c>
      <c r="R42" s="10">
        <f>MAX(MAX(1.4/'Parametros'!$B$3,0.25*SQRT('Parametros'!$B$2)/'Parametros'!$B$3)*H42*U42,(0.85*'Parametros'!$B$2/'Parametros'!$B$3)*(1-SQRT(1-2*(J42*1000000/('Parametros'!$B$5*H42*U42^2))/(0.85*'Parametros'!$B$2)))*H42*U42)</f>
        <v>342.55</v>
      </c>
      <c r="S42" s="17" t="n">
        <v>2</v>
      </c>
      <c r="T42" s="18" t="n">
        <v>1</v>
      </c>
      <c r="U42" s="10">
        <f>IF(T42=1,I42-('Parametros'!$B$7+'Parametros'!$B$9+'Parametros'!$B$12/2),I42-(ROUNDUP(S42/2,0)*('Parametros'!$B$7+'Parametros'!$B$9+'Parametros'!$B$12/2)+ROUNDDOWN(S42/2,0)*('Parametros'!$B$7+'Parametros'!$B$9+'Parametros'!$B$12/2+'Parametros'!$B$12+'Parametros'!$B$10))/S42)</f>
        <v>342.55</v>
      </c>
      <c r="V42" s="10">
        <f>S42*'Parametros'!$B$8</f>
        <v>398</v>
      </c>
      <c r="W42" s="10">
        <f>'Parametros'!$B$5*V42*'Parametros'!$B$3*(U42-(V42*'Parametros'!$B$3/(0.85*'Parametros'!$B$2*H42))/2)/1000000</f>
        <v>49.7735124352941</v>
      </c>
      <c r="X42" s="10" t="str">
        <f>IF(W42&gt;=J42,"CUMPLE","NO CUMPLE")</f>
        <v>CUMPLE</v>
      </c>
      <c r="Y42" s="10">
        <f>MAX(MAX(1.4/'Parametros'!$B$3,0.25*SQRT('Parametros'!$B$2)/'Parametros'!$B$3)*H42*AB42,(0.85*'Parametros'!$B$2/'Parametros'!$B$3)*(1-SQRT(1-2*(L42*1000000/('Parametros'!$B$5*H42*AB42^2))/(0.85*'Parametros'!$B$2)))*H42*AB42)</f>
        <v>342.55</v>
      </c>
      <c r="Z42" s="17" t="n">
        <v>2</v>
      </c>
      <c r="AA42" s="18" t="n">
        <v>1</v>
      </c>
      <c r="AB42" s="10">
        <f>IF(AA42=1,I42-('Parametros'!$B$7+'Parametros'!$B$9+'Parametros'!$B$12/2),I42-(ROUNDUP(Z42/2,0)*('Parametros'!$B$7+'Parametros'!$B$9+'Parametros'!$B$12/2)+ROUNDDOWN(Z42/2,0)*('Parametros'!$B$7+'Parametros'!$B$9+'Parametros'!$B$12/2+'Parametros'!$B$12+'Parametros'!$B$10))/Z42)</f>
        <v>342.55</v>
      </c>
      <c r="AC42" s="10">
        <f>Z42*'Parametros'!$B$8</f>
        <v>398</v>
      </c>
      <c r="AD42" s="10">
        <f>'Parametros'!$B$5*AC42*'Parametros'!$B$3*(AB42-(AC42*'Parametros'!$B$3/(0.85*'Parametros'!$B$2*H42))/2)/1000000</f>
        <v>49.7735124352941</v>
      </c>
      <c r="AE42" s="10" t="str">
        <f>IF(AD42&gt;=L42,"CUMPLE","NO CUMPLE")</f>
        <v>CUMPLE</v>
      </c>
      <c r="AF42" s="10">
        <f>V42*1.25*'Parametros'!$B$3*(U42-(V42*1.25*'Parametros'!$B$3/(0.85*'Parametros'!$B$2*H42))/2)/1000000</f>
        <v>68.5183923529412</v>
      </c>
      <c r="AG42" s="10">
        <f>AC42*1.25*'Parametros'!$B$3*(AB42-(AC42*1.25*'Parametros'!$B$3/(0.85*'Parametros'!$B$2*H42))/2)/1000000</f>
        <v>68.5183923529412</v>
      </c>
      <c r="AH42" s="10">
        <f>N42+(AF42+AG42)/D42</f>
        <v>58.9071961764706</v>
      </c>
      <c r="AI42" s="10">
        <f>MIN(O42,MAX(N42,AH42))</f>
        <v>58.9071961764706</v>
      </c>
      <c r="AJ42" s="10">
        <f>0.17*SQRT('Parametros'!$B$2)*H42*MIN(U42,AB42)/1000</f>
        <v>92.4428153837279</v>
      </c>
      <c r="AK42" s="10">
        <f>MAX(AI42/'Parametros'!$B$6-AJ42,0)</f>
        <v>0</v>
      </c>
      <c r="AL42" s="10">
        <f>0.66*SQRT('Parametros'!$B$2)*H42*MIN(U42,AB42)/1000</f>
        <v>358.89563619565</v>
      </c>
      <c r="AM42" s="10" t="str">
        <f>IF(AK42&lt;=AL42,"CUMPLE","NO CUMPLE")</f>
        <v>CUMPLE</v>
      </c>
      <c r="AN42" s="15" t="inlineStr">
        <is>
          <t>Nº3 cerrado</t>
        </is>
      </c>
      <c r="AO42" s="17" t="n">
        <v>2</v>
      </c>
      <c r="AP42" s="10">
        <f>ROUNDDOWN(MIN(IF(AK42=0,1000000000,AO42*'Parametros'!$B$11*'Parametros'!$B$4*MIN(U42,AB42)/(AK42*1000)),IF(AV42=0,1000000000,'Parametros'!$B$11/AV42),MIN(U42,AB42)/4,8*'Parametros'!$B$12,24*'Parametros'!$B$9,300)/10,0)*10</f>
        <v>80</v>
      </c>
      <c r="AQ42" s="10">
        <f>ROUNDDOWN(MIN(IF(AK42=0,1000000000,AO42*'Parametros'!$B$11*'Parametros'!$B$4*MIN(U42,AB42)/(AK42*1000)),IF(AV42=0,1000000000,'Parametros'!$B$11/AV42),MIN(U42,AB42)/2,600)/10,0)*10</f>
        <v>170</v>
      </c>
      <c r="AR42" s="10">
        <f>'Parametros'!$B$6*(AJ42+AO42*'Parametros'!$B$11*'Parametros'!$B$4*MIN(U42,AB42)/AP42/1000)</f>
        <v>260.860380287796</v>
      </c>
      <c r="AS42" s="10" t="str">
        <f>IF(AND(AM42="CUMPLE",AR42&gt;=AI42),"CUMPLE","NO CUMPLE")</f>
        <v>CUMPLE</v>
      </c>
      <c r="AT42" s="10">
        <f>'Parametros'!$B$6*0.083*SQRT('Parametros'!$B$2)*(H42*I42)^2/(2*(H42+I42))/1000000</f>
        <v>3.38807353605471</v>
      </c>
      <c r="AU42" s="10" t="str">
        <f>IF(Q42&lt;=AT42,"DESPRECIABLE","DISEÑAR")</f>
        <v>DESPRECIABLE</v>
      </c>
      <c r="AV42" s="10">
        <f>IF(Q42&lt;=AT42,0,Q42*1000000/('Parametros'!$B$6*2*0.85*(H42-2*'Parametros'!$B$7)*(I42-2*'Parametros'!$B$7)*'Parametros'!$B$4))</f>
        <v>0</v>
      </c>
      <c r="AW42" s="10">
        <f>AV42*2*((H42-2*'Parametros'!$B$7)+(I42-2*'Parametros'!$B$7))*'Parametros'!$B$4/'Parametros'!$B$3</f>
        <v>0</v>
      </c>
      <c r="AX42" s="17" t="n">
        <v>0</v>
      </c>
      <c r="AY42" s="10" t="str">
        <f>IF(AV42=0,"DESPRECIABLE",IF('Parametros'!$B$11/AP42&gt;=AV42,"CUMPLE","NO CUMPLE"))</f>
        <v>DESPRECIABLE</v>
      </c>
      <c r="AZ42" s="10" t="str">
        <f>IF(AND(X42="CUMPLE",AE42="CUMPLE",AS42="CUMPLE",OR(AY42="CUMPLE",AY42="DESPRECIABLE")),IF(OR(F42&lt;&gt;H42,G42&lt;&gt;I42),"CUMPLE - REANALIZAR SAP","CUMPLE"),"NO CUMPLE")</f>
        <v>CUMPLE</v>
      </c>
    </row>
    <row r="43">
      <c r="A43" s="19" t="inlineStr">
        <is>
          <t>VC2</t>
        </is>
      </c>
      <c r="B43" s="19" t="inlineStr">
        <is>
          <t>946</t>
        </is>
      </c>
      <c r="C43" s="10" t="n">
        <v>1</v>
      </c>
      <c r="D43" s="10" t="n">
        <v>4</v>
      </c>
      <c r="E43" s="10" t="n">
        <v>4</v>
      </c>
      <c r="F43" s="10" t="n">
        <v>300</v>
      </c>
      <c r="G43" s="10" t="n">
        <v>400</v>
      </c>
      <c r="H43" s="15" t="n">
        <v>300</v>
      </c>
      <c r="I43" s="15" t="n">
        <v>400</v>
      </c>
      <c r="J43" s="16" t="n">
        <v>38.9622</v>
      </c>
      <c r="K43" s="10" t="inlineStr">
        <is>
          <t>946</t>
        </is>
      </c>
      <c r="L43" s="16" t="n">
        <v>33.1242</v>
      </c>
      <c r="M43" s="10" t="inlineStr">
        <is>
          <t>946</t>
        </is>
      </c>
      <c r="N43" s="16" t="n">
        <v>24.634</v>
      </c>
      <c r="O43" s="16" t="n">
        <v>92.58</v>
      </c>
      <c r="P43" s="10" t="inlineStr">
        <is>
          <t>946</t>
        </is>
      </c>
      <c r="Q43" s="16" t="n">
        <v>2.1432</v>
      </c>
      <c r="R43" s="10">
        <f>MAX(MAX(1.4/'Parametros'!$B$3,0.25*SQRT('Parametros'!$B$2)/'Parametros'!$B$3)*H43*U43,(0.85*'Parametros'!$B$2/'Parametros'!$B$3)*(1-SQRT(1-2*(J43*1000000/('Parametros'!$B$5*H43*U43^2))/(0.85*'Parametros'!$B$2)))*H43*U43)</f>
        <v>342.55</v>
      </c>
      <c r="S43" s="17" t="n">
        <v>2</v>
      </c>
      <c r="T43" s="18" t="n">
        <v>1</v>
      </c>
      <c r="U43" s="10">
        <f>IF(T43=1,I43-('Parametros'!$B$7+'Parametros'!$B$9+'Parametros'!$B$12/2),I43-(ROUNDUP(S43/2,0)*('Parametros'!$B$7+'Parametros'!$B$9+'Parametros'!$B$12/2)+ROUNDDOWN(S43/2,0)*('Parametros'!$B$7+'Parametros'!$B$9+'Parametros'!$B$12/2+'Parametros'!$B$12+'Parametros'!$B$10))/S43)</f>
        <v>342.55</v>
      </c>
      <c r="V43" s="10">
        <f>S43*'Parametros'!$B$8</f>
        <v>398</v>
      </c>
      <c r="W43" s="10">
        <f>'Parametros'!$B$5*V43*'Parametros'!$B$3*(U43-(V43*'Parametros'!$B$3/(0.85*'Parametros'!$B$2*H43))/2)/1000000</f>
        <v>49.7735124352941</v>
      </c>
      <c r="X43" s="10" t="str">
        <f>IF(W43&gt;=J43,"CUMPLE","NO CUMPLE")</f>
        <v>CUMPLE</v>
      </c>
      <c r="Y43" s="10">
        <f>MAX(MAX(1.4/'Parametros'!$B$3,0.25*SQRT('Parametros'!$B$2)/'Parametros'!$B$3)*H43*AB43,(0.85*'Parametros'!$B$2/'Parametros'!$B$3)*(1-SQRT(1-2*(L43*1000000/('Parametros'!$B$5*H43*AB43^2))/(0.85*'Parametros'!$B$2)))*H43*AB43)</f>
        <v>342.55</v>
      </c>
      <c r="Z43" s="17" t="n">
        <v>2</v>
      </c>
      <c r="AA43" s="18" t="n">
        <v>1</v>
      </c>
      <c r="AB43" s="10">
        <f>IF(AA43=1,I43-('Parametros'!$B$7+'Parametros'!$B$9+'Parametros'!$B$12/2),I43-(ROUNDUP(Z43/2,0)*('Parametros'!$B$7+'Parametros'!$B$9+'Parametros'!$B$12/2)+ROUNDDOWN(Z43/2,0)*('Parametros'!$B$7+'Parametros'!$B$9+'Parametros'!$B$12/2+'Parametros'!$B$12+'Parametros'!$B$10))/Z43)</f>
        <v>342.55</v>
      </c>
      <c r="AC43" s="10">
        <f>Z43*'Parametros'!$B$8</f>
        <v>398</v>
      </c>
      <c r="AD43" s="10">
        <f>'Parametros'!$B$5*AC43*'Parametros'!$B$3*(AB43-(AC43*'Parametros'!$B$3/(0.85*'Parametros'!$B$2*H43))/2)/1000000</f>
        <v>49.7735124352941</v>
      </c>
      <c r="AE43" s="10" t="str">
        <f>IF(AD43&gt;=L43,"CUMPLE","NO CUMPLE")</f>
        <v>CUMPLE</v>
      </c>
      <c r="AF43" s="10">
        <f>V43*1.25*'Parametros'!$B$3*(U43-(V43*1.25*'Parametros'!$B$3/(0.85*'Parametros'!$B$2*H43))/2)/1000000</f>
        <v>68.5183923529412</v>
      </c>
      <c r="AG43" s="10">
        <f>AC43*1.25*'Parametros'!$B$3*(AB43-(AC43*1.25*'Parametros'!$B$3/(0.85*'Parametros'!$B$2*H43))/2)/1000000</f>
        <v>68.5183923529412</v>
      </c>
      <c r="AH43" s="10">
        <f>N43+(AF43+AG43)/D43</f>
        <v>58.8931961764706</v>
      </c>
      <c r="AI43" s="10">
        <f>MIN(O43,MAX(N43,AH43))</f>
        <v>58.8931961764706</v>
      </c>
      <c r="AJ43" s="10">
        <f>0.17*SQRT('Parametros'!$B$2)*H43*MIN(U43,AB43)/1000</f>
        <v>92.4428153837279</v>
      </c>
      <c r="AK43" s="10">
        <f>MAX(AI43/'Parametros'!$B$6-AJ43,0)</f>
        <v>0</v>
      </c>
      <c r="AL43" s="10">
        <f>0.66*SQRT('Parametros'!$B$2)*H43*MIN(U43,AB43)/1000</f>
        <v>358.89563619565</v>
      </c>
      <c r="AM43" s="10" t="str">
        <f>IF(AK43&lt;=AL43,"CUMPLE","NO CUMPLE")</f>
        <v>CUMPLE</v>
      </c>
      <c r="AN43" s="15" t="inlineStr">
        <is>
          <t>Nº3 cerrado</t>
        </is>
      </c>
      <c r="AO43" s="17" t="n">
        <v>2</v>
      </c>
      <c r="AP43" s="10">
        <f>ROUNDDOWN(MIN(IF(AK43=0,1000000000,AO43*'Parametros'!$B$11*'Parametros'!$B$4*MIN(U43,AB43)/(AK43*1000)),IF(AV43=0,1000000000,'Parametros'!$B$11/AV43),MIN(U43,AB43)/4,8*'Parametros'!$B$12,24*'Parametros'!$B$9,300)/10,0)*10</f>
        <v>80</v>
      </c>
      <c r="AQ43" s="10">
        <f>ROUNDDOWN(MIN(IF(AK43=0,1000000000,AO43*'Parametros'!$B$11*'Parametros'!$B$4*MIN(U43,AB43)/(AK43*1000)),IF(AV43=0,1000000000,'Parametros'!$B$11/AV43),MIN(U43,AB43)/2,600)/10,0)*10</f>
        <v>170</v>
      </c>
      <c r="AR43" s="10">
        <f>'Parametros'!$B$6*(AJ43+AO43*'Parametros'!$B$11*'Parametros'!$B$4*MIN(U43,AB43)/AP43/1000)</f>
        <v>260.860380287796</v>
      </c>
      <c r="AS43" s="10" t="str">
        <f>IF(AND(AM43="CUMPLE",AR43&gt;=AI43),"CUMPLE","NO CUMPLE")</f>
        <v>CUMPLE</v>
      </c>
      <c r="AT43" s="10">
        <f>'Parametros'!$B$6*0.083*SQRT('Parametros'!$B$2)*(H43*I43)^2/(2*(H43+I43))/1000000</f>
        <v>3.38807353605471</v>
      </c>
      <c r="AU43" s="10" t="str">
        <f>IF(Q43&lt;=AT43,"DESPRECIABLE","DISEÑAR")</f>
        <v>DESPRECIABLE</v>
      </c>
      <c r="AV43" s="10">
        <f>IF(Q43&lt;=AT43,0,Q43*1000000/('Parametros'!$B$6*2*0.85*(H43-2*'Parametros'!$B$7)*(I43-2*'Parametros'!$B$7)*'Parametros'!$B$4))</f>
        <v>0</v>
      </c>
      <c r="AW43" s="10">
        <f>AV43*2*((H43-2*'Parametros'!$B$7)+(I43-2*'Parametros'!$B$7))*'Parametros'!$B$4/'Parametros'!$B$3</f>
        <v>0</v>
      </c>
      <c r="AX43" s="17" t="n">
        <v>0</v>
      </c>
      <c r="AY43" s="10" t="str">
        <f>IF(AV43=0,"DESPRECIABLE",IF('Parametros'!$B$11/AP43&gt;=AV43,"CUMPLE","NO CUMPLE"))</f>
        <v>DESPRECIABLE</v>
      </c>
      <c r="AZ43" s="10" t="str">
        <f>IF(AND(X43="CUMPLE",AE43="CUMPLE",AS43="CUMPLE",OR(AY43="CUMPLE",AY43="DESPRECIABLE")),IF(OR(F43&lt;&gt;H43,G43&lt;&gt;I43),"CUMPLE - REANALIZAR SAP","CUMPLE"),"NO CUMPLE")</f>
        <v>CUMPLE</v>
      </c>
    </row>
    <row r="44">
      <c r="A44" s="19" t="inlineStr">
        <is>
          <t>VC2</t>
        </is>
      </c>
      <c r="B44" s="19" t="inlineStr">
        <is>
          <t>1001</t>
        </is>
      </c>
      <c r="C44" s="10" t="n">
        <v>1</v>
      </c>
      <c r="D44" s="10" t="n">
        <v>4</v>
      </c>
      <c r="E44" s="10" t="n">
        <v>4</v>
      </c>
      <c r="F44" s="10" t="n">
        <v>300</v>
      </c>
      <c r="G44" s="10" t="n">
        <v>400</v>
      </c>
      <c r="H44" s="15" t="n">
        <v>300</v>
      </c>
      <c r="I44" s="15" t="n">
        <v>400</v>
      </c>
      <c r="J44" s="16" t="n">
        <v>21.5236</v>
      </c>
      <c r="K44" s="10" t="inlineStr">
        <is>
          <t>1001</t>
        </is>
      </c>
      <c r="L44" s="16" t="n">
        <v>14.0499</v>
      </c>
      <c r="M44" s="10" t="inlineStr">
        <is>
          <t>1001</t>
        </is>
      </c>
      <c r="N44" s="16" t="n">
        <v>15.059</v>
      </c>
      <c r="O44" s="16" t="n">
        <v>47.937</v>
      </c>
      <c r="P44" s="10" t="inlineStr">
        <is>
          <t>1001</t>
        </is>
      </c>
      <c r="Q44" s="16" t="n">
        <v>1.7785</v>
      </c>
      <c r="R44" s="10">
        <f>MAX(MAX(1.4/'Parametros'!$B$3,0.25*SQRT('Parametros'!$B$2)/'Parametros'!$B$3)*H44*U44,(0.85*'Parametros'!$B$2/'Parametros'!$B$3)*(1-SQRT(1-2*(J44*1000000/('Parametros'!$B$5*H44*U44^2))/(0.85*'Parametros'!$B$2)))*H44*U44)</f>
        <v>342.55</v>
      </c>
      <c r="S44" s="17" t="n">
        <v>2</v>
      </c>
      <c r="T44" s="18" t="n">
        <v>1</v>
      </c>
      <c r="U44" s="10">
        <f>IF(T44=1,I44-('Parametros'!$B$7+'Parametros'!$B$9+'Parametros'!$B$12/2),I44-(ROUNDUP(S44/2,0)*('Parametros'!$B$7+'Parametros'!$B$9+'Parametros'!$B$12/2)+ROUNDDOWN(S44/2,0)*('Parametros'!$B$7+'Parametros'!$B$9+'Parametros'!$B$12/2+'Parametros'!$B$12+'Parametros'!$B$10))/S44)</f>
        <v>342.55</v>
      </c>
      <c r="V44" s="10">
        <f>S44*'Parametros'!$B$8</f>
        <v>398</v>
      </c>
      <c r="W44" s="10">
        <f>'Parametros'!$B$5*V44*'Parametros'!$B$3*(U44-(V44*'Parametros'!$B$3/(0.85*'Parametros'!$B$2*H44))/2)/1000000</f>
        <v>49.7735124352941</v>
      </c>
      <c r="X44" s="10" t="str">
        <f>IF(W44&gt;=J44,"CUMPLE","NO CUMPLE")</f>
        <v>CUMPLE</v>
      </c>
      <c r="Y44" s="10">
        <f>MAX(MAX(1.4/'Parametros'!$B$3,0.25*SQRT('Parametros'!$B$2)/'Parametros'!$B$3)*H44*AB44,(0.85*'Parametros'!$B$2/'Parametros'!$B$3)*(1-SQRT(1-2*(L44*1000000/('Parametros'!$B$5*H44*AB44^2))/(0.85*'Parametros'!$B$2)))*H44*AB44)</f>
        <v>342.55</v>
      </c>
      <c r="Z44" s="17" t="n">
        <v>2</v>
      </c>
      <c r="AA44" s="18" t="n">
        <v>1</v>
      </c>
      <c r="AB44" s="10">
        <f>IF(AA44=1,I44-('Parametros'!$B$7+'Parametros'!$B$9+'Parametros'!$B$12/2),I44-(ROUNDUP(Z44/2,0)*('Parametros'!$B$7+'Parametros'!$B$9+'Parametros'!$B$12/2)+ROUNDDOWN(Z44/2,0)*('Parametros'!$B$7+'Parametros'!$B$9+'Parametros'!$B$12/2+'Parametros'!$B$12+'Parametros'!$B$10))/Z44)</f>
        <v>342.55</v>
      </c>
      <c r="AC44" s="10">
        <f>Z44*'Parametros'!$B$8</f>
        <v>398</v>
      </c>
      <c r="AD44" s="10">
        <f>'Parametros'!$B$5*AC44*'Parametros'!$B$3*(AB44-(AC44*'Parametros'!$B$3/(0.85*'Parametros'!$B$2*H44))/2)/1000000</f>
        <v>49.7735124352941</v>
      </c>
      <c r="AE44" s="10" t="str">
        <f>IF(AD44&gt;=L44,"CUMPLE","NO CUMPLE")</f>
        <v>CUMPLE</v>
      </c>
      <c r="AF44" s="10">
        <f>V44*1.25*'Parametros'!$B$3*(U44-(V44*1.25*'Parametros'!$B$3/(0.85*'Parametros'!$B$2*H44))/2)/1000000</f>
        <v>68.5183923529412</v>
      </c>
      <c r="AG44" s="10">
        <f>AC44*1.25*'Parametros'!$B$3*(AB44-(AC44*1.25*'Parametros'!$B$3/(0.85*'Parametros'!$B$2*H44))/2)/1000000</f>
        <v>68.5183923529412</v>
      </c>
      <c r="AH44" s="10">
        <f>N44+(AF44+AG44)/D44</f>
        <v>49.3181961764706</v>
      </c>
      <c r="AI44" s="10">
        <f>MIN(O44,MAX(N44,AH44))</f>
        <v>47.937</v>
      </c>
      <c r="AJ44" s="10">
        <f>0.17*SQRT('Parametros'!$B$2)*H44*MIN(U44,AB44)/1000</f>
        <v>92.4428153837279</v>
      </c>
      <c r="AK44" s="10">
        <f>MAX(AI44/'Parametros'!$B$6-AJ44,0)</f>
        <v>0</v>
      </c>
      <c r="AL44" s="10">
        <f>0.66*SQRT('Parametros'!$B$2)*H44*MIN(U44,AB44)/1000</f>
        <v>358.89563619565</v>
      </c>
      <c r="AM44" s="10" t="str">
        <f>IF(AK44&lt;=AL44,"CUMPLE","NO CUMPLE")</f>
        <v>CUMPLE</v>
      </c>
      <c r="AN44" s="15" t="inlineStr">
        <is>
          <t>Nº3 cerrado</t>
        </is>
      </c>
      <c r="AO44" s="17" t="n">
        <v>2</v>
      </c>
      <c r="AP44" s="10">
        <f>ROUNDDOWN(MIN(IF(AK44=0,1000000000,AO44*'Parametros'!$B$11*'Parametros'!$B$4*MIN(U44,AB44)/(AK44*1000)),IF(AV44=0,1000000000,'Parametros'!$B$11/AV44),MIN(U44,AB44)/4,8*'Parametros'!$B$12,24*'Parametros'!$B$9,300)/10,0)*10</f>
        <v>80</v>
      </c>
      <c r="AQ44" s="10">
        <f>ROUNDDOWN(MIN(IF(AK44=0,1000000000,AO44*'Parametros'!$B$11*'Parametros'!$B$4*MIN(U44,AB44)/(AK44*1000)),IF(AV44=0,1000000000,'Parametros'!$B$11/AV44),MIN(U44,AB44)/2,600)/10,0)*10</f>
        <v>170</v>
      </c>
      <c r="AR44" s="10">
        <f>'Parametros'!$B$6*(AJ44+AO44*'Parametros'!$B$11*'Parametros'!$B$4*MIN(U44,AB44)/AP44/1000)</f>
        <v>260.860380287796</v>
      </c>
      <c r="AS44" s="10" t="str">
        <f>IF(AND(AM44="CUMPLE",AR44&gt;=AI44),"CUMPLE","NO CUMPLE")</f>
        <v>CUMPLE</v>
      </c>
      <c r="AT44" s="10">
        <f>'Parametros'!$B$6*0.083*SQRT('Parametros'!$B$2)*(H44*I44)^2/(2*(H44+I44))/1000000</f>
        <v>3.38807353605471</v>
      </c>
      <c r="AU44" s="10" t="str">
        <f>IF(Q44&lt;=AT44,"DESPRECIABLE","DISEÑAR")</f>
        <v>DESPRECIABLE</v>
      </c>
      <c r="AV44" s="10">
        <f>IF(Q44&lt;=AT44,0,Q44*1000000/('Parametros'!$B$6*2*0.85*(H44-2*'Parametros'!$B$7)*(I44-2*'Parametros'!$B$7)*'Parametros'!$B$4))</f>
        <v>0</v>
      </c>
      <c r="AW44" s="10">
        <f>AV44*2*((H44-2*'Parametros'!$B$7)+(I44-2*'Parametros'!$B$7))*'Parametros'!$B$4/'Parametros'!$B$3</f>
        <v>0</v>
      </c>
      <c r="AX44" s="17" t="n">
        <v>0</v>
      </c>
      <c r="AY44" s="10" t="str">
        <f>IF(AV44=0,"DESPRECIABLE",IF('Parametros'!$B$11/AP44&gt;=AV44,"CUMPLE","NO CUMPLE"))</f>
        <v>DESPRECIABLE</v>
      </c>
      <c r="AZ44" s="10" t="str">
        <f>IF(AND(X44="CUMPLE",AE44="CUMPLE",AS44="CUMPLE",OR(AY44="CUMPLE",AY44="DESPRECIABLE")),IF(OR(F44&lt;&gt;H44,G44&lt;&gt;I44),"CUMPLE - REANALIZAR SAP","CUMPLE"),"NO CUMPLE")</f>
        <v>CUMPLE</v>
      </c>
    </row>
    <row r="45">
      <c r="A45" s="19" t="inlineStr">
        <is>
          <t>VC2</t>
        </is>
      </c>
      <c r="B45" s="19" t="inlineStr">
        <is>
          <t>1002</t>
        </is>
      </c>
      <c r="C45" s="10" t="n">
        <v>1</v>
      </c>
      <c r="D45" s="10" t="n">
        <v>4</v>
      </c>
      <c r="E45" s="10" t="n">
        <v>4</v>
      </c>
      <c r="F45" s="10" t="n">
        <v>300</v>
      </c>
      <c r="G45" s="10" t="n">
        <v>400</v>
      </c>
      <c r="H45" s="15" t="n">
        <v>300</v>
      </c>
      <c r="I45" s="15" t="n">
        <v>400</v>
      </c>
      <c r="J45" s="16" t="n">
        <v>21.494</v>
      </c>
      <c r="K45" s="10" t="inlineStr">
        <is>
          <t>1002</t>
        </is>
      </c>
      <c r="L45" s="16" t="n">
        <v>14.065</v>
      </c>
      <c r="M45" s="10" t="inlineStr">
        <is>
          <t>1002</t>
        </is>
      </c>
      <c r="N45" s="16" t="n">
        <v>15.045</v>
      </c>
      <c r="O45" s="16" t="n">
        <v>47.923</v>
      </c>
      <c r="P45" s="10" t="inlineStr">
        <is>
          <t>1002</t>
        </is>
      </c>
      <c r="Q45" s="16" t="n">
        <v>1.7784</v>
      </c>
      <c r="R45" s="10">
        <f>MAX(MAX(1.4/'Parametros'!$B$3,0.25*SQRT('Parametros'!$B$2)/'Parametros'!$B$3)*H45*U45,(0.85*'Parametros'!$B$2/'Parametros'!$B$3)*(1-SQRT(1-2*(J45*1000000/('Parametros'!$B$5*H45*U45^2))/(0.85*'Parametros'!$B$2)))*H45*U45)</f>
        <v>342.55</v>
      </c>
      <c r="S45" s="17" t="n">
        <v>2</v>
      </c>
      <c r="T45" s="18" t="n">
        <v>1</v>
      </c>
      <c r="U45" s="10">
        <f>IF(T45=1,I45-('Parametros'!$B$7+'Parametros'!$B$9+'Parametros'!$B$12/2),I45-(ROUNDUP(S45/2,0)*('Parametros'!$B$7+'Parametros'!$B$9+'Parametros'!$B$12/2)+ROUNDDOWN(S45/2,0)*('Parametros'!$B$7+'Parametros'!$B$9+'Parametros'!$B$12/2+'Parametros'!$B$12+'Parametros'!$B$10))/S45)</f>
        <v>342.55</v>
      </c>
      <c r="V45" s="10">
        <f>S45*'Parametros'!$B$8</f>
        <v>398</v>
      </c>
      <c r="W45" s="10">
        <f>'Parametros'!$B$5*V45*'Parametros'!$B$3*(U45-(V45*'Parametros'!$B$3/(0.85*'Parametros'!$B$2*H45))/2)/1000000</f>
        <v>49.7735124352941</v>
      </c>
      <c r="X45" s="10" t="str">
        <f>IF(W45&gt;=J45,"CUMPLE","NO CUMPLE")</f>
        <v>CUMPLE</v>
      </c>
      <c r="Y45" s="10">
        <f>MAX(MAX(1.4/'Parametros'!$B$3,0.25*SQRT('Parametros'!$B$2)/'Parametros'!$B$3)*H45*AB45,(0.85*'Parametros'!$B$2/'Parametros'!$B$3)*(1-SQRT(1-2*(L45*1000000/('Parametros'!$B$5*H45*AB45^2))/(0.85*'Parametros'!$B$2)))*H45*AB45)</f>
        <v>342.55</v>
      </c>
      <c r="Z45" s="17" t="n">
        <v>2</v>
      </c>
      <c r="AA45" s="18" t="n">
        <v>1</v>
      </c>
      <c r="AB45" s="10">
        <f>IF(AA45=1,I45-('Parametros'!$B$7+'Parametros'!$B$9+'Parametros'!$B$12/2),I45-(ROUNDUP(Z45/2,0)*('Parametros'!$B$7+'Parametros'!$B$9+'Parametros'!$B$12/2)+ROUNDDOWN(Z45/2,0)*('Parametros'!$B$7+'Parametros'!$B$9+'Parametros'!$B$12/2+'Parametros'!$B$12+'Parametros'!$B$10))/Z45)</f>
        <v>342.55</v>
      </c>
      <c r="AC45" s="10">
        <f>Z45*'Parametros'!$B$8</f>
        <v>398</v>
      </c>
      <c r="AD45" s="10">
        <f>'Parametros'!$B$5*AC45*'Parametros'!$B$3*(AB45-(AC45*'Parametros'!$B$3/(0.85*'Parametros'!$B$2*H45))/2)/1000000</f>
        <v>49.7735124352941</v>
      </c>
      <c r="AE45" s="10" t="str">
        <f>IF(AD45&gt;=L45,"CUMPLE","NO CUMPLE")</f>
        <v>CUMPLE</v>
      </c>
      <c r="AF45" s="10">
        <f>V45*1.25*'Parametros'!$B$3*(U45-(V45*1.25*'Parametros'!$B$3/(0.85*'Parametros'!$B$2*H45))/2)/1000000</f>
        <v>68.5183923529412</v>
      </c>
      <c r="AG45" s="10">
        <f>AC45*1.25*'Parametros'!$B$3*(AB45-(AC45*1.25*'Parametros'!$B$3/(0.85*'Parametros'!$B$2*H45))/2)/1000000</f>
        <v>68.5183923529412</v>
      </c>
      <c r="AH45" s="10">
        <f>N45+(AF45+AG45)/D45</f>
        <v>49.3041961764706</v>
      </c>
      <c r="AI45" s="10">
        <f>MIN(O45,MAX(N45,AH45))</f>
        <v>47.923</v>
      </c>
      <c r="AJ45" s="10">
        <f>0.17*SQRT('Parametros'!$B$2)*H45*MIN(U45,AB45)/1000</f>
        <v>92.4428153837279</v>
      </c>
      <c r="AK45" s="10">
        <f>MAX(AI45/'Parametros'!$B$6-AJ45,0)</f>
        <v>0</v>
      </c>
      <c r="AL45" s="10">
        <f>0.66*SQRT('Parametros'!$B$2)*H45*MIN(U45,AB45)/1000</f>
        <v>358.89563619565</v>
      </c>
      <c r="AM45" s="10" t="str">
        <f>IF(AK45&lt;=AL45,"CUMPLE","NO CUMPLE")</f>
        <v>CUMPLE</v>
      </c>
      <c r="AN45" s="15" t="inlineStr">
        <is>
          <t>Nº3 cerrado</t>
        </is>
      </c>
      <c r="AO45" s="17" t="n">
        <v>2</v>
      </c>
      <c r="AP45" s="10">
        <f>ROUNDDOWN(MIN(IF(AK45=0,1000000000,AO45*'Parametros'!$B$11*'Parametros'!$B$4*MIN(U45,AB45)/(AK45*1000)),IF(AV45=0,1000000000,'Parametros'!$B$11/AV45),MIN(U45,AB45)/4,8*'Parametros'!$B$12,24*'Parametros'!$B$9,300)/10,0)*10</f>
        <v>80</v>
      </c>
      <c r="AQ45" s="10">
        <f>ROUNDDOWN(MIN(IF(AK45=0,1000000000,AO45*'Parametros'!$B$11*'Parametros'!$B$4*MIN(U45,AB45)/(AK45*1000)),IF(AV45=0,1000000000,'Parametros'!$B$11/AV45),MIN(U45,AB45)/2,600)/10,0)*10</f>
        <v>170</v>
      </c>
      <c r="AR45" s="10">
        <f>'Parametros'!$B$6*(AJ45+AO45*'Parametros'!$B$11*'Parametros'!$B$4*MIN(U45,AB45)/AP45/1000)</f>
        <v>260.860380287796</v>
      </c>
      <c r="AS45" s="10" t="str">
        <f>IF(AND(AM45="CUMPLE",AR45&gt;=AI45),"CUMPLE","NO CUMPLE")</f>
        <v>CUMPLE</v>
      </c>
      <c r="AT45" s="10">
        <f>'Parametros'!$B$6*0.083*SQRT('Parametros'!$B$2)*(H45*I45)^2/(2*(H45+I45))/1000000</f>
        <v>3.38807353605471</v>
      </c>
      <c r="AU45" s="10" t="str">
        <f>IF(Q45&lt;=AT45,"DESPRECIABLE","DISEÑAR")</f>
        <v>DESPRECIABLE</v>
      </c>
      <c r="AV45" s="10">
        <f>IF(Q45&lt;=AT45,0,Q45*1000000/('Parametros'!$B$6*2*0.85*(H45-2*'Parametros'!$B$7)*(I45-2*'Parametros'!$B$7)*'Parametros'!$B$4))</f>
        <v>0</v>
      </c>
      <c r="AW45" s="10">
        <f>AV45*2*((H45-2*'Parametros'!$B$7)+(I45-2*'Parametros'!$B$7))*'Parametros'!$B$4/'Parametros'!$B$3</f>
        <v>0</v>
      </c>
      <c r="AX45" s="17" t="n">
        <v>0</v>
      </c>
      <c r="AY45" s="10" t="str">
        <f>IF(AV45=0,"DESPRECIABLE",IF('Parametros'!$B$11/AP45&gt;=AV45,"CUMPLE","NO CUMPLE"))</f>
        <v>DESPRECIABLE</v>
      </c>
      <c r="AZ45" s="10" t="str">
        <f>IF(AND(X45="CUMPLE",AE45="CUMPLE",AS45="CUMPLE",OR(AY45="CUMPLE",AY45="DESPRECIABLE")),IF(OR(F45&lt;&gt;H45,G45&lt;&gt;I45),"CUMPLE - REANALIZAR SAP","CUMPLE"),"NO CUMPLE")</f>
        <v>CUMPLE</v>
      </c>
    </row>
    <row r="46">
      <c r="A46" s="19" t="inlineStr">
        <is>
          <t>VC2</t>
        </is>
      </c>
      <c r="B46" s="19" t="inlineStr">
        <is>
          <t>1039</t>
        </is>
      </c>
      <c r="C46" s="10" t="n">
        <v>1</v>
      </c>
      <c r="D46" s="10" t="n">
        <v>4</v>
      </c>
      <c r="E46" s="10" t="n">
        <v>4</v>
      </c>
      <c r="F46" s="10" t="n">
        <v>300</v>
      </c>
      <c r="G46" s="10" t="n">
        <v>400</v>
      </c>
      <c r="H46" s="15" t="n">
        <v>300</v>
      </c>
      <c r="I46" s="15" t="n">
        <v>400</v>
      </c>
      <c r="J46" s="16" t="n">
        <v>21.5037</v>
      </c>
      <c r="K46" s="10" t="inlineStr">
        <is>
          <t>1039</t>
        </is>
      </c>
      <c r="L46" s="16" t="n">
        <v>14.0649</v>
      </c>
      <c r="M46" s="10" t="inlineStr">
        <is>
          <t>1039</t>
        </is>
      </c>
      <c r="N46" s="16" t="n">
        <v>15.05</v>
      </c>
      <c r="O46" s="16" t="n">
        <v>47.934</v>
      </c>
      <c r="P46" s="10" t="inlineStr">
        <is>
          <t>1039</t>
        </is>
      </c>
      <c r="Q46" s="16" t="n">
        <v>1.7811</v>
      </c>
      <c r="R46" s="10">
        <f>MAX(MAX(1.4/'Parametros'!$B$3,0.25*SQRT('Parametros'!$B$2)/'Parametros'!$B$3)*H46*U46,(0.85*'Parametros'!$B$2/'Parametros'!$B$3)*(1-SQRT(1-2*(J46*1000000/('Parametros'!$B$5*H46*U46^2))/(0.85*'Parametros'!$B$2)))*H46*U46)</f>
        <v>342.55</v>
      </c>
      <c r="S46" s="17" t="n">
        <v>2</v>
      </c>
      <c r="T46" s="18" t="n">
        <v>1</v>
      </c>
      <c r="U46" s="10">
        <f>IF(T46=1,I46-('Parametros'!$B$7+'Parametros'!$B$9+'Parametros'!$B$12/2),I46-(ROUNDUP(S46/2,0)*('Parametros'!$B$7+'Parametros'!$B$9+'Parametros'!$B$12/2)+ROUNDDOWN(S46/2,0)*('Parametros'!$B$7+'Parametros'!$B$9+'Parametros'!$B$12/2+'Parametros'!$B$12+'Parametros'!$B$10))/S46)</f>
        <v>342.55</v>
      </c>
      <c r="V46" s="10">
        <f>S46*'Parametros'!$B$8</f>
        <v>398</v>
      </c>
      <c r="W46" s="10">
        <f>'Parametros'!$B$5*V46*'Parametros'!$B$3*(U46-(V46*'Parametros'!$B$3/(0.85*'Parametros'!$B$2*H46))/2)/1000000</f>
        <v>49.7735124352941</v>
      </c>
      <c r="X46" s="10" t="str">
        <f>IF(W46&gt;=J46,"CUMPLE","NO CUMPLE")</f>
        <v>CUMPLE</v>
      </c>
      <c r="Y46" s="10">
        <f>MAX(MAX(1.4/'Parametros'!$B$3,0.25*SQRT('Parametros'!$B$2)/'Parametros'!$B$3)*H46*AB46,(0.85*'Parametros'!$B$2/'Parametros'!$B$3)*(1-SQRT(1-2*(L46*1000000/('Parametros'!$B$5*H46*AB46^2))/(0.85*'Parametros'!$B$2)))*H46*AB46)</f>
        <v>342.55</v>
      </c>
      <c r="Z46" s="17" t="n">
        <v>2</v>
      </c>
      <c r="AA46" s="18" t="n">
        <v>1</v>
      </c>
      <c r="AB46" s="10">
        <f>IF(AA46=1,I46-('Parametros'!$B$7+'Parametros'!$B$9+'Parametros'!$B$12/2),I46-(ROUNDUP(Z46/2,0)*('Parametros'!$B$7+'Parametros'!$B$9+'Parametros'!$B$12/2)+ROUNDDOWN(Z46/2,0)*('Parametros'!$B$7+'Parametros'!$B$9+'Parametros'!$B$12/2+'Parametros'!$B$12+'Parametros'!$B$10))/Z46)</f>
        <v>342.55</v>
      </c>
      <c r="AC46" s="10">
        <f>Z46*'Parametros'!$B$8</f>
        <v>398</v>
      </c>
      <c r="AD46" s="10">
        <f>'Parametros'!$B$5*AC46*'Parametros'!$B$3*(AB46-(AC46*'Parametros'!$B$3/(0.85*'Parametros'!$B$2*H46))/2)/1000000</f>
        <v>49.7735124352941</v>
      </c>
      <c r="AE46" s="10" t="str">
        <f>IF(AD46&gt;=L46,"CUMPLE","NO CUMPLE")</f>
        <v>CUMPLE</v>
      </c>
      <c r="AF46" s="10">
        <f>V46*1.25*'Parametros'!$B$3*(U46-(V46*1.25*'Parametros'!$B$3/(0.85*'Parametros'!$B$2*H46))/2)/1000000</f>
        <v>68.5183923529412</v>
      </c>
      <c r="AG46" s="10">
        <f>AC46*1.25*'Parametros'!$B$3*(AB46-(AC46*1.25*'Parametros'!$B$3/(0.85*'Parametros'!$B$2*H46))/2)/1000000</f>
        <v>68.5183923529412</v>
      </c>
      <c r="AH46" s="10">
        <f>N46+(AF46+AG46)/D46</f>
        <v>49.3091961764706</v>
      </c>
      <c r="AI46" s="10">
        <f>MIN(O46,MAX(N46,AH46))</f>
        <v>47.934</v>
      </c>
      <c r="AJ46" s="10">
        <f>0.17*SQRT('Parametros'!$B$2)*H46*MIN(U46,AB46)/1000</f>
        <v>92.4428153837279</v>
      </c>
      <c r="AK46" s="10">
        <f>MAX(AI46/'Parametros'!$B$6-AJ46,0)</f>
        <v>0</v>
      </c>
      <c r="AL46" s="10">
        <f>0.66*SQRT('Parametros'!$B$2)*H46*MIN(U46,AB46)/1000</f>
        <v>358.89563619565</v>
      </c>
      <c r="AM46" s="10" t="str">
        <f>IF(AK46&lt;=AL46,"CUMPLE","NO CUMPLE")</f>
        <v>CUMPLE</v>
      </c>
      <c r="AN46" s="15" t="inlineStr">
        <is>
          <t>Nº3 cerrado</t>
        </is>
      </c>
      <c r="AO46" s="17" t="n">
        <v>2</v>
      </c>
      <c r="AP46" s="10">
        <f>ROUNDDOWN(MIN(IF(AK46=0,1000000000,AO46*'Parametros'!$B$11*'Parametros'!$B$4*MIN(U46,AB46)/(AK46*1000)),IF(AV46=0,1000000000,'Parametros'!$B$11/AV46),MIN(U46,AB46)/4,8*'Parametros'!$B$12,24*'Parametros'!$B$9,300)/10,0)*10</f>
        <v>80</v>
      </c>
      <c r="AQ46" s="10">
        <f>ROUNDDOWN(MIN(IF(AK46=0,1000000000,AO46*'Parametros'!$B$11*'Parametros'!$B$4*MIN(U46,AB46)/(AK46*1000)),IF(AV46=0,1000000000,'Parametros'!$B$11/AV46),MIN(U46,AB46)/2,600)/10,0)*10</f>
        <v>170</v>
      </c>
      <c r="AR46" s="10">
        <f>'Parametros'!$B$6*(AJ46+AO46*'Parametros'!$B$11*'Parametros'!$B$4*MIN(U46,AB46)/AP46/1000)</f>
        <v>260.860380287796</v>
      </c>
      <c r="AS46" s="10" t="str">
        <f>IF(AND(AM46="CUMPLE",AR46&gt;=AI46),"CUMPLE","NO CUMPLE")</f>
        <v>CUMPLE</v>
      </c>
      <c r="AT46" s="10">
        <f>'Parametros'!$B$6*0.083*SQRT('Parametros'!$B$2)*(H46*I46)^2/(2*(H46+I46))/1000000</f>
        <v>3.38807353605471</v>
      </c>
      <c r="AU46" s="10" t="str">
        <f>IF(Q46&lt;=AT46,"DESPRECIABLE","DISEÑAR")</f>
        <v>DESPRECIABLE</v>
      </c>
      <c r="AV46" s="10">
        <f>IF(Q46&lt;=AT46,0,Q46*1000000/('Parametros'!$B$6*2*0.85*(H46-2*'Parametros'!$B$7)*(I46-2*'Parametros'!$B$7)*'Parametros'!$B$4))</f>
        <v>0</v>
      </c>
      <c r="AW46" s="10">
        <f>AV46*2*((H46-2*'Parametros'!$B$7)+(I46-2*'Parametros'!$B$7))*'Parametros'!$B$4/'Parametros'!$B$3</f>
        <v>0</v>
      </c>
      <c r="AX46" s="17" t="n">
        <v>0</v>
      </c>
      <c r="AY46" s="10" t="str">
        <f>IF(AV46=0,"DESPRECIABLE",IF('Parametros'!$B$11/AP46&gt;=AV46,"CUMPLE","NO CUMPLE"))</f>
        <v>DESPRECIABLE</v>
      </c>
      <c r="AZ46" s="10" t="str">
        <f>IF(AND(X46="CUMPLE",AE46="CUMPLE",AS46="CUMPLE",OR(AY46="CUMPLE",AY46="DESPRECIABLE")),IF(OR(F46&lt;&gt;H46,G46&lt;&gt;I46),"CUMPLE - REANALIZAR SAP","CUMPLE"),"NO CUMPLE")</f>
        <v>CUMPLE</v>
      </c>
    </row>
    <row r="47">
      <c r="A47" s="19" t="inlineStr">
        <is>
          <t>VC2</t>
        </is>
      </c>
      <c r="B47" s="19" t="inlineStr">
        <is>
          <t>1040</t>
        </is>
      </c>
      <c r="C47" s="10" t="n">
        <v>1</v>
      </c>
      <c r="D47" s="10" t="n">
        <v>4</v>
      </c>
      <c r="E47" s="10" t="n">
        <v>4</v>
      </c>
      <c r="F47" s="10" t="n">
        <v>300</v>
      </c>
      <c r="G47" s="10" t="n">
        <v>400</v>
      </c>
      <c r="H47" s="15" t="n">
        <v>300</v>
      </c>
      <c r="I47" s="15" t="n">
        <v>400</v>
      </c>
      <c r="J47" s="16" t="n">
        <v>21.525</v>
      </c>
      <c r="K47" s="10" t="inlineStr">
        <is>
          <t>1040</t>
        </is>
      </c>
      <c r="L47" s="16" t="n">
        <v>14.0541</v>
      </c>
      <c r="M47" s="10" t="inlineStr">
        <is>
          <t>1040</t>
        </is>
      </c>
      <c r="N47" s="16" t="n">
        <v>15.06</v>
      </c>
      <c r="O47" s="16" t="n">
        <v>47.944</v>
      </c>
      <c r="P47" s="10" t="inlineStr">
        <is>
          <t>1040</t>
        </is>
      </c>
      <c r="Q47" s="16" t="n">
        <v>1.7812</v>
      </c>
      <c r="R47" s="10">
        <f>MAX(MAX(1.4/'Parametros'!$B$3,0.25*SQRT('Parametros'!$B$2)/'Parametros'!$B$3)*H47*U47,(0.85*'Parametros'!$B$2/'Parametros'!$B$3)*(1-SQRT(1-2*(J47*1000000/('Parametros'!$B$5*H47*U47^2))/(0.85*'Parametros'!$B$2)))*H47*U47)</f>
        <v>342.55</v>
      </c>
      <c r="S47" s="17" t="n">
        <v>2</v>
      </c>
      <c r="T47" s="18" t="n">
        <v>1</v>
      </c>
      <c r="U47" s="10">
        <f>IF(T47=1,I47-('Parametros'!$B$7+'Parametros'!$B$9+'Parametros'!$B$12/2),I47-(ROUNDUP(S47/2,0)*('Parametros'!$B$7+'Parametros'!$B$9+'Parametros'!$B$12/2)+ROUNDDOWN(S47/2,0)*('Parametros'!$B$7+'Parametros'!$B$9+'Parametros'!$B$12/2+'Parametros'!$B$12+'Parametros'!$B$10))/S47)</f>
        <v>342.55</v>
      </c>
      <c r="V47" s="10">
        <f>S47*'Parametros'!$B$8</f>
        <v>398</v>
      </c>
      <c r="W47" s="10">
        <f>'Parametros'!$B$5*V47*'Parametros'!$B$3*(U47-(V47*'Parametros'!$B$3/(0.85*'Parametros'!$B$2*H47))/2)/1000000</f>
        <v>49.7735124352941</v>
      </c>
      <c r="X47" s="10" t="str">
        <f>IF(W47&gt;=J47,"CUMPLE","NO CUMPLE")</f>
        <v>CUMPLE</v>
      </c>
      <c r="Y47" s="10">
        <f>MAX(MAX(1.4/'Parametros'!$B$3,0.25*SQRT('Parametros'!$B$2)/'Parametros'!$B$3)*H47*AB47,(0.85*'Parametros'!$B$2/'Parametros'!$B$3)*(1-SQRT(1-2*(L47*1000000/('Parametros'!$B$5*H47*AB47^2))/(0.85*'Parametros'!$B$2)))*H47*AB47)</f>
        <v>342.55</v>
      </c>
      <c r="Z47" s="17" t="n">
        <v>2</v>
      </c>
      <c r="AA47" s="18" t="n">
        <v>1</v>
      </c>
      <c r="AB47" s="10">
        <f>IF(AA47=1,I47-('Parametros'!$B$7+'Parametros'!$B$9+'Parametros'!$B$12/2),I47-(ROUNDUP(Z47/2,0)*('Parametros'!$B$7+'Parametros'!$B$9+'Parametros'!$B$12/2)+ROUNDDOWN(Z47/2,0)*('Parametros'!$B$7+'Parametros'!$B$9+'Parametros'!$B$12/2+'Parametros'!$B$12+'Parametros'!$B$10))/Z47)</f>
        <v>342.55</v>
      </c>
      <c r="AC47" s="10">
        <f>Z47*'Parametros'!$B$8</f>
        <v>398</v>
      </c>
      <c r="AD47" s="10">
        <f>'Parametros'!$B$5*AC47*'Parametros'!$B$3*(AB47-(AC47*'Parametros'!$B$3/(0.85*'Parametros'!$B$2*H47))/2)/1000000</f>
        <v>49.7735124352941</v>
      </c>
      <c r="AE47" s="10" t="str">
        <f>IF(AD47&gt;=L47,"CUMPLE","NO CUMPLE")</f>
        <v>CUMPLE</v>
      </c>
      <c r="AF47" s="10">
        <f>V47*1.25*'Parametros'!$B$3*(U47-(V47*1.25*'Parametros'!$B$3/(0.85*'Parametros'!$B$2*H47))/2)/1000000</f>
        <v>68.5183923529412</v>
      </c>
      <c r="AG47" s="10">
        <f>AC47*1.25*'Parametros'!$B$3*(AB47-(AC47*1.25*'Parametros'!$B$3/(0.85*'Parametros'!$B$2*H47))/2)/1000000</f>
        <v>68.5183923529412</v>
      </c>
      <c r="AH47" s="10">
        <f>N47+(AF47+AG47)/D47</f>
        <v>49.3191961764706</v>
      </c>
      <c r="AI47" s="10">
        <f>MIN(O47,MAX(N47,AH47))</f>
        <v>47.944</v>
      </c>
      <c r="AJ47" s="10">
        <f>0.17*SQRT('Parametros'!$B$2)*H47*MIN(U47,AB47)/1000</f>
        <v>92.4428153837279</v>
      </c>
      <c r="AK47" s="10">
        <f>MAX(AI47/'Parametros'!$B$6-AJ47,0)</f>
        <v>0</v>
      </c>
      <c r="AL47" s="10">
        <f>0.66*SQRT('Parametros'!$B$2)*H47*MIN(U47,AB47)/1000</f>
        <v>358.89563619565</v>
      </c>
      <c r="AM47" s="10" t="str">
        <f>IF(AK47&lt;=AL47,"CUMPLE","NO CUMPLE")</f>
        <v>CUMPLE</v>
      </c>
      <c r="AN47" s="15" t="inlineStr">
        <is>
          <t>Nº3 cerrado</t>
        </is>
      </c>
      <c r="AO47" s="17" t="n">
        <v>2</v>
      </c>
      <c r="AP47" s="10">
        <f>ROUNDDOWN(MIN(IF(AK47=0,1000000000,AO47*'Parametros'!$B$11*'Parametros'!$B$4*MIN(U47,AB47)/(AK47*1000)),IF(AV47=0,1000000000,'Parametros'!$B$11/AV47),MIN(U47,AB47)/4,8*'Parametros'!$B$12,24*'Parametros'!$B$9,300)/10,0)*10</f>
        <v>80</v>
      </c>
      <c r="AQ47" s="10">
        <f>ROUNDDOWN(MIN(IF(AK47=0,1000000000,AO47*'Parametros'!$B$11*'Parametros'!$B$4*MIN(U47,AB47)/(AK47*1000)),IF(AV47=0,1000000000,'Parametros'!$B$11/AV47),MIN(U47,AB47)/2,600)/10,0)*10</f>
        <v>170</v>
      </c>
      <c r="AR47" s="10">
        <f>'Parametros'!$B$6*(AJ47+AO47*'Parametros'!$B$11*'Parametros'!$B$4*MIN(U47,AB47)/AP47/1000)</f>
        <v>260.860380287796</v>
      </c>
      <c r="AS47" s="10" t="str">
        <f>IF(AND(AM47="CUMPLE",AR47&gt;=AI47),"CUMPLE","NO CUMPLE")</f>
        <v>CUMPLE</v>
      </c>
      <c r="AT47" s="10">
        <f>'Parametros'!$B$6*0.083*SQRT('Parametros'!$B$2)*(H47*I47)^2/(2*(H47+I47))/1000000</f>
        <v>3.38807353605471</v>
      </c>
      <c r="AU47" s="10" t="str">
        <f>IF(Q47&lt;=AT47,"DESPRECIABLE","DISEÑAR")</f>
        <v>DESPRECIABLE</v>
      </c>
      <c r="AV47" s="10">
        <f>IF(Q47&lt;=AT47,0,Q47*1000000/('Parametros'!$B$6*2*0.85*(H47-2*'Parametros'!$B$7)*(I47-2*'Parametros'!$B$7)*'Parametros'!$B$4))</f>
        <v>0</v>
      </c>
      <c r="AW47" s="10">
        <f>AV47*2*((H47-2*'Parametros'!$B$7)+(I47-2*'Parametros'!$B$7))*'Parametros'!$B$4/'Parametros'!$B$3</f>
        <v>0</v>
      </c>
      <c r="AX47" s="17" t="n">
        <v>0</v>
      </c>
      <c r="AY47" s="10" t="str">
        <f>IF(AV47=0,"DESPRECIABLE",IF('Parametros'!$B$11/AP47&gt;=AV47,"CUMPLE","NO CUMPLE"))</f>
        <v>DESPRECIABLE</v>
      </c>
      <c r="AZ47" s="10" t="str">
        <f>IF(AND(X47="CUMPLE",AE47="CUMPLE",AS47="CUMPLE",OR(AY47="CUMPLE",AY47="DESPRECIABLE")),IF(OR(F47&lt;&gt;H47,G47&lt;&gt;I47),"CUMPLE - REANALIZAR SAP","CUMPLE"),"NO CUMPLE")</f>
        <v>CUMPLE</v>
      </c>
    </row>
    <row r="48">
      <c r="A48" s="19" t="inlineStr">
        <is>
          <t>VC2</t>
        </is>
      </c>
      <c r="B48" s="19" t="inlineStr">
        <is>
          <t>1363</t>
        </is>
      </c>
      <c r="C48" s="10" t="n">
        <v>1</v>
      </c>
      <c r="D48" s="10" t="n">
        <v>3.75</v>
      </c>
      <c r="E48" s="10" t="n">
        <v>3.75</v>
      </c>
      <c r="F48" s="10" t="n">
        <v>300</v>
      </c>
      <c r="G48" s="10" t="n">
        <v>400</v>
      </c>
      <c r="H48" s="15" t="n">
        <v>300</v>
      </c>
      <c r="I48" s="15" t="n">
        <v>400</v>
      </c>
      <c r="J48" s="16" t="n">
        <v>81.88979999999999</v>
      </c>
      <c r="K48" s="10" t="inlineStr">
        <is>
          <t>1363</t>
        </is>
      </c>
      <c r="L48" s="16" t="n">
        <v>73.74850000000001</v>
      </c>
      <c r="M48" s="10" t="inlineStr">
        <is>
          <t>1363</t>
        </is>
      </c>
      <c r="N48" s="16" t="n">
        <v>47.866</v>
      </c>
      <c r="O48" s="16" t="n">
        <v>204.556</v>
      </c>
      <c r="P48" s="10" t="inlineStr">
        <is>
          <t>1363</t>
        </is>
      </c>
      <c r="Q48" s="16" t="n">
        <v>0.4257</v>
      </c>
      <c r="R48" s="10">
        <f>MAX(MAX(1.4/'Parametros'!$B$3,0.25*SQRT('Parametros'!$B$2)/'Parametros'!$B$3)*H48*U48,(0.85*'Parametros'!$B$2/'Parametros'!$B$3)*(1-SQRT(1-2*(J48*1000000/('Parametros'!$B$5*H48*U48^2))/(0.85*'Parametros'!$B$2)))*H48*U48)</f>
        <v>671.102333578015</v>
      </c>
      <c r="S48" s="17" t="n">
        <v>4</v>
      </c>
      <c r="T48" s="18" t="n">
        <v>1</v>
      </c>
      <c r="U48" s="10">
        <f>IF(T48=1,I48-('Parametros'!$B$7+'Parametros'!$B$9+'Parametros'!$B$12/2),I48-(ROUNDUP(S48/2,0)*('Parametros'!$B$7+'Parametros'!$B$9+'Parametros'!$B$12/2)+ROUNDDOWN(S48/2,0)*('Parametros'!$B$7+'Parametros'!$B$9+'Parametros'!$B$12/2+'Parametros'!$B$12+'Parametros'!$B$10))/S48)</f>
        <v>342.55</v>
      </c>
      <c r="V48" s="10">
        <f>S48*'Parametros'!$B$8</f>
        <v>796</v>
      </c>
      <c r="W48" s="10">
        <f>'Parametros'!$B$5*V48*'Parametros'!$B$3*(U48-(V48*'Parametros'!$B$3/(0.85*'Parametros'!$B$2*H48))/2)/1000000</f>
        <v>96.0248653411765</v>
      </c>
      <c r="X48" s="10" t="str">
        <f>IF(W48&gt;=J48,"CUMPLE","NO CUMPLE")</f>
        <v>CUMPLE</v>
      </c>
      <c r="Y48" s="10">
        <f>MAX(MAX(1.4/'Parametros'!$B$3,0.25*SQRT('Parametros'!$B$2)/'Parametros'!$B$3)*H48*AB48,(0.85*'Parametros'!$B$2/'Parametros'!$B$3)*(1-SQRT(1-2*(L48*1000000/('Parametros'!$B$5*H48*AB48^2))/(0.85*'Parametros'!$B$2)))*H48*AB48)</f>
        <v>600.521048221373</v>
      </c>
      <c r="Z48" s="17" t="n">
        <v>4</v>
      </c>
      <c r="AA48" s="18" t="n">
        <v>1</v>
      </c>
      <c r="AB48" s="10">
        <f>IF(AA48=1,I48-('Parametros'!$B$7+'Parametros'!$B$9+'Parametros'!$B$12/2),I48-(ROUNDUP(Z48/2,0)*('Parametros'!$B$7+'Parametros'!$B$9+'Parametros'!$B$12/2)+ROUNDDOWN(Z48/2,0)*('Parametros'!$B$7+'Parametros'!$B$9+'Parametros'!$B$12/2+'Parametros'!$B$12+'Parametros'!$B$10))/Z48)</f>
        <v>342.55</v>
      </c>
      <c r="AC48" s="10">
        <f>Z48*'Parametros'!$B$8</f>
        <v>796</v>
      </c>
      <c r="AD48" s="10">
        <f>'Parametros'!$B$5*AC48*'Parametros'!$B$3*(AB48-(AC48*'Parametros'!$B$3/(0.85*'Parametros'!$B$2*H48))/2)/1000000</f>
        <v>96.0248653411765</v>
      </c>
      <c r="AE48" s="10" t="str">
        <f>IF(AD48&gt;=L48,"CUMPLE","NO CUMPLE")</f>
        <v>CUMPLE</v>
      </c>
      <c r="AF48" s="10">
        <f>V48*1.25*'Parametros'!$B$3*(U48-(V48*1.25*'Parametros'!$B$3/(0.85*'Parametros'!$B$2*H48))/2)/1000000</f>
        <v>130.921924411765</v>
      </c>
      <c r="AG48" s="10">
        <f>AC48*1.25*'Parametros'!$B$3*(AB48-(AC48*1.25*'Parametros'!$B$3/(0.85*'Parametros'!$B$2*H48))/2)/1000000</f>
        <v>130.921924411765</v>
      </c>
      <c r="AH48" s="10">
        <f>N48+(AF48+AG48)/D48</f>
        <v>117.691026352941</v>
      </c>
      <c r="AI48" s="10">
        <f>MIN(O48,MAX(N48,AH48))</f>
        <v>117.691026352941</v>
      </c>
      <c r="AJ48" s="10">
        <f>0.17*SQRT('Parametros'!$B$2)*H48*MIN(U48,AB48)/1000</f>
        <v>92.4428153837279</v>
      </c>
      <c r="AK48" s="10">
        <f>MAX(AI48/'Parametros'!$B$6-AJ48,0)</f>
        <v>64.4785530868603</v>
      </c>
      <c r="AL48" s="10">
        <f>0.66*SQRT('Parametros'!$B$2)*H48*MIN(U48,AB48)/1000</f>
        <v>358.89563619565</v>
      </c>
      <c r="AM48" s="10" t="str">
        <f>IF(AK48&lt;=AL48,"CUMPLE","NO CUMPLE")</f>
        <v>CUMPLE</v>
      </c>
      <c r="AN48" s="15" t="inlineStr">
        <is>
          <t>Nº3 cerrado</t>
        </is>
      </c>
      <c r="AO48" s="17" t="n">
        <v>2</v>
      </c>
      <c r="AP48" s="10">
        <f>ROUNDDOWN(MIN(IF(AK48=0,1000000000,AO48*'Parametros'!$B$11*'Parametros'!$B$4*MIN(U48,AB48)/(AK48*1000)),IF(AV48=0,1000000000,'Parametros'!$B$11/AV48),MIN(U48,AB48)/4,8*'Parametros'!$B$12,24*'Parametros'!$B$9,300)/10,0)*10</f>
        <v>80</v>
      </c>
      <c r="AQ48" s="10">
        <f>ROUNDDOWN(MIN(IF(AK48=0,1000000000,AO48*'Parametros'!$B$11*'Parametros'!$B$4*MIN(U48,AB48)/(AK48*1000)),IF(AV48=0,1000000000,'Parametros'!$B$11/AV48),MIN(U48,AB48)/2,600)/10,0)*10</f>
        <v>170</v>
      </c>
      <c r="AR48" s="10">
        <f>'Parametros'!$B$6*(AJ48+AO48*'Parametros'!$B$11*'Parametros'!$B$4*MIN(U48,AB48)/AP48/1000)</f>
        <v>260.860380287796</v>
      </c>
      <c r="AS48" s="10" t="str">
        <f>IF(AND(AM48="CUMPLE",AR48&gt;=AI48),"CUMPLE","NO CUMPLE")</f>
        <v>CUMPLE</v>
      </c>
      <c r="AT48" s="10">
        <f>'Parametros'!$B$6*0.083*SQRT('Parametros'!$B$2)*(H48*I48)^2/(2*(H48+I48))/1000000</f>
        <v>3.38807353605471</v>
      </c>
      <c r="AU48" s="10" t="str">
        <f>IF(Q48&lt;=AT48,"DESPRECIABLE","DISEÑAR")</f>
        <v>DESPRECIABLE</v>
      </c>
      <c r="AV48" s="10">
        <f>IF(Q48&lt;=AT48,0,Q48*1000000/('Parametros'!$B$6*2*0.85*(H48-2*'Parametros'!$B$7)*(I48-2*'Parametros'!$B$7)*'Parametros'!$B$4))</f>
        <v>0</v>
      </c>
      <c r="AW48" s="10">
        <f>AV48*2*((H48-2*'Parametros'!$B$7)+(I48-2*'Parametros'!$B$7))*'Parametros'!$B$4/'Parametros'!$B$3</f>
        <v>0</v>
      </c>
      <c r="AX48" s="17" t="n">
        <v>0</v>
      </c>
      <c r="AY48" s="10" t="str">
        <f>IF(AV48=0,"DESPRECIABLE",IF('Parametros'!$B$11/AP48&gt;=AV48,"CUMPLE","NO CUMPLE"))</f>
        <v>DESPRECIABLE</v>
      </c>
      <c r="AZ48" s="10" t="str">
        <f>IF(AND(X48="CUMPLE",AE48="CUMPLE",AS48="CUMPLE",OR(AY48="CUMPLE",AY48="DESPRECIABLE")),IF(OR(F48&lt;&gt;H48,G48&lt;&gt;I48),"CUMPLE - REANALIZAR SAP","CUMPLE"),"NO CUMPLE")</f>
        <v>CUMPLE</v>
      </c>
    </row>
    <row r="49">
      <c r="A49" s="19" t="inlineStr">
        <is>
          <t>VC2</t>
        </is>
      </c>
      <c r="B49" s="19" t="inlineStr">
        <is>
          <t>1364</t>
        </is>
      </c>
      <c r="C49" s="10" t="n">
        <v>1</v>
      </c>
      <c r="D49" s="10" t="n">
        <v>3.75</v>
      </c>
      <c r="E49" s="10" t="n">
        <v>3.75</v>
      </c>
      <c r="F49" s="10" t="n">
        <v>300</v>
      </c>
      <c r="G49" s="10" t="n">
        <v>400</v>
      </c>
      <c r="H49" s="15" t="n">
        <v>300</v>
      </c>
      <c r="I49" s="15" t="n">
        <v>400</v>
      </c>
      <c r="J49" s="16" t="n">
        <v>81.9139</v>
      </c>
      <c r="K49" s="10" t="inlineStr">
        <is>
          <t>1364</t>
        </is>
      </c>
      <c r="L49" s="16" t="n">
        <v>73.7717</v>
      </c>
      <c r="M49" s="10" t="inlineStr">
        <is>
          <t>1364</t>
        </is>
      </c>
      <c r="N49" s="16" t="n">
        <v>47.878</v>
      </c>
      <c r="O49" s="16" t="n">
        <v>204.568</v>
      </c>
      <c r="P49" s="10" t="inlineStr">
        <is>
          <t>1364</t>
        </is>
      </c>
      <c r="Q49" s="16" t="n">
        <v>0.4261</v>
      </c>
      <c r="R49" s="10">
        <f>MAX(MAX(1.4/'Parametros'!$B$3,0.25*SQRT('Parametros'!$B$2)/'Parametros'!$B$3)*H49*U49,(0.85*'Parametros'!$B$2/'Parametros'!$B$3)*(1-SQRT(1-2*(J49*1000000/('Parametros'!$B$5*H49*U49^2))/(0.85*'Parametros'!$B$2)))*H49*U49)</f>
        <v>671.312704785313</v>
      </c>
      <c r="S49" s="17" t="n">
        <v>4</v>
      </c>
      <c r="T49" s="18" t="n">
        <v>1</v>
      </c>
      <c r="U49" s="10">
        <f>IF(T49=1,I49-('Parametros'!$B$7+'Parametros'!$B$9+'Parametros'!$B$12/2),I49-(ROUNDUP(S49/2,0)*('Parametros'!$B$7+'Parametros'!$B$9+'Parametros'!$B$12/2)+ROUNDDOWN(S49/2,0)*('Parametros'!$B$7+'Parametros'!$B$9+'Parametros'!$B$12/2+'Parametros'!$B$12+'Parametros'!$B$10))/S49)</f>
        <v>342.55</v>
      </c>
      <c r="V49" s="10">
        <f>S49*'Parametros'!$B$8</f>
        <v>796</v>
      </c>
      <c r="W49" s="10">
        <f>'Parametros'!$B$5*V49*'Parametros'!$B$3*(U49-(V49*'Parametros'!$B$3/(0.85*'Parametros'!$B$2*H49))/2)/1000000</f>
        <v>96.0248653411765</v>
      </c>
      <c r="X49" s="10" t="str">
        <f>IF(W49&gt;=J49,"CUMPLE","NO CUMPLE")</f>
        <v>CUMPLE</v>
      </c>
      <c r="Y49" s="10">
        <f>MAX(MAX(1.4/'Parametros'!$B$3,0.25*SQRT('Parametros'!$B$2)/'Parametros'!$B$3)*H49*AB49,(0.85*'Parametros'!$B$2/'Parametros'!$B$3)*(1-SQRT(1-2*(L49*1000000/('Parametros'!$B$5*H49*AB49^2))/(0.85*'Parametros'!$B$2)))*H49*AB49)</f>
        <v>600.72082619776</v>
      </c>
      <c r="Z49" s="17" t="n">
        <v>4</v>
      </c>
      <c r="AA49" s="18" t="n">
        <v>1</v>
      </c>
      <c r="AB49" s="10">
        <f>IF(AA49=1,I49-('Parametros'!$B$7+'Parametros'!$B$9+'Parametros'!$B$12/2),I49-(ROUNDUP(Z49/2,0)*('Parametros'!$B$7+'Parametros'!$B$9+'Parametros'!$B$12/2)+ROUNDDOWN(Z49/2,0)*('Parametros'!$B$7+'Parametros'!$B$9+'Parametros'!$B$12/2+'Parametros'!$B$12+'Parametros'!$B$10))/Z49)</f>
        <v>342.55</v>
      </c>
      <c r="AC49" s="10">
        <f>Z49*'Parametros'!$B$8</f>
        <v>796</v>
      </c>
      <c r="AD49" s="10">
        <f>'Parametros'!$B$5*AC49*'Parametros'!$B$3*(AB49-(AC49*'Parametros'!$B$3/(0.85*'Parametros'!$B$2*H49))/2)/1000000</f>
        <v>96.0248653411765</v>
      </c>
      <c r="AE49" s="10" t="str">
        <f>IF(AD49&gt;=L49,"CUMPLE","NO CUMPLE")</f>
        <v>CUMPLE</v>
      </c>
      <c r="AF49" s="10">
        <f>V49*1.25*'Parametros'!$B$3*(U49-(V49*1.25*'Parametros'!$B$3/(0.85*'Parametros'!$B$2*H49))/2)/1000000</f>
        <v>130.921924411765</v>
      </c>
      <c r="AG49" s="10">
        <f>AC49*1.25*'Parametros'!$B$3*(AB49-(AC49*1.25*'Parametros'!$B$3/(0.85*'Parametros'!$B$2*H49))/2)/1000000</f>
        <v>130.921924411765</v>
      </c>
      <c r="AH49" s="10">
        <f>N49+(AF49+AG49)/D49</f>
        <v>117.703026352941</v>
      </c>
      <c r="AI49" s="10">
        <f>MIN(O49,MAX(N49,AH49))</f>
        <v>117.703026352941</v>
      </c>
      <c r="AJ49" s="10">
        <f>0.17*SQRT('Parametros'!$B$2)*H49*MIN(U49,AB49)/1000</f>
        <v>92.4428153837279</v>
      </c>
      <c r="AK49" s="10">
        <f>MAX(AI49/'Parametros'!$B$6-AJ49,0)</f>
        <v>64.4945530868603</v>
      </c>
      <c r="AL49" s="10">
        <f>0.66*SQRT('Parametros'!$B$2)*H49*MIN(U49,AB49)/1000</f>
        <v>358.89563619565</v>
      </c>
      <c r="AM49" s="10" t="str">
        <f>IF(AK49&lt;=AL49,"CUMPLE","NO CUMPLE")</f>
        <v>CUMPLE</v>
      </c>
      <c r="AN49" s="15" t="inlineStr">
        <is>
          <t>Nº3 cerrado</t>
        </is>
      </c>
      <c r="AO49" s="17" t="n">
        <v>2</v>
      </c>
      <c r="AP49" s="10">
        <f>ROUNDDOWN(MIN(IF(AK49=0,1000000000,AO49*'Parametros'!$B$11*'Parametros'!$B$4*MIN(U49,AB49)/(AK49*1000)),IF(AV49=0,1000000000,'Parametros'!$B$11/AV49),MIN(U49,AB49)/4,8*'Parametros'!$B$12,24*'Parametros'!$B$9,300)/10,0)*10</f>
        <v>80</v>
      </c>
      <c r="AQ49" s="10">
        <f>ROUNDDOWN(MIN(IF(AK49=0,1000000000,AO49*'Parametros'!$B$11*'Parametros'!$B$4*MIN(U49,AB49)/(AK49*1000)),IF(AV49=0,1000000000,'Parametros'!$B$11/AV49),MIN(U49,AB49)/2,600)/10,0)*10</f>
        <v>170</v>
      </c>
      <c r="AR49" s="10">
        <f>'Parametros'!$B$6*(AJ49+AO49*'Parametros'!$B$11*'Parametros'!$B$4*MIN(U49,AB49)/AP49/1000)</f>
        <v>260.860380287796</v>
      </c>
      <c r="AS49" s="10" t="str">
        <f>IF(AND(AM49="CUMPLE",AR49&gt;=AI49),"CUMPLE","NO CUMPLE")</f>
        <v>CUMPLE</v>
      </c>
      <c r="AT49" s="10">
        <f>'Parametros'!$B$6*0.083*SQRT('Parametros'!$B$2)*(H49*I49)^2/(2*(H49+I49))/1000000</f>
        <v>3.38807353605471</v>
      </c>
      <c r="AU49" s="10" t="str">
        <f>IF(Q49&lt;=AT49,"DESPRECIABLE","DISEÑAR")</f>
        <v>DESPRECIABLE</v>
      </c>
      <c r="AV49" s="10">
        <f>IF(Q49&lt;=AT49,0,Q49*1000000/('Parametros'!$B$6*2*0.85*(H49-2*'Parametros'!$B$7)*(I49-2*'Parametros'!$B$7)*'Parametros'!$B$4))</f>
        <v>0</v>
      </c>
      <c r="AW49" s="10">
        <f>AV49*2*((H49-2*'Parametros'!$B$7)+(I49-2*'Parametros'!$B$7))*'Parametros'!$B$4/'Parametros'!$B$3</f>
        <v>0</v>
      </c>
      <c r="AX49" s="17" t="n">
        <v>0</v>
      </c>
      <c r="AY49" s="10" t="str">
        <f>IF(AV49=0,"DESPRECIABLE",IF('Parametros'!$B$11/AP49&gt;=AV49,"CUMPLE","NO CUMPLE"))</f>
        <v>DESPRECIABLE</v>
      </c>
      <c r="AZ49" s="10" t="str">
        <f>IF(AND(X49="CUMPLE",AE49="CUMPLE",AS49="CUMPLE",OR(AY49="CUMPLE",AY49="DESPRECIABLE")),IF(OR(F49&lt;&gt;H49,G49&lt;&gt;I49),"CUMPLE - REANALIZAR SAP","CUMPLE"),"NO CUMPLE")</f>
        <v>CUMPLE</v>
      </c>
    </row>
    <row r="50">
      <c r="A50" s="19" t="inlineStr">
        <is>
          <t>VC2</t>
        </is>
      </c>
      <c r="B50" s="19" t="inlineStr">
        <is>
          <t>1365</t>
        </is>
      </c>
      <c r="C50" s="10" t="n">
        <v>1</v>
      </c>
      <c r="D50" s="10" t="n">
        <v>3.75</v>
      </c>
      <c r="E50" s="10" t="n">
        <v>3.75</v>
      </c>
      <c r="F50" s="10" t="n">
        <v>300</v>
      </c>
      <c r="G50" s="10" t="n">
        <v>400</v>
      </c>
      <c r="H50" s="15" t="n">
        <v>300</v>
      </c>
      <c r="I50" s="15" t="n">
        <v>400</v>
      </c>
      <c r="J50" s="16" t="n">
        <v>81.9216</v>
      </c>
      <c r="K50" s="10" t="inlineStr">
        <is>
          <t>1365</t>
        </is>
      </c>
      <c r="L50" s="16" t="n">
        <v>73.7796</v>
      </c>
      <c r="M50" s="10" t="inlineStr">
        <is>
          <t>1365</t>
        </is>
      </c>
      <c r="N50" s="16" t="n">
        <v>47.882</v>
      </c>
      <c r="O50" s="16" t="n">
        <v>204.587</v>
      </c>
      <c r="P50" s="10" t="inlineStr">
        <is>
          <t>1365</t>
        </is>
      </c>
      <c r="Q50" s="16" t="n">
        <v>0.4269</v>
      </c>
      <c r="R50" s="10">
        <f>MAX(MAX(1.4/'Parametros'!$B$3,0.25*SQRT('Parametros'!$B$2)/'Parametros'!$B$3)*H50*U50,(0.85*'Parametros'!$B$2/'Parametros'!$B$3)*(1-SQRT(1-2*(J50*1000000/('Parametros'!$B$5*H50*U50^2))/(0.85*'Parametros'!$B$2)))*H50*U50)</f>
        <v>671.379920633227</v>
      </c>
      <c r="S50" s="17" t="n">
        <v>4</v>
      </c>
      <c r="T50" s="18" t="n">
        <v>1</v>
      </c>
      <c r="U50" s="10">
        <f>IF(T50=1,I50-('Parametros'!$B$7+'Parametros'!$B$9+'Parametros'!$B$12/2),I50-(ROUNDUP(S50/2,0)*('Parametros'!$B$7+'Parametros'!$B$9+'Parametros'!$B$12/2)+ROUNDDOWN(S50/2,0)*('Parametros'!$B$7+'Parametros'!$B$9+'Parametros'!$B$12/2+'Parametros'!$B$12+'Parametros'!$B$10))/S50)</f>
        <v>342.55</v>
      </c>
      <c r="V50" s="10">
        <f>S50*'Parametros'!$B$8</f>
        <v>796</v>
      </c>
      <c r="W50" s="10">
        <f>'Parametros'!$B$5*V50*'Parametros'!$B$3*(U50-(V50*'Parametros'!$B$3/(0.85*'Parametros'!$B$2*H50))/2)/1000000</f>
        <v>96.0248653411765</v>
      </c>
      <c r="X50" s="10" t="str">
        <f>IF(W50&gt;=J50,"CUMPLE","NO CUMPLE")</f>
        <v>CUMPLE</v>
      </c>
      <c r="Y50" s="10">
        <f>MAX(MAX(1.4/'Parametros'!$B$3,0.25*SQRT('Parametros'!$B$2)/'Parametros'!$B$3)*H50*AB50,(0.85*'Parametros'!$B$2/'Parametros'!$B$3)*(1-SQRT(1-2*(L50*1000000/('Parametros'!$B$5*H50*AB50^2))/(0.85*'Parametros'!$B$2)))*H50*AB50)</f>
        <v>600.788855787356</v>
      </c>
      <c r="Z50" s="17" t="n">
        <v>4</v>
      </c>
      <c r="AA50" s="18" t="n">
        <v>1</v>
      </c>
      <c r="AB50" s="10">
        <f>IF(AA50=1,I50-('Parametros'!$B$7+'Parametros'!$B$9+'Parametros'!$B$12/2),I50-(ROUNDUP(Z50/2,0)*('Parametros'!$B$7+'Parametros'!$B$9+'Parametros'!$B$12/2)+ROUNDDOWN(Z50/2,0)*('Parametros'!$B$7+'Parametros'!$B$9+'Parametros'!$B$12/2+'Parametros'!$B$12+'Parametros'!$B$10))/Z50)</f>
        <v>342.55</v>
      </c>
      <c r="AC50" s="10">
        <f>Z50*'Parametros'!$B$8</f>
        <v>796</v>
      </c>
      <c r="AD50" s="10">
        <f>'Parametros'!$B$5*AC50*'Parametros'!$B$3*(AB50-(AC50*'Parametros'!$B$3/(0.85*'Parametros'!$B$2*H50))/2)/1000000</f>
        <v>96.0248653411765</v>
      </c>
      <c r="AE50" s="10" t="str">
        <f>IF(AD50&gt;=L50,"CUMPLE","NO CUMPLE")</f>
        <v>CUMPLE</v>
      </c>
      <c r="AF50" s="10">
        <f>V50*1.25*'Parametros'!$B$3*(U50-(V50*1.25*'Parametros'!$B$3/(0.85*'Parametros'!$B$2*H50))/2)/1000000</f>
        <v>130.921924411765</v>
      </c>
      <c r="AG50" s="10">
        <f>AC50*1.25*'Parametros'!$B$3*(AB50-(AC50*1.25*'Parametros'!$B$3/(0.85*'Parametros'!$B$2*H50))/2)/1000000</f>
        <v>130.921924411765</v>
      </c>
      <c r="AH50" s="10">
        <f>N50+(AF50+AG50)/D50</f>
        <v>117.707026352941</v>
      </c>
      <c r="AI50" s="10">
        <f>MIN(O50,MAX(N50,AH50))</f>
        <v>117.707026352941</v>
      </c>
      <c r="AJ50" s="10">
        <f>0.17*SQRT('Parametros'!$B$2)*H50*MIN(U50,AB50)/1000</f>
        <v>92.4428153837279</v>
      </c>
      <c r="AK50" s="10">
        <f>MAX(AI50/'Parametros'!$B$6-AJ50,0)</f>
        <v>64.4998864201936</v>
      </c>
      <c r="AL50" s="10">
        <f>0.66*SQRT('Parametros'!$B$2)*H50*MIN(U50,AB50)/1000</f>
        <v>358.89563619565</v>
      </c>
      <c r="AM50" s="10" t="str">
        <f>IF(AK50&lt;=AL50,"CUMPLE","NO CUMPLE")</f>
        <v>CUMPLE</v>
      </c>
      <c r="AN50" s="15" t="inlineStr">
        <is>
          <t>Nº3 cerrado</t>
        </is>
      </c>
      <c r="AO50" s="17" t="n">
        <v>2</v>
      </c>
      <c r="AP50" s="10">
        <f>ROUNDDOWN(MIN(IF(AK50=0,1000000000,AO50*'Parametros'!$B$11*'Parametros'!$B$4*MIN(U50,AB50)/(AK50*1000)),IF(AV50=0,1000000000,'Parametros'!$B$11/AV50),MIN(U50,AB50)/4,8*'Parametros'!$B$12,24*'Parametros'!$B$9,300)/10,0)*10</f>
        <v>80</v>
      </c>
      <c r="AQ50" s="10">
        <f>ROUNDDOWN(MIN(IF(AK50=0,1000000000,AO50*'Parametros'!$B$11*'Parametros'!$B$4*MIN(U50,AB50)/(AK50*1000)),IF(AV50=0,1000000000,'Parametros'!$B$11/AV50),MIN(U50,AB50)/2,600)/10,0)*10</f>
        <v>170</v>
      </c>
      <c r="AR50" s="10">
        <f>'Parametros'!$B$6*(AJ50+AO50*'Parametros'!$B$11*'Parametros'!$B$4*MIN(U50,AB50)/AP50/1000)</f>
        <v>260.860380287796</v>
      </c>
      <c r="AS50" s="10" t="str">
        <f>IF(AND(AM50="CUMPLE",AR50&gt;=AI50),"CUMPLE","NO CUMPLE")</f>
        <v>CUMPLE</v>
      </c>
      <c r="AT50" s="10">
        <f>'Parametros'!$B$6*0.083*SQRT('Parametros'!$B$2)*(H50*I50)^2/(2*(H50+I50))/1000000</f>
        <v>3.38807353605471</v>
      </c>
      <c r="AU50" s="10" t="str">
        <f>IF(Q50&lt;=AT50,"DESPRECIABLE","DISEÑAR")</f>
        <v>DESPRECIABLE</v>
      </c>
      <c r="AV50" s="10">
        <f>IF(Q50&lt;=AT50,0,Q50*1000000/('Parametros'!$B$6*2*0.85*(H50-2*'Parametros'!$B$7)*(I50-2*'Parametros'!$B$7)*'Parametros'!$B$4))</f>
        <v>0</v>
      </c>
      <c r="AW50" s="10">
        <f>AV50*2*((H50-2*'Parametros'!$B$7)+(I50-2*'Parametros'!$B$7))*'Parametros'!$B$4/'Parametros'!$B$3</f>
        <v>0</v>
      </c>
      <c r="AX50" s="17" t="n">
        <v>0</v>
      </c>
      <c r="AY50" s="10" t="str">
        <f>IF(AV50=0,"DESPRECIABLE",IF('Parametros'!$B$11/AP50&gt;=AV50,"CUMPLE","NO CUMPLE"))</f>
        <v>DESPRECIABLE</v>
      </c>
      <c r="AZ50" s="10" t="str">
        <f>IF(AND(X50="CUMPLE",AE50="CUMPLE",AS50="CUMPLE",OR(AY50="CUMPLE",AY50="DESPRECIABLE")),IF(OR(F50&lt;&gt;H50,G50&lt;&gt;I50),"CUMPLE - REANALIZAR SAP","CUMPLE"),"NO CUMPLE")</f>
        <v>CUMPLE</v>
      </c>
    </row>
    <row r="51">
      <c r="A51" s="19" t="inlineStr">
        <is>
          <t>VC2</t>
        </is>
      </c>
      <c r="B51" s="19" t="inlineStr">
        <is>
          <t>1366</t>
        </is>
      </c>
      <c r="C51" s="10" t="n">
        <v>1</v>
      </c>
      <c r="D51" s="10" t="n">
        <v>3.75</v>
      </c>
      <c r="E51" s="10" t="n">
        <v>3.75</v>
      </c>
      <c r="F51" s="10" t="n">
        <v>300</v>
      </c>
      <c r="G51" s="10" t="n">
        <v>400</v>
      </c>
      <c r="H51" s="15" t="n">
        <v>300</v>
      </c>
      <c r="I51" s="15" t="n">
        <v>400</v>
      </c>
      <c r="J51" s="16" t="n">
        <v>81.8934</v>
      </c>
      <c r="K51" s="10" t="inlineStr">
        <is>
          <t>1366</t>
        </is>
      </c>
      <c r="L51" s="16" t="n">
        <v>73.7514</v>
      </c>
      <c r="M51" s="10" t="inlineStr">
        <is>
          <t>1366</t>
        </is>
      </c>
      <c r="N51" s="16" t="n">
        <v>47.867</v>
      </c>
      <c r="O51" s="16" t="n">
        <v>204.572</v>
      </c>
      <c r="P51" s="10" t="inlineStr">
        <is>
          <t>1366</t>
        </is>
      </c>
      <c r="Q51" s="16" t="n">
        <v>0.4264</v>
      </c>
      <c r="R51" s="10">
        <f>MAX(MAX(1.4/'Parametros'!$B$3,0.25*SQRT('Parametros'!$B$2)/'Parametros'!$B$3)*H51*U51,(0.85*'Parametros'!$B$2/'Parametros'!$B$3)*(1-SQRT(1-2*(J51*1000000/('Parametros'!$B$5*H51*U51^2))/(0.85*'Parametros'!$B$2)))*H51*U51)</f>
        <v>671.133757776952</v>
      </c>
      <c r="S51" s="17" t="n">
        <v>4</v>
      </c>
      <c r="T51" s="18" t="n">
        <v>1</v>
      </c>
      <c r="U51" s="10">
        <f>IF(T51=1,I51-('Parametros'!$B$7+'Parametros'!$B$9+'Parametros'!$B$12/2),I51-(ROUNDUP(S51/2,0)*('Parametros'!$B$7+'Parametros'!$B$9+'Parametros'!$B$12/2)+ROUNDDOWN(S51/2,0)*('Parametros'!$B$7+'Parametros'!$B$9+'Parametros'!$B$12/2+'Parametros'!$B$12+'Parametros'!$B$10))/S51)</f>
        <v>342.55</v>
      </c>
      <c r="V51" s="10">
        <f>S51*'Parametros'!$B$8</f>
        <v>796</v>
      </c>
      <c r="W51" s="10">
        <f>'Parametros'!$B$5*V51*'Parametros'!$B$3*(U51-(V51*'Parametros'!$B$3/(0.85*'Parametros'!$B$2*H51))/2)/1000000</f>
        <v>96.0248653411765</v>
      </c>
      <c r="X51" s="10" t="str">
        <f>IF(W51&gt;=J51,"CUMPLE","NO CUMPLE")</f>
        <v>CUMPLE</v>
      </c>
      <c r="Y51" s="10">
        <f>MAX(MAX(1.4/'Parametros'!$B$3,0.25*SQRT('Parametros'!$B$2)/'Parametros'!$B$3)*H51*AB51,(0.85*'Parametros'!$B$2/'Parametros'!$B$3)*(1-SQRT(1-2*(L51*1000000/('Parametros'!$B$5*H51*AB51^2))/(0.85*'Parametros'!$B$2)))*H51*AB51)</f>
        <v>600.546020050514</v>
      </c>
      <c r="Z51" s="17" t="n">
        <v>4</v>
      </c>
      <c r="AA51" s="18" t="n">
        <v>1</v>
      </c>
      <c r="AB51" s="10">
        <f>IF(AA51=1,I51-('Parametros'!$B$7+'Parametros'!$B$9+'Parametros'!$B$12/2),I51-(ROUNDUP(Z51/2,0)*('Parametros'!$B$7+'Parametros'!$B$9+'Parametros'!$B$12/2)+ROUNDDOWN(Z51/2,0)*('Parametros'!$B$7+'Parametros'!$B$9+'Parametros'!$B$12/2+'Parametros'!$B$12+'Parametros'!$B$10))/Z51)</f>
        <v>342.55</v>
      </c>
      <c r="AC51" s="10">
        <f>Z51*'Parametros'!$B$8</f>
        <v>796</v>
      </c>
      <c r="AD51" s="10">
        <f>'Parametros'!$B$5*AC51*'Parametros'!$B$3*(AB51-(AC51*'Parametros'!$B$3/(0.85*'Parametros'!$B$2*H51))/2)/1000000</f>
        <v>96.0248653411765</v>
      </c>
      <c r="AE51" s="10" t="str">
        <f>IF(AD51&gt;=L51,"CUMPLE","NO CUMPLE")</f>
        <v>CUMPLE</v>
      </c>
      <c r="AF51" s="10">
        <f>V51*1.25*'Parametros'!$B$3*(U51-(V51*1.25*'Parametros'!$B$3/(0.85*'Parametros'!$B$2*H51))/2)/1000000</f>
        <v>130.921924411765</v>
      </c>
      <c r="AG51" s="10">
        <f>AC51*1.25*'Parametros'!$B$3*(AB51-(AC51*1.25*'Parametros'!$B$3/(0.85*'Parametros'!$B$2*H51))/2)/1000000</f>
        <v>130.921924411765</v>
      </c>
      <c r="AH51" s="10">
        <f>N51+(AF51+AG51)/D51</f>
        <v>117.692026352941</v>
      </c>
      <c r="AI51" s="10">
        <f>MIN(O51,MAX(N51,AH51))</f>
        <v>117.692026352941</v>
      </c>
      <c r="AJ51" s="10">
        <f>0.17*SQRT('Parametros'!$B$2)*H51*MIN(U51,AB51)/1000</f>
        <v>92.4428153837279</v>
      </c>
      <c r="AK51" s="10">
        <f>MAX(AI51/'Parametros'!$B$6-AJ51,0)</f>
        <v>64.4798864201937</v>
      </c>
      <c r="AL51" s="10">
        <f>0.66*SQRT('Parametros'!$B$2)*H51*MIN(U51,AB51)/1000</f>
        <v>358.89563619565</v>
      </c>
      <c r="AM51" s="10" t="str">
        <f>IF(AK51&lt;=AL51,"CUMPLE","NO CUMPLE")</f>
        <v>CUMPLE</v>
      </c>
      <c r="AN51" s="15" t="inlineStr">
        <is>
          <t>Nº3 cerrado</t>
        </is>
      </c>
      <c r="AO51" s="17" t="n">
        <v>2</v>
      </c>
      <c r="AP51" s="10">
        <f>ROUNDDOWN(MIN(IF(AK51=0,1000000000,AO51*'Parametros'!$B$11*'Parametros'!$B$4*MIN(U51,AB51)/(AK51*1000)),IF(AV51=0,1000000000,'Parametros'!$B$11/AV51),MIN(U51,AB51)/4,8*'Parametros'!$B$12,24*'Parametros'!$B$9,300)/10,0)*10</f>
        <v>80</v>
      </c>
      <c r="AQ51" s="10">
        <f>ROUNDDOWN(MIN(IF(AK51=0,1000000000,AO51*'Parametros'!$B$11*'Parametros'!$B$4*MIN(U51,AB51)/(AK51*1000)),IF(AV51=0,1000000000,'Parametros'!$B$11/AV51),MIN(U51,AB51)/2,600)/10,0)*10</f>
        <v>170</v>
      </c>
      <c r="AR51" s="10">
        <f>'Parametros'!$B$6*(AJ51+AO51*'Parametros'!$B$11*'Parametros'!$B$4*MIN(U51,AB51)/AP51/1000)</f>
        <v>260.860380287796</v>
      </c>
      <c r="AS51" s="10" t="str">
        <f>IF(AND(AM51="CUMPLE",AR51&gt;=AI51),"CUMPLE","NO CUMPLE")</f>
        <v>CUMPLE</v>
      </c>
      <c r="AT51" s="10">
        <f>'Parametros'!$B$6*0.083*SQRT('Parametros'!$B$2)*(H51*I51)^2/(2*(H51+I51))/1000000</f>
        <v>3.38807353605471</v>
      </c>
      <c r="AU51" s="10" t="str">
        <f>IF(Q51&lt;=AT51,"DESPRECIABLE","DISEÑAR")</f>
        <v>DESPRECIABLE</v>
      </c>
      <c r="AV51" s="10">
        <f>IF(Q51&lt;=AT51,0,Q51*1000000/('Parametros'!$B$6*2*0.85*(H51-2*'Parametros'!$B$7)*(I51-2*'Parametros'!$B$7)*'Parametros'!$B$4))</f>
        <v>0</v>
      </c>
      <c r="AW51" s="10">
        <f>AV51*2*((H51-2*'Parametros'!$B$7)+(I51-2*'Parametros'!$B$7))*'Parametros'!$B$4/'Parametros'!$B$3</f>
        <v>0</v>
      </c>
      <c r="AX51" s="17" t="n">
        <v>0</v>
      </c>
      <c r="AY51" s="10" t="str">
        <f>IF(AV51=0,"DESPRECIABLE",IF('Parametros'!$B$11/AP51&gt;=AV51,"CUMPLE","NO CUMPLE"))</f>
        <v>DESPRECIABLE</v>
      </c>
      <c r="AZ51" s="10" t="str">
        <f>IF(AND(X51="CUMPLE",AE51="CUMPLE",AS51="CUMPLE",OR(AY51="CUMPLE",AY51="DESPRECIABLE")),IF(OR(F51&lt;&gt;H51,G51&lt;&gt;I51),"CUMPLE - REANALIZAR SAP","CUMPLE"),"NO CUMPLE")</f>
        <v>CUMPLE</v>
      </c>
    </row>
    <row r="52">
      <c r="A52" s="19" t="inlineStr">
        <is>
          <t>VC2</t>
        </is>
      </c>
      <c r="B52" s="19" t="inlineStr">
        <is>
          <t>1367</t>
        </is>
      </c>
      <c r="C52" s="10" t="n">
        <v>1</v>
      </c>
      <c r="D52" s="10" t="n">
        <v>3.75</v>
      </c>
      <c r="E52" s="10" t="n">
        <v>3.75</v>
      </c>
      <c r="F52" s="10" t="n">
        <v>300</v>
      </c>
      <c r="G52" s="10" t="n">
        <v>400</v>
      </c>
      <c r="H52" s="15" t="n">
        <v>300</v>
      </c>
      <c r="I52" s="15" t="n">
        <v>400</v>
      </c>
      <c r="J52" s="16" t="n">
        <v>69.60120000000001</v>
      </c>
      <c r="K52" s="10" t="inlineStr">
        <is>
          <t>1367</t>
        </is>
      </c>
      <c r="L52" s="16" t="n">
        <v>61.6614</v>
      </c>
      <c r="M52" s="10" t="inlineStr">
        <is>
          <t>1367</t>
        </is>
      </c>
      <c r="N52" s="16" t="n">
        <v>41.365</v>
      </c>
      <c r="O52" s="16" t="n">
        <v>169.348</v>
      </c>
      <c r="P52" s="10" t="inlineStr">
        <is>
          <t>1367</t>
        </is>
      </c>
      <c r="Q52" s="16" t="n">
        <v>0.3568</v>
      </c>
      <c r="R52" s="10">
        <f>MAX(MAX(1.4/'Parametros'!$B$3,0.25*SQRT('Parametros'!$B$2)/'Parametros'!$B$3)*H52*U52,(0.85*'Parametros'!$B$2/'Parametros'!$B$3)*(1-SQRT(1-2*(J52*1000000/('Parametros'!$B$5*H52*U52^2))/(0.85*'Parametros'!$B$2)))*H52*U52)</f>
        <v>564.930101810564</v>
      </c>
      <c r="S52" s="17" t="n">
        <v>3</v>
      </c>
      <c r="T52" s="18" t="n">
        <v>1</v>
      </c>
      <c r="U52" s="10">
        <f>IF(T52=1,I52-('Parametros'!$B$7+'Parametros'!$B$9+'Parametros'!$B$12/2),I52-(ROUNDUP(S52/2,0)*('Parametros'!$B$7+'Parametros'!$B$9+'Parametros'!$B$12/2)+ROUNDDOWN(S52/2,0)*('Parametros'!$B$7+'Parametros'!$B$9+'Parametros'!$B$12/2+'Parametros'!$B$12+'Parametros'!$B$10))/S52)</f>
        <v>342.55</v>
      </c>
      <c r="V52" s="10">
        <f>S52*'Parametros'!$B$8</f>
        <v>597</v>
      </c>
      <c r="W52" s="10">
        <f>'Parametros'!$B$5*V52*'Parametros'!$B$3*(U52-(V52*'Parametros'!$B$3/(0.85*'Parametros'!$B$2*H52))/2)/1000000</f>
        <v>73.3394588294118</v>
      </c>
      <c r="X52" s="10" t="str">
        <f>IF(W52&gt;=J52,"CUMPLE","NO CUMPLE")</f>
        <v>CUMPLE</v>
      </c>
      <c r="Y52" s="10">
        <f>MAX(MAX(1.4/'Parametros'!$B$3,0.25*SQRT('Parametros'!$B$2)/'Parametros'!$B$3)*H52*AB52,(0.85*'Parametros'!$B$2/'Parametros'!$B$3)*(1-SQRT(1-2*(L52*1000000/('Parametros'!$B$5*H52*AB52^2))/(0.85*'Parametros'!$B$2)))*H52*AB52)</f>
        <v>497.45648525184</v>
      </c>
      <c r="Z52" s="17" t="n">
        <v>3</v>
      </c>
      <c r="AA52" s="18" t="n">
        <v>1</v>
      </c>
      <c r="AB52" s="10">
        <f>IF(AA52=1,I52-('Parametros'!$B$7+'Parametros'!$B$9+'Parametros'!$B$12/2),I52-(ROUNDUP(Z52/2,0)*('Parametros'!$B$7+'Parametros'!$B$9+'Parametros'!$B$12/2)+ROUNDDOWN(Z52/2,0)*('Parametros'!$B$7+'Parametros'!$B$9+'Parametros'!$B$12/2+'Parametros'!$B$12+'Parametros'!$B$10))/Z52)</f>
        <v>342.55</v>
      </c>
      <c r="AC52" s="10">
        <f>Z52*'Parametros'!$B$8</f>
        <v>597</v>
      </c>
      <c r="AD52" s="10">
        <f>'Parametros'!$B$5*AC52*'Parametros'!$B$3*(AB52-(AC52*'Parametros'!$B$3/(0.85*'Parametros'!$B$2*H52))/2)/1000000</f>
        <v>73.3394588294118</v>
      </c>
      <c r="AE52" s="10" t="str">
        <f>IF(AD52&gt;=L52,"CUMPLE","NO CUMPLE")</f>
        <v>CUMPLE</v>
      </c>
      <c r="AF52" s="10">
        <f>V52*1.25*'Parametros'!$B$3*(U52-(V52*1.25*'Parametros'!$B$3/(0.85*'Parametros'!$B$2*H52))/2)/1000000</f>
        <v>100.484515919118</v>
      </c>
      <c r="AG52" s="10">
        <f>AC52*1.25*'Parametros'!$B$3*(AB52-(AC52*1.25*'Parametros'!$B$3/(0.85*'Parametros'!$B$2*H52))/2)/1000000</f>
        <v>100.484515919118</v>
      </c>
      <c r="AH52" s="10">
        <f>N52+(AF52+AG52)/D52</f>
        <v>94.9567418235294</v>
      </c>
      <c r="AI52" s="10">
        <f>MIN(O52,MAX(N52,AH52))</f>
        <v>94.9567418235294</v>
      </c>
      <c r="AJ52" s="10">
        <f>0.17*SQRT('Parametros'!$B$2)*H52*MIN(U52,AB52)/1000</f>
        <v>92.4428153837279</v>
      </c>
      <c r="AK52" s="10">
        <f>MAX(AI52/'Parametros'!$B$6-AJ52,0)</f>
        <v>34.1661737143113</v>
      </c>
      <c r="AL52" s="10">
        <f>0.66*SQRT('Parametros'!$B$2)*H52*MIN(U52,AB52)/1000</f>
        <v>358.89563619565</v>
      </c>
      <c r="AM52" s="10" t="str">
        <f>IF(AK52&lt;=AL52,"CUMPLE","NO CUMPLE")</f>
        <v>CUMPLE</v>
      </c>
      <c r="AN52" s="15" t="inlineStr">
        <is>
          <t>Nº3 cerrado</t>
        </is>
      </c>
      <c r="AO52" s="17" t="n">
        <v>2</v>
      </c>
      <c r="AP52" s="10">
        <f>ROUNDDOWN(MIN(IF(AK52=0,1000000000,AO52*'Parametros'!$B$11*'Parametros'!$B$4*MIN(U52,AB52)/(AK52*1000)),IF(AV52=0,1000000000,'Parametros'!$B$11/AV52),MIN(U52,AB52)/4,8*'Parametros'!$B$12,24*'Parametros'!$B$9,300)/10,0)*10</f>
        <v>80</v>
      </c>
      <c r="AQ52" s="10">
        <f>ROUNDDOWN(MIN(IF(AK52=0,1000000000,AO52*'Parametros'!$B$11*'Parametros'!$B$4*MIN(U52,AB52)/(AK52*1000)),IF(AV52=0,1000000000,'Parametros'!$B$11/AV52),MIN(U52,AB52)/2,600)/10,0)*10</f>
        <v>170</v>
      </c>
      <c r="AR52" s="10">
        <f>'Parametros'!$B$6*(AJ52+AO52*'Parametros'!$B$11*'Parametros'!$B$4*MIN(U52,AB52)/AP52/1000)</f>
        <v>260.860380287796</v>
      </c>
      <c r="AS52" s="10" t="str">
        <f>IF(AND(AM52="CUMPLE",AR52&gt;=AI52),"CUMPLE","NO CUMPLE")</f>
        <v>CUMPLE</v>
      </c>
      <c r="AT52" s="10">
        <f>'Parametros'!$B$6*0.083*SQRT('Parametros'!$B$2)*(H52*I52)^2/(2*(H52+I52))/1000000</f>
        <v>3.38807353605471</v>
      </c>
      <c r="AU52" s="10" t="str">
        <f>IF(Q52&lt;=AT52,"DESPRECIABLE","DISEÑAR")</f>
        <v>DESPRECIABLE</v>
      </c>
      <c r="AV52" s="10">
        <f>IF(Q52&lt;=AT52,0,Q52*1000000/('Parametros'!$B$6*2*0.85*(H52-2*'Parametros'!$B$7)*(I52-2*'Parametros'!$B$7)*'Parametros'!$B$4))</f>
        <v>0</v>
      </c>
      <c r="AW52" s="10">
        <f>AV52*2*((H52-2*'Parametros'!$B$7)+(I52-2*'Parametros'!$B$7))*'Parametros'!$B$4/'Parametros'!$B$3</f>
        <v>0</v>
      </c>
      <c r="AX52" s="17" t="n">
        <v>0</v>
      </c>
      <c r="AY52" s="10" t="str">
        <f>IF(AV52=0,"DESPRECIABLE",IF('Parametros'!$B$11/AP52&gt;=AV52,"CUMPLE","NO CUMPLE"))</f>
        <v>DESPRECIABLE</v>
      </c>
      <c r="AZ52" s="10" t="str">
        <f>IF(AND(X52="CUMPLE",AE52="CUMPLE",AS52="CUMPLE",OR(AY52="CUMPLE",AY52="DESPRECIABLE")),IF(OR(F52&lt;&gt;H52,G52&lt;&gt;I52),"CUMPLE - REANALIZAR SAP","CUMPLE"),"NO CUMPLE")</f>
        <v>CUMPLE</v>
      </c>
    </row>
    <row r="53">
      <c r="A53" s="19" t="inlineStr">
        <is>
          <t>VC2</t>
        </is>
      </c>
      <c r="B53" s="19" t="inlineStr">
        <is>
          <t>1368</t>
        </is>
      </c>
      <c r="C53" s="10" t="n">
        <v>1</v>
      </c>
      <c r="D53" s="10" t="n">
        <v>3.75</v>
      </c>
      <c r="E53" s="10" t="n">
        <v>3.75</v>
      </c>
      <c r="F53" s="10" t="n">
        <v>300</v>
      </c>
      <c r="G53" s="10" t="n">
        <v>400</v>
      </c>
      <c r="H53" s="15" t="n">
        <v>300</v>
      </c>
      <c r="I53" s="15" t="n">
        <v>400</v>
      </c>
      <c r="J53" s="16" t="n">
        <v>69.6371</v>
      </c>
      <c r="K53" s="10" t="inlineStr">
        <is>
          <t>1368</t>
        </is>
      </c>
      <c r="L53" s="16" t="n">
        <v>61.6979</v>
      </c>
      <c r="M53" s="10" t="inlineStr">
        <is>
          <t>1368</t>
        </is>
      </c>
      <c r="N53" s="16" t="n">
        <v>41.385</v>
      </c>
      <c r="O53" s="16" t="n">
        <v>169.367</v>
      </c>
      <c r="P53" s="10" t="inlineStr">
        <is>
          <t>1368</t>
        </is>
      </c>
      <c r="Q53" s="16" t="n">
        <v>0.3572</v>
      </c>
      <c r="R53" s="10">
        <f>MAX(MAX(1.4/'Parametros'!$B$3,0.25*SQRT('Parametros'!$B$2)/'Parametros'!$B$3)*H53*U53,(0.85*'Parametros'!$B$2/'Parametros'!$B$3)*(1-SQRT(1-2*(J53*1000000/('Parametros'!$B$5*H53*U53^2))/(0.85*'Parametros'!$B$2)))*H53*U53)</f>
        <v>565.237151729672</v>
      </c>
      <c r="S53" s="17" t="n">
        <v>3</v>
      </c>
      <c r="T53" s="18" t="n">
        <v>1</v>
      </c>
      <c r="U53" s="10">
        <f>IF(T53=1,I53-('Parametros'!$B$7+'Parametros'!$B$9+'Parametros'!$B$12/2),I53-(ROUNDUP(S53/2,0)*('Parametros'!$B$7+'Parametros'!$B$9+'Parametros'!$B$12/2)+ROUNDDOWN(S53/2,0)*('Parametros'!$B$7+'Parametros'!$B$9+'Parametros'!$B$12/2+'Parametros'!$B$12+'Parametros'!$B$10))/S53)</f>
        <v>342.55</v>
      </c>
      <c r="V53" s="10">
        <f>S53*'Parametros'!$B$8</f>
        <v>597</v>
      </c>
      <c r="W53" s="10">
        <f>'Parametros'!$B$5*V53*'Parametros'!$B$3*(U53-(V53*'Parametros'!$B$3/(0.85*'Parametros'!$B$2*H53))/2)/1000000</f>
        <v>73.3394588294118</v>
      </c>
      <c r="X53" s="10" t="str">
        <f>IF(W53&gt;=J53,"CUMPLE","NO CUMPLE")</f>
        <v>CUMPLE</v>
      </c>
      <c r="Y53" s="10">
        <f>MAX(MAX(1.4/'Parametros'!$B$3,0.25*SQRT('Parametros'!$B$2)/'Parametros'!$B$3)*H53*AB53,(0.85*'Parametros'!$B$2/'Parametros'!$B$3)*(1-SQRT(1-2*(L53*1000000/('Parametros'!$B$5*H53*AB53^2))/(0.85*'Parametros'!$B$2)))*H53*AB53)</f>
        <v>497.764711822424</v>
      </c>
      <c r="Z53" s="17" t="n">
        <v>3</v>
      </c>
      <c r="AA53" s="18" t="n">
        <v>1</v>
      </c>
      <c r="AB53" s="10">
        <f>IF(AA53=1,I53-('Parametros'!$B$7+'Parametros'!$B$9+'Parametros'!$B$12/2),I53-(ROUNDUP(Z53/2,0)*('Parametros'!$B$7+'Parametros'!$B$9+'Parametros'!$B$12/2)+ROUNDDOWN(Z53/2,0)*('Parametros'!$B$7+'Parametros'!$B$9+'Parametros'!$B$12/2+'Parametros'!$B$12+'Parametros'!$B$10))/Z53)</f>
        <v>342.55</v>
      </c>
      <c r="AC53" s="10">
        <f>Z53*'Parametros'!$B$8</f>
        <v>597</v>
      </c>
      <c r="AD53" s="10">
        <f>'Parametros'!$B$5*AC53*'Parametros'!$B$3*(AB53-(AC53*'Parametros'!$B$3/(0.85*'Parametros'!$B$2*H53))/2)/1000000</f>
        <v>73.3394588294118</v>
      </c>
      <c r="AE53" s="10" t="str">
        <f>IF(AD53&gt;=L53,"CUMPLE","NO CUMPLE")</f>
        <v>CUMPLE</v>
      </c>
      <c r="AF53" s="10">
        <f>V53*1.25*'Parametros'!$B$3*(U53-(V53*1.25*'Parametros'!$B$3/(0.85*'Parametros'!$B$2*H53))/2)/1000000</f>
        <v>100.484515919118</v>
      </c>
      <c r="AG53" s="10">
        <f>AC53*1.25*'Parametros'!$B$3*(AB53-(AC53*1.25*'Parametros'!$B$3/(0.85*'Parametros'!$B$2*H53))/2)/1000000</f>
        <v>100.484515919118</v>
      </c>
      <c r="AH53" s="10">
        <f>N53+(AF53+AG53)/D53</f>
        <v>94.9767418235294</v>
      </c>
      <c r="AI53" s="10">
        <f>MIN(O53,MAX(N53,AH53))</f>
        <v>94.9767418235294</v>
      </c>
      <c r="AJ53" s="10">
        <f>0.17*SQRT('Parametros'!$B$2)*H53*MIN(U53,AB53)/1000</f>
        <v>92.4428153837279</v>
      </c>
      <c r="AK53" s="10">
        <f>MAX(AI53/'Parametros'!$B$6-AJ53,0)</f>
        <v>34.192840380978</v>
      </c>
      <c r="AL53" s="10">
        <f>0.66*SQRT('Parametros'!$B$2)*H53*MIN(U53,AB53)/1000</f>
        <v>358.89563619565</v>
      </c>
      <c r="AM53" s="10" t="str">
        <f>IF(AK53&lt;=AL53,"CUMPLE","NO CUMPLE")</f>
        <v>CUMPLE</v>
      </c>
      <c r="AN53" s="15" t="inlineStr">
        <is>
          <t>Nº3 cerrado</t>
        </is>
      </c>
      <c r="AO53" s="17" t="n">
        <v>2</v>
      </c>
      <c r="AP53" s="10">
        <f>ROUNDDOWN(MIN(IF(AK53=0,1000000000,AO53*'Parametros'!$B$11*'Parametros'!$B$4*MIN(U53,AB53)/(AK53*1000)),IF(AV53=0,1000000000,'Parametros'!$B$11/AV53),MIN(U53,AB53)/4,8*'Parametros'!$B$12,24*'Parametros'!$B$9,300)/10,0)*10</f>
        <v>80</v>
      </c>
      <c r="AQ53" s="10">
        <f>ROUNDDOWN(MIN(IF(AK53=0,1000000000,AO53*'Parametros'!$B$11*'Parametros'!$B$4*MIN(U53,AB53)/(AK53*1000)),IF(AV53=0,1000000000,'Parametros'!$B$11/AV53),MIN(U53,AB53)/2,600)/10,0)*10</f>
        <v>170</v>
      </c>
      <c r="AR53" s="10">
        <f>'Parametros'!$B$6*(AJ53+AO53*'Parametros'!$B$11*'Parametros'!$B$4*MIN(U53,AB53)/AP53/1000)</f>
        <v>260.860380287796</v>
      </c>
      <c r="AS53" s="10" t="str">
        <f>IF(AND(AM53="CUMPLE",AR53&gt;=AI53),"CUMPLE","NO CUMPLE")</f>
        <v>CUMPLE</v>
      </c>
      <c r="AT53" s="10">
        <f>'Parametros'!$B$6*0.083*SQRT('Parametros'!$B$2)*(H53*I53)^2/(2*(H53+I53))/1000000</f>
        <v>3.38807353605471</v>
      </c>
      <c r="AU53" s="10" t="str">
        <f>IF(Q53&lt;=AT53,"DESPRECIABLE","DISEÑAR")</f>
        <v>DESPRECIABLE</v>
      </c>
      <c r="AV53" s="10">
        <f>IF(Q53&lt;=AT53,0,Q53*1000000/('Parametros'!$B$6*2*0.85*(H53-2*'Parametros'!$B$7)*(I53-2*'Parametros'!$B$7)*'Parametros'!$B$4))</f>
        <v>0</v>
      </c>
      <c r="AW53" s="10">
        <f>AV53*2*((H53-2*'Parametros'!$B$7)+(I53-2*'Parametros'!$B$7))*'Parametros'!$B$4/'Parametros'!$B$3</f>
        <v>0</v>
      </c>
      <c r="AX53" s="17" t="n">
        <v>0</v>
      </c>
      <c r="AY53" s="10" t="str">
        <f>IF(AV53=0,"DESPRECIABLE",IF('Parametros'!$B$11/AP53&gt;=AV53,"CUMPLE","NO CUMPLE"))</f>
        <v>DESPRECIABLE</v>
      </c>
      <c r="AZ53" s="10" t="str">
        <f>IF(AND(X53="CUMPLE",AE53="CUMPLE",AS53="CUMPLE",OR(AY53="CUMPLE",AY53="DESPRECIABLE")),IF(OR(F53&lt;&gt;H53,G53&lt;&gt;I53),"CUMPLE - REANALIZAR SAP","CUMPLE"),"NO CUMPLE")</f>
        <v>CUMPLE</v>
      </c>
    </row>
    <row r="54">
      <c r="A54" s="19" t="inlineStr">
        <is>
          <t>VC2</t>
        </is>
      </c>
      <c r="B54" s="19" t="inlineStr">
        <is>
          <t>1369</t>
        </is>
      </c>
      <c r="C54" s="10" t="n">
        <v>1</v>
      </c>
      <c r="D54" s="10" t="n">
        <v>3.75</v>
      </c>
      <c r="E54" s="10" t="n">
        <v>3.75</v>
      </c>
      <c r="F54" s="10" t="n">
        <v>300</v>
      </c>
      <c r="G54" s="10" t="n">
        <v>400</v>
      </c>
      <c r="H54" s="15" t="n">
        <v>300</v>
      </c>
      <c r="I54" s="15" t="n">
        <v>400</v>
      </c>
      <c r="J54" s="16" t="n">
        <v>69.63939999999999</v>
      </c>
      <c r="K54" s="10" t="inlineStr">
        <is>
          <t>1369</t>
        </is>
      </c>
      <c r="L54" s="16" t="n">
        <v>61.6997</v>
      </c>
      <c r="M54" s="10" t="inlineStr">
        <is>
          <t>1369</t>
        </is>
      </c>
      <c r="N54" s="16" t="n">
        <v>41.386</v>
      </c>
      <c r="O54" s="16" t="n">
        <v>169.382</v>
      </c>
      <c r="P54" s="10" t="inlineStr">
        <is>
          <t>1369</t>
        </is>
      </c>
      <c r="Q54" s="16" t="n">
        <v>0.3571</v>
      </c>
      <c r="R54" s="10">
        <f>MAX(MAX(1.4/'Parametros'!$B$3,0.25*SQRT('Parametros'!$B$2)/'Parametros'!$B$3)*H54*U54,(0.85*'Parametros'!$B$2/'Parametros'!$B$3)*(1-SQRT(1-2*(J54*1000000/('Parametros'!$B$5*H54*U54^2))/(0.85*'Parametros'!$B$2)))*H54*U54)</f>
        <v>565.256824062679</v>
      </c>
      <c r="S54" s="17" t="n">
        <v>3</v>
      </c>
      <c r="T54" s="18" t="n">
        <v>1</v>
      </c>
      <c r="U54" s="10">
        <f>IF(T54=1,I54-('Parametros'!$B$7+'Parametros'!$B$9+'Parametros'!$B$12/2),I54-(ROUNDUP(S54/2,0)*('Parametros'!$B$7+'Parametros'!$B$9+'Parametros'!$B$12/2)+ROUNDDOWN(S54/2,0)*('Parametros'!$B$7+'Parametros'!$B$9+'Parametros'!$B$12/2+'Parametros'!$B$12+'Parametros'!$B$10))/S54)</f>
        <v>342.55</v>
      </c>
      <c r="V54" s="10">
        <f>S54*'Parametros'!$B$8</f>
        <v>597</v>
      </c>
      <c r="W54" s="10">
        <f>'Parametros'!$B$5*V54*'Parametros'!$B$3*(U54-(V54*'Parametros'!$B$3/(0.85*'Parametros'!$B$2*H54))/2)/1000000</f>
        <v>73.3394588294118</v>
      </c>
      <c r="X54" s="10" t="str">
        <f>IF(W54&gt;=J54,"CUMPLE","NO CUMPLE")</f>
        <v>CUMPLE</v>
      </c>
      <c r="Y54" s="10">
        <f>MAX(MAX(1.4/'Parametros'!$B$3,0.25*SQRT('Parametros'!$B$2)/'Parametros'!$B$3)*H54*AB54,(0.85*'Parametros'!$B$2/'Parametros'!$B$3)*(1-SQRT(1-2*(L54*1000000/('Parametros'!$B$5*H54*AB54^2))/(0.85*'Parametros'!$B$2)))*H54*AB54)</f>
        <v>497.779912498425</v>
      </c>
      <c r="Z54" s="17" t="n">
        <v>3</v>
      </c>
      <c r="AA54" s="18" t="n">
        <v>1</v>
      </c>
      <c r="AB54" s="10">
        <f>IF(AA54=1,I54-('Parametros'!$B$7+'Parametros'!$B$9+'Parametros'!$B$12/2),I54-(ROUNDUP(Z54/2,0)*('Parametros'!$B$7+'Parametros'!$B$9+'Parametros'!$B$12/2)+ROUNDDOWN(Z54/2,0)*('Parametros'!$B$7+'Parametros'!$B$9+'Parametros'!$B$12/2+'Parametros'!$B$12+'Parametros'!$B$10))/Z54)</f>
        <v>342.55</v>
      </c>
      <c r="AC54" s="10">
        <f>Z54*'Parametros'!$B$8</f>
        <v>597</v>
      </c>
      <c r="AD54" s="10">
        <f>'Parametros'!$B$5*AC54*'Parametros'!$B$3*(AB54-(AC54*'Parametros'!$B$3/(0.85*'Parametros'!$B$2*H54))/2)/1000000</f>
        <v>73.3394588294118</v>
      </c>
      <c r="AE54" s="10" t="str">
        <f>IF(AD54&gt;=L54,"CUMPLE","NO CUMPLE")</f>
        <v>CUMPLE</v>
      </c>
      <c r="AF54" s="10">
        <f>V54*1.25*'Parametros'!$B$3*(U54-(V54*1.25*'Parametros'!$B$3/(0.85*'Parametros'!$B$2*H54))/2)/1000000</f>
        <v>100.484515919118</v>
      </c>
      <c r="AG54" s="10">
        <f>AC54*1.25*'Parametros'!$B$3*(AB54-(AC54*1.25*'Parametros'!$B$3/(0.85*'Parametros'!$B$2*H54))/2)/1000000</f>
        <v>100.484515919118</v>
      </c>
      <c r="AH54" s="10">
        <f>N54+(AF54+AG54)/D54</f>
        <v>94.9777418235294</v>
      </c>
      <c r="AI54" s="10">
        <f>MIN(O54,MAX(N54,AH54))</f>
        <v>94.9777418235294</v>
      </c>
      <c r="AJ54" s="10">
        <f>0.17*SQRT('Parametros'!$B$2)*H54*MIN(U54,AB54)/1000</f>
        <v>92.4428153837279</v>
      </c>
      <c r="AK54" s="10">
        <f>MAX(AI54/'Parametros'!$B$6-AJ54,0)</f>
        <v>34.1941737143113</v>
      </c>
      <c r="AL54" s="10">
        <f>0.66*SQRT('Parametros'!$B$2)*H54*MIN(U54,AB54)/1000</f>
        <v>358.89563619565</v>
      </c>
      <c r="AM54" s="10" t="str">
        <f>IF(AK54&lt;=AL54,"CUMPLE","NO CUMPLE")</f>
        <v>CUMPLE</v>
      </c>
      <c r="AN54" s="15" t="inlineStr">
        <is>
          <t>Nº3 cerrado</t>
        </is>
      </c>
      <c r="AO54" s="17" t="n">
        <v>2</v>
      </c>
      <c r="AP54" s="10">
        <f>ROUNDDOWN(MIN(IF(AK54=0,1000000000,AO54*'Parametros'!$B$11*'Parametros'!$B$4*MIN(U54,AB54)/(AK54*1000)),IF(AV54=0,1000000000,'Parametros'!$B$11/AV54),MIN(U54,AB54)/4,8*'Parametros'!$B$12,24*'Parametros'!$B$9,300)/10,0)*10</f>
        <v>80</v>
      </c>
      <c r="AQ54" s="10">
        <f>ROUNDDOWN(MIN(IF(AK54=0,1000000000,AO54*'Parametros'!$B$11*'Parametros'!$B$4*MIN(U54,AB54)/(AK54*1000)),IF(AV54=0,1000000000,'Parametros'!$B$11/AV54),MIN(U54,AB54)/2,600)/10,0)*10</f>
        <v>170</v>
      </c>
      <c r="AR54" s="10">
        <f>'Parametros'!$B$6*(AJ54+AO54*'Parametros'!$B$11*'Parametros'!$B$4*MIN(U54,AB54)/AP54/1000)</f>
        <v>260.860380287796</v>
      </c>
      <c r="AS54" s="10" t="str">
        <f>IF(AND(AM54="CUMPLE",AR54&gt;=AI54),"CUMPLE","NO CUMPLE")</f>
        <v>CUMPLE</v>
      </c>
      <c r="AT54" s="10">
        <f>'Parametros'!$B$6*0.083*SQRT('Parametros'!$B$2)*(H54*I54)^2/(2*(H54+I54))/1000000</f>
        <v>3.38807353605471</v>
      </c>
      <c r="AU54" s="10" t="str">
        <f>IF(Q54&lt;=AT54,"DESPRECIABLE","DISEÑAR")</f>
        <v>DESPRECIABLE</v>
      </c>
      <c r="AV54" s="10">
        <f>IF(Q54&lt;=AT54,0,Q54*1000000/('Parametros'!$B$6*2*0.85*(H54-2*'Parametros'!$B$7)*(I54-2*'Parametros'!$B$7)*'Parametros'!$B$4))</f>
        <v>0</v>
      </c>
      <c r="AW54" s="10">
        <f>AV54*2*((H54-2*'Parametros'!$B$7)+(I54-2*'Parametros'!$B$7))*'Parametros'!$B$4/'Parametros'!$B$3</f>
        <v>0</v>
      </c>
      <c r="AX54" s="17" t="n">
        <v>0</v>
      </c>
      <c r="AY54" s="10" t="str">
        <f>IF(AV54=0,"DESPRECIABLE",IF('Parametros'!$B$11/AP54&gt;=AV54,"CUMPLE","NO CUMPLE"))</f>
        <v>DESPRECIABLE</v>
      </c>
      <c r="AZ54" s="10" t="str">
        <f>IF(AND(X54="CUMPLE",AE54="CUMPLE",AS54="CUMPLE",OR(AY54="CUMPLE",AY54="DESPRECIABLE")),IF(OR(F54&lt;&gt;H54,G54&lt;&gt;I54),"CUMPLE - REANALIZAR SAP","CUMPLE"),"NO CUMPLE")</f>
        <v>CUMPLE</v>
      </c>
    </row>
    <row r="55">
      <c r="A55" s="19" t="inlineStr">
        <is>
          <t>VC2</t>
        </is>
      </c>
      <c r="B55" s="19" t="inlineStr">
        <is>
          <t>1370</t>
        </is>
      </c>
      <c r="C55" s="10" t="n">
        <v>1</v>
      </c>
      <c r="D55" s="10" t="n">
        <v>3.75</v>
      </c>
      <c r="E55" s="10" t="n">
        <v>3.75</v>
      </c>
      <c r="F55" s="10" t="n">
        <v>300</v>
      </c>
      <c r="G55" s="10" t="n">
        <v>400</v>
      </c>
      <c r="H55" s="15" t="n">
        <v>300</v>
      </c>
      <c r="I55" s="15" t="n">
        <v>400</v>
      </c>
      <c r="J55" s="16" t="n">
        <v>69.60850000000001</v>
      </c>
      <c r="K55" s="10" t="inlineStr">
        <is>
          <t>1370</t>
        </is>
      </c>
      <c r="L55" s="16" t="n">
        <v>61.6688</v>
      </c>
      <c r="M55" s="10" t="inlineStr">
        <is>
          <t>1370</t>
        </is>
      </c>
      <c r="N55" s="16" t="n">
        <v>41.369</v>
      </c>
      <c r="O55" s="16" t="n">
        <v>169.365</v>
      </c>
      <c r="P55" s="10" t="inlineStr">
        <is>
          <t>1370</t>
        </is>
      </c>
      <c r="Q55" s="16" t="n">
        <v>0.3568</v>
      </c>
      <c r="R55" s="10">
        <f>MAX(MAX(1.4/'Parametros'!$B$3,0.25*SQRT('Parametros'!$B$2)/'Parametros'!$B$3)*H55*U55,(0.85*'Parametros'!$B$2/'Parametros'!$B$3)*(1-SQRT(1-2*(J55*1000000/('Parametros'!$B$5*H55*U55^2))/(0.85*'Parametros'!$B$2)))*H55*U55)</f>
        <v>564.992536692851</v>
      </c>
      <c r="S55" s="17" t="n">
        <v>3</v>
      </c>
      <c r="T55" s="18" t="n">
        <v>1</v>
      </c>
      <c r="U55" s="10">
        <f>IF(T55=1,I55-('Parametros'!$B$7+'Parametros'!$B$9+'Parametros'!$B$12/2),I55-(ROUNDUP(S55/2,0)*('Parametros'!$B$7+'Parametros'!$B$9+'Parametros'!$B$12/2)+ROUNDDOWN(S55/2,0)*('Parametros'!$B$7+'Parametros'!$B$9+'Parametros'!$B$12/2+'Parametros'!$B$12+'Parametros'!$B$10))/S55)</f>
        <v>342.55</v>
      </c>
      <c r="V55" s="10">
        <f>S55*'Parametros'!$B$8</f>
        <v>597</v>
      </c>
      <c r="W55" s="10">
        <f>'Parametros'!$B$5*V55*'Parametros'!$B$3*(U55-(V55*'Parametros'!$B$3/(0.85*'Parametros'!$B$2*H55))/2)/1000000</f>
        <v>73.3394588294118</v>
      </c>
      <c r="X55" s="10" t="str">
        <f>IF(W55&gt;=J55,"CUMPLE","NO CUMPLE")</f>
        <v>CUMPLE</v>
      </c>
      <c r="Y55" s="10">
        <f>MAX(MAX(1.4/'Parametros'!$B$3,0.25*SQRT('Parametros'!$B$2)/'Parametros'!$B$3)*H55*AB55,(0.85*'Parametros'!$B$2/'Parametros'!$B$3)*(1-SQRT(1-2*(L55*1000000/('Parametros'!$B$5*H55*AB55^2))/(0.85*'Parametros'!$B$2)))*H55*AB55)</f>
        <v>497.518973580658</v>
      </c>
      <c r="Z55" s="17" t="n">
        <v>3</v>
      </c>
      <c r="AA55" s="18" t="n">
        <v>1</v>
      </c>
      <c r="AB55" s="10">
        <f>IF(AA55=1,I55-('Parametros'!$B$7+'Parametros'!$B$9+'Parametros'!$B$12/2),I55-(ROUNDUP(Z55/2,0)*('Parametros'!$B$7+'Parametros'!$B$9+'Parametros'!$B$12/2)+ROUNDDOWN(Z55/2,0)*('Parametros'!$B$7+'Parametros'!$B$9+'Parametros'!$B$12/2+'Parametros'!$B$12+'Parametros'!$B$10))/Z55)</f>
        <v>342.55</v>
      </c>
      <c r="AC55" s="10">
        <f>Z55*'Parametros'!$B$8</f>
        <v>597</v>
      </c>
      <c r="AD55" s="10">
        <f>'Parametros'!$B$5*AC55*'Parametros'!$B$3*(AB55-(AC55*'Parametros'!$B$3/(0.85*'Parametros'!$B$2*H55))/2)/1000000</f>
        <v>73.3394588294118</v>
      </c>
      <c r="AE55" s="10" t="str">
        <f>IF(AD55&gt;=L55,"CUMPLE","NO CUMPLE")</f>
        <v>CUMPLE</v>
      </c>
      <c r="AF55" s="10">
        <f>V55*1.25*'Parametros'!$B$3*(U55-(V55*1.25*'Parametros'!$B$3/(0.85*'Parametros'!$B$2*H55))/2)/1000000</f>
        <v>100.484515919118</v>
      </c>
      <c r="AG55" s="10">
        <f>AC55*1.25*'Parametros'!$B$3*(AB55-(AC55*1.25*'Parametros'!$B$3/(0.85*'Parametros'!$B$2*H55))/2)/1000000</f>
        <v>100.484515919118</v>
      </c>
      <c r="AH55" s="10">
        <f>N55+(AF55+AG55)/D55</f>
        <v>94.9607418235294</v>
      </c>
      <c r="AI55" s="10">
        <f>MIN(O55,MAX(N55,AH55))</f>
        <v>94.9607418235294</v>
      </c>
      <c r="AJ55" s="10">
        <f>0.17*SQRT('Parametros'!$B$2)*H55*MIN(U55,AB55)/1000</f>
        <v>92.4428153837279</v>
      </c>
      <c r="AK55" s="10">
        <f>MAX(AI55/'Parametros'!$B$6-AJ55,0)</f>
        <v>34.1715070476446</v>
      </c>
      <c r="AL55" s="10">
        <f>0.66*SQRT('Parametros'!$B$2)*H55*MIN(U55,AB55)/1000</f>
        <v>358.89563619565</v>
      </c>
      <c r="AM55" s="10" t="str">
        <f>IF(AK55&lt;=AL55,"CUMPLE","NO CUMPLE")</f>
        <v>CUMPLE</v>
      </c>
      <c r="AN55" s="15" t="inlineStr">
        <is>
          <t>Nº3 cerrado</t>
        </is>
      </c>
      <c r="AO55" s="17" t="n">
        <v>2</v>
      </c>
      <c r="AP55" s="10">
        <f>ROUNDDOWN(MIN(IF(AK55=0,1000000000,AO55*'Parametros'!$B$11*'Parametros'!$B$4*MIN(U55,AB55)/(AK55*1000)),IF(AV55=0,1000000000,'Parametros'!$B$11/AV55),MIN(U55,AB55)/4,8*'Parametros'!$B$12,24*'Parametros'!$B$9,300)/10,0)*10</f>
        <v>80</v>
      </c>
      <c r="AQ55" s="10">
        <f>ROUNDDOWN(MIN(IF(AK55=0,1000000000,AO55*'Parametros'!$B$11*'Parametros'!$B$4*MIN(U55,AB55)/(AK55*1000)),IF(AV55=0,1000000000,'Parametros'!$B$11/AV55),MIN(U55,AB55)/2,600)/10,0)*10</f>
        <v>170</v>
      </c>
      <c r="AR55" s="10">
        <f>'Parametros'!$B$6*(AJ55+AO55*'Parametros'!$B$11*'Parametros'!$B$4*MIN(U55,AB55)/AP55/1000)</f>
        <v>260.860380287796</v>
      </c>
      <c r="AS55" s="10" t="str">
        <f>IF(AND(AM55="CUMPLE",AR55&gt;=AI55),"CUMPLE","NO CUMPLE")</f>
        <v>CUMPLE</v>
      </c>
      <c r="AT55" s="10">
        <f>'Parametros'!$B$6*0.083*SQRT('Parametros'!$B$2)*(H55*I55)^2/(2*(H55+I55))/1000000</f>
        <v>3.38807353605471</v>
      </c>
      <c r="AU55" s="10" t="str">
        <f>IF(Q55&lt;=AT55,"DESPRECIABLE","DISEÑAR")</f>
        <v>DESPRECIABLE</v>
      </c>
      <c r="AV55" s="10">
        <f>IF(Q55&lt;=AT55,0,Q55*1000000/('Parametros'!$B$6*2*0.85*(H55-2*'Parametros'!$B$7)*(I55-2*'Parametros'!$B$7)*'Parametros'!$B$4))</f>
        <v>0</v>
      </c>
      <c r="AW55" s="10">
        <f>AV55*2*((H55-2*'Parametros'!$B$7)+(I55-2*'Parametros'!$B$7))*'Parametros'!$B$4/'Parametros'!$B$3</f>
        <v>0</v>
      </c>
      <c r="AX55" s="17" t="n">
        <v>0</v>
      </c>
      <c r="AY55" s="10" t="str">
        <f>IF(AV55=0,"DESPRECIABLE",IF('Parametros'!$B$11/AP55&gt;=AV55,"CUMPLE","NO CUMPLE"))</f>
        <v>DESPRECIABLE</v>
      </c>
      <c r="AZ55" s="10" t="str">
        <f>IF(AND(X55="CUMPLE",AE55="CUMPLE",AS55="CUMPLE",OR(AY55="CUMPLE",AY55="DESPRECIABLE")),IF(OR(F55&lt;&gt;H55,G55&lt;&gt;I55),"CUMPLE - REANALIZAR SAP","CUMPLE"),"NO CUMPLE")</f>
        <v>CUMPLE</v>
      </c>
    </row>
    <row r="56">
      <c r="A56" s="19" t="inlineStr">
        <is>
          <t>VC2</t>
        </is>
      </c>
      <c r="B56" s="19" t="inlineStr">
        <is>
          <t>1371</t>
        </is>
      </c>
      <c r="C56" s="10" t="n">
        <v>1</v>
      </c>
      <c r="D56" s="10" t="n">
        <v>3.75</v>
      </c>
      <c r="E56" s="10" t="n">
        <v>3.75</v>
      </c>
      <c r="F56" s="10" t="n">
        <v>300</v>
      </c>
      <c r="G56" s="10" t="n">
        <v>400</v>
      </c>
      <c r="H56" s="15" t="n">
        <v>300</v>
      </c>
      <c r="I56" s="15" t="n">
        <v>400</v>
      </c>
      <c r="J56" s="16" t="n">
        <v>51.5269</v>
      </c>
      <c r="K56" s="10" t="inlineStr">
        <is>
          <t>1371</t>
        </is>
      </c>
      <c r="L56" s="16" t="n">
        <v>43.7921</v>
      </c>
      <c r="M56" s="10" t="inlineStr">
        <is>
          <t>1371</t>
        </is>
      </c>
      <c r="N56" s="16" t="n">
        <v>31.78</v>
      </c>
      <c r="O56" s="16" t="n">
        <v>119.359</v>
      </c>
      <c r="P56" s="10" t="inlineStr">
        <is>
          <t>1371</t>
        </is>
      </c>
      <c r="Q56" s="16" t="n">
        <v>0.2524</v>
      </c>
      <c r="R56" s="10">
        <f>MAX(MAX(1.4/'Parametros'!$B$3,0.25*SQRT('Parametros'!$B$2)/'Parametros'!$B$3)*H56*U56,(0.85*'Parametros'!$B$2/'Parametros'!$B$3)*(1-SQRT(1-2*(J56*1000000/('Parametros'!$B$5*H56*U56^2))/(0.85*'Parametros'!$B$2)))*H56*U56)</f>
        <v>412.554262448518</v>
      </c>
      <c r="S56" s="17" t="n">
        <v>3</v>
      </c>
      <c r="T56" s="18" t="n">
        <v>1</v>
      </c>
      <c r="U56" s="10">
        <f>IF(T56=1,I56-('Parametros'!$B$7+'Parametros'!$B$9+'Parametros'!$B$12/2),I56-(ROUNDUP(S56/2,0)*('Parametros'!$B$7+'Parametros'!$B$9+'Parametros'!$B$12/2)+ROUNDDOWN(S56/2,0)*('Parametros'!$B$7+'Parametros'!$B$9+'Parametros'!$B$12/2+'Parametros'!$B$12+'Parametros'!$B$10))/S56)</f>
        <v>342.55</v>
      </c>
      <c r="V56" s="10">
        <f>S56*'Parametros'!$B$8</f>
        <v>597</v>
      </c>
      <c r="W56" s="10">
        <f>'Parametros'!$B$5*V56*'Parametros'!$B$3*(U56-(V56*'Parametros'!$B$3/(0.85*'Parametros'!$B$2*H56))/2)/1000000</f>
        <v>73.3394588294118</v>
      </c>
      <c r="X56" s="10" t="str">
        <f>IF(W56&gt;=J56,"CUMPLE","NO CUMPLE")</f>
        <v>CUMPLE</v>
      </c>
      <c r="Y56" s="10">
        <f>MAX(MAX(1.4/'Parametros'!$B$3,0.25*SQRT('Parametros'!$B$2)/'Parametros'!$B$3)*H56*AB56,(0.85*'Parametros'!$B$2/'Parametros'!$B$3)*(1-SQRT(1-2*(L56*1000000/('Parametros'!$B$5*H56*AB56^2))/(0.85*'Parametros'!$B$2)))*H56*AB56)</f>
        <v>348.641490423619</v>
      </c>
      <c r="Z56" s="17" t="n">
        <v>2</v>
      </c>
      <c r="AA56" s="18" t="n">
        <v>1</v>
      </c>
      <c r="AB56" s="10">
        <f>IF(AA56=1,I56-('Parametros'!$B$7+'Parametros'!$B$9+'Parametros'!$B$12/2),I56-(ROUNDUP(Z56/2,0)*('Parametros'!$B$7+'Parametros'!$B$9+'Parametros'!$B$12/2)+ROUNDDOWN(Z56/2,0)*('Parametros'!$B$7+'Parametros'!$B$9+'Parametros'!$B$12/2+'Parametros'!$B$12+'Parametros'!$B$10))/Z56)</f>
        <v>342.55</v>
      </c>
      <c r="AC56" s="10">
        <f>Z56*'Parametros'!$B$8</f>
        <v>398</v>
      </c>
      <c r="AD56" s="10">
        <f>'Parametros'!$B$5*AC56*'Parametros'!$B$3*(AB56-(AC56*'Parametros'!$B$3/(0.85*'Parametros'!$B$2*H56))/2)/1000000</f>
        <v>49.7735124352941</v>
      </c>
      <c r="AE56" s="10" t="str">
        <f>IF(AD56&gt;=L56,"CUMPLE","NO CUMPLE")</f>
        <v>CUMPLE</v>
      </c>
      <c r="AF56" s="10">
        <f>V56*1.25*'Parametros'!$B$3*(U56-(V56*1.25*'Parametros'!$B$3/(0.85*'Parametros'!$B$2*H56))/2)/1000000</f>
        <v>100.484515919118</v>
      </c>
      <c r="AG56" s="10">
        <f>AC56*1.25*'Parametros'!$B$3*(AB56-(AC56*1.25*'Parametros'!$B$3/(0.85*'Parametros'!$B$2*H56))/2)/1000000</f>
        <v>68.5183923529412</v>
      </c>
      <c r="AH56" s="10">
        <f>N56+(AF56+AG56)/D56</f>
        <v>76.8474422058824</v>
      </c>
      <c r="AI56" s="10">
        <f>MIN(O56,MAX(N56,AH56))</f>
        <v>76.8474422058824</v>
      </c>
      <c r="AJ56" s="10">
        <f>0.17*SQRT('Parametros'!$B$2)*H56*MIN(U56,AB56)/1000</f>
        <v>92.4428153837279</v>
      </c>
      <c r="AK56" s="10">
        <f>MAX(AI56/'Parametros'!$B$6-AJ56,0)</f>
        <v>10.0204408907819</v>
      </c>
      <c r="AL56" s="10">
        <f>0.66*SQRT('Parametros'!$B$2)*H56*MIN(U56,AB56)/1000</f>
        <v>358.89563619565</v>
      </c>
      <c r="AM56" s="10" t="str">
        <f>IF(AK56&lt;=AL56,"CUMPLE","NO CUMPLE")</f>
        <v>CUMPLE</v>
      </c>
      <c r="AN56" s="15" t="inlineStr">
        <is>
          <t>Nº3 cerrado</t>
        </is>
      </c>
      <c r="AO56" s="17" t="n">
        <v>2</v>
      </c>
      <c r="AP56" s="10">
        <f>ROUNDDOWN(MIN(IF(AK56=0,1000000000,AO56*'Parametros'!$B$11*'Parametros'!$B$4*MIN(U56,AB56)/(AK56*1000)),IF(AV56=0,1000000000,'Parametros'!$B$11/AV56),MIN(U56,AB56)/4,8*'Parametros'!$B$12,24*'Parametros'!$B$9,300)/10,0)*10</f>
        <v>80</v>
      </c>
      <c r="AQ56" s="10">
        <f>ROUNDDOWN(MIN(IF(AK56=0,1000000000,AO56*'Parametros'!$B$11*'Parametros'!$B$4*MIN(U56,AB56)/(AK56*1000)),IF(AV56=0,1000000000,'Parametros'!$B$11/AV56),MIN(U56,AB56)/2,600)/10,0)*10</f>
        <v>170</v>
      </c>
      <c r="AR56" s="10">
        <f>'Parametros'!$B$6*(AJ56+AO56*'Parametros'!$B$11*'Parametros'!$B$4*MIN(U56,AB56)/AP56/1000)</f>
        <v>260.860380287796</v>
      </c>
      <c r="AS56" s="10" t="str">
        <f>IF(AND(AM56="CUMPLE",AR56&gt;=AI56),"CUMPLE","NO CUMPLE")</f>
        <v>CUMPLE</v>
      </c>
      <c r="AT56" s="10">
        <f>'Parametros'!$B$6*0.083*SQRT('Parametros'!$B$2)*(H56*I56)^2/(2*(H56+I56))/1000000</f>
        <v>3.38807353605471</v>
      </c>
      <c r="AU56" s="10" t="str">
        <f>IF(Q56&lt;=AT56,"DESPRECIABLE","DISEÑAR")</f>
        <v>DESPRECIABLE</v>
      </c>
      <c r="AV56" s="10">
        <f>IF(Q56&lt;=AT56,0,Q56*1000000/('Parametros'!$B$6*2*0.85*(H56-2*'Parametros'!$B$7)*(I56-2*'Parametros'!$B$7)*'Parametros'!$B$4))</f>
        <v>0</v>
      </c>
      <c r="AW56" s="10">
        <f>AV56*2*((H56-2*'Parametros'!$B$7)+(I56-2*'Parametros'!$B$7))*'Parametros'!$B$4/'Parametros'!$B$3</f>
        <v>0</v>
      </c>
      <c r="AX56" s="17" t="n">
        <v>0</v>
      </c>
      <c r="AY56" s="10" t="str">
        <f>IF(AV56=0,"DESPRECIABLE",IF('Parametros'!$B$11/AP56&gt;=AV56,"CUMPLE","NO CUMPLE"))</f>
        <v>DESPRECIABLE</v>
      </c>
      <c r="AZ56" s="10" t="str">
        <f>IF(AND(X56="CUMPLE",AE56="CUMPLE",AS56="CUMPLE",OR(AY56="CUMPLE",AY56="DESPRECIABLE")),IF(OR(F56&lt;&gt;H56,G56&lt;&gt;I56),"CUMPLE - REANALIZAR SAP","CUMPLE"),"NO CUMPLE")</f>
        <v>CUMPLE</v>
      </c>
    </row>
    <row r="57">
      <c r="A57" s="19" t="inlineStr">
        <is>
          <t>VC2</t>
        </is>
      </c>
      <c r="B57" s="19" t="inlineStr">
        <is>
          <t>1372</t>
        </is>
      </c>
      <c r="C57" s="10" t="n">
        <v>1</v>
      </c>
      <c r="D57" s="10" t="n">
        <v>3.75</v>
      </c>
      <c r="E57" s="10" t="n">
        <v>3.75</v>
      </c>
      <c r="F57" s="10" t="n">
        <v>300</v>
      </c>
      <c r="G57" s="10" t="n">
        <v>400</v>
      </c>
      <c r="H57" s="15" t="n">
        <v>300</v>
      </c>
      <c r="I57" s="15" t="n">
        <v>400</v>
      </c>
      <c r="J57" s="16" t="n">
        <v>51.5737</v>
      </c>
      <c r="K57" s="10" t="inlineStr">
        <is>
          <t>1372</t>
        </is>
      </c>
      <c r="L57" s="16" t="n">
        <v>43.8386</v>
      </c>
      <c r="M57" s="10" t="inlineStr">
        <is>
          <t>1372</t>
        </is>
      </c>
      <c r="N57" s="16" t="n">
        <v>31.805</v>
      </c>
      <c r="O57" s="16" t="n">
        <v>119.384</v>
      </c>
      <c r="P57" s="10" t="inlineStr">
        <is>
          <t>1372</t>
        </is>
      </c>
      <c r="Q57" s="16" t="n">
        <v>0.2531</v>
      </c>
      <c r="R57" s="10">
        <f>MAX(MAX(1.4/'Parametros'!$B$3,0.25*SQRT('Parametros'!$B$2)/'Parametros'!$B$3)*H57*U57,(0.85*'Parametros'!$B$2/'Parametros'!$B$3)*(1-SQRT(1-2*(J57*1000000/('Parametros'!$B$5*H57*U57^2))/(0.85*'Parametros'!$B$2)))*H57*U57)</f>
        <v>412.943269476336</v>
      </c>
      <c r="S57" s="17" t="n">
        <v>3</v>
      </c>
      <c r="T57" s="18" t="n">
        <v>1</v>
      </c>
      <c r="U57" s="10">
        <f>IF(T57=1,I57-('Parametros'!$B$7+'Parametros'!$B$9+'Parametros'!$B$12/2),I57-(ROUNDUP(S57/2,0)*('Parametros'!$B$7+'Parametros'!$B$9+'Parametros'!$B$12/2)+ROUNDDOWN(S57/2,0)*('Parametros'!$B$7+'Parametros'!$B$9+'Parametros'!$B$12/2+'Parametros'!$B$12+'Parametros'!$B$10))/S57)</f>
        <v>342.55</v>
      </c>
      <c r="V57" s="10">
        <f>S57*'Parametros'!$B$8</f>
        <v>597</v>
      </c>
      <c r="W57" s="10">
        <f>'Parametros'!$B$5*V57*'Parametros'!$B$3*(U57-(V57*'Parametros'!$B$3/(0.85*'Parametros'!$B$2*H57))/2)/1000000</f>
        <v>73.3394588294118</v>
      </c>
      <c r="X57" s="10" t="str">
        <f>IF(W57&gt;=J57,"CUMPLE","NO CUMPLE")</f>
        <v>CUMPLE</v>
      </c>
      <c r="Y57" s="10">
        <f>MAX(MAX(1.4/'Parametros'!$B$3,0.25*SQRT('Parametros'!$B$2)/'Parametros'!$B$3)*H57*AB57,(0.85*'Parametros'!$B$2/'Parametros'!$B$3)*(1-SQRT(1-2*(L57*1000000/('Parametros'!$B$5*H57*AB57^2))/(0.85*'Parametros'!$B$2)))*H57*AB57)</f>
        <v>349.02349118218</v>
      </c>
      <c r="Z57" s="17" t="n">
        <v>2</v>
      </c>
      <c r="AA57" s="18" t="n">
        <v>1</v>
      </c>
      <c r="AB57" s="10">
        <f>IF(AA57=1,I57-('Parametros'!$B$7+'Parametros'!$B$9+'Parametros'!$B$12/2),I57-(ROUNDUP(Z57/2,0)*('Parametros'!$B$7+'Parametros'!$B$9+'Parametros'!$B$12/2)+ROUNDDOWN(Z57/2,0)*('Parametros'!$B$7+'Parametros'!$B$9+'Parametros'!$B$12/2+'Parametros'!$B$12+'Parametros'!$B$10))/Z57)</f>
        <v>342.55</v>
      </c>
      <c r="AC57" s="10">
        <f>Z57*'Parametros'!$B$8</f>
        <v>398</v>
      </c>
      <c r="AD57" s="10">
        <f>'Parametros'!$B$5*AC57*'Parametros'!$B$3*(AB57-(AC57*'Parametros'!$B$3/(0.85*'Parametros'!$B$2*H57))/2)/1000000</f>
        <v>49.7735124352941</v>
      </c>
      <c r="AE57" s="10" t="str">
        <f>IF(AD57&gt;=L57,"CUMPLE","NO CUMPLE")</f>
        <v>CUMPLE</v>
      </c>
      <c r="AF57" s="10">
        <f>V57*1.25*'Parametros'!$B$3*(U57-(V57*1.25*'Parametros'!$B$3/(0.85*'Parametros'!$B$2*H57))/2)/1000000</f>
        <v>100.484515919118</v>
      </c>
      <c r="AG57" s="10">
        <f>AC57*1.25*'Parametros'!$B$3*(AB57-(AC57*1.25*'Parametros'!$B$3/(0.85*'Parametros'!$B$2*H57))/2)/1000000</f>
        <v>68.5183923529412</v>
      </c>
      <c r="AH57" s="10">
        <f>N57+(AF57+AG57)/D57</f>
        <v>76.8724422058824</v>
      </c>
      <c r="AI57" s="10">
        <f>MIN(O57,MAX(N57,AH57))</f>
        <v>76.8724422058824</v>
      </c>
      <c r="AJ57" s="10">
        <f>0.17*SQRT('Parametros'!$B$2)*H57*MIN(U57,AB57)/1000</f>
        <v>92.4428153837279</v>
      </c>
      <c r="AK57" s="10">
        <f>MAX(AI57/'Parametros'!$B$6-AJ57,0)</f>
        <v>10.0537742241152</v>
      </c>
      <c r="AL57" s="10">
        <f>0.66*SQRT('Parametros'!$B$2)*H57*MIN(U57,AB57)/1000</f>
        <v>358.89563619565</v>
      </c>
      <c r="AM57" s="10" t="str">
        <f>IF(AK57&lt;=AL57,"CUMPLE","NO CUMPLE")</f>
        <v>CUMPLE</v>
      </c>
      <c r="AN57" s="15" t="inlineStr">
        <is>
          <t>Nº3 cerrado</t>
        </is>
      </c>
      <c r="AO57" s="17" t="n">
        <v>2</v>
      </c>
      <c r="AP57" s="10">
        <f>ROUNDDOWN(MIN(IF(AK57=0,1000000000,AO57*'Parametros'!$B$11*'Parametros'!$B$4*MIN(U57,AB57)/(AK57*1000)),IF(AV57=0,1000000000,'Parametros'!$B$11/AV57),MIN(U57,AB57)/4,8*'Parametros'!$B$12,24*'Parametros'!$B$9,300)/10,0)*10</f>
        <v>80</v>
      </c>
      <c r="AQ57" s="10">
        <f>ROUNDDOWN(MIN(IF(AK57=0,1000000000,AO57*'Parametros'!$B$11*'Parametros'!$B$4*MIN(U57,AB57)/(AK57*1000)),IF(AV57=0,1000000000,'Parametros'!$B$11/AV57),MIN(U57,AB57)/2,600)/10,0)*10</f>
        <v>170</v>
      </c>
      <c r="AR57" s="10">
        <f>'Parametros'!$B$6*(AJ57+AO57*'Parametros'!$B$11*'Parametros'!$B$4*MIN(U57,AB57)/AP57/1000)</f>
        <v>260.860380287796</v>
      </c>
      <c r="AS57" s="10" t="str">
        <f>IF(AND(AM57="CUMPLE",AR57&gt;=AI57),"CUMPLE","NO CUMPLE")</f>
        <v>CUMPLE</v>
      </c>
      <c r="AT57" s="10">
        <f>'Parametros'!$B$6*0.083*SQRT('Parametros'!$B$2)*(H57*I57)^2/(2*(H57+I57))/1000000</f>
        <v>3.38807353605471</v>
      </c>
      <c r="AU57" s="10" t="str">
        <f>IF(Q57&lt;=AT57,"DESPRECIABLE","DISEÑAR")</f>
        <v>DESPRECIABLE</v>
      </c>
      <c r="AV57" s="10">
        <f>IF(Q57&lt;=AT57,0,Q57*1000000/('Parametros'!$B$6*2*0.85*(H57-2*'Parametros'!$B$7)*(I57-2*'Parametros'!$B$7)*'Parametros'!$B$4))</f>
        <v>0</v>
      </c>
      <c r="AW57" s="10">
        <f>AV57*2*((H57-2*'Parametros'!$B$7)+(I57-2*'Parametros'!$B$7))*'Parametros'!$B$4/'Parametros'!$B$3</f>
        <v>0</v>
      </c>
      <c r="AX57" s="17" t="n">
        <v>0</v>
      </c>
      <c r="AY57" s="10" t="str">
        <f>IF(AV57=0,"DESPRECIABLE",IF('Parametros'!$B$11/AP57&gt;=AV57,"CUMPLE","NO CUMPLE"))</f>
        <v>DESPRECIABLE</v>
      </c>
      <c r="AZ57" s="10" t="str">
        <f>IF(AND(X57="CUMPLE",AE57="CUMPLE",AS57="CUMPLE",OR(AY57="CUMPLE",AY57="DESPRECIABLE")),IF(OR(F57&lt;&gt;H57,G57&lt;&gt;I57),"CUMPLE - REANALIZAR SAP","CUMPLE"),"NO CUMPLE")</f>
        <v>CUMPLE</v>
      </c>
    </row>
    <row r="58">
      <c r="A58" s="19" t="inlineStr">
        <is>
          <t>VC2</t>
        </is>
      </c>
      <c r="B58" s="19" t="inlineStr">
        <is>
          <t>1373</t>
        </is>
      </c>
      <c r="C58" s="10" t="n">
        <v>1</v>
      </c>
      <c r="D58" s="10" t="n">
        <v>3.75</v>
      </c>
      <c r="E58" s="10" t="n">
        <v>3.75</v>
      </c>
      <c r="F58" s="10" t="n">
        <v>300</v>
      </c>
      <c r="G58" s="10" t="n">
        <v>400</v>
      </c>
      <c r="H58" s="15" t="n">
        <v>300</v>
      </c>
      <c r="I58" s="15" t="n">
        <v>400</v>
      </c>
      <c r="J58" s="16" t="n">
        <v>51.5712</v>
      </c>
      <c r="K58" s="10" t="inlineStr">
        <is>
          <t>1373</t>
        </is>
      </c>
      <c r="L58" s="16" t="n">
        <v>43.8359</v>
      </c>
      <c r="M58" s="10" t="inlineStr">
        <is>
          <t>1373</t>
        </is>
      </c>
      <c r="N58" s="16" t="n">
        <v>31.804</v>
      </c>
      <c r="O58" s="16" t="n">
        <v>119.395</v>
      </c>
      <c r="P58" s="10" t="inlineStr">
        <is>
          <t>1373</t>
        </is>
      </c>
      <c r="Q58" s="16" t="n">
        <v>0.2534</v>
      </c>
      <c r="R58" s="10">
        <f>MAX(MAX(1.4/'Parametros'!$B$3,0.25*SQRT('Parametros'!$B$2)/'Parametros'!$B$3)*H58*U58,(0.85*'Parametros'!$B$2/'Parametros'!$B$3)*(1-SQRT(1-2*(J58*1000000/('Parametros'!$B$5*H58*U58^2))/(0.85*'Parametros'!$B$2)))*H58*U58)</f>
        <v>412.922488479248</v>
      </c>
      <c r="S58" s="17" t="n">
        <v>3</v>
      </c>
      <c r="T58" s="18" t="n">
        <v>1</v>
      </c>
      <c r="U58" s="10">
        <f>IF(T58=1,I58-('Parametros'!$B$7+'Parametros'!$B$9+'Parametros'!$B$12/2),I58-(ROUNDUP(S58/2,0)*('Parametros'!$B$7+'Parametros'!$B$9+'Parametros'!$B$12/2)+ROUNDDOWN(S58/2,0)*('Parametros'!$B$7+'Parametros'!$B$9+'Parametros'!$B$12/2+'Parametros'!$B$12+'Parametros'!$B$10))/S58)</f>
        <v>342.55</v>
      </c>
      <c r="V58" s="10">
        <f>S58*'Parametros'!$B$8</f>
        <v>597</v>
      </c>
      <c r="W58" s="10">
        <f>'Parametros'!$B$5*V58*'Parametros'!$B$3*(U58-(V58*'Parametros'!$B$3/(0.85*'Parametros'!$B$2*H58))/2)/1000000</f>
        <v>73.3394588294118</v>
      </c>
      <c r="X58" s="10" t="str">
        <f>IF(W58&gt;=J58,"CUMPLE","NO CUMPLE")</f>
        <v>CUMPLE</v>
      </c>
      <c r="Y58" s="10">
        <f>MAX(MAX(1.4/'Parametros'!$B$3,0.25*SQRT('Parametros'!$B$2)/'Parametros'!$B$3)*H58*AB58,(0.85*'Parametros'!$B$2/'Parametros'!$B$3)*(1-SQRT(1-2*(L58*1000000/('Parametros'!$B$5*H58*AB58^2))/(0.85*'Parametros'!$B$2)))*H58*AB58)</f>
        <v>349.001309764023</v>
      </c>
      <c r="Z58" s="17" t="n">
        <v>2</v>
      </c>
      <c r="AA58" s="18" t="n">
        <v>1</v>
      </c>
      <c r="AB58" s="10">
        <f>IF(AA58=1,I58-('Parametros'!$B$7+'Parametros'!$B$9+'Parametros'!$B$12/2),I58-(ROUNDUP(Z58/2,0)*('Parametros'!$B$7+'Parametros'!$B$9+'Parametros'!$B$12/2)+ROUNDDOWN(Z58/2,0)*('Parametros'!$B$7+'Parametros'!$B$9+'Parametros'!$B$12/2+'Parametros'!$B$12+'Parametros'!$B$10))/Z58)</f>
        <v>342.55</v>
      </c>
      <c r="AC58" s="10">
        <f>Z58*'Parametros'!$B$8</f>
        <v>398</v>
      </c>
      <c r="AD58" s="10">
        <f>'Parametros'!$B$5*AC58*'Parametros'!$B$3*(AB58-(AC58*'Parametros'!$B$3/(0.85*'Parametros'!$B$2*H58))/2)/1000000</f>
        <v>49.7735124352941</v>
      </c>
      <c r="AE58" s="10" t="str">
        <f>IF(AD58&gt;=L58,"CUMPLE","NO CUMPLE")</f>
        <v>CUMPLE</v>
      </c>
      <c r="AF58" s="10">
        <f>V58*1.25*'Parametros'!$B$3*(U58-(V58*1.25*'Parametros'!$B$3/(0.85*'Parametros'!$B$2*H58))/2)/1000000</f>
        <v>100.484515919118</v>
      </c>
      <c r="AG58" s="10">
        <f>AC58*1.25*'Parametros'!$B$3*(AB58-(AC58*1.25*'Parametros'!$B$3/(0.85*'Parametros'!$B$2*H58))/2)/1000000</f>
        <v>68.5183923529412</v>
      </c>
      <c r="AH58" s="10">
        <f>N58+(AF58+AG58)/D58</f>
        <v>76.8714422058824</v>
      </c>
      <c r="AI58" s="10">
        <f>MIN(O58,MAX(N58,AH58))</f>
        <v>76.8714422058824</v>
      </c>
      <c r="AJ58" s="10">
        <f>0.17*SQRT('Parametros'!$B$2)*H58*MIN(U58,AB58)/1000</f>
        <v>92.4428153837279</v>
      </c>
      <c r="AK58" s="10">
        <f>MAX(AI58/'Parametros'!$B$6-AJ58,0)</f>
        <v>10.0524408907819</v>
      </c>
      <c r="AL58" s="10">
        <f>0.66*SQRT('Parametros'!$B$2)*H58*MIN(U58,AB58)/1000</f>
        <v>358.89563619565</v>
      </c>
      <c r="AM58" s="10" t="str">
        <f>IF(AK58&lt;=AL58,"CUMPLE","NO CUMPLE")</f>
        <v>CUMPLE</v>
      </c>
      <c r="AN58" s="15" t="inlineStr">
        <is>
          <t>Nº3 cerrado</t>
        </is>
      </c>
      <c r="AO58" s="17" t="n">
        <v>2</v>
      </c>
      <c r="AP58" s="10">
        <f>ROUNDDOWN(MIN(IF(AK58=0,1000000000,AO58*'Parametros'!$B$11*'Parametros'!$B$4*MIN(U58,AB58)/(AK58*1000)),IF(AV58=0,1000000000,'Parametros'!$B$11/AV58),MIN(U58,AB58)/4,8*'Parametros'!$B$12,24*'Parametros'!$B$9,300)/10,0)*10</f>
        <v>80</v>
      </c>
      <c r="AQ58" s="10">
        <f>ROUNDDOWN(MIN(IF(AK58=0,1000000000,AO58*'Parametros'!$B$11*'Parametros'!$B$4*MIN(U58,AB58)/(AK58*1000)),IF(AV58=0,1000000000,'Parametros'!$B$11/AV58),MIN(U58,AB58)/2,600)/10,0)*10</f>
        <v>170</v>
      </c>
      <c r="AR58" s="10">
        <f>'Parametros'!$B$6*(AJ58+AO58*'Parametros'!$B$11*'Parametros'!$B$4*MIN(U58,AB58)/AP58/1000)</f>
        <v>260.860380287796</v>
      </c>
      <c r="AS58" s="10" t="str">
        <f>IF(AND(AM58="CUMPLE",AR58&gt;=AI58),"CUMPLE","NO CUMPLE")</f>
        <v>CUMPLE</v>
      </c>
      <c r="AT58" s="10">
        <f>'Parametros'!$B$6*0.083*SQRT('Parametros'!$B$2)*(H58*I58)^2/(2*(H58+I58))/1000000</f>
        <v>3.38807353605471</v>
      </c>
      <c r="AU58" s="10" t="str">
        <f>IF(Q58&lt;=AT58,"DESPRECIABLE","DISEÑAR")</f>
        <v>DESPRECIABLE</v>
      </c>
      <c r="AV58" s="10">
        <f>IF(Q58&lt;=AT58,0,Q58*1000000/('Parametros'!$B$6*2*0.85*(H58-2*'Parametros'!$B$7)*(I58-2*'Parametros'!$B$7)*'Parametros'!$B$4))</f>
        <v>0</v>
      </c>
      <c r="AW58" s="10">
        <f>AV58*2*((H58-2*'Parametros'!$B$7)+(I58-2*'Parametros'!$B$7))*'Parametros'!$B$4/'Parametros'!$B$3</f>
        <v>0</v>
      </c>
      <c r="AX58" s="17" t="n">
        <v>0</v>
      </c>
      <c r="AY58" s="10" t="str">
        <f>IF(AV58=0,"DESPRECIABLE",IF('Parametros'!$B$11/AP58&gt;=AV58,"CUMPLE","NO CUMPLE"))</f>
        <v>DESPRECIABLE</v>
      </c>
      <c r="AZ58" s="10" t="str">
        <f>IF(AND(X58="CUMPLE",AE58="CUMPLE",AS58="CUMPLE",OR(AY58="CUMPLE",AY58="DESPRECIABLE")),IF(OR(F58&lt;&gt;H58,G58&lt;&gt;I58),"CUMPLE - REANALIZAR SAP","CUMPLE"),"NO CUMPLE")</f>
        <v>CUMPLE</v>
      </c>
    </row>
    <row r="59">
      <c r="A59" s="19" t="inlineStr">
        <is>
          <t>VC2</t>
        </is>
      </c>
      <c r="B59" s="19" t="inlineStr">
        <is>
          <t>1374</t>
        </is>
      </c>
      <c r="C59" s="10" t="n">
        <v>1</v>
      </c>
      <c r="D59" s="10" t="n">
        <v>3.75</v>
      </c>
      <c r="E59" s="10" t="n">
        <v>3.75</v>
      </c>
      <c r="F59" s="10" t="n">
        <v>300</v>
      </c>
      <c r="G59" s="10" t="n">
        <v>400</v>
      </c>
      <c r="H59" s="15" t="n">
        <v>300</v>
      </c>
      <c r="I59" s="15" t="n">
        <v>400</v>
      </c>
      <c r="J59" s="16" t="n">
        <v>51.5373</v>
      </c>
      <c r="K59" s="10" t="inlineStr">
        <is>
          <t>1374</t>
        </is>
      </c>
      <c r="L59" s="16" t="n">
        <v>43.8022</v>
      </c>
      <c r="M59" s="10" t="inlineStr">
        <is>
          <t>1374</t>
        </is>
      </c>
      <c r="N59" s="16" t="n">
        <v>31.786</v>
      </c>
      <c r="O59" s="16" t="n">
        <v>119.377</v>
      </c>
      <c r="P59" s="10" t="inlineStr">
        <is>
          <t>1374</t>
        </is>
      </c>
      <c r="Q59" s="16" t="n">
        <v>0.2527</v>
      </c>
      <c r="R59" s="10">
        <f>MAX(MAX(1.4/'Parametros'!$B$3,0.25*SQRT('Parametros'!$B$2)/'Parametros'!$B$3)*H59*U59,(0.85*'Parametros'!$B$2/'Parametros'!$B$3)*(1-SQRT(1-2*(J59*1000000/('Parametros'!$B$5*H59*U59^2))/(0.85*'Parametros'!$B$2)))*H59*U59)</f>
        <v>412.640706037716</v>
      </c>
      <c r="S59" s="17" t="n">
        <v>3</v>
      </c>
      <c r="T59" s="18" t="n">
        <v>1</v>
      </c>
      <c r="U59" s="10">
        <f>IF(T59=1,I59-('Parametros'!$B$7+'Parametros'!$B$9+'Parametros'!$B$12/2),I59-(ROUNDUP(S59/2,0)*('Parametros'!$B$7+'Parametros'!$B$9+'Parametros'!$B$12/2)+ROUNDDOWN(S59/2,0)*('Parametros'!$B$7+'Parametros'!$B$9+'Parametros'!$B$12/2+'Parametros'!$B$12+'Parametros'!$B$10))/S59)</f>
        <v>342.55</v>
      </c>
      <c r="V59" s="10">
        <f>S59*'Parametros'!$B$8</f>
        <v>597</v>
      </c>
      <c r="W59" s="10">
        <f>'Parametros'!$B$5*V59*'Parametros'!$B$3*(U59-(V59*'Parametros'!$B$3/(0.85*'Parametros'!$B$2*H59))/2)/1000000</f>
        <v>73.3394588294118</v>
      </c>
      <c r="X59" s="10" t="str">
        <f>IF(W59&gt;=J59,"CUMPLE","NO CUMPLE")</f>
        <v>CUMPLE</v>
      </c>
      <c r="Y59" s="10">
        <f>MAX(MAX(1.4/'Parametros'!$B$3,0.25*SQRT('Parametros'!$B$2)/'Parametros'!$B$3)*H59*AB59,(0.85*'Parametros'!$B$2/'Parametros'!$B$3)*(1-SQRT(1-2*(L59*1000000/('Parametros'!$B$5*H59*AB59^2))/(0.85*'Parametros'!$B$2)))*H59*AB59)</f>
        <v>348.724460365387</v>
      </c>
      <c r="Z59" s="17" t="n">
        <v>2</v>
      </c>
      <c r="AA59" s="18" t="n">
        <v>1</v>
      </c>
      <c r="AB59" s="10">
        <f>IF(AA59=1,I59-('Parametros'!$B$7+'Parametros'!$B$9+'Parametros'!$B$12/2),I59-(ROUNDUP(Z59/2,0)*('Parametros'!$B$7+'Parametros'!$B$9+'Parametros'!$B$12/2)+ROUNDDOWN(Z59/2,0)*('Parametros'!$B$7+'Parametros'!$B$9+'Parametros'!$B$12/2+'Parametros'!$B$12+'Parametros'!$B$10))/Z59)</f>
        <v>342.55</v>
      </c>
      <c r="AC59" s="10">
        <f>Z59*'Parametros'!$B$8</f>
        <v>398</v>
      </c>
      <c r="AD59" s="10">
        <f>'Parametros'!$B$5*AC59*'Parametros'!$B$3*(AB59-(AC59*'Parametros'!$B$3/(0.85*'Parametros'!$B$2*H59))/2)/1000000</f>
        <v>49.7735124352941</v>
      </c>
      <c r="AE59" s="10" t="str">
        <f>IF(AD59&gt;=L59,"CUMPLE","NO CUMPLE")</f>
        <v>CUMPLE</v>
      </c>
      <c r="AF59" s="10">
        <f>V59*1.25*'Parametros'!$B$3*(U59-(V59*1.25*'Parametros'!$B$3/(0.85*'Parametros'!$B$2*H59))/2)/1000000</f>
        <v>100.484515919118</v>
      </c>
      <c r="AG59" s="10">
        <f>AC59*1.25*'Parametros'!$B$3*(AB59-(AC59*1.25*'Parametros'!$B$3/(0.85*'Parametros'!$B$2*H59))/2)/1000000</f>
        <v>68.5183923529412</v>
      </c>
      <c r="AH59" s="10">
        <f>N59+(AF59+AG59)/D59</f>
        <v>76.8534422058824</v>
      </c>
      <c r="AI59" s="10">
        <f>MIN(O59,MAX(N59,AH59))</f>
        <v>76.8534422058824</v>
      </c>
      <c r="AJ59" s="10">
        <f>0.17*SQRT('Parametros'!$B$2)*H59*MIN(U59,AB59)/1000</f>
        <v>92.4428153837279</v>
      </c>
      <c r="AK59" s="10">
        <f>MAX(AI59/'Parametros'!$B$6-AJ59,0)</f>
        <v>10.0284408907819</v>
      </c>
      <c r="AL59" s="10">
        <f>0.66*SQRT('Parametros'!$B$2)*H59*MIN(U59,AB59)/1000</f>
        <v>358.89563619565</v>
      </c>
      <c r="AM59" s="10" t="str">
        <f>IF(AK59&lt;=AL59,"CUMPLE","NO CUMPLE")</f>
        <v>CUMPLE</v>
      </c>
      <c r="AN59" s="15" t="inlineStr">
        <is>
          <t>Nº3 cerrado</t>
        </is>
      </c>
      <c r="AO59" s="17" t="n">
        <v>2</v>
      </c>
      <c r="AP59" s="10">
        <f>ROUNDDOWN(MIN(IF(AK59=0,1000000000,AO59*'Parametros'!$B$11*'Parametros'!$B$4*MIN(U59,AB59)/(AK59*1000)),IF(AV59=0,1000000000,'Parametros'!$B$11/AV59),MIN(U59,AB59)/4,8*'Parametros'!$B$12,24*'Parametros'!$B$9,300)/10,0)*10</f>
        <v>80</v>
      </c>
      <c r="AQ59" s="10">
        <f>ROUNDDOWN(MIN(IF(AK59=0,1000000000,AO59*'Parametros'!$B$11*'Parametros'!$B$4*MIN(U59,AB59)/(AK59*1000)),IF(AV59=0,1000000000,'Parametros'!$B$11/AV59),MIN(U59,AB59)/2,600)/10,0)*10</f>
        <v>170</v>
      </c>
      <c r="AR59" s="10">
        <f>'Parametros'!$B$6*(AJ59+AO59*'Parametros'!$B$11*'Parametros'!$B$4*MIN(U59,AB59)/AP59/1000)</f>
        <v>260.860380287796</v>
      </c>
      <c r="AS59" s="10" t="str">
        <f>IF(AND(AM59="CUMPLE",AR59&gt;=AI59),"CUMPLE","NO CUMPLE")</f>
        <v>CUMPLE</v>
      </c>
      <c r="AT59" s="10">
        <f>'Parametros'!$B$6*0.083*SQRT('Parametros'!$B$2)*(H59*I59)^2/(2*(H59+I59))/1000000</f>
        <v>3.38807353605471</v>
      </c>
      <c r="AU59" s="10" t="str">
        <f>IF(Q59&lt;=AT59,"DESPRECIABLE","DISEÑAR")</f>
        <v>DESPRECIABLE</v>
      </c>
      <c r="AV59" s="10">
        <f>IF(Q59&lt;=AT59,0,Q59*1000000/('Parametros'!$B$6*2*0.85*(H59-2*'Parametros'!$B$7)*(I59-2*'Parametros'!$B$7)*'Parametros'!$B$4))</f>
        <v>0</v>
      </c>
      <c r="AW59" s="10">
        <f>AV59*2*((H59-2*'Parametros'!$B$7)+(I59-2*'Parametros'!$B$7))*'Parametros'!$B$4/'Parametros'!$B$3</f>
        <v>0</v>
      </c>
      <c r="AX59" s="17" t="n">
        <v>0</v>
      </c>
      <c r="AY59" s="10" t="str">
        <f>IF(AV59=0,"DESPRECIABLE",IF('Parametros'!$B$11/AP59&gt;=AV59,"CUMPLE","NO CUMPLE"))</f>
        <v>DESPRECIABLE</v>
      </c>
      <c r="AZ59" s="10" t="str">
        <f>IF(AND(X59="CUMPLE",AE59="CUMPLE",AS59="CUMPLE",OR(AY59="CUMPLE",AY59="DESPRECIABLE")),IF(OR(F59&lt;&gt;H59,G59&lt;&gt;I59),"CUMPLE - REANALIZAR SAP","CUMPLE"),"NO CUMPLE")</f>
        <v>CUMPLE</v>
      </c>
    </row>
    <row r="60">
      <c r="A60" s="19" t="inlineStr">
        <is>
          <t>VC2</t>
        </is>
      </c>
      <c r="B60" s="19" t="inlineStr">
        <is>
          <t>1375</t>
        </is>
      </c>
      <c r="C60" s="10" t="n">
        <v>1</v>
      </c>
      <c r="D60" s="10" t="n">
        <v>3.75</v>
      </c>
      <c r="E60" s="10" t="n">
        <v>3.75</v>
      </c>
      <c r="F60" s="10" t="n">
        <v>300</v>
      </c>
      <c r="G60" s="10" t="n">
        <v>400</v>
      </c>
      <c r="H60" s="15" t="n">
        <v>300</v>
      </c>
      <c r="I60" s="15" t="n">
        <v>400</v>
      </c>
      <c r="J60" s="16" t="n">
        <v>30.4932</v>
      </c>
      <c r="K60" s="10" t="inlineStr">
        <is>
          <t>1375</t>
        </is>
      </c>
      <c r="L60" s="16" t="n">
        <v>23.3994</v>
      </c>
      <c r="M60" s="10" t="inlineStr">
        <is>
          <t>1375</t>
        </is>
      </c>
      <c r="N60" s="16" t="n">
        <v>20.733</v>
      </c>
      <c r="O60" s="16" t="n">
        <v>65.913</v>
      </c>
      <c r="P60" s="10" t="inlineStr">
        <is>
          <t>1375</t>
        </is>
      </c>
      <c r="Q60" s="16" t="n">
        <v>0.5118</v>
      </c>
      <c r="R60" s="10">
        <f>MAX(MAX(1.4/'Parametros'!$B$3,0.25*SQRT('Parametros'!$B$2)/'Parametros'!$B$3)*H60*U60,(0.85*'Parametros'!$B$2/'Parametros'!$B$3)*(1-SQRT(1-2*(J60*1000000/('Parametros'!$B$5*H60*U60^2))/(0.85*'Parametros'!$B$2)))*H60*U60)</f>
        <v>342.55</v>
      </c>
      <c r="S60" s="17" t="n">
        <v>2</v>
      </c>
      <c r="T60" s="18" t="n">
        <v>1</v>
      </c>
      <c r="U60" s="10">
        <f>IF(T60=1,I60-('Parametros'!$B$7+'Parametros'!$B$9+'Parametros'!$B$12/2),I60-(ROUNDUP(S60/2,0)*('Parametros'!$B$7+'Parametros'!$B$9+'Parametros'!$B$12/2)+ROUNDDOWN(S60/2,0)*('Parametros'!$B$7+'Parametros'!$B$9+'Parametros'!$B$12/2+'Parametros'!$B$12+'Parametros'!$B$10))/S60)</f>
        <v>342.55</v>
      </c>
      <c r="V60" s="10">
        <f>S60*'Parametros'!$B$8</f>
        <v>398</v>
      </c>
      <c r="W60" s="10">
        <f>'Parametros'!$B$5*V60*'Parametros'!$B$3*(U60-(V60*'Parametros'!$B$3/(0.85*'Parametros'!$B$2*H60))/2)/1000000</f>
        <v>49.7735124352941</v>
      </c>
      <c r="X60" s="10" t="str">
        <f>IF(W60&gt;=J60,"CUMPLE","NO CUMPLE")</f>
        <v>CUMPLE</v>
      </c>
      <c r="Y60" s="10">
        <f>MAX(MAX(1.4/'Parametros'!$B$3,0.25*SQRT('Parametros'!$B$2)/'Parametros'!$B$3)*H60*AB60,(0.85*'Parametros'!$B$2/'Parametros'!$B$3)*(1-SQRT(1-2*(L60*1000000/('Parametros'!$B$5*H60*AB60^2))/(0.85*'Parametros'!$B$2)))*H60*AB60)</f>
        <v>342.55</v>
      </c>
      <c r="Z60" s="17" t="n">
        <v>2</v>
      </c>
      <c r="AA60" s="18" t="n">
        <v>1</v>
      </c>
      <c r="AB60" s="10">
        <f>IF(AA60=1,I60-('Parametros'!$B$7+'Parametros'!$B$9+'Parametros'!$B$12/2),I60-(ROUNDUP(Z60/2,0)*('Parametros'!$B$7+'Parametros'!$B$9+'Parametros'!$B$12/2)+ROUNDDOWN(Z60/2,0)*('Parametros'!$B$7+'Parametros'!$B$9+'Parametros'!$B$12/2+'Parametros'!$B$12+'Parametros'!$B$10))/Z60)</f>
        <v>342.55</v>
      </c>
      <c r="AC60" s="10">
        <f>Z60*'Parametros'!$B$8</f>
        <v>398</v>
      </c>
      <c r="AD60" s="10">
        <f>'Parametros'!$B$5*AC60*'Parametros'!$B$3*(AB60-(AC60*'Parametros'!$B$3/(0.85*'Parametros'!$B$2*H60))/2)/1000000</f>
        <v>49.7735124352941</v>
      </c>
      <c r="AE60" s="10" t="str">
        <f>IF(AD60&gt;=L60,"CUMPLE","NO CUMPLE")</f>
        <v>CUMPLE</v>
      </c>
      <c r="AF60" s="10">
        <f>V60*1.25*'Parametros'!$B$3*(U60-(V60*1.25*'Parametros'!$B$3/(0.85*'Parametros'!$B$2*H60))/2)/1000000</f>
        <v>68.5183923529412</v>
      </c>
      <c r="AG60" s="10">
        <f>AC60*1.25*'Parametros'!$B$3*(AB60-(AC60*1.25*'Parametros'!$B$3/(0.85*'Parametros'!$B$2*H60))/2)/1000000</f>
        <v>68.5183923529412</v>
      </c>
      <c r="AH60" s="10">
        <f>N60+(AF60+AG60)/D60</f>
        <v>57.2761425882353</v>
      </c>
      <c r="AI60" s="10">
        <f>MIN(O60,MAX(N60,AH60))</f>
        <v>57.2761425882353</v>
      </c>
      <c r="AJ60" s="10">
        <f>0.17*SQRT('Parametros'!$B$2)*H60*MIN(U60,AB60)/1000</f>
        <v>92.4428153837279</v>
      </c>
      <c r="AK60" s="10">
        <f>MAX(AI60/'Parametros'!$B$6-AJ60,0)</f>
        <v>0</v>
      </c>
      <c r="AL60" s="10">
        <f>0.66*SQRT('Parametros'!$B$2)*H60*MIN(U60,AB60)/1000</f>
        <v>358.89563619565</v>
      </c>
      <c r="AM60" s="10" t="str">
        <f>IF(AK60&lt;=AL60,"CUMPLE","NO CUMPLE")</f>
        <v>CUMPLE</v>
      </c>
      <c r="AN60" s="15" t="inlineStr">
        <is>
          <t>Nº3 cerrado</t>
        </is>
      </c>
      <c r="AO60" s="17" t="n">
        <v>2</v>
      </c>
      <c r="AP60" s="10">
        <f>ROUNDDOWN(MIN(IF(AK60=0,1000000000,AO60*'Parametros'!$B$11*'Parametros'!$B$4*MIN(U60,AB60)/(AK60*1000)),IF(AV60=0,1000000000,'Parametros'!$B$11/AV60),MIN(U60,AB60)/4,8*'Parametros'!$B$12,24*'Parametros'!$B$9,300)/10,0)*10</f>
        <v>80</v>
      </c>
      <c r="AQ60" s="10">
        <f>ROUNDDOWN(MIN(IF(AK60=0,1000000000,AO60*'Parametros'!$B$11*'Parametros'!$B$4*MIN(U60,AB60)/(AK60*1000)),IF(AV60=0,1000000000,'Parametros'!$B$11/AV60),MIN(U60,AB60)/2,600)/10,0)*10</f>
        <v>170</v>
      </c>
      <c r="AR60" s="10">
        <f>'Parametros'!$B$6*(AJ60+AO60*'Parametros'!$B$11*'Parametros'!$B$4*MIN(U60,AB60)/AP60/1000)</f>
        <v>260.860380287796</v>
      </c>
      <c r="AS60" s="10" t="str">
        <f>IF(AND(AM60="CUMPLE",AR60&gt;=AI60),"CUMPLE","NO CUMPLE")</f>
        <v>CUMPLE</v>
      </c>
      <c r="AT60" s="10">
        <f>'Parametros'!$B$6*0.083*SQRT('Parametros'!$B$2)*(H60*I60)^2/(2*(H60+I60))/1000000</f>
        <v>3.38807353605471</v>
      </c>
      <c r="AU60" s="10" t="str">
        <f>IF(Q60&lt;=AT60,"DESPRECIABLE","DISEÑAR")</f>
        <v>DESPRECIABLE</v>
      </c>
      <c r="AV60" s="10">
        <f>IF(Q60&lt;=AT60,0,Q60*1000000/('Parametros'!$B$6*2*0.85*(H60-2*'Parametros'!$B$7)*(I60-2*'Parametros'!$B$7)*'Parametros'!$B$4))</f>
        <v>0</v>
      </c>
      <c r="AW60" s="10">
        <f>AV60*2*((H60-2*'Parametros'!$B$7)+(I60-2*'Parametros'!$B$7))*'Parametros'!$B$4/'Parametros'!$B$3</f>
        <v>0</v>
      </c>
      <c r="AX60" s="17" t="n">
        <v>0</v>
      </c>
      <c r="AY60" s="10" t="str">
        <f>IF(AV60=0,"DESPRECIABLE",IF('Parametros'!$B$11/AP60&gt;=AV60,"CUMPLE","NO CUMPLE"))</f>
        <v>DESPRECIABLE</v>
      </c>
      <c r="AZ60" s="10" t="str">
        <f>IF(AND(X60="CUMPLE",AE60="CUMPLE",AS60="CUMPLE",OR(AY60="CUMPLE",AY60="DESPRECIABLE")),IF(OR(F60&lt;&gt;H60,G60&lt;&gt;I60),"CUMPLE - REANALIZAR SAP","CUMPLE"),"NO CUMPLE")</f>
        <v>CUMPLE</v>
      </c>
    </row>
    <row r="61">
      <c r="A61" s="19" t="inlineStr">
        <is>
          <t>VC2</t>
        </is>
      </c>
      <c r="B61" s="19" t="inlineStr">
        <is>
          <t>1376</t>
        </is>
      </c>
      <c r="C61" s="10" t="n">
        <v>1</v>
      </c>
      <c r="D61" s="10" t="n">
        <v>3.75</v>
      </c>
      <c r="E61" s="10" t="n">
        <v>3.75</v>
      </c>
      <c r="F61" s="10" t="n">
        <v>300</v>
      </c>
      <c r="G61" s="10" t="n">
        <v>400</v>
      </c>
      <c r="H61" s="15" t="n">
        <v>300</v>
      </c>
      <c r="I61" s="15" t="n">
        <v>400</v>
      </c>
      <c r="J61" s="16" t="n">
        <v>30.5285</v>
      </c>
      <c r="K61" s="10" t="inlineStr">
        <is>
          <t>1376</t>
        </is>
      </c>
      <c r="L61" s="16" t="n">
        <v>23.4359</v>
      </c>
      <c r="M61" s="10" t="inlineStr">
        <is>
          <t>1376</t>
        </is>
      </c>
      <c r="N61" s="16" t="n">
        <v>20.753</v>
      </c>
      <c r="O61" s="16" t="n">
        <v>65.932</v>
      </c>
      <c r="P61" s="10" t="inlineStr">
        <is>
          <t>1376</t>
        </is>
      </c>
      <c r="Q61" s="16" t="n">
        <v>0.5125</v>
      </c>
      <c r="R61" s="10">
        <f>MAX(MAX(1.4/'Parametros'!$B$3,0.25*SQRT('Parametros'!$B$2)/'Parametros'!$B$3)*H61*U61,(0.85*'Parametros'!$B$2/'Parametros'!$B$3)*(1-SQRT(1-2*(J61*1000000/('Parametros'!$B$5*H61*U61^2))/(0.85*'Parametros'!$B$2)))*H61*U61)</f>
        <v>342.55</v>
      </c>
      <c r="S61" s="17" t="n">
        <v>2</v>
      </c>
      <c r="T61" s="18" t="n">
        <v>1</v>
      </c>
      <c r="U61" s="10">
        <f>IF(T61=1,I61-('Parametros'!$B$7+'Parametros'!$B$9+'Parametros'!$B$12/2),I61-(ROUNDUP(S61/2,0)*('Parametros'!$B$7+'Parametros'!$B$9+'Parametros'!$B$12/2)+ROUNDDOWN(S61/2,0)*('Parametros'!$B$7+'Parametros'!$B$9+'Parametros'!$B$12/2+'Parametros'!$B$12+'Parametros'!$B$10))/S61)</f>
        <v>342.55</v>
      </c>
      <c r="V61" s="10">
        <f>S61*'Parametros'!$B$8</f>
        <v>398</v>
      </c>
      <c r="W61" s="10">
        <f>'Parametros'!$B$5*V61*'Parametros'!$B$3*(U61-(V61*'Parametros'!$B$3/(0.85*'Parametros'!$B$2*H61))/2)/1000000</f>
        <v>49.7735124352941</v>
      </c>
      <c r="X61" s="10" t="str">
        <f>IF(W61&gt;=J61,"CUMPLE","NO CUMPLE")</f>
        <v>CUMPLE</v>
      </c>
      <c r="Y61" s="10">
        <f>MAX(MAX(1.4/'Parametros'!$B$3,0.25*SQRT('Parametros'!$B$2)/'Parametros'!$B$3)*H61*AB61,(0.85*'Parametros'!$B$2/'Parametros'!$B$3)*(1-SQRT(1-2*(L61*1000000/('Parametros'!$B$5*H61*AB61^2))/(0.85*'Parametros'!$B$2)))*H61*AB61)</f>
        <v>342.55</v>
      </c>
      <c r="Z61" s="17" t="n">
        <v>2</v>
      </c>
      <c r="AA61" s="18" t="n">
        <v>1</v>
      </c>
      <c r="AB61" s="10">
        <f>IF(AA61=1,I61-('Parametros'!$B$7+'Parametros'!$B$9+'Parametros'!$B$12/2),I61-(ROUNDUP(Z61/2,0)*('Parametros'!$B$7+'Parametros'!$B$9+'Parametros'!$B$12/2)+ROUNDDOWN(Z61/2,0)*('Parametros'!$B$7+'Parametros'!$B$9+'Parametros'!$B$12/2+'Parametros'!$B$12+'Parametros'!$B$10))/Z61)</f>
        <v>342.55</v>
      </c>
      <c r="AC61" s="10">
        <f>Z61*'Parametros'!$B$8</f>
        <v>398</v>
      </c>
      <c r="AD61" s="10">
        <f>'Parametros'!$B$5*AC61*'Parametros'!$B$3*(AB61-(AC61*'Parametros'!$B$3/(0.85*'Parametros'!$B$2*H61))/2)/1000000</f>
        <v>49.7735124352941</v>
      </c>
      <c r="AE61" s="10" t="str">
        <f>IF(AD61&gt;=L61,"CUMPLE","NO CUMPLE")</f>
        <v>CUMPLE</v>
      </c>
      <c r="AF61" s="10">
        <f>V61*1.25*'Parametros'!$B$3*(U61-(V61*1.25*'Parametros'!$B$3/(0.85*'Parametros'!$B$2*H61))/2)/1000000</f>
        <v>68.5183923529412</v>
      </c>
      <c r="AG61" s="10">
        <f>AC61*1.25*'Parametros'!$B$3*(AB61-(AC61*1.25*'Parametros'!$B$3/(0.85*'Parametros'!$B$2*H61))/2)/1000000</f>
        <v>68.5183923529412</v>
      </c>
      <c r="AH61" s="10">
        <f>N61+(AF61+AG61)/D61</f>
        <v>57.2961425882353</v>
      </c>
      <c r="AI61" s="10">
        <f>MIN(O61,MAX(N61,AH61))</f>
        <v>57.2961425882353</v>
      </c>
      <c r="AJ61" s="10">
        <f>0.17*SQRT('Parametros'!$B$2)*H61*MIN(U61,AB61)/1000</f>
        <v>92.4428153837279</v>
      </c>
      <c r="AK61" s="10">
        <f>MAX(AI61/'Parametros'!$B$6-AJ61,0)</f>
        <v>0</v>
      </c>
      <c r="AL61" s="10">
        <f>0.66*SQRT('Parametros'!$B$2)*H61*MIN(U61,AB61)/1000</f>
        <v>358.89563619565</v>
      </c>
      <c r="AM61" s="10" t="str">
        <f>IF(AK61&lt;=AL61,"CUMPLE","NO CUMPLE")</f>
        <v>CUMPLE</v>
      </c>
      <c r="AN61" s="15" t="inlineStr">
        <is>
          <t>Nº3 cerrado</t>
        </is>
      </c>
      <c r="AO61" s="17" t="n">
        <v>2</v>
      </c>
      <c r="AP61" s="10">
        <f>ROUNDDOWN(MIN(IF(AK61=0,1000000000,AO61*'Parametros'!$B$11*'Parametros'!$B$4*MIN(U61,AB61)/(AK61*1000)),IF(AV61=0,1000000000,'Parametros'!$B$11/AV61),MIN(U61,AB61)/4,8*'Parametros'!$B$12,24*'Parametros'!$B$9,300)/10,0)*10</f>
        <v>80</v>
      </c>
      <c r="AQ61" s="10">
        <f>ROUNDDOWN(MIN(IF(AK61=0,1000000000,AO61*'Parametros'!$B$11*'Parametros'!$B$4*MIN(U61,AB61)/(AK61*1000)),IF(AV61=0,1000000000,'Parametros'!$B$11/AV61),MIN(U61,AB61)/2,600)/10,0)*10</f>
        <v>170</v>
      </c>
      <c r="AR61" s="10">
        <f>'Parametros'!$B$6*(AJ61+AO61*'Parametros'!$B$11*'Parametros'!$B$4*MIN(U61,AB61)/AP61/1000)</f>
        <v>260.860380287796</v>
      </c>
      <c r="AS61" s="10" t="str">
        <f>IF(AND(AM61="CUMPLE",AR61&gt;=AI61),"CUMPLE","NO CUMPLE")</f>
        <v>CUMPLE</v>
      </c>
      <c r="AT61" s="10">
        <f>'Parametros'!$B$6*0.083*SQRT('Parametros'!$B$2)*(H61*I61)^2/(2*(H61+I61))/1000000</f>
        <v>3.38807353605471</v>
      </c>
      <c r="AU61" s="10" t="str">
        <f>IF(Q61&lt;=AT61,"DESPRECIABLE","DISEÑAR")</f>
        <v>DESPRECIABLE</v>
      </c>
      <c r="AV61" s="10">
        <f>IF(Q61&lt;=AT61,0,Q61*1000000/('Parametros'!$B$6*2*0.85*(H61-2*'Parametros'!$B$7)*(I61-2*'Parametros'!$B$7)*'Parametros'!$B$4))</f>
        <v>0</v>
      </c>
      <c r="AW61" s="10">
        <f>AV61*2*((H61-2*'Parametros'!$B$7)+(I61-2*'Parametros'!$B$7))*'Parametros'!$B$4/'Parametros'!$B$3</f>
        <v>0</v>
      </c>
      <c r="AX61" s="17" t="n">
        <v>0</v>
      </c>
      <c r="AY61" s="10" t="str">
        <f>IF(AV61=0,"DESPRECIABLE",IF('Parametros'!$B$11/AP61&gt;=AV61,"CUMPLE","NO CUMPLE"))</f>
        <v>DESPRECIABLE</v>
      </c>
      <c r="AZ61" s="10" t="str">
        <f>IF(AND(X61="CUMPLE",AE61="CUMPLE",AS61="CUMPLE",OR(AY61="CUMPLE",AY61="DESPRECIABLE")),IF(OR(F61&lt;&gt;H61,G61&lt;&gt;I61),"CUMPLE - REANALIZAR SAP","CUMPLE"),"NO CUMPLE")</f>
        <v>CUMPLE</v>
      </c>
    </row>
    <row r="62">
      <c r="A62" s="19" t="inlineStr">
        <is>
          <t>VC2</t>
        </is>
      </c>
      <c r="B62" s="19" t="inlineStr">
        <is>
          <t>1377</t>
        </is>
      </c>
      <c r="C62" s="10" t="n">
        <v>1</v>
      </c>
      <c r="D62" s="10" t="n">
        <v>3.75</v>
      </c>
      <c r="E62" s="10" t="n">
        <v>3.75</v>
      </c>
      <c r="F62" s="10" t="n">
        <v>300</v>
      </c>
      <c r="G62" s="10" t="n">
        <v>400</v>
      </c>
      <c r="H62" s="15" t="n">
        <v>300</v>
      </c>
      <c r="I62" s="15" t="n">
        <v>400</v>
      </c>
      <c r="J62" s="16" t="n">
        <v>30.5258</v>
      </c>
      <c r="K62" s="10" t="inlineStr">
        <is>
          <t>1377</t>
        </is>
      </c>
      <c r="L62" s="16" t="n">
        <v>23.4325</v>
      </c>
      <c r="M62" s="10" t="inlineStr">
        <is>
          <t>1377</t>
        </is>
      </c>
      <c r="N62" s="16" t="n">
        <v>20.751</v>
      </c>
      <c r="O62" s="16" t="n">
        <v>65.938</v>
      </c>
      <c r="P62" s="10" t="inlineStr">
        <is>
          <t>1377</t>
        </is>
      </c>
      <c r="Q62" s="16" t="n">
        <v>0.5125</v>
      </c>
      <c r="R62" s="10">
        <f>MAX(MAX(1.4/'Parametros'!$B$3,0.25*SQRT('Parametros'!$B$2)/'Parametros'!$B$3)*H62*U62,(0.85*'Parametros'!$B$2/'Parametros'!$B$3)*(1-SQRT(1-2*(J62*1000000/('Parametros'!$B$5*H62*U62^2))/(0.85*'Parametros'!$B$2)))*H62*U62)</f>
        <v>342.55</v>
      </c>
      <c r="S62" s="17" t="n">
        <v>2</v>
      </c>
      <c r="T62" s="18" t="n">
        <v>1</v>
      </c>
      <c r="U62" s="10">
        <f>IF(T62=1,I62-('Parametros'!$B$7+'Parametros'!$B$9+'Parametros'!$B$12/2),I62-(ROUNDUP(S62/2,0)*('Parametros'!$B$7+'Parametros'!$B$9+'Parametros'!$B$12/2)+ROUNDDOWN(S62/2,0)*('Parametros'!$B$7+'Parametros'!$B$9+'Parametros'!$B$12/2+'Parametros'!$B$12+'Parametros'!$B$10))/S62)</f>
        <v>342.55</v>
      </c>
      <c r="V62" s="10">
        <f>S62*'Parametros'!$B$8</f>
        <v>398</v>
      </c>
      <c r="W62" s="10">
        <f>'Parametros'!$B$5*V62*'Parametros'!$B$3*(U62-(V62*'Parametros'!$B$3/(0.85*'Parametros'!$B$2*H62))/2)/1000000</f>
        <v>49.7735124352941</v>
      </c>
      <c r="X62" s="10" t="str">
        <f>IF(W62&gt;=J62,"CUMPLE","NO CUMPLE")</f>
        <v>CUMPLE</v>
      </c>
      <c r="Y62" s="10">
        <f>MAX(MAX(1.4/'Parametros'!$B$3,0.25*SQRT('Parametros'!$B$2)/'Parametros'!$B$3)*H62*AB62,(0.85*'Parametros'!$B$2/'Parametros'!$B$3)*(1-SQRT(1-2*(L62*1000000/('Parametros'!$B$5*H62*AB62^2))/(0.85*'Parametros'!$B$2)))*H62*AB62)</f>
        <v>342.55</v>
      </c>
      <c r="Z62" s="17" t="n">
        <v>2</v>
      </c>
      <c r="AA62" s="18" t="n">
        <v>1</v>
      </c>
      <c r="AB62" s="10">
        <f>IF(AA62=1,I62-('Parametros'!$B$7+'Parametros'!$B$9+'Parametros'!$B$12/2),I62-(ROUNDUP(Z62/2,0)*('Parametros'!$B$7+'Parametros'!$B$9+'Parametros'!$B$12/2)+ROUNDDOWN(Z62/2,0)*('Parametros'!$B$7+'Parametros'!$B$9+'Parametros'!$B$12/2+'Parametros'!$B$12+'Parametros'!$B$10))/Z62)</f>
        <v>342.55</v>
      </c>
      <c r="AC62" s="10">
        <f>Z62*'Parametros'!$B$8</f>
        <v>398</v>
      </c>
      <c r="AD62" s="10">
        <f>'Parametros'!$B$5*AC62*'Parametros'!$B$3*(AB62-(AC62*'Parametros'!$B$3/(0.85*'Parametros'!$B$2*H62))/2)/1000000</f>
        <v>49.7735124352941</v>
      </c>
      <c r="AE62" s="10" t="str">
        <f>IF(AD62&gt;=L62,"CUMPLE","NO CUMPLE")</f>
        <v>CUMPLE</v>
      </c>
      <c r="AF62" s="10">
        <f>V62*1.25*'Parametros'!$B$3*(U62-(V62*1.25*'Parametros'!$B$3/(0.85*'Parametros'!$B$2*H62))/2)/1000000</f>
        <v>68.5183923529412</v>
      </c>
      <c r="AG62" s="10">
        <f>AC62*1.25*'Parametros'!$B$3*(AB62-(AC62*1.25*'Parametros'!$B$3/(0.85*'Parametros'!$B$2*H62))/2)/1000000</f>
        <v>68.5183923529412</v>
      </c>
      <c r="AH62" s="10">
        <f>N62+(AF62+AG62)/D62</f>
        <v>57.2941425882353</v>
      </c>
      <c r="AI62" s="10">
        <f>MIN(O62,MAX(N62,AH62))</f>
        <v>57.2941425882353</v>
      </c>
      <c r="AJ62" s="10">
        <f>0.17*SQRT('Parametros'!$B$2)*H62*MIN(U62,AB62)/1000</f>
        <v>92.4428153837279</v>
      </c>
      <c r="AK62" s="10">
        <f>MAX(AI62/'Parametros'!$B$6-AJ62,0)</f>
        <v>0</v>
      </c>
      <c r="AL62" s="10">
        <f>0.66*SQRT('Parametros'!$B$2)*H62*MIN(U62,AB62)/1000</f>
        <v>358.89563619565</v>
      </c>
      <c r="AM62" s="10" t="str">
        <f>IF(AK62&lt;=AL62,"CUMPLE","NO CUMPLE")</f>
        <v>CUMPLE</v>
      </c>
      <c r="AN62" s="15" t="inlineStr">
        <is>
          <t>Nº3 cerrado</t>
        </is>
      </c>
      <c r="AO62" s="17" t="n">
        <v>2</v>
      </c>
      <c r="AP62" s="10">
        <f>ROUNDDOWN(MIN(IF(AK62=0,1000000000,AO62*'Parametros'!$B$11*'Parametros'!$B$4*MIN(U62,AB62)/(AK62*1000)),IF(AV62=0,1000000000,'Parametros'!$B$11/AV62),MIN(U62,AB62)/4,8*'Parametros'!$B$12,24*'Parametros'!$B$9,300)/10,0)*10</f>
        <v>80</v>
      </c>
      <c r="AQ62" s="10">
        <f>ROUNDDOWN(MIN(IF(AK62=0,1000000000,AO62*'Parametros'!$B$11*'Parametros'!$B$4*MIN(U62,AB62)/(AK62*1000)),IF(AV62=0,1000000000,'Parametros'!$B$11/AV62),MIN(U62,AB62)/2,600)/10,0)*10</f>
        <v>170</v>
      </c>
      <c r="AR62" s="10">
        <f>'Parametros'!$B$6*(AJ62+AO62*'Parametros'!$B$11*'Parametros'!$B$4*MIN(U62,AB62)/AP62/1000)</f>
        <v>260.860380287796</v>
      </c>
      <c r="AS62" s="10" t="str">
        <f>IF(AND(AM62="CUMPLE",AR62&gt;=AI62),"CUMPLE","NO CUMPLE")</f>
        <v>CUMPLE</v>
      </c>
      <c r="AT62" s="10">
        <f>'Parametros'!$B$6*0.083*SQRT('Parametros'!$B$2)*(H62*I62)^2/(2*(H62+I62))/1000000</f>
        <v>3.38807353605471</v>
      </c>
      <c r="AU62" s="10" t="str">
        <f>IF(Q62&lt;=AT62,"DESPRECIABLE","DISEÑAR")</f>
        <v>DESPRECIABLE</v>
      </c>
      <c r="AV62" s="10">
        <f>IF(Q62&lt;=AT62,0,Q62*1000000/('Parametros'!$B$6*2*0.85*(H62-2*'Parametros'!$B$7)*(I62-2*'Parametros'!$B$7)*'Parametros'!$B$4))</f>
        <v>0</v>
      </c>
      <c r="AW62" s="10">
        <f>AV62*2*((H62-2*'Parametros'!$B$7)+(I62-2*'Parametros'!$B$7))*'Parametros'!$B$4/'Parametros'!$B$3</f>
        <v>0</v>
      </c>
      <c r="AX62" s="17" t="n">
        <v>0</v>
      </c>
      <c r="AY62" s="10" t="str">
        <f>IF(AV62=0,"DESPRECIABLE",IF('Parametros'!$B$11/AP62&gt;=AV62,"CUMPLE","NO CUMPLE"))</f>
        <v>DESPRECIABLE</v>
      </c>
      <c r="AZ62" s="10" t="str">
        <f>IF(AND(X62="CUMPLE",AE62="CUMPLE",AS62="CUMPLE",OR(AY62="CUMPLE",AY62="DESPRECIABLE")),IF(OR(F62&lt;&gt;H62,G62&lt;&gt;I62),"CUMPLE - REANALIZAR SAP","CUMPLE"),"NO CUMPLE")</f>
        <v>CUMPLE</v>
      </c>
    </row>
    <row r="63">
      <c r="A63" s="19" t="inlineStr">
        <is>
          <t>VC2</t>
        </is>
      </c>
      <c r="B63" s="19" t="inlineStr">
        <is>
          <t>1378</t>
        </is>
      </c>
      <c r="C63" s="10" t="n">
        <v>1</v>
      </c>
      <c r="D63" s="10" t="n">
        <v>3.75</v>
      </c>
      <c r="E63" s="10" t="n">
        <v>3.75</v>
      </c>
      <c r="F63" s="10" t="n">
        <v>300</v>
      </c>
      <c r="G63" s="10" t="n">
        <v>400</v>
      </c>
      <c r="H63" s="15" t="n">
        <v>300</v>
      </c>
      <c r="I63" s="15" t="n">
        <v>400</v>
      </c>
      <c r="J63" s="16" t="n">
        <v>30.5008</v>
      </c>
      <c r="K63" s="10" t="inlineStr">
        <is>
          <t>1378</t>
        </is>
      </c>
      <c r="L63" s="16" t="n">
        <v>23.4068</v>
      </c>
      <c r="M63" s="10" t="inlineStr">
        <is>
          <t>1378</t>
        </is>
      </c>
      <c r="N63" s="16" t="n">
        <v>20.737</v>
      </c>
      <c r="O63" s="16" t="n">
        <v>65.925</v>
      </c>
      <c r="P63" s="10" t="inlineStr">
        <is>
          <t>1378</t>
        </is>
      </c>
      <c r="Q63" s="16" t="n">
        <v>0.5119</v>
      </c>
      <c r="R63" s="10">
        <f>MAX(MAX(1.4/'Parametros'!$B$3,0.25*SQRT('Parametros'!$B$2)/'Parametros'!$B$3)*H63*U63,(0.85*'Parametros'!$B$2/'Parametros'!$B$3)*(1-SQRT(1-2*(J63*1000000/('Parametros'!$B$5*H63*U63^2))/(0.85*'Parametros'!$B$2)))*H63*U63)</f>
        <v>342.55</v>
      </c>
      <c r="S63" s="17" t="n">
        <v>2</v>
      </c>
      <c r="T63" s="18" t="n">
        <v>1</v>
      </c>
      <c r="U63" s="10">
        <f>IF(T63=1,I63-('Parametros'!$B$7+'Parametros'!$B$9+'Parametros'!$B$12/2),I63-(ROUNDUP(S63/2,0)*('Parametros'!$B$7+'Parametros'!$B$9+'Parametros'!$B$12/2)+ROUNDDOWN(S63/2,0)*('Parametros'!$B$7+'Parametros'!$B$9+'Parametros'!$B$12/2+'Parametros'!$B$12+'Parametros'!$B$10))/S63)</f>
        <v>342.55</v>
      </c>
      <c r="V63" s="10">
        <f>S63*'Parametros'!$B$8</f>
        <v>398</v>
      </c>
      <c r="W63" s="10">
        <f>'Parametros'!$B$5*V63*'Parametros'!$B$3*(U63-(V63*'Parametros'!$B$3/(0.85*'Parametros'!$B$2*H63))/2)/1000000</f>
        <v>49.7735124352941</v>
      </c>
      <c r="X63" s="10" t="str">
        <f>IF(W63&gt;=J63,"CUMPLE","NO CUMPLE")</f>
        <v>CUMPLE</v>
      </c>
      <c r="Y63" s="10">
        <f>MAX(MAX(1.4/'Parametros'!$B$3,0.25*SQRT('Parametros'!$B$2)/'Parametros'!$B$3)*H63*AB63,(0.85*'Parametros'!$B$2/'Parametros'!$B$3)*(1-SQRT(1-2*(L63*1000000/('Parametros'!$B$5*H63*AB63^2))/(0.85*'Parametros'!$B$2)))*H63*AB63)</f>
        <v>342.55</v>
      </c>
      <c r="Z63" s="17" t="n">
        <v>2</v>
      </c>
      <c r="AA63" s="18" t="n">
        <v>1</v>
      </c>
      <c r="AB63" s="10">
        <f>IF(AA63=1,I63-('Parametros'!$B$7+'Parametros'!$B$9+'Parametros'!$B$12/2),I63-(ROUNDUP(Z63/2,0)*('Parametros'!$B$7+'Parametros'!$B$9+'Parametros'!$B$12/2)+ROUNDDOWN(Z63/2,0)*('Parametros'!$B$7+'Parametros'!$B$9+'Parametros'!$B$12/2+'Parametros'!$B$12+'Parametros'!$B$10))/Z63)</f>
        <v>342.55</v>
      </c>
      <c r="AC63" s="10">
        <f>Z63*'Parametros'!$B$8</f>
        <v>398</v>
      </c>
      <c r="AD63" s="10">
        <f>'Parametros'!$B$5*AC63*'Parametros'!$B$3*(AB63-(AC63*'Parametros'!$B$3/(0.85*'Parametros'!$B$2*H63))/2)/1000000</f>
        <v>49.7735124352941</v>
      </c>
      <c r="AE63" s="10" t="str">
        <f>IF(AD63&gt;=L63,"CUMPLE","NO CUMPLE")</f>
        <v>CUMPLE</v>
      </c>
      <c r="AF63" s="10">
        <f>V63*1.25*'Parametros'!$B$3*(U63-(V63*1.25*'Parametros'!$B$3/(0.85*'Parametros'!$B$2*H63))/2)/1000000</f>
        <v>68.5183923529412</v>
      </c>
      <c r="AG63" s="10">
        <f>AC63*1.25*'Parametros'!$B$3*(AB63-(AC63*1.25*'Parametros'!$B$3/(0.85*'Parametros'!$B$2*H63))/2)/1000000</f>
        <v>68.5183923529412</v>
      </c>
      <c r="AH63" s="10">
        <f>N63+(AF63+AG63)/D63</f>
        <v>57.2801425882353</v>
      </c>
      <c r="AI63" s="10">
        <f>MIN(O63,MAX(N63,AH63))</f>
        <v>57.2801425882353</v>
      </c>
      <c r="AJ63" s="10">
        <f>0.17*SQRT('Parametros'!$B$2)*H63*MIN(U63,AB63)/1000</f>
        <v>92.4428153837279</v>
      </c>
      <c r="AK63" s="10">
        <f>MAX(AI63/'Parametros'!$B$6-AJ63,0)</f>
        <v>0</v>
      </c>
      <c r="AL63" s="10">
        <f>0.66*SQRT('Parametros'!$B$2)*H63*MIN(U63,AB63)/1000</f>
        <v>358.89563619565</v>
      </c>
      <c r="AM63" s="10" t="str">
        <f>IF(AK63&lt;=AL63,"CUMPLE","NO CUMPLE")</f>
        <v>CUMPLE</v>
      </c>
      <c r="AN63" s="15" t="inlineStr">
        <is>
          <t>Nº3 cerrado</t>
        </is>
      </c>
      <c r="AO63" s="17" t="n">
        <v>2</v>
      </c>
      <c r="AP63" s="10">
        <f>ROUNDDOWN(MIN(IF(AK63=0,1000000000,AO63*'Parametros'!$B$11*'Parametros'!$B$4*MIN(U63,AB63)/(AK63*1000)),IF(AV63=0,1000000000,'Parametros'!$B$11/AV63),MIN(U63,AB63)/4,8*'Parametros'!$B$12,24*'Parametros'!$B$9,300)/10,0)*10</f>
        <v>80</v>
      </c>
      <c r="AQ63" s="10">
        <f>ROUNDDOWN(MIN(IF(AK63=0,1000000000,AO63*'Parametros'!$B$11*'Parametros'!$B$4*MIN(U63,AB63)/(AK63*1000)),IF(AV63=0,1000000000,'Parametros'!$B$11/AV63),MIN(U63,AB63)/2,600)/10,0)*10</f>
        <v>170</v>
      </c>
      <c r="AR63" s="10">
        <f>'Parametros'!$B$6*(AJ63+AO63*'Parametros'!$B$11*'Parametros'!$B$4*MIN(U63,AB63)/AP63/1000)</f>
        <v>260.860380287796</v>
      </c>
      <c r="AS63" s="10" t="str">
        <f>IF(AND(AM63="CUMPLE",AR63&gt;=AI63),"CUMPLE","NO CUMPLE")</f>
        <v>CUMPLE</v>
      </c>
      <c r="AT63" s="10">
        <f>'Parametros'!$B$6*0.083*SQRT('Parametros'!$B$2)*(H63*I63)^2/(2*(H63+I63))/1000000</f>
        <v>3.38807353605471</v>
      </c>
      <c r="AU63" s="10" t="str">
        <f>IF(Q63&lt;=AT63,"DESPRECIABLE","DISEÑAR")</f>
        <v>DESPRECIABLE</v>
      </c>
      <c r="AV63" s="10">
        <f>IF(Q63&lt;=AT63,0,Q63*1000000/('Parametros'!$B$6*2*0.85*(H63-2*'Parametros'!$B$7)*(I63-2*'Parametros'!$B$7)*'Parametros'!$B$4))</f>
        <v>0</v>
      </c>
      <c r="AW63" s="10">
        <f>AV63*2*((H63-2*'Parametros'!$B$7)+(I63-2*'Parametros'!$B$7))*'Parametros'!$B$4/'Parametros'!$B$3</f>
        <v>0</v>
      </c>
      <c r="AX63" s="17" t="n">
        <v>0</v>
      </c>
      <c r="AY63" s="10" t="str">
        <f>IF(AV63=0,"DESPRECIABLE",IF('Parametros'!$B$11/AP63&gt;=AV63,"CUMPLE","NO CUMPLE"))</f>
        <v>DESPRECIABLE</v>
      </c>
      <c r="AZ63" s="10" t="str">
        <f>IF(AND(X63="CUMPLE",AE63="CUMPLE",AS63="CUMPLE",OR(AY63="CUMPLE",AY63="DESPRECIABLE")),IF(OR(F63&lt;&gt;H63,G63&lt;&gt;I63),"CUMPLE - REANALIZAR SAP","CUMPLE"),"NO CUMPLE")</f>
        <v>CUMPLE</v>
      </c>
    </row>
    <row r="64">
      <c r="A64" s="15" t="inlineStr">
        <is>
          <t>VC3</t>
        </is>
      </c>
      <c r="B64" s="15" t="inlineStr">
        <is>
          <t>57</t>
        </is>
      </c>
      <c r="C64" s="10" t="n">
        <v>1</v>
      </c>
      <c r="D64" s="10" t="n">
        <v>4</v>
      </c>
      <c r="E64" s="10" t="n">
        <v>4</v>
      </c>
      <c r="F64" s="10" t="n">
        <v>300</v>
      </c>
      <c r="G64" s="10" t="n">
        <v>400</v>
      </c>
      <c r="H64" s="15" t="n">
        <v>300</v>
      </c>
      <c r="I64" s="15" t="n">
        <v>400</v>
      </c>
      <c r="J64" s="16" t="n">
        <v>80.313</v>
      </c>
      <c r="K64" s="10" t="inlineStr">
        <is>
          <t>57</t>
        </is>
      </c>
      <c r="L64" s="16" t="n">
        <v>71.1992</v>
      </c>
      <c r="M64" s="10" t="inlineStr">
        <is>
          <t>57</t>
        </is>
      </c>
      <c r="N64" s="16" t="n">
        <v>43.542</v>
      </c>
      <c r="O64" s="16" t="n">
        <v>190.27</v>
      </c>
      <c r="P64" s="10" t="inlineStr">
        <is>
          <t>57</t>
        </is>
      </c>
      <c r="Q64" s="16" t="n">
        <v>0.9029</v>
      </c>
      <c r="R64" s="10">
        <f>MAX(MAX(1.4/'Parametros'!$B$3,0.25*SQRT('Parametros'!$B$2)/'Parametros'!$B$3)*H64*U64,(0.85*'Parametros'!$B$2/'Parametros'!$B$3)*(1-SQRT(1-2*(J64*1000000/('Parametros'!$B$5*H64*U64^2))/(0.85*'Parametros'!$B$2)))*H64*U64)</f>
        <v>657.356911775881</v>
      </c>
      <c r="S64" s="17" t="n">
        <v>4</v>
      </c>
      <c r="T64" s="18" t="n">
        <v>1</v>
      </c>
      <c r="U64" s="10">
        <f>IF(T64=1,I64-('Parametros'!$B$7+'Parametros'!$B$9+'Parametros'!$B$12/2),I64-(ROUNDUP(S64/2,0)*('Parametros'!$B$7+'Parametros'!$B$9+'Parametros'!$B$12/2)+ROUNDDOWN(S64/2,0)*('Parametros'!$B$7+'Parametros'!$B$9+'Parametros'!$B$12/2+'Parametros'!$B$12+'Parametros'!$B$10))/S64)</f>
        <v>342.55</v>
      </c>
      <c r="V64" s="10">
        <f>S64*'Parametros'!$B$8</f>
        <v>796</v>
      </c>
      <c r="W64" s="10">
        <f>'Parametros'!$B$5*V64*'Parametros'!$B$3*(U64-(V64*'Parametros'!$B$3/(0.85*'Parametros'!$B$2*H64))/2)/1000000</f>
        <v>96.0248653411765</v>
      </c>
      <c r="X64" s="10" t="str">
        <f>IF(W64&gt;=J64,"CUMPLE","NO CUMPLE")</f>
        <v>CUMPLE</v>
      </c>
      <c r="Y64" s="10">
        <f>MAX(MAX(1.4/'Parametros'!$B$3,0.25*SQRT('Parametros'!$B$2)/'Parametros'!$B$3)*H64*AB64,(0.85*'Parametros'!$B$2/'Parametros'!$B$3)*(1-SQRT(1-2*(L64*1000000/('Parametros'!$B$5*H64*AB64^2))/(0.85*'Parametros'!$B$2)))*H64*AB64)</f>
        <v>578.615080488896</v>
      </c>
      <c r="Z64" s="17" t="n">
        <v>3</v>
      </c>
      <c r="AA64" s="18" t="n">
        <v>1</v>
      </c>
      <c r="AB64" s="10">
        <f>IF(AA64=1,I64-('Parametros'!$B$7+'Parametros'!$B$9+'Parametros'!$B$12/2),I64-(ROUNDUP(Z64/2,0)*('Parametros'!$B$7+'Parametros'!$B$9+'Parametros'!$B$12/2)+ROUNDDOWN(Z64/2,0)*('Parametros'!$B$7+'Parametros'!$B$9+'Parametros'!$B$12/2+'Parametros'!$B$12+'Parametros'!$B$10))/Z64)</f>
        <v>342.55</v>
      </c>
      <c r="AC64" s="10">
        <f>Z64*'Parametros'!$B$8</f>
        <v>597</v>
      </c>
      <c r="AD64" s="10">
        <f>'Parametros'!$B$5*AC64*'Parametros'!$B$3*(AB64-(AC64*'Parametros'!$B$3/(0.85*'Parametros'!$B$2*H64))/2)/1000000</f>
        <v>73.3394588294118</v>
      </c>
      <c r="AE64" s="10" t="str">
        <f>IF(AD64&gt;=L64,"CUMPLE","NO CUMPLE")</f>
        <v>CUMPLE</v>
      </c>
      <c r="AF64" s="10">
        <f>V64*1.25*'Parametros'!$B$3*(U64-(V64*1.25*'Parametros'!$B$3/(0.85*'Parametros'!$B$2*H64))/2)/1000000</f>
        <v>130.921924411765</v>
      </c>
      <c r="AG64" s="10">
        <f>AC64*1.25*'Parametros'!$B$3*(AB64-(AC64*1.25*'Parametros'!$B$3/(0.85*'Parametros'!$B$2*H64))/2)/1000000</f>
        <v>100.484515919118</v>
      </c>
      <c r="AH64" s="10">
        <f>N64+(AF64+AG64)/D64</f>
        <v>101.393610082721</v>
      </c>
      <c r="AI64" s="10">
        <f>MIN(O64,MAX(N64,AH64))</f>
        <v>101.393610082721</v>
      </c>
      <c r="AJ64" s="10">
        <f>0.17*SQRT('Parametros'!$B$2)*H64*MIN(U64,AB64)/1000</f>
        <v>92.4428153837279</v>
      </c>
      <c r="AK64" s="10">
        <f>MAX(AI64/'Parametros'!$B$6-AJ64,0)</f>
        <v>42.7486647265662</v>
      </c>
      <c r="AL64" s="10">
        <f>0.66*SQRT('Parametros'!$B$2)*H64*MIN(U64,AB64)/1000</f>
        <v>358.89563619565</v>
      </c>
      <c r="AM64" s="10" t="str">
        <f>IF(AK64&lt;=AL64,"CUMPLE","NO CUMPLE")</f>
        <v>CUMPLE</v>
      </c>
      <c r="AN64" s="15" t="inlineStr">
        <is>
          <t>Nº3 cerrado</t>
        </is>
      </c>
      <c r="AO64" s="17" t="n">
        <v>2</v>
      </c>
      <c r="AP64" s="10">
        <f>ROUNDDOWN(MIN(IF(AK64=0,1000000000,AO64*'Parametros'!$B$11*'Parametros'!$B$4*MIN(U64,AB64)/(AK64*1000)),IF(AV64=0,1000000000,'Parametros'!$B$11/AV64),MIN(U64,AB64)/4,8*'Parametros'!$B$12,24*'Parametros'!$B$9,300)/10,0)*10</f>
        <v>80</v>
      </c>
      <c r="AQ64" s="10">
        <f>ROUNDDOWN(MIN(IF(AK64=0,1000000000,AO64*'Parametros'!$B$11*'Parametros'!$B$4*MIN(U64,AB64)/(AK64*1000)),IF(AV64=0,1000000000,'Parametros'!$B$11/AV64),MIN(U64,AB64)/2,600)/10,0)*10</f>
        <v>170</v>
      </c>
      <c r="AR64" s="10">
        <f>'Parametros'!$B$6*(AJ64+AO64*'Parametros'!$B$11*'Parametros'!$B$4*MIN(U64,AB64)/AP64/1000)</f>
        <v>260.860380287796</v>
      </c>
      <c r="AS64" s="10" t="str">
        <f>IF(AND(AM64="CUMPLE",AR64&gt;=AI64),"CUMPLE","NO CUMPLE")</f>
        <v>CUMPLE</v>
      </c>
      <c r="AT64" s="10">
        <f>'Parametros'!$B$6*0.083*SQRT('Parametros'!$B$2)*(H64*I64)^2/(2*(H64+I64))/1000000</f>
        <v>3.38807353605471</v>
      </c>
      <c r="AU64" s="10" t="str">
        <f>IF(Q64&lt;=AT64,"DESPRECIABLE","DISEÑAR")</f>
        <v>DESPRECIABLE</v>
      </c>
      <c r="AV64" s="10">
        <f>IF(Q64&lt;=AT64,0,Q64*1000000/('Parametros'!$B$6*2*0.85*(H64-2*'Parametros'!$B$7)*(I64-2*'Parametros'!$B$7)*'Parametros'!$B$4))</f>
        <v>0</v>
      </c>
      <c r="AW64" s="10">
        <f>AV64*2*((H64-2*'Parametros'!$B$7)+(I64-2*'Parametros'!$B$7))*'Parametros'!$B$4/'Parametros'!$B$3</f>
        <v>0</v>
      </c>
      <c r="AX64" s="17" t="n">
        <v>0</v>
      </c>
      <c r="AY64" s="10" t="str">
        <f>IF(AV64=0,"DESPRECIABLE",IF('Parametros'!$B$11/AP64&gt;=AV64,"CUMPLE","NO CUMPLE"))</f>
        <v>DESPRECIABLE</v>
      </c>
      <c r="AZ64" s="10" t="str">
        <f>IF(AND(X64="CUMPLE",AE64="CUMPLE",AS64="CUMPLE",OR(AY64="CUMPLE",AY64="DESPRECIABLE")),IF(OR(F64&lt;&gt;H64,G64&lt;&gt;I64),"CUMPLE - REANALIZAR SAP","CUMPLE"),"NO CUMPLE")</f>
        <v>CUMPLE</v>
      </c>
    </row>
    <row r="65">
      <c r="A65" s="15" t="inlineStr">
        <is>
          <t>VC3</t>
        </is>
      </c>
      <c r="B65" s="15" t="inlineStr">
        <is>
          <t>58</t>
        </is>
      </c>
      <c r="C65" s="10" t="n">
        <v>1</v>
      </c>
      <c r="D65" s="10" t="n">
        <v>3.81477</v>
      </c>
      <c r="E65" s="10" t="n">
        <v>3.81477</v>
      </c>
      <c r="F65" s="10" t="n">
        <v>300</v>
      </c>
      <c r="G65" s="10" t="n">
        <v>400</v>
      </c>
      <c r="H65" s="15" t="n">
        <v>300</v>
      </c>
      <c r="I65" s="15" t="n">
        <v>400</v>
      </c>
      <c r="J65" s="16" t="n">
        <v>81.5808</v>
      </c>
      <c r="K65" s="10" t="inlineStr">
        <is>
          <t>58</t>
        </is>
      </c>
      <c r="L65" s="16" t="n">
        <v>60.6714</v>
      </c>
      <c r="M65" s="10" t="inlineStr">
        <is>
          <t>58</t>
        </is>
      </c>
      <c r="N65" s="16" t="n">
        <v>46.998</v>
      </c>
      <c r="O65" s="16" t="n">
        <v>180.821</v>
      </c>
      <c r="P65" s="10" t="inlineStr">
        <is>
          <t>58</t>
        </is>
      </c>
      <c r="Q65" s="16" t="n">
        <v>5.1417</v>
      </c>
      <c r="R65" s="10">
        <f>MAX(MAX(1.4/'Parametros'!$B$3,0.25*SQRT('Parametros'!$B$2)/'Parametros'!$B$3)*H65*U65,(0.85*'Parametros'!$B$2/'Parametros'!$B$3)*(1-SQRT(1-2*(J65*1000000/('Parametros'!$B$5*H65*U65^2))/(0.85*'Parametros'!$B$2)))*H65*U65)</f>
        <v>668.405803702193</v>
      </c>
      <c r="S65" s="17" t="n">
        <v>4</v>
      </c>
      <c r="T65" s="18" t="n">
        <v>1</v>
      </c>
      <c r="U65" s="10">
        <f>IF(T65=1,I65-('Parametros'!$B$7+'Parametros'!$B$9+'Parametros'!$B$12/2),I65-(ROUNDUP(S65/2,0)*('Parametros'!$B$7+'Parametros'!$B$9+'Parametros'!$B$12/2)+ROUNDDOWN(S65/2,0)*('Parametros'!$B$7+'Parametros'!$B$9+'Parametros'!$B$12/2+'Parametros'!$B$12+'Parametros'!$B$10))/S65)</f>
        <v>342.55</v>
      </c>
      <c r="V65" s="10">
        <f>S65*'Parametros'!$B$8</f>
        <v>796</v>
      </c>
      <c r="W65" s="10">
        <f>'Parametros'!$B$5*V65*'Parametros'!$B$3*(U65-(V65*'Parametros'!$B$3/(0.85*'Parametros'!$B$2*H65))/2)/1000000</f>
        <v>96.0248653411765</v>
      </c>
      <c r="X65" s="10" t="str">
        <f>IF(W65&gt;=J65,"CUMPLE","NO CUMPLE")</f>
        <v>CUMPLE</v>
      </c>
      <c r="Y65" s="10">
        <f>MAX(MAX(1.4/'Parametros'!$B$3,0.25*SQRT('Parametros'!$B$2)/'Parametros'!$B$3)*H65*AB65,(0.85*'Parametros'!$B$2/'Parametros'!$B$3)*(1-SQRT(1-2*(L65*1000000/('Parametros'!$B$5*H65*AB65^2))/(0.85*'Parametros'!$B$2)))*H65*AB65)</f>
        <v>489.103160053041</v>
      </c>
      <c r="Z65" s="17" t="n">
        <v>3</v>
      </c>
      <c r="AA65" s="18" t="n">
        <v>1</v>
      </c>
      <c r="AB65" s="10">
        <f>IF(AA65=1,I65-('Parametros'!$B$7+'Parametros'!$B$9+'Parametros'!$B$12/2),I65-(ROUNDUP(Z65/2,0)*('Parametros'!$B$7+'Parametros'!$B$9+'Parametros'!$B$12/2)+ROUNDDOWN(Z65/2,0)*('Parametros'!$B$7+'Parametros'!$B$9+'Parametros'!$B$12/2+'Parametros'!$B$12+'Parametros'!$B$10))/Z65)</f>
        <v>342.55</v>
      </c>
      <c r="AC65" s="10">
        <f>Z65*'Parametros'!$B$8</f>
        <v>597</v>
      </c>
      <c r="AD65" s="10">
        <f>'Parametros'!$B$5*AC65*'Parametros'!$B$3*(AB65-(AC65*'Parametros'!$B$3/(0.85*'Parametros'!$B$2*H65))/2)/1000000</f>
        <v>73.3394588294118</v>
      </c>
      <c r="AE65" s="10" t="str">
        <f>IF(AD65&gt;=L65,"CUMPLE","NO CUMPLE")</f>
        <v>CUMPLE</v>
      </c>
      <c r="AF65" s="10">
        <f>V65*1.25*'Parametros'!$B$3*(U65-(V65*1.25*'Parametros'!$B$3/(0.85*'Parametros'!$B$2*H65))/2)/1000000</f>
        <v>130.921924411765</v>
      </c>
      <c r="AG65" s="10">
        <f>AC65*1.25*'Parametros'!$B$3*(AB65-(AC65*1.25*'Parametros'!$B$3/(0.85*'Parametros'!$B$2*H65))/2)/1000000</f>
        <v>100.484515919118</v>
      </c>
      <c r="AH65" s="10">
        <f>N65+(AF65+AG65)/D65</f>
        <v>107.658653284702</v>
      </c>
      <c r="AI65" s="10">
        <f>MIN(O65,MAX(N65,AH65))</f>
        <v>107.658653284702</v>
      </c>
      <c r="AJ65" s="10">
        <f>0.17*SQRT('Parametros'!$B$2)*H65*MIN(U65,AB65)/1000</f>
        <v>92.4428153837279</v>
      </c>
      <c r="AK65" s="10">
        <f>MAX(AI65/'Parametros'!$B$6-AJ65,0)</f>
        <v>51.1020556625413</v>
      </c>
      <c r="AL65" s="10">
        <f>0.66*SQRT('Parametros'!$B$2)*H65*MIN(U65,AB65)/1000</f>
        <v>358.89563619565</v>
      </c>
      <c r="AM65" s="10" t="str">
        <f>IF(AK65&lt;=AL65,"CUMPLE","NO CUMPLE")</f>
        <v>CUMPLE</v>
      </c>
      <c r="AN65" s="15" t="inlineStr">
        <is>
          <t>Nº3 cerrado</t>
        </is>
      </c>
      <c r="AO65" s="17" t="n">
        <v>2</v>
      </c>
      <c r="AP65" s="10">
        <f>ROUNDDOWN(MIN(IF(AK65=0,1000000000,AO65*'Parametros'!$B$11*'Parametros'!$B$4*MIN(U65,AB65)/(AK65*1000)),IF(AV65=0,1000000000,'Parametros'!$B$11/AV65),MIN(U65,AB65)/4,8*'Parametros'!$B$12,24*'Parametros'!$B$9,300)/10,0)*10</f>
        <v>80</v>
      </c>
      <c r="AQ65" s="10">
        <f>ROUNDDOWN(MIN(IF(AK65=0,1000000000,AO65*'Parametros'!$B$11*'Parametros'!$B$4*MIN(U65,AB65)/(AK65*1000)),IF(AV65=0,1000000000,'Parametros'!$B$11/AV65),MIN(U65,AB65)/2,600)/10,0)*10</f>
        <v>170</v>
      </c>
      <c r="AR65" s="10">
        <f>'Parametros'!$B$6*(AJ65+AO65*'Parametros'!$B$11*'Parametros'!$B$4*MIN(U65,AB65)/AP65/1000)</f>
        <v>260.860380287796</v>
      </c>
      <c r="AS65" s="10" t="str">
        <f>IF(AND(AM65="CUMPLE",AR65&gt;=AI65),"CUMPLE","NO CUMPLE")</f>
        <v>CUMPLE</v>
      </c>
      <c r="AT65" s="10">
        <f>'Parametros'!$B$6*0.083*SQRT('Parametros'!$B$2)*(H65*I65)^2/(2*(H65+I65))/1000000</f>
        <v>3.38807353605471</v>
      </c>
      <c r="AU65" s="10" t="str">
        <f>IF(Q65&lt;=AT65,"DESPRECIABLE","DISEÑAR")</f>
        <v>DISEÑAR</v>
      </c>
      <c r="AV65" s="10">
        <f>IF(Q65&lt;=AT65,0,Q65*1000000/('Parametros'!$B$6*2*0.85*(H65-2*'Parametros'!$B$7)*(I65-2*'Parametros'!$B$7)*'Parametros'!$B$4))</f>
        <v>0.136387509549274</v>
      </c>
      <c r="AW65" s="10">
        <f>AV65*2*((H65-2*'Parametros'!$B$7)+(I65-2*'Parametros'!$B$7))*'Parametros'!$B$4/'Parametros'!$B$3</f>
        <v>147.298510313216</v>
      </c>
      <c r="AX65" s="17" t="n">
        <v>1</v>
      </c>
      <c r="AY65" s="10" t="str">
        <f>IF(AV65=0,"DESPRECIABLE",IF('Parametros'!$B$11/AP65&gt;=AV65,"CUMPLE","NO CUMPLE"))</f>
        <v>CUMPLE</v>
      </c>
      <c r="AZ65" s="10" t="str">
        <f>IF(AND(X65="CUMPLE",AE65="CUMPLE",AS65="CUMPLE",OR(AY65="CUMPLE",AY65="DESPRECIABLE")),IF(OR(F65&lt;&gt;H65,G65&lt;&gt;I65),"CUMPLE - REANALIZAR SAP","CUMPLE"),"NO CUMPLE")</f>
        <v>CUMPLE</v>
      </c>
    </row>
    <row r="66">
      <c r="A66" s="15" t="inlineStr">
        <is>
          <t>VC3</t>
        </is>
      </c>
      <c r="B66" s="15" t="inlineStr">
        <is>
          <t>59</t>
        </is>
      </c>
      <c r="C66" s="10" t="n">
        <v>1</v>
      </c>
      <c r="D66" s="10" t="n">
        <v>3.81477</v>
      </c>
      <c r="E66" s="10" t="n">
        <v>3.81477</v>
      </c>
      <c r="F66" s="10" t="n">
        <v>300</v>
      </c>
      <c r="G66" s="10" t="n">
        <v>400</v>
      </c>
      <c r="H66" s="15" t="n">
        <v>300</v>
      </c>
      <c r="I66" s="15" t="n">
        <v>400</v>
      </c>
      <c r="J66" s="16" t="n">
        <v>81.63330000000001</v>
      </c>
      <c r="K66" s="10" t="inlineStr">
        <is>
          <t>59</t>
        </is>
      </c>
      <c r="L66" s="16" t="n">
        <v>60.6411</v>
      </c>
      <c r="M66" s="10" t="inlineStr">
        <is>
          <t>59</t>
        </is>
      </c>
      <c r="N66" s="16" t="n">
        <v>47.029</v>
      </c>
      <c r="O66" s="16" t="n">
        <v>180.811</v>
      </c>
      <c r="P66" s="10" t="inlineStr">
        <is>
          <t>59</t>
        </is>
      </c>
      <c r="Q66" s="16" t="n">
        <v>5.1454</v>
      </c>
      <c r="R66" s="10">
        <f>MAX(MAX(1.4/'Parametros'!$B$3,0.25*SQRT('Parametros'!$B$2)/'Parametros'!$B$3)*H66*U66,(0.85*'Parametros'!$B$2/'Parametros'!$B$3)*(1-SQRT(1-2*(J66*1000000/('Parametros'!$B$5*H66*U66^2))/(0.85*'Parametros'!$B$2)))*H66*U66)</f>
        <v>668.863852504576</v>
      </c>
      <c r="S66" s="17" t="n">
        <v>4</v>
      </c>
      <c r="T66" s="18" t="n">
        <v>1</v>
      </c>
      <c r="U66" s="10">
        <f>IF(T66=1,I66-('Parametros'!$B$7+'Parametros'!$B$9+'Parametros'!$B$12/2),I66-(ROUNDUP(S66/2,0)*('Parametros'!$B$7+'Parametros'!$B$9+'Parametros'!$B$12/2)+ROUNDDOWN(S66/2,0)*('Parametros'!$B$7+'Parametros'!$B$9+'Parametros'!$B$12/2+'Parametros'!$B$12+'Parametros'!$B$10))/S66)</f>
        <v>342.55</v>
      </c>
      <c r="V66" s="10">
        <f>S66*'Parametros'!$B$8</f>
        <v>796</v>
      </c>
      <c r="W66" s="10">
        <f>'Parametros'!$B$5*V66*'Parametros'!$B$3*(U66-(V66*'Parametros'!$B$3/(0.85*'Parametros'!$B$2*H66))/2)/1000000</f>
        <v>96.0248653411765</v>
      </c>
      <c r="X66" s="10" t="str">
        <f>IF(W66&gt;=J66,"CUMPLE","NO CUMPLE")</f>
        <v>CUMPLE</v>
      </c>
      <c r="Y66" s="10">
        <f>MAX(MAX(1.4/'Parametros'!$B$3,0.25*SQRT('Parametros'!$B$2)/'Parametros'!$B$3)*H66*AB66,(0.85*'Parametros'!$B$2/'Parametros'!$B$3)*(1-SQRT(1-2*(L66*1000000/('Parametros'!$B$5*H66*AB66^2))/(0.85*'Parametros'!$B$2)))*H66*AB66)</f>
        <v>488.847703973732</v>
      </c>
      <c r="Z66" s="17" t="n">
        <v>3</v>
      </c>
      <c r="AA66" s="18" t="n">
        <v>1</v>
      </c>
      <c r="AB66" s="10">
        <f>IF(AA66=1,I66-('Parametros'!$B$7+'Parametros'!$B$9+'Parametros'!$B$12/2),I66-(ROUNDUP(Z66/2,0)*('Parametros'!$B$7+'Parametros'!$B$9+'Parametros'!$B$12/2)+ROUNDDOWN(Z66/2,0)*('Parametros'!$B$7+'Parametros'!$B$9+'Parametros'!$B$12/2+'Parametros'!$B$12+'Parametros'!$B$10))/Z66)</f>
        <v>342.55</v>
      </c>
      <c r="AC66" s="10">
        <f>Z66*'Parametros'!$B$8</f>
        <v>597</v>
      </c>
      <c r="AD66" s="10">
        <f>'Parametros'!$B$5*AC66*'Parametros'!$B$3*(AB66-(AC66*'Parametros'!$B$3/(0.85*'Parametros'!$B$2*H66))/2)/1000000</f>
        <v>73.3394588294118</v>
      </c>
      <c r="AE66" s="10" t="str">
        <f>IF(AD66&gt;=L66,"CUMPLE","NO CUMPLE")</f>
        <v>CUMPLE</v>
      </c>
      <c r="AF66" s="10">
        <f>V66*1.25*'Parametros'!$B$3*(U66-(V66*1.25*'Parametros'!$B$3/(0.85*'Parametros'!$B$2*H66))/2)/1000000</f>
        <v>130.921924411765</v>
      </c>
      <c r="AG66" s="10">
        <f>AC66*1.25*'Parametros'!$B$3*(AB66-(AC66*1.25*'Parametros'!$B$3/(0.85*'Parametros'!$B$2*H66))/2)/1000000</f>
        <v>100.484515919118</v>
      </c>
      <c r="AH66" s="10">
        <f>N66+(AF66+AG66)/D66</f>
        <v>107.689653284702</v>
      </c>
      <c r="AI66" s="10">
        <f>MIN(O66,MAX(N66,AH66))</f>
        <v>107.689653284702</v>
      </c>
      <c r="AJ66" s="10">
        <f>0.17*SQRT('Parametros'!$B$2)*H66*MIN(U66,AB66)/1000</f>
        <v>92.4428153837279</v>
      </c>
      <c r="AK66" s="10">
        <f>MAX(AI66/'Parametros'!$B$6-AJ66,0)</f>
        <v>51.1433889958747</v>
      </c>
      <c r="AL66" s="10">
        <f>0.66*SQRT('Parametros'!$B$2)*H66*MIN(U66,AB66)/1000</f>
        <v>358.89563619565</v>
      </c>
      <c r="AM66" s="10" t="str">
        <f>IF(AK66&lt;=AL66,"CUMPLE","NO CUMPLE")</f>
        <v>CUMPLE</v>
      </c>
      <c r="AN66" s="15" t="inlineStr">
        <is>
          <t>Nº3 cerrado</t>
        </is>
      </c>
      <c r="AO66" s="17" t="n">
        <v>2</v>
      </c>
      <c r="AP66" s="10">
        <f>ROUNDDOWN(MIN(IF(AK66=0,1000000000,AO66*'Parametros'!$B$11*'Parametros'!$B$4*MIN(U66,AB66)/(AK66*1000)),IF(AV66=0,1000000000,'Parametros'!$B$11/AV66),MIN(U66,AB66)/4,8*'Parametros'!$B$12,24*'Parametros'!$B$9,300)/10,0)*10</f>
        <v>80</v>
      </c>
      <c r="AQ66" s="10">
        <f>ROUNDDOWN(MIN(IF(AK66=0,1000000000,AO66*'Parametros'!$B$11*'Parametros'!$B$4*MIN(U66,AB66)/(AK66*1000)),IF(AV66=0,1000000000,'Parametros'!$B$11/AV66),MIN(U66,AB66)/2,600)/10,0)*10</f>
        <v>170</v>
      </c>
      <c r="AR66" s="10">
        <f>'Parametros'!$B$6*(AJ66+AO66*'Parametros'!$B$11*'Parametros'!$B$4*MIN(U66,AB66)/AP66/1000)</f>
        <v>260.860380287796</v>
      </c>
      <c r="AS66" s="10" t="str">
        <f>IF(AND(AM66="CUMPLE",AR66&gt;=AI66),"CUMPLE","NO CUMPLE")</f>
        <v>CUMPLE</v>
      </c>
      <c r="AT66" s="10">
        <f>'Parametros'!$B$6*0.083*SQRT('Parametros'!$B$2)*(H66*I66)^2/(2*(H66+I66))/1000000</f>
        <v>3.38807353605471</v>
      </c>
      <c r="AU66" s="10" t="str">
        <f>IF(Q66&lt;=AT66,"DESPRECIABLE","DISEÑAR")</f>
        <v>DISEÑAR</v>
      </c>
      <c r="AV66" s="10">
        <f>IF(Q66&lt;=AT66,0,Q66*1000000/('Parametros'!$B$6*2*0.85*(H66-2*'Parametros'!$B$7)*(I66-2*'Parametros'!$B$7)*'Parametros'!$B$4))</f>
        <v>0.136485654868008</v>
      </c>
      <c r="AW66" s="10">
        <f>AV66*2*((H66-2*'Parametros'!$B$7)+(I66-2*'Parametros'!$B$7))*'Parametros'!$B$4/'Parametros'!$B$3</f>
        <v>147.404507257448</v>
      </c>
      <c r="AX66" s="17" t="n">
        <v>1</v>
      </c>
      <c r="AY66" s="10" t="str">
        <f>IF(AV66=0,"DESPRECIABLE",IF('Parametros'!$B$11/AP66&gt;=AV66,"CUMPLE","NO CUMPLE"))</f>
        <v>CUMPLE</v>
      </c>
      <c r="AZ66" s="10" t="str">
        <f>IF(AND(X66="CUMPLE",AE66="CUMPLE",AS66="CUMPLE",OR(AY66="CUMPLE",AY66="DESPRECIABLE")),IF(OR(F66&lt;&gt;H66,G66&lt;&gt;I66),"CUMPLE - REANALIZAR SAP","CUMPLE"),"NO CUMPLE")</f>
        <v>CUMPLE</v>
      </c>
    </row>
    <row r="67">
      <c r="A67" s="15" t="inlineStr">
        <is>
          <t>VC3</t>
        </is>
      </c>
      <c r="B67" s="15" t="inlineStr">
        <is>
          <t>60</t>
        </is>
      </c>
      <c r="C67" s="10" t="n">
        <v>1</v>
      </c>
      <c r="D67" s="10" t="n">
        <v>4</v>
      </c>
      <c r="E67" s="10" t="n">
        <v>4</v>
      </c>
      <c r="F67" s="10" t="n">
        <v>300</v>
      </c>
      <c r="G67" s="10" t="n">
        <v>400</v>
      </c>
      <c r="H67" s="15" t="n">
        <v>300</v>
      </c>
      <c r="I67" s="15" t="n">
        <v>400</v>
      </c>
      <c r="J67" s="16" t="n">
        <v>80.3325</v>
      </c>
      <c r="K67" s="10" t="inlineStr">
        <is>
          <t>60</t>
        </is>
      </c>
      <c r="L67" s="16" t="n">
        <v>71.1871</v>
      </c>
      <c r="M67" s="10" t="inlineStr">
        <is>
          <t>60</t>
        </is>
      </c>
      <c r="N67" s="16" t="n">
        <v>43.552</v>
      </c>
      <c r="O67" s="16" t="n">
        <v>190.281</v>
      </c>
      <c r="P67" s="10" t="inlineStr">
        <is>
          <t>60</t>
        </is>
      </c>
      <c r="Q67" s="16" t="n">
        <v>0.902</v>
      </c>
      <c r="R67" s="10">
        <f>MAX(MAX(1.4/'Parametros'!$B$3,0.25*SQRT('Parametros'!$B$2)/'Parametros'!$B$3)*H67*U67,(0.85*'Parametros'!$B$2/'Parametros'!$B$3)*(1-SQRT(1-2*(J67*1000000/('Parametros'!$B$5*H67*U67^2))/(0.85*'Parametros'!$B$2)))*H67*U67)</f>
        <v>657.526675560284</v>
      </c>
      <c r="S67" s="17" t="n">
        <v>4</v>
      </c>
      <c r="T67" s="18" t="n">
        <v>1</v>
      </c>
      <c r="U67" s="10">
        <f>IF(T67=1,I67-('Parametros'!$B$7+'Parametros'!$B$9+'Parametros'!$B$12/2),I67-(ROUNDUP(S67/2,0)*('Parametros'!$B$7+'Parametros'!$B$9+'Parametros'!$B$12/2)+ROUNDDOWN(S67/2,0)*('Parametros'!$B$7+'Parametros'!$B$9+'Parametros'!$B$12/2+'Parametros'!$B$12+'Parametros'!$B$10))/S67)</f>
        <v>342.55</v>
      </c>
      <c r="V67" s="10">
        <f>S67*'Parametros'!$B$8</f>
        <v>796</v>
      </c>
      <c r="W67" s="10">
        <f>'Parametros'!$B$5*V67*'Parametros'!$B$3*(U67-(V67*'Parametros'!$B$3/(0.85*'Parametros'!$B$2*H67))/2)/1000000</f>
        <v>96.0248653411765</v>
      </c>
      <c r="X67" s="10" t="str">
        <f>IF(W67&gt;=J67,"CUMPLE","NO CUMPLE")</f>
        <v>CUMPLE</v>
      </c>
      <c r="Y67" s="10">
        <f>MAX(MAX(1.4/'Parametros'!$B$3,0.25*SQRT('Parametros'!$B$2)/'Parametros'!$B$3)*H67*AB67,(0.85*'Parametros'!$B$2/'Parametros'!$B$3)*(1-SQRT(1-2*(L67*1000000/('Parametros'!$B$5*H67*AB67^2))/(0.85*'Parametros'!$B$2)))*H67*AB67)</f>
        <v>578.511324146613</v>
      </c>
      <c r="Z67" s="17" t="n">
        <v>3</v>
      </c>
      <c r="AA67" s="18" t="n">
        <v>1</v>
      </c>
      <c r="AB67" s="10">
        <f>IF(AA67=1,I67-('Parametros'!$B$7+'Parametros'!$B$9+'Parametros'!$B$12/2),I67-(ROUNDUP(Z67/2,0)*('Parametros'!$B$7+'Parametros'!$B$9+'Parametros'!$B$12/2)+ROUNDDOWN(Z67/2,0)*('Parametros'!$B$7+'Parametros'!$B$9+'Parametros'!$B$12/2+'Parametros'!$B$12+'Parametros'!$B$10))/Z67)</f>
        <v>342.55</v>
      </c>
      <c r="AC67" s="10">
        <f>Z67*'Parametros'!$B$8</f>
        <v>597</v>
      </c>
      <c r="AD67" s="10">
        <f>'Parametros'!$B$5*AC67*'Parametros'!$B$3*(AB67-(AC67*'Parametros'!$B$3/(0.85*'Parametros'!$B$2*H67))/2)/1000000</f>
        <v>73.3394588294118</v>
      </c>
      <c r="AE67" s="10" t="str">
        <f>IF(AD67&gt;=L67,"CUMPLE","NO CUMPLE")</f>
        <v>CUMPLE</v>
      </c>
      <c r="AF67" s="10">
        <f>V67*1.25*'Parametros'!$B$3*(U67-(V67*1.25*'Parametros'!$B$3/(0.85*'Parametros'!$B$2*H67))/2)/1000000</f>
        <v>130.921924411765</v>
      </c>
      <c r="AG67" s="10">
        <f>AC67*1.25*'Parametros'!$B$3*(AB67-(AC67*1.25*'Parametros'!$B$3/(0.85*'Parametros'!$B$2*H67))/2)/1000000</f>
        <v>100.484515919118</v>
      </c>
      <c r="AH67" s="10">
        <f>N67+(AF67+AG67)/D67</f>
        <v>101.403610082721</v>
      </c>
      <c r="AI67" s="10">
        <f>MIN(O67,MAX(N67,AH67))</f>
        <v>101.403610082721</v>
      </c>
      <c r="AJ67" s="10">
        <f>0.17*SQRT('Parametros'!$B$2)*H67*MIN(U67,AB67)/1000</f>
        <v>92.4428153837279</v>
      </c>
      <c r="AK67" s="10">
        <f>MAX(AI67/'Parametros'!$B$6-AJ67,0)</f>
        <v>42.7619980598995</v>
      </c>
      <c r="AL67" s="10">
        <f>0.66*SQRT('Parametros'!$B$2)*H67*MIN(U67,AB67)/1000</f>
        <v>358.89563619565</v>
      </c>
      <c r="AM67" s="10" t="str">
        <f>IF(AK67&lt;=AL67,"CUMPLE","NO CUMPLE")</f>
        <v>CUMPLE</v>
      </c>
      <c r="AN67" s="15" t="inlineStr">
        <is>
          <t>Nº3 cerrado</t>
        </is>
      </c>
      <c r="AO67" s="17" t="n">
        <v>2</v>
      </c>
      <c r="AP67" s="10">
        <f>ROUNDDOWN(MIN(IF(AK67=0,1000000000,AO67*'Parametros'!$B$11*'Parametros'!$B$4*MIN(U67,AB67)/(AK67*1000)),IF(AV67=0,1000000000,'Parametros'!$B$11/AV67),MIN(U67,AB67)/4,8*'Parametros'!$B$12,24*'Parametros'!$B$9,300)/10,0)*10</f>
        <v>80</v>
      </c>
      <c r="AQ67" s="10">
        <f>ROUNDDOWN(MIN(IF(AK67=0,1000000000,AO67*'Parametros'!$B$11*'Parametros'!$B$4*MIN(U67,AB67)/(AK67*1000)),IF(AV67=0,1000000000,'Parametros'!$B$11/AV67),MIN(U67,AB67)/2,600)/10,0)*10</f>
        <v>170</v>
      </c>
      <c r="AR67" s="10">
        <f>'Parametros'!$B$6*(AJ67+AO67*'Parametros'!$B$11*'Parametros'!$B$4*MIN(U67,AB67)/AP67/1000)</f>
        <v>260.860380287796</v>
      </c>
      <c r="AS67" s="10" t="str">
        <f>IF(AND(AM67="CUMPLE",AR67&gt;=AI67),"CUMPLE","NO CUMPLE")</f>
        <v>CUMPLE</v>
      </c>
      <c r="AT67" s="10">
        <f>'Parametros'!$B$6*0.083*SQRT('Parametros'!$B$2)*(H67*I67)^2/(2*(H67+I67))/1000000</f>
        <v>3.38807353605471</v>
      </c>
      <c r="AU67" s="10" t="str">
        <f>IF(Q67&lt;=AT67,"DESPRECIABLE","DISEÑAR")</f>
        <v>DESPRECIABLE</v>
      </c>
      <c r="AV67" s="10">
        <f>IF(Q67&lt;=AT67,0,Q67*1000000/('Parametros'!$B$6*2*0.85*(H67-2*'Parametros'!$B$7)*(I67-2*'Parametros'!$B$7)*'Parametros'!$B$4))</f>
        <v>0</v>
      </c>
      <c r="AW67" s="10">
        <f>AV67*2*((H67-2*'Parametros'!$B$7)+(I67-2*'Parametros'!$B$7))*'Parametros'!$B$4/'Parametros'!$B$3</f>
        <v>0</v>
      </c>
      <c r="AX67" s="17" t="n">
        <v>0</v>
      </c>
      <c r="AY67" s="10" t="str">
        <f>IF(AV67=0,"DESPRECIABLE",IF('Parametros'!$B$11/AP67&gt;=AV67,"CUMPLE","NO CUMPLE"))</f>
        <v>DESPRECIABLE</v>
      </c>
      <c r="AZ67" s="10" t="str">
        <f>IF(AND(X67="CUMPLE",AE67="CUMPLE",AS67="CUMPLE",OR(AY67="CUMPLE",AY67="DESPRECIABLE")),IF(OR(F67&lt;&gt;H67,G67&lt;&gt;I67),"CUMPLE - REANALIZAR SAP","CUMPLE"),"NO CUMPLE")</f>
        <v>CUMPLE</v>
      </c>
    </row>
    <row r="68">
      <c r="A68" s="15" t="inlineStr">
        <is>
          <t>VC3</t>
        </is>
      </c>
      <c r="B68" s="15" t="inlineStr">
        <is>
          <t>89</t>
        </is>
      </c>
      <c r="C68" s="10" t="n">
        <v>1</v>
      </c>
      <c r="D68" s="10" t="n">
        <v>4</v>
      </c>
      <c r="E68" s="10" t="n">
        <v>4</v>
      </c>
      <c r="F68" s="10" t="n">
        <v>300</v>
      </c>
      <c r="G68" s="10" t="n">
        <v>400</v>
      </c>
      <c r="H68" s="15" t="n">
        <v>300</v>
      </c>
      <c r="I68" s="15" t="n">
        <v>400</v>
      </c>
      <c r="J68" s="16" t="n">
        <v>80.3327</v>
      </c>
      <c r="K68" s="10" t="inlineStr">
        <is>
          <t>89</t>
        </is>
      </c>
      <c r="L68" s="16" t="n">
        <v>71.1908</v>
      </c>
      <c r="M68" s="10" t="inlineStr">
        <is>
          <t>89</t>
        </is>
      </c>
      <c r="N68" s="16" t="n">
        <v>43.552</v>
      </c>
      <c r="O68" s="16" t="n">
        <v>190.285</v>
      </c>
      <c r="P68" s="10" t="inlineStr">
        <is>
          <t>89</t>
        </is>
      </c>
      <c r="Q68" s="16" t="n">
        <v>0.9023</v>
      </c>
      <c r="R68" s="10">
        <f>MAX(MAX(1.4/'Parametros'!$B$3,0.25*SQRT('Parametros'!$B$2)/'Parametros'!$B$3)*H68*U68,(0.85*'Parametros'!$B$2/'Parametros'!$B$3)*(1-SQRT(1-2*(J68*1000000/('Parametros'!$B$5*H68*U68^2))/(0.85*'Parametros'!$B$2)))*H68*U68)</f>
        <v>657.528416756207</v>
      </c>
      <c r="S68" s="17" t="n">
        <v>4</v>
      </c>
      <c r="T68" s="18" t="n">
        <v>1</v>
      </c>
      <c r="U68" s="10">
        <f>IF(T68=1,I68-('Parametros'!$B$7+'Parametros'!$B$9+'Parametros'!$B$12/2),I68-(ROUNDUP(S68/2,0)*('Parametros'!$B$7+'Parametros'!$B$9+'Parametros'!$B$12/2)+ROUNDDOWN(S68/2,0)*('Parametros'!$B$7+'Parametros'!$B$9+'Parametros'!$B$12/2+'Parametros'!$B$12+'Parametros'!$B$10))/S68)</f>
        <v>342.55</v>
      </c>
      <c r="V68" s="10">
        <f>S68*'Parametros'!$B$8</f>
        <v>796</v>
      </c>
      <c r="W68" s="10">
        <f>'Parametros'!$B$5*V68*'Parametros'!$B$3*(U68-(V68*'Parametros'!$B$3/(0.85*'Parametros'!$B$2*H68))/2)/1000000</f>
        <v>96.0248653411765</v>
      </c>
      <c r="X68" s="10" t="str">
        <f>IF(W68&gt;=J68,"CUMPLE","NO CUMPLE")</f>
        <v>CUMPLE</v>
      </c>
      <c r="Y68" s="10">
        <f>MAX(MAX(1.4/'Parametros'!$B$3,0.25*SQRT('Parametros'!$B$2)/'Parametros'!$B$3)*H68*AB68,(0.85*'Parametros'!$B$2/'Parametros'!$B$3)*(1-SQRT(1-2*(L68*1000000/('Parametros'!$B$5*H68*AB68^2))/(0.85*'Parametros'!$B$2)))*H68*AB68)</f>
        <v>578.543051074738</v>
      </c>
      <c r="Z68" s="17" t="n">
        <v>3</v>
      </c>
      <c r="AA68" s="18" t="n">
        <v>1</v>
      </c>
      <c r="AB68" s="10">
        <f>IF(AA68=1,I68-('Parametros'!$B$7+'Parametros'!$B$9+'Parametros'!$B$12/2),I68-(ROUNDUP(Z68/2,0)*('Parametros'!$B$7+'Parametros'!$B$9+'Parametros'!$B$12/2)+ROUNDDOWN(Z68/2,0)*('Parametros'!$B$7+'Parametros'!$B$9+'Parametros'!$B$12/2+'Parametros'!$B$12+'Parametros'!$B$10))/Z68)</f>
        <v>342.55</v>
      </c>
      <c r="AC68" s="10">
        <f>Z68*'Parametros'!$B$8</f>
        <v>597</v>
      </c>
      <c r="AD68" s="10">
        <f>'Parametros'!$B$5*AC68*'Parametros'!$B$3*(AB68-(AC68*'Parametros'!$B$3/(0.85*'Parametros'!$B$2*H68))/2)/1000000</f>
        <v>73.3394588294118</v>
      </c>
      <c r="AE68" s="10" t="str">
        <f>IF(AD68&gt;=L68,"CUMPLE","NO CUMPLE")</f>
        <v>CUMPLE</v>
      </c>
      <c r="AF68" s="10">
        <f>V68*1.25*'Parametros'!$B$3*(U68-(V68*1.25*'Parametros'!$B$3/(0.85*'Parametros'!$B$2*H68))/2)/1000000</f>
        <v>130.921924411765</v>
      </c>
      <c r="AG68" s="10">
        <f>AC68*1.25*'Parametros'!$B$3*(AB68-(AC68*1.25*'Parametros'!$B$3/(0.85*'Parametros'!$B$2*H68))/2)/1000000</f>
        <v>100.484515919118</v>
      </c>
      <c r="AH68" s="10">
        <f>N68+(AF68+AG68)/D68</f>
        <v>101.403610082721</v>
      </c>
      <c r="AI68" s="10">
        <f>MIN(O68,MAX(N68,AH68))</f>
        <v>101.403610082721</v>
      </c>
      <c r="AJ68" s="10">
        <f>0.17*SQRT('Parametros'!$B$2)*H68*MIN(U68,AB68)/1000</f>
        <v>92.4428153837279</v>
      </c>
      <c r="AK68" s="10">
        <f>MAX(AI68/'Parametros'!$B$6-AJ68,0)</f>
        <v>42.7619980598995</v>
      </c>
      <c r="AL68" s="10">
        <f>0.66*SQRT('Parametros'!$B$2)*H68*MIN(U68,AB68)/1000</f>
        <v>358.89563619565</v>
      </c>
      <c r="AM68" s="10" t="str">
        <f>IF(AK68&lt;=AL68,"CUMPLE","NO CUMPLE")</f>
        <v>CUMPLE</v>
      </c>
      <c r="AN68" s="15" t="inlineStr">
        <is>
          <t>Nº3 cerrado</t>
        </is>
      </c>
      <c r="AO68" s="17" t="n">
        <v>2</v>
      </c>
      <c r="AP68" s="10">
        <f>ROUNDDOWN(MIN(IF(AK68=0,1000000000,AO68*'Parametros'!$B$11*'Parametros'!$B$4*MIN(U68,AB68)/(AK68*1000)),IF(AV68=0,1000000000,'Parametros'!$B$11/AV68),MIN(U68,AB68)/4,8*'Parametros'!$B$12,24*'Parametros'!$B$9,300)/10,0)*10</f>
        <v>80</v>
      </c>
      <c r="AQ68" s="10">
        <f>ROUNDDOWN(MIN(IF(AK68=0,1000000000,AO68*'Parametros'!$B$11*'Parametros'!$B$4*MIN(U68,AB68)/(AK68*1000)),IF(AV68=0,1000000000,'Parametros'!$B$11/AV68),MIN(U68,AB68)/2,600)/10,0)*10</f>
        <v>170</v>
      </c>
      <c r="AR68" s="10">
        <f>'Parametros'!$B$6*(AJ68+AO68*'Parametros'!$B$11*'Parametros'!$B$4*MIN(U68,AB68)/AP68/1000)</f>
        <v>260.860380287796</v>
      </c>
      <c r="AS68" s="10" t="str">
        <f>IF(AND(AM68="CUMPLE",AR68&gt;=AI68),"CUMPLE","NO CUMPLE")</f>
        <v>CUMPLE</v>
      </c>
      <c r="AT68" s="10">
        <f>'Parametros'!$B$6*0.083*SQRT('Parametros'!$B$2)*(H68*I68)^2/(2*(H68+I68))/1000000</f>
        <v>3.38807353605471</v>
      </c>
      <c r="AU68" s="10" t="str">
        <f>IF(Q68&lt;=AT68,"DESPRECIABLE","DISEÑAR")</f>
        <v>DESPRECIABLE</v>
      </c>
      <c r="AV68" s="10">
        <f>IF(Q68&lt;=AT68,0,Q68*1000000/('Parametros'!$B$6*2*0.85*(H68-2*'Parametros'!$B$7)*(I68-2*'Parametros'!$B$7)*'Parametros'!$B$4))</f>
        <v>0</v>
      </c>
      <c r="AW68" s="10">
        <f>AV68*2*((H68-2*'Parametros'!$B$7)+(I68-2*'Parametros'!$B$7))*'Parametros'!$B$4/'Parametros'!$B$3</f>
        <v>0</v>
      </c>
      <c r="AX68" s="17" t="n">
        <v>0</v>
      </c>
      <c r="AY68" s="10" t="str">
        <f>IF(AV68=0,"DESPRECIABLE",IF('Parametros'!$B$11/AP68&gt;=AV68,"CUMPLE","NO CUMPLE"))</f>
        <v>DESPRECIABLE</v>
      </c>
      <c r="AZ68" s="10" t="str">
        <f>IF(AND(X68="CUMPLE",AE68="CUMPLE",AS68="CUMPLE",OR(AY68="CUMPLE",AY68="DESPRECIABLE")),IF(OR(F68&lt;&gt;H68,G68&lt;&gt;I68),"CUMPLE - REANALIZAR SAP","CUMPLE"),"NO CUMPLE")</f>
        <v>CUMPLE</v>
      </c>
    </row>
    <row r="69">
      <c r="A69" s="15" t="inlineStr">
        <is>
          <t>VC3</t>
        </is>
      </c>
      <c r="B69" s="15" t="inlineStr">
        <is>
          <t>90</t>
        </is>
      </c>
      <c r="C69" s="10" t="n">
        <v>1</v>
      </c>
      <c r="D69" s="10" t="n">
        <v>3.81477</v>
      </c>
      <c r="E69" s="10" t="n">
        <v>3.81477</v>
      </c>
      <c r="F69" s="10" t="n">
        <v>300</v>
      </c>
      <c r="G69" s="10" t="n">
        <v>400</v>
      </c>
      <c r="H69" s="15" t="n">
        <v>300</v>
      </c>
      <c r="I69" s="15" t="n">
        <v>400</v>
      </c>
      <c r="J69" s="16" t="n">
        <v>81.6335</v>
      </c>
      <c r="K69" s="10" t="inlineStr">
        <is>
          <t>90</t>
        </is>
      </c>
      <c r="L69" s="16" t="n">
        <v>60.6439</v>
      </c>
      <c r="M69" s="10" t="inlineStr">
        <is>
          <t>90</t>
        </is>
      </c>
      <c r="N69" s="16" t="n">
        <v>47.033</v>
      </c>
      <c r="O69" s="16" t="n">
        <v>180.803</v>
      </c>
      <c r="P69" s="10" t="inlineStr">
        <is>
          <t>90</t>
        </is>
      </c>
      <c r="Q69" s="16" t="n">
        <v>5.1372</v>
      </c>
      <c r="R69" s="10">
        <f>MAX(MAX(1.4/'Parametros'!$B$3,0.25*SQRT('Parametros'!$B$2)/'Parametros'!$B$3)*H69*U69,(0.85*'Parametros'!$B$2/'Parametros'!$B$3)*(1-SQRT(1-2*(J69*1000000/('Parametros'!$B$5*H69*U69^2))/(0.85*'Parametros'!$B$2)))*H69*U69)</f>
        <v>668.865597530221</v>
      </c>
      <c r="S69" s="17" t="n">
        <v>4</v>
      </c>
      <c r="T69" s="18" t="n">
        <v>1</v>
      </c>
      <c r="U69" s="10">
        <f>IF(T69=1,I69-('Parametros'!$B$7+'Parametros'!$B$9+'Parametros'!$B$12/2),I69-(ROUNDUP(S69/2,0)*('Parametros'!$B$7+'Parametros'!$B$9+'Parametros'!$B$12/2)+ROUNDDOWN(S69/2,0)*('Parametros'!$B$7+'Parametros'!$B$9+'Parametros'!$B$12/2+'Parametros'!$B$12+'Parametros'!$B$10))/S69)</f>
        <v>342.55</v>
      </c>
      <c r="V69" s="10">
        <f>S69*'Parametros'!$B$8</f>
        <v>796</v>
      </c>
      <c r="W69" s="10">
        <f>'Parametros'!$B$5*V69*'Parametros'!$B$3*(U69-(V69*'Parametros'!$B$3/(0.85*'Parametros'!$B$2*H69))/2)/1000000</f>
        <v>96.0248653411765</v>
      </c>
      <c r="X69" s="10" t="str">
        <f>IF(W69&gt;=J69,"CUMPLE","NO CUMPLE")</f>
        <v>CUMPLE</v>
      </c>
      <c r="Y69" s="10">
        <f>MAX(MAX(1.4/'Parametros'!$B$3,0.25*SQRT('Parametros'!$B$2)/'Parametros'!$B$3)*H69*AB69,(0.85*'Parametros'!$B$2/'Parametros'!$B$3)*(1-SQRT(1-2*(L69*1000000/('Parametros'!$B$5*H69*AB69^2))/(0.85*'Parametros'!$B$2)))*H69*AB69)</f>
        <v>488.871309963112</v>
      </c>
      <c r="Z69" s="17" t="n">
        <v>3</v>
      </c>
      <c r="AA69" s="18" t="n">
        <v>1</v>
      </c>
      <c r="AB69" s="10">
        <f>IF(AA69=1,I69-('Parametros'!$B$7+'Parametros'!$B$9+'Parametros'!$B$12/2),I69-(ROUNDUP(Z69/2,0)*('Parametros'!$B$7+'Parametros'!$B$9+'Parametros'!$B$12/2)+ROUNDDOWN(Z69/2,0)*('Parametros'!$B$7+'Parametros'!$B$9+'Parametros'!$B$12/2+'Parametros'!$B$12+'Parametros'!$B$10))/Z69)</f>
        <v>342.55</v>
      </c>
      <c r="AC69" s="10">
        <f>Z69*'Parametros'!$B$8</f>
        <v>597</v>
      </c>
      <c r="AD69" s="10">
        <f>'Parametros'!$B$5*AC69*'Parametros'!$B$3*(AB69-(AC69*'Parametros'!$B$3/(0.85*'Parametros'!$B$2*H69))/2)/1000000</f>
        <v>73.3394588294118</v>
      </c>
      <c r="AE69" s="10" t="str">
        <f>IF(AD69&gt;=L69,"CUMPLE","NO CUMPLE")</f>
        <v>CUMPLE</v>
      </c>
      <c r="AF69" s="10">
        <f>V69*1.25*'Parametros'!$B$3*(U69-(V69*1.25*'Parametros'!$B$3/(0.85*'Parametros'!$B$2*H69))/2)/1000000</f>
        <v>130.921924411765</v>
      </c>
      <c r="AG69" s="10">
        <f>AC69*1.25*'Parametros'!$B$3*(AB69-(AC69*1.25*'Parametros'!$B$3/(0.85*'Parametros'!$B$2*H69))/2)/1000000</f>
        <v>100.484515919118</v>
      </c>
      <c r="AH69" s="10">
        <f>N69+(AF69+AG69)/D69</f>
        <v>107.693653284702</v>
      </c>
      <c r="AI69" s="10">
        <f>MIN(O69,MAX(N69,AH69))</f>
        <v>107.693653284702</v>
      </c>
      <c r="AJ69" s="10">
        <f>0.17*SQRT('Parametros'!$B$2)*H69*MIN(U69,AB69)/1000</f>
        <v>92.4428153837279</v>
      </c>
      <c r="AK69" s="10">
        <f>MAX(AI69/'Parametros'!$B$6-AJ69,0)</f>
        <v>51.148722329208</v>
      </c>
      <c r="AL69" s="10">
        <f>0.66*SQRT('Parametros'!$B$2)*H69*MIN(U69,AB69)/1000</f>
        <v>358.89563619565</v>
      </c>
      <c r="AM69" s="10" t="str">
        <f>IF(AK69&lt;=AL69,"CUMPLE","NO CUMPLE")</f>
        <v>CUMPLE</v>
      </c>
      <c r="AN69" s="15" t="inlineStr">
        <is>
          <t>Nº3 cerrado</t>
        </is>
      </c>
      <c r="AO69" s="17" t="n">
        <v>2</v>
      </c>
      <c r="AP69" s="10">
        <f>ROUNDDOWN(MIN(IF(AK69=0,1000000000,AO69*'Parametros'!$B$11*'Parametros'!$B$4*MIN(U69,AB69)/(AK69*1000)),IF(AV69=0,1000000000,'Parametros'!$B$11/AV69),MIN(U69,AB69)/4,8*'Parametros'!$B$12,24*'Parametros'!$B$9,300)/10,0)*10</f>
        <v>80</v>
      </c>
      <c r="AQ69" s="10">
        <f>ROUNDDOWN(MIN(IF(AK69=0,1000000000,AO69*'Parametros'!$B$11*'Parametros'!$B$4*MIN(U69,AB69)/(AK69*1000)),IF(AV69=0,1000000000,'Parametros'!$B$11/AV69),MIN(U69,AB69)/2,600)/10,0)*10</f>
        <v>170</v>
      </c>
      <c r="AR69" s="10">
        <f>'Parametros'!$B$6*(AJ69+AO69*'Parametros'!$B$11*'Parametros'!$B$4*MIN(U69,AB69)/AP69/1000)</f>
        <v>260.860380287796</v>
      </c>
      <c r="AS69" s="10" t="str">
        <f>IF(AND(AM69="CUMPLE",AR69&gt;=AI69),"CUMPLE","NO CUMPLE")</f>
        <v>CUMPLE</v>
      </c>
      <c r="AT69" s="10">
        <f>'Parametros'!$B$6*0.083*SQRT('Parametros'!$B$2)*(H69*I69)^2/(2*(H69+I69))/1000000</f>
        <v>3.38807353605471</v>
      </c>
      <c r="AU69" s="10" t="str">
        <f>IF(Q69&lt;=AT69,"DESPRECIABLE","DISEÑAR")</f>
        <v>DISEÑAR</v>
      </c>
      <c r="AV69" s="10">
        <f>IF(Q69&lt;=AT69,0,Q69*1000000/('Parametros'!$B$6*2*0.85*(H69-2*'Parametros'!$B$7)*(I69-2*'Parametros'!$B$7)*'Parametros'!$B$4))</f>
        <v>0.136268143621085</v>
      </c>
      <c r="AW69" s="10">
        <f>AV69*2*((H69-2*'Parametros'!$B$7)+(I69-2*'Parametros'!$B$7))*'Parametros'!$B$4/'Parametros'!$B$3</f>
        <v>147.169595110772</v>
      </c>
      <c r="AX69" s="17" t="n">
        <v>1</v>
      </c>
      <c r="AY69" s="10" t="str">
        <f>IF(AV69=0,"DESPRECIABLE",IF('Parametros'!$B$11/AP69&gt;=AV69,"CUMPLE","NO CUMPLE"))</f>
        <v>CUMPLE</v>
      </c>
      <c r="AZ69" s="10" t="str">
        <f>IF(AND(X69="CUMPLE",AE69="CUMPLE",AS69="CUMPLE",OR(AY69="CUMPLE",AY69="DESPRECIABLE")),IF(OR(F69&lt;&gt;H69,G69&lt;&gt;I69),"CUMPLE - REANALIZAR SAP","CUMPLE"),"NO CUMPLE")</f>
        <v>CUMPLE</v>
      </c>
    </row>
    <row r="70">
      <c r="A70" s="15" t="inlineStr">
        <is>
          <t>VC3</t>
        </is>
      </c>
      <c r="B70" s="15" t="inlineStr">
        <is>
          <t>91</t>
        </is>
      </c>
      <c r="C70" s="10" t="n">
        <v>1</v>
      </c>
      <c r="D70" s="10" t="n">
        <v>3.81477</v>
      </c>
      <c r="E70" s="10" t="n">
        <v>3.81477</v>
      </c>
      <c r="F70" s="10" t="n">
        <v>300</v>
      </c>
      <c r="G70" s="10" t="n">
        <v>400</v>
      </c>
      <c r="H70" s="15" t="n">
        <v>300</v>
      </c>
      <c r="I70" s="15" t="n">
        <v>400</v>
      </c>
      <c r="J70" s="16" t="n">
        <v>81.5967</v>
      </c>
      <c r="K70" s="10" t="inlineStr">
        <is>
          <t>91</t>
        </is>
      </c>
      <c r="L70" s="16" t="n">
        <v>60.6646</v>
      </c>
      <c r="M70" s="10" t="inlineStr">
        <is>
          <t>91</t>
        </is>
      </c>
      <c r="N70" s="16" t="n">
        <v>47.01</v>
      </c>
      <c r="O70" s="16" t="n">
        <v>180.817</v>
      </c>
      <c r="P70" s="10" t="inlineStr">
        <is>
          <t>91</t>
        </is>
      </c>
      <c r="Q70" s="16" t="n">
        <v>5.1393</v>
      </c>
      <c r="R70" s="10">
        <f>MAX(MAX(1.4/'Parametros'!$B$3,0.25*SQRT('Parametros'!$B$2)/'Parametros'!$B$3)*H70*U70,(0.85*'Parametros'!$B$2/'Parametros'!$B$3)*(1-SQRT(1-2*(J70*1000000/('Parametros'!$B$5*H70*U70^2))/(0.85*'Parametros'!$B$2)))*H70*U70)</f>
        <v>668.544522757015</v>
      </c>
      <c r="S70" s="17" t="n">
        <v>4</v>
      </c>
      <c r="T70" s="18" t="n">
        <v>1</v>
      </c>
      <c r="U70" s="10">
        <f>IF(T70=1,I70-('Parametros'!$B$7+'Parametros'!$B$9+'Parametros'!$B$12/2),I70-(ROUNDUP(S70/2,0)*('Parametros'!$B$7+'Parametros'!$B$9+'Parametros'!$B$12/2)+ROUNDDOWN(S70/2,0)*('Parametros'!$B$7+'Parametros'!$B$9+'Parametros'!$B$12/2+'Parametros'!$B$12+'Parametros'!$B$10))/S70)</f>
        <v>342.55</v>
      </c>
      <c r="V70" s="10">
        <f>S70*'Parametros'!$B$8</f>
        <v>796</v>
      </c>
      <c r="W70" s="10">
        <f>'Parametros'!$B$5*V70*'Parametros'!$B$3*(U70-(V70*'Parametros'!$B$3/(0.85*'Parametros'!$B$2*H70))/2)/1000000</f>
        <v>96.0248653411765</v>
      </c>
      <c r="X70" s="10" t="str">
        <f>IF(W70&gt;=J70,"CUMPLE","NO CUMPLE")</f>
        <v>CUMPLE</v>
      </c>
      <c r="Y70" s="10">
        <f>MAX(MAX(1.4/'Parametros'!$B$3,0.25*SQRT('Parametros'!$B$2)/'Parametros'!$B$3)*H70*AB70,(0.85*'Parametros'!$B$2/'Parametros'!$B$3)*(1-SQRT(1-2*(L70*1000000/('Parametros'!$B$5*H70*AB70^2))/(0.85*'Parametros'!$B$2)))*H70*AB70)</f>
        <v>489.045828911163</v>
      </c>
      <c r="Z70" s="17" t="n">
        <v>3</v>
      </c>
      <c r="AA70" s="18" t="n">
        <v>1</v>
      </c>
      <c r="AB70" s="10">
        <f>IF(AA70=1,I70-('Parametros'!$B$7+'Parametros'!$B$9+'Parametros'!$B$12/2),I70-(ROUNDUP(Z70/2,0)*('Parametros'!$B$7+'Parametros'!$B$9+'Parametros'!$B$12/2)+ROUNDDOWN(Z70/2,0)*('Parametros'!$B$7+'Parametros'!$B$9+'Parametros'!$B$12/2+'Parametros'!$B$12+'Parametros'!$B$10))/Z70)</f>
        <v>342.55</v>
      </c>
      <c r="AC70" s="10">
        <f>Z70*'Parametros'!$B$8</f>
        <v>597</v>
      </c>
      <c r="AD70" s="10">
        <f>'Parametros'!$B$5*AC70*'Parametros'!$B$3*(AB70-(AC70*'Parametros'!$B$3/(0.85*'Parametros'!$B$2*H70))/2)/1000000</f>
        <v>73.3394588294118</v>
      </c>
      <c r="AE70" s="10" t="str">
        <f>IF(AD70&gt;=L70,"CUMPLE","NO CUMPLE")</f>
        <v>CUMPLE</v>
      </c>
      <c r="AF70" s="10">
        <f>V70*1.25*'Parametros'!$B$3*(U70-(V70*1.25*'Parametros'!$B$3/(0.85*'Parametros'!$B$2*H70))/2)/1000000</f>
        <v>130.921924411765</v>
      </c>
      <c r="AG70" s="10">
        <f>AC70*1.25*'Parametros'!$B$3*(AB70-(AC70*1.25*'Parametros'!$B$3/(0.85*'Parametros'!$B$2*H70))/2)/1000000</f>
        <v>100.484515919118</v>
      </c>
      <c r="AH70" s="10">
        <f>N70+(AF70+AG70)/D70</f>
        <v>107.670653284702</v>
      </c>
      <c r="AI70" s="10">
        <f>MIN(O70,MAX(N70,AH70))</f>
        <v>107.670653284702</v>
      </c>
      <c r="AJ70" s="10">
        <f>0.17*SQRT('Parametros'!$B$2)*H70*MIN(U70,AB70)/1000</f>
        <v>92.4428153837279</v>
      </c>
      <c r="AK70" s="10">
        <f>MAX(AI70/'Parametros'!$B$6-AJ70,0)</f>
        <v>51.1180556625413</v>
      </c>
      <c r="AL70" s="10">
        <f>0.66*SQRT('Parametros'!$B$2)*H70*MIN(U70,AB70)/1000</f>
        <v>358.89563619565</v>
      </c>
      <c r="AM70" s="10" t="str">
        <f>IF(AK70&lt;=AL70,"CUMPLE","NO CUMPLE")</f>
        <v>CUMPLE</v>
      </c>
      <c r="AN70" s="15" t="inlineStr">
        <is>
          <t>Nº3 cerrado</t>
        </is>
      </c>
      <c r="AO70" s="17" t="n">
        <v>2</v>
      </c>
      <c r="AP70" s="10">
        <f>ROUNDDOWN(MIN(IF(AK70=0,1000000000,AO70*'Parametros'!$B$11*'Parametros'!$B$4*MIN(U70,AB70)/(AK70*1000)),IF(AV70=0,1000000000,'Parametros'!$B$11/AV70),MIN(U70,AB70)/4,8*'Parametros'!$B$12,24*'Parametros'!$B$9,300)/10,0)*10</f>
        <v>80</v>
      </c>
      <c r="AQ70" s="10">
        <f>ROUNDDOWN(MIN(IF(AK70=0,1000000000,AO70*'Parametros'!$B$11*'Parametros'!$B$4*MIN(U70,AB70)/(AK70*1000)),IF(AV70=0,1000000000,'Parametros'!$B$11/AV70),MIN(U70,AB70)/2,600)/10,0)*10</f>
        <v>170</v>
      </c>
      <c r="AR70" s="10">
        <f>'Parametros'!$B$6*(AJ70+AO70*'Parametros'!$B$11*'Parametros'!$B$4*MIN(U70,AB70)/AP70/1000)</f>
        <v>260.860380287796</v>
      </c>
      <c r="AS70" s="10" t="str">
        <f>IF(AND(AM70="CUMPLE",AR70&gt;=AI70),"CUMPLE","NO CUMPLE")</f>
        <v>CUMPLE</v>
      </c>
      <c r="AT70" s="10">
        <f>'Parametros'!$B$6*0.083*SQRT('Parametros'!$B$2)*(H70*I70)^2/(2*(H70+I70))/1000000</f>
        <v>3.38807353605471</v>
      </c>
      <c r="AU70" s="10" t="str">
        <f>IF(Q70&lt;=AT70,"DESPRECIABLE","DISEÑAR")</f>
        <v>DISEÑAR</v>
      </c>
      <c r="AV70" s="10">
        <f>IF(Q70&lt;=AT70,0,Q70*1000000/('Parametros'!$B$6*2*0.85*(H70-2*'Parametros'!$B$7)*(I70-2*'Parametros'!$B$7)*'Parametros'!$B$4))</f>
        <v>0.136323847720907</v>
      </c>
      <c r="AW70" s="10">
        <f>AV70*2*((H70-2*'Parametros'!$B$7)+(I70-2*'Parametros'!$B$7))*'Parametros'!$B$4/'Parametros'!$B$3</f>
        <v>147.229755538579</v>
      </c>
      <c r="AX70" s="17" t="n">
        <v>1</v>
      </c>
      <c r="AY70" s="10" t="str">
        <f>IF(AV70=0,"DESPRECIABLE",IF('Parametros'!$B$11/AP70&gt;=AV70,"CUMPLE","NO CUMPLE"))</f>
        <v>CUMPLE</v>
      </c>
      <c r="AZ70" s="10" t="str">
        <f>IF(AND(X70="CUMPLE",AE70="CUMPLE",AS70="CUMPLE",OR(AY70="CUMPLE",AY70="DESPRECIABLE")),IF(OR(F70&lt;&gt;H70,G70&lt;&gt;I70),"CUMPLE - REANALIZAR SAP","CUMPLE"),"NO CUMPLE")</f>
        <v>CUMPLE</v>
      </c>
    </row>
    <row r="71">
      <c r="A71" s="15" t="inlineStr">
        <is>
          <t>VC3</t>
        </is>
      </c>
      <c r="B71" s="15" t="inlineStr">
        <is>
          <t>92</t>
        </is>
      </c>
      <c r="C71" s="10" t="n">
        <v>1</v>
      </c>
      <c r="D71" s="10" t="n">
        <v>4</v>
      </c>
      <c r="E71" s="10" t="n">
        <v>4</v>
      </c>
      <c r="F71" s="10" t="n">
        <v>300</v>
      </c>
      <c r="G71" s="10" t="n">
        <v>400</v>
      </c>
      <c r="H71" s="15" t="n">
        <v>300</v>
      </c>
      <c r="I71" s="15" t="n">
        <v>400</v>
      </c>
      <c r="J71" s="16" t="n">
        <v>80.3141</v>
      </c>
      <c r="K71" s="10" t="inlineStr">
        <is>
          <t>92</t>
        </is>
      </c>
      <c r="L71" s="16" t="n">
        <v>71.2022</v>
      </c>
      <c r="M71" s="10" t="inlineStr">
        <is>
          <t>92</t>
        </is>
      </c>
      <c r="N71" s="16" t="n">
        <v>43.542</v>
      </c>
      <c r="O71" s="16" t="n">
        <v>190.275</v>
      </c>
      <c r="P71" s="10" t="inlineStr">
        <is>
          <t>92</t>
        </is>
      </c>
      <c r="Q71" s="16" t="n">
        <v>0.9031</v>
      </c>
      <c r="R71" s="10">
        <f>MAX(MAX(1.4/'Parametros'!$B$3,0.25*SQRT('Parametros'!$B$2)/'Parametros'!$B$3)*H71*U71,(0.85*'Parametros'!$B$2/'Parametros'!$B$3)*(1-SQRT(1-2*(J71*1000000/('Parametros'!$B$5*H71*U71^2))/(0.85*'Parametros'!$B$2)))*H71*U71)</f>
        <v>657.366488046016</v>
      </c>
      <c r="S71" s="17" t="n">
        <v>4</v>
      </c>
      <c r="T71" s="18" t="n">
        <v>1</v>
      </c>
      <c r="U71" s="10">
        <f>IF(T71=1,I71-('Parametros'!$B$7+'Parametros'!$B$9+'Parametros'!$B$12/2),I71-(ROUNDUP(S71/2,0)*('Parametros'!$B$7+'Parametros'!$B$9+'Parametros'!$B$12/2)+ROUNDDOWN(S71/2,0)*('Parametros'!$B$7+'Parametros'!$B$9+'Parametros'!$B$12/2+'Parametros'!$B$12+'Parametros'!$B$10))/S71)</f>
        <v>342.55</v>
      </c>
      <c r="V71" s="10">
        <f>S71*'Parametros'!$B$8</f>
        <v>796</v>
      </c>
      <c r="W71" s="10">
        <f>'Parametros'!$B$5*V71*'Parametros'!$B$3*(U71-(V71*'Parametros'!$B$3/(0.85*'Parametros'!$B$2*H71))/2)/1000000</f>
        <v>96.0248653411765</v>
      </c>
      <c r="X71" s="10" t="str">
        <f>IF(W71&gt;=J71,"CUMPLE","NO CUMPLE")</f>
        <v>CUMPLE</v>
      </c>
      <c r="Y71" s="10">
        <f>MAX(MAX(1.4/'Parametros'!$B$3,0.25*SQRT('Parametros'!$B$2)/'Parametros'!$B$3)*H71*AB71,(0.85*'Parametros'!$B$2/'Parametros'!$B$3)*(1-SQRT(1-2*(L71*1000000/('Parametros'!$B$5*H71*AB71^2))/(0.85*'Parametros'!$B$2)))*H71*AB71)</f>
        <v>578.640805519403</v>
      </c>
      <c r="Z71" s="17" t="n">
        <v>3</v>
      </c>
      <c r="AA71" s="18" t="n">
        <v>1</v>
      </c>
      <c r="AB71" s="10">
        <f>IF(AA71=1,I71-('Parametros'!$B$7+'Parametros'!$B$9+'Parametros'!$B$12/2),I71-(ROUNDUP(Z71/2,0)*('Parametros'!$B$7+'Parametros'!$B$9+'Parametros'!$B$12/2)+ROUNDDOWN(Z71/2,0)*('Parametros'!$B$7+'Parametros'!$B$9+'Parametros'!$B$12/2+'Parametros'!$B$12+'Parametros'!$B$10))/Z71)</f>
        <v>342.55</v>
      </c>
      <c r="AC71" s="10">
        <f>Z71*'Parametros'!$B$8</f>
        <v>597</v>
      </c>
      <c r="AD71" s="10">
        <f>'Parametros'!$B$5*AC71*'Parametros'!$B$3*(AB71-(AC71*'Parametros'!$B$3/(0.85*'Parametros'!$B$2*H71))/2)/1000000</f>
        <v>73.3394588294118</v>
      </c>
      <c r="AE71" s="10" t="str">
        <f>IF(AD71&gt;=L71,"CUMPLE","NO CUMPLE")</f>
        <v>CUMPLE</v>
      </c>
      <c r="AF71" s="10">
        <f>V71*1.25*'Parametros'!$B$3*(U71-(V71*1.25*'Parametros'!$B$3/(0.85*'Parametros'!$B$2*H71))/2)/1000000</f>
        <v>130.921924411765</v>
      </c>
      <c r="AG71" s="10">
        <f>AC71*1.25*'Parametros'!$B$3*(AB71-(AC71*1.25*'Parametros'!$B$3/(0.85*'Parametros'!$B$2*H71))/2)/1000000</f>
        <v>100.484515919118</v>
      </c>
      <c r="AH71" s="10">
        <f>N71+(AF71+AG71)/D71</f>
        <v>101.393610082721</v>
      </c>
      <c r="AI71" s="10">
        <f>MIN(O71,MAX(N71,AH71))</f>
        <v>101.393610082721</v>
      </c>
      <c r="AJ71" s="10">
        <f>0.17*SQRT('Parametros'!$B$2)*H71*MIN(U71,AB71)/1000</f>
        <v>92.4428153837279</v>
      </c>
      <c r="AK71" s="10">
        <f>MAX(AI71/'Parametros'!$B$6-AJ71,0)</f>
        <v>42.7486647265662</v>
      </c>
      <c r="AL71" s="10">
        <f>0.66*SQRT('Parametros'!$B$2)*H71*MIN(U71,AB71)/1000</f>
        <v>358.89563619565</v>
      </c>
      <c r="AM71" s="10" t="str">
        <f>IF(AK71&lt;=AL71,"CUMPLE","NO CUMPLE")</f>
        <v>CUMPLE</v>
      </c>
      <c r="AN71" s="15" t="inlineStr">
        <is>
          <t>Nº3 cerrado</t>
        </is>
      </c>
      <c r="AO71" s="17" t="n">
        <v>2</v>
      </c>
      <c r="AP71" s="10">
        <f>ROUNDDOWN(MIN(IF(AK71=0,1000000000,AO71*'Parametros'!$B$11*'Parametros'!$B$4*MIN(U71,AB71)/(AK71*1000)),IF(AV71=0,1000000000,'Parametros'!$B$11/AV71),MIN(U71,AB71)/4,8*'Parametros'!$B$12,24*'Parametros'!$B$9,300)/10,0)*10</f>
        <v>80</v>
      </c>
      <c r="AQ71" s="10">
        <f>ROUNDDOWN(MIN(IF(AK71=0,1000000000,AO71*'Parametros'!$B$11*'Parametros'!$B$4*MIN(U71,AB71)/(AK71*1000)),IF(AV71=0,1000000000,'Parametros'!$B$11/AV71),MIN(U71,AB71)/2,600)/10,0)*10</f>
        <v>170</v>
      </c>
      <c r="AR71" s="10">
        <f>'Parametros'!$B$6*(AJ71+AO71*'Parametros'!$B$11*'Parametros'!$B$4*MIN(U71,AB71)/AP71/1000)</f>
        <v>260.860380287796</v>
      </c>
      <c r="AS71" s="10" t="str">
        <f>IF(AND(AM71="CUMPLE",AR71&gt;=AI71),"CUMPLE","NO CUMPLE")</f>
        <v>CUMPLE</v>
      </c>
      <c r="AT71" s="10">
        <f>'Parametros'!$B$6*0.083*SQRT('Parametros'!$B$2)*(H71*I71)^2/(2*(H71+I71))/1000000</f>
        <v>3.38807353605471</v>
      </c>
      <c r="AU71" s="10" t="str">
        <f>IF(Q71&lt;=AT71,"DESPRECIABLE","DISEÑAR")</f>
        <v>DESPRECIABLE</v>
      </c>
      <c r="AV71" s="10">
        <f>IF(Q71&lt;=AT71,0,Q71*1000000/('Parametros'!$B$6*2*0.85*(H71-2*'Parametros'!$B$7)*(I71-2*'Parametros'!$B$7)*'Parametros'!$B$4))</f>
        <v>0</v>
      </c>
      <c r="AW71" s="10">
        <f>AV71*2*((H71-2*'Parametros'!$B$7)+(I71-2*'Parametros'!$B$7))*'Parametros'!$B$4/'Parametros'!$B$3</f>
        <v>0</v>
      </c>
      <c r="AX71" s="17" t="n">
        <v>0</v>
      </c>
      <c r="AY71" s="10" t="str">
        <f>IF(AV71=0,"DESPRECIABLE",IF('Parametros'!$B$11/AP71&gt;=AV71,"CUMPLE","NO CUMPLE"))</f>
        <v>DESPRECIABLE</v>
      </c>
      <c r="AZ71" s="10" t="str">
        <f>IF(AND(X71="CUMPLE",AE71="CUMPLE",AS71="CUMPLE",OR(AY71="CUMPLE",AY71="DESPRECIABLE")),IF(OR(F71&lt;&gt;H71,G71&lt;&gt;I71),"CUMPLE - REANALIZAR SAP","CUMPLE"),"NO CUMPLE")</f>
        <v>CUMPLE</v>
      </c>
    </row>
    <row r="72">
      <c r="A72" s="15" t="inlineStr">
        <is>
          <t>VC3</t>
        </is>
      </c>
      <c r="B72" s="15" t="inlineStr">
        <is>
          <t>257</t>
        </is>
      </c>
      <c r="C72" s="10" t="n">
        <v>1</v>
      </c>
      <c r="D72" s="10" t="n">
        <v>4</v>
      </c>
      <c r="E72" s="10" t="n">
        <v>4</v>
      </c>
      <c r="F72" s="10" t="n">
        <v>300</v>
      </c>
      <c r="G72" s="10" t="n">
        <v>400</v>
      </c>
      <c r="H72" s="15" t="n">
        <v>300</v>
      </c>
      <c r="I72" s="15" t="n">
        <v>400</v>
      </c>
      <c r="J72" s="16" t="n">
        <v>82.3989</v>
      </c>
      <c r="K72" s="10" t="inlineStr">
        <is>
          <t>257</t>
        </is>
      </c>
      <c r="L72" s="16" t="n">
        <v>70.3694</v>
      </c>
      <c r="M72" s="10" t="inlineStr">
        <is>
          <t>257</t>
        </is>
      </c>
      <c r="N72" s="16" t="n">
        <v>44.689</v>
      </c>
      <c r="O72" s="16" t="n">
        <v>192.801</v>
      </c>
      <c r="P72" s="10" t="inlineStr">
        <is>
          <t>257</t>
        </is>
      </c>
      <c r="Q72" s="16" t="n">
        <v>0.6943</v>
      </c>
      <c r="R72" s="10">
        <f>MAX(MAX(1.4/'Parametros'!$B$3,0.25*SQRT('Parametros'!$B$2)/'Parametros'!$B$3)*H72*U72,(0.85*'Parametros'!$B$2/'Parametros'!$B$3)*(1-SQRT(1-2*(J72*1000000/('Parametros'!$B$5*H72*U72^2))/(0.85*'Parametros'!$B$2)))*H72*U72)</f>
        <v>675.548143609379</v>
      </c>
      <c r="S72" s="17" t="n">
        <v>4</v>
      </c>
      <c r="T72" s="18" t="n">
        <v>1</v>
      </c>
      <c r="U72" s="10">
        <f>IF(T72=1,I72-('Parametros'!$B$7+'Parametros'!$B$9+'Parametros'!$B$12/2),I72-(ROUNDUP(S72/2,0)*('Parametros'!$B$7+'Parametros'!$B$9+'Parametros'!$B$12/2)+ROUNDDOWN(S72/2,0)*('Parametros'!$B$7+'Parametros'!$B$9+'Parametros'!$B$12/2+'Parametros'!$B$12+'Parametros'!$B$10))/S72)</f>
        <v>342.55</v>
      </c>
      <c r="V72" s="10">
        <f>S72*'Parametros'!$B$8</f>
        <v>796</v>
      </c>
      <c r="W72" s="10">
        <f>'Parametros'!$B$5*V72*'Parametros'!$B$3*(U72-(V72*'Parametros'!$B$3/(0.85*'Parametros'!$B$2*H72))/2)/1000000</f>
        <v>96.0248653411765</v>
      </c>
      <c r="X72" s="10" t="str">
        <f>IF(W72&gt;=J72,"CUMPLE","NO CUMPLE")</f>
        <v>CUMPLE</v>
      </c>
      <c r="Y72" s="10">
        <f>MAX(MAX(1.4/'Parametros'!$B$3,0.25*SQRT('Parametros'!$B$2)/'Parametros'!$B$3)*H72*AB72,(0.85*'Parametros'!$B$2/'Parametros'!$B$3)*(1-SQRT(1-2*(L72*1000000/('Parametros'!$B$5*H72*AB72^2))/(0.85*'Parametros'!$B$2)))*H72*AB72)</f>
        <v>571.504374776687</v>
      </c>
      <c r="Z72" s="17" t="n">
        <v>3</v>
      </c>
      <c r="AA72" s="18" t="n">
        <v>1</v>
      </c>
      <c r="AB72" s="10">
        <f>IF(AA72=1,I72-('Parametros'!$B$7+'Parametros'!$B$9+'Parametros'!$B$12/2),I72-(ROUNDUP(Z72/2,0)*('Parametros'!$B$7+'Parametros'!$B$9+'Parametros'!$B$12/2)+ROUNDDOWN(Z72/2,0)*('Parametros'!$B$7+'Parametros'!$B$9+'Parametros'!$B$12/2+'Parametros'!$B$12+'Parametros'!$B$10))/Z72)</f>
        <v>342.55</v>
      </c>
      <c r="AC72" s="10">
        <f>Z72*'Parametros'!$B$8</f>
        <v>597</v>
      </c>
      <c r="AD72" s="10">
        <f>'Parametros'!$B$5*AC72*'Parametros'!$B$3*(AB72-(AC72*'Parametros'!$B$3/(0.85*'Parametros'!$B$2*H72))/2)/1000000</f>
        <v>73.3394588294118</v>
      </c>
      <c r="AE72" s="10" t="str">
        <f>IF(AD72&gt;=L72,"CUMPLE","NO CUMPLE")</f>
        <v>CUMPLE</v>
      </c>
      <c r="AF72" s="10">
        <f>V72*1.25*'Parametros'!$B$3*(U72-(V72*1.25*'Parametros'!$B$3/(0.85*'Parametros'!$B$2*H72))/2)/1000000</f>
        <v>130.921924411765</v>
      </c>
      <c r="AG72" s="10">
        <f>AC72*1.25*'Parametros'!$B$3*(AB72-(AC72*1.25*'Parametros'!$B$3/(0.85*'Parametros'!$B$2*H72))/2)/1000000</f>
        <v>100.484515919118</v>
      </c>
      <c r="AH72" s="10">
        <f>N72+(AF72+AG72)/D72</f>
        <v>102.540610082721</v>
      </c>
      <c r="AI72" s="10">
        <f>MIN(O72,MAX(N72,AH72))</f>
        <v>102.540610082721</v>
      </c>
      <c r="AJ72" s="10">
        <f>0.17*SQRT('Parametros'!$B$2)*H72*MIN(U72,AB72)/1000</f>
        <v>92.4428153837279</v>
      </c>
      <c r="AK72" s="10">
        <f>MAX(AI72/'Parametros'!$B$6-AJ72,0)</f>
        <v>44.2779980598995</v>
      </c>
      <c r="AL72" s="10">
        <f>0.66*SQRT('Parametros'!$B$2)*H72*MIN(U72,AB72)/1000</f>
        <v>358.89563619565</v>
      </c>
      <c r="AM72" s="10" t="str">
        <f>IF(AK72&lt;=AL72,"CUMPLE","NO CUMPLE")</f>
        <v>CUMPLE</v>
      </c>
      <c r="AN72" s="15" t="inlineStr">
        <is>
          <t>Nº3 cerrado</t>
        </is>
      </c>
      <c r="AO72" s="17" t="n">
        <v>2</v>
      </c>
      <c r="AP72" s="10">
        <f>ROUNDDOWN(MIN(IF(AK72=0,1000000000,AO72*'Parametros'!$B$11*'Parametros'!$B$4*MIN(U72,AB72)/(AK72*1000)),IF(AV72=0,1000000000,'Parametros'!$B$11/AV72),MIN(U72,AB72)/4,8*'Parametros'!$B$12,24*'Parametros'!$B$9,300)/10,0)*10</f>
        <v>80</v>
      </c>
      <c r="AQ72" s="10">
        <f>ROUNDDOWN(MIN(IF(AK72=0,1000000000,AO72*'Parametros'!$B$11*'Parametros'!$B$4*MIN(U72,AB72)/(AK72*1000)),IF(AV72=0,1000000000,'Parametros'!$B$11/AV72),MIN(U72,AB72)/2,600)/10,0)*10</f>
        <v>170</v>
      </c>
      <c r="AR72" s="10">
        <f>'Parametros'!$B$6*(AJ72+AO72*'Parametros'!$B$11*'Parametros'!$B$4*MIN(U72,AB72)/AP72/1000)</f>
        <v>260.860380287796</v>
      </c>
      <c r="AS72" s="10" t="str">
        <f>IF(AND(AM72="CUMPLE",AR72&gt;=AI72),"CUMPLE","NO CUMPLE")</f>
        <v>CUMPLE</v>
      </c>
      <c r="AT72" s="10">
        <f>'Parametros'!$B$6*0.083*SQRT('Parametros'!$B$2)*(H72*I72)^2/(2*(H72+I72))/1000000</f>
        <v>3.38807353605471</v>
      </c>
      <c r="AU72" s="10" t="str">
        <f>IF(Q72&lt;=AT72,"DESPRECIABLE","DISEÑAR")</f>
        <v>DESPRECIABLE</v>
      </c>
      <c r="AV72" s="10">
        <f>IF(Q72&lt;=AT72,0,Q72*1000000/('Parametros'!$B$6*2*0.85*(H72-2*'Parametros'!$B$7)*(I72-2*'Parametros'!$B$7)*'Parametros'!$B$4))</f>
        <v>0</v>
      </c>
      <c r="AW72" s="10">
        <f>AV72*2*((H72-2*'Parametros'!$B$7)+(I72-2*'Parametros'!$B$7))*'Parametros'!$B$4/'Parametros'!$B$3</f>
        <v>0</v>
      </c>
      <c r="AX72" s="17" t="n">
        <v>0</v>
      </c>
      <c r="AY72" s="10" t="str">
        <f>IF(AV72=0,"DESPRECIABLE",IF('Parametros'!$B$11/AP72&gt;=AV72,"CUMPLE","NO CUMPLE"))</f>
        <v>DESPRECIABLE</v>
      </c>
      <c r="AZ72" s="10" t="str">
        <f>IF(AND(X72="CUMPLE",AE72="CUMPLE",AS72="CUMPLE",OR(AY72="CUMPLE",AY72="DESPRECIABLE")),IF(OR(F72&lt;&gt;H72,G72&lt;&gt;I72),"CUMPLE - REANALIZAR SAP","CUMPLE"),"NO CUMPLE")</f>
        <v>CUMPLE</v>
      </c>
    </row>
    <row r="73">
      <c r="A73" s="15" t="inlineStr">
        <is>
          <t>VC3</t>
        </is>
      </c>
      <c r="B73" s="15" t="inlineStr">
        <is>
          <t>258</t>
        </is>
      </c>
      <c r="C73" s="10" t="n">
        <v>1</v>
      </c>
      <c r="D73" s="10" t="n">
        <v>3.81477</v>
      </c>
      <c r="E73" s="10" t="n">
        <v>3.81477</v>
      </c>
      <c r="F73" s="10" t="n">
        <v>300</v>
      </c>
      <c r="G73" s="10" t="n">
        <v>400</v>
      </c>
      <c r="H73" s="15" t="n">
        <v>300</v>
      </c>
      <c r="I73" s="15" t="n">
        <v>400</v>
      </c>
      <c r="J73" s="16" t="n">
        <v>91.03279999999999</v>
      </c>
      <c r="K73" s="10" t="inlineStr">
        <is>
          <t>258</t>
        </is>
      </c>
      <c r="L73" s="16" t="n">
        <v>66.4247</v>
      </c>
      <c r="M73" s="10" t="inlineStr">
        <is>
          <t>258</t>
        </is>
      </c>
      <c r="N73" s="16" t="n">
        <v>52.304</v>
      </c>
      <c r="O73" s="16" t="n">
        <v>191.753</v>
      </c>
      <c r="P73" s="10" t="inlineStr">
        <is>
          <t>258</t>
        </is>
      </c>
      <c r="Q73" s="16" t="n">
        <v>4.9433</v>
      </c>
      <c r="R73" s="10">
        <f>MAX(MAX(1.4/'Parametros'!$B$3,0.25*SQRT('Parametros'!$B$2)/'Parametros'!$B$3)*H73*U73,(0.85*'Parametros'!$B$2/'Parametros'!$B$3)*(1-SQRT(1-2*(J73*1000000/('Parametros'!$B$5*H73*U73^2))/(0.85*'Parametros'!$B$2)))*H73*U73)</f>
        <v>751.538708876823</v>
      </c>
      <c r="S73" s="17" t="n">
        <v>4</v>
      </c>
      <c r="T73" s="18" t="n">
        <v>1</v>
      </c>
      <c r="U73" s="10">
        <f>IF(T73=1,I73-('Parametros'!$B$7+'Parametros'!$B$9+'Parametros'!$B$12/2),I73-(ROUNDUP(S73/2,0)*('Parametros'!$B$7+'Parametros'!$B$9+'Parametros'!$B$12/2)+ROUNDDOWN(S73/2,0)*('Parametros'!$B$7+'Parametros'!$B$9+'Parametros'!$B$12/2+'Parametros'!$B$12+'Parametros'!$B$10))/S73)</f>
        <v>342.55</v>
      </c>
      <c r="V73" s="10">
        <f>S73*'Parametros'!$B$8</f>
        <v>796</v>
      </c>
      <c r="W73" s="10">
        <f>'Parametros'!$B$5*V73*'Parametros'!$B$3*(U73-(V73*'Parametros'!$B$3/(0.85*'Parametros'!$B$2*H73))/2)/1000000</f>
        <v>96.0248653411765</v>
      </c>
      <c r="X73" s="10" t="str">
        <f>IF(W73&gt;=J73,"CUMPLE","NO CUMPLE")</f>
        <v>CUMPLE</v>
      </c>
      <c r="Y73" s="10">
        <f>MAX(MAX(1.4/'Parametros'!$B$3,0.25*SQRT('Parametros'!$B$2)/'Parametros'!$B$3)*H73*AB73,(0.85*'Parametros'!$B$2/'Parametros'!$B$3)*(1-SQRT(1-2*(L73*1000000/('Parametros'!$B$5*H73*AB73^2))/(0.85*'Parametros'!$B$2)))*H73*AB73)</f>
        <v>537.832356770386</v>
      </c>
      <c r="Z73" s="17" t="n">
        <v>3</v>
      </c>
      <c r="AA73" s="18" t="n">
        <v>1</v>
      </c>
      <c r="AB73" s="10">
        <f>IF(AA73=1,I73-('Parametros'!$B$7+'Parametros'!$B$9+'Parametros'!$B$12/2),I73-(ROUNDUP(Z73/2,0)*('Parametros'!$B$7+'Parametros'!$B$9+'Parametros'!$B$12/2)+ROUNDDOWN(Z73/2,0)*('Parametros'!$B$7+'Parametros'!$B$9+'Parametros'!$B$12/2+'Parametros'!$B$12+'Parametros'!$B$10))/Z73)</f>
        <v>342.55</v>
      </c>
      <c r="AC73" s="10">
        <f>Z73*'Parametros'!$B$8</f>
        <v>597</v>
      </c>
      <c r="AD73" s="10">
        <f>'Parametros'!$B$5*AC73*'Parametros'!$B$3*(AB73-(AC73*'Parametros'!$B$3/(0.85*'Parametros'!$B$2*H73))/2)/1000000</f>
        <v>73.3394588294118</v>
      </c>
      <c r="AE73" s="10" t="str">
        <f>IF(AD73&gt;=L73,"CUMPLE","NO CUMPLE")</f>
        <v>CUMPLE</v>
      </c>
      <c r="AF73" s="10">
        <f>V73*1.25*'Parametros'!$B$3*(U73-(V73*1.25*'Parametros'!$B$3/(0.85*'Parametros'!$B$2*H73))/2)/1000000</f>
        <v>130.921924411765</v>
      </c>
      <c r="AG73" s="10">
        <f>AC73*1.25*'Parametros'!$B$3*(AB73-(AC73*1.25*'Parametros'!$B$3/(0.85*'Parametros'!$B$2*H73))/2)/1000000</f>
        <v>100.484515919118</v>
      </c>
      <c r="AH73" s="10">
        <f>N73+(AF73+AG73)/D73</f>
        <v>112.964653284702</v>
      </c>
      <c r="AI73" s="10">
        <f>MIN(O73,MAX(N73,AH73))</f>
        <v>112.964653284702</v>
      </c>
      <c r="AJ73" s="10">
        <f>0.17*SQRT('Parametros'!$B$2)*H73*MIN(U73,AB73)/1000</f>
        <v>92.4428153837279</v>
      </c>
      <c r="AK73" s="10">
        <f>MAX(AI73/'Parametros'!$B$6-AJ73,0)</f>
        <v>58.176722329208</v>
      </c>
      <c r="AL73" s="10">
        <f>0.66*SQRT('Parametros'!$B$2)*H73*MIN(U73,AB73)/1000</f>
        <v>358.89563619565</v>
      </c>
      <c r="AM73" s="10" t="str">
        <f>IF(AK73&lt;=AL73,"CUMPLE","NO CUMPLE")</f>
        <v>CUMPLE</v>
      </c>
      <c r="AN73" s="15" t="inlineStr">
        <is>
          <t>Nº3 cerrado</t>
        </is>
      </c>
      <c r="AO73" s="17" t="n">
        <v>2</v>
      </c>
      <c r="AP73" s="10">
        <f>ROUNDDOWN(MIN(IF(AK73=0,1000000000,AO73*'Parametros'!$B$11*'Parametros'!$B$4*MIN(U73,AB73)/(AK73*1000)),IF(AV73=0,1000000000,'Parametros'!$B$11/AV73),MIN(U73,AB73)/4,8*'Parametros'!$B$12,24*'Parametros'!$B$9,300)/10,0)*10</f>
        <v>80</v>
      </c>
      <c r="AQ73" s="10">
        <f>ROUNDDOWN(MIN(IF(AK73=0,1000000000,AO73*'Parametros'!$B$11*'Parametros'!$B$4*MIN(U73,AB73)/(AK73*1000)),IF(AV73=0,1000000000,'Parametros'!$B$11/AV73),MIN(U73,AB73)/2,600)/10,0)*10</f>
        <v>170</v>
      </c>
      <c r="AR73" s="10">
        <f>'Parametros'!$B$6*(AJ73+AO73*'Parametros'!$B$11*'Parametros'!$B$4*MIN(U73,AB73)/AP73/1000)</f>
        <v>260.860380287796</v>
      </c>
      <c r="AS73" s="10" t="str">
        <f>IF(AND(AM73="CUMPLE",AR73&gt;=AI73),"CUMPLE","NO CUMPLE")</f>
        <v>CUMPLE</v>
      </c>
      <c r="AT73" s="10">
        <f>'Parametros'!$B$6*0.083*SQRT('Parametros'!$B$2)*(H73*I73)^2/(2*(H73+I73))/1000000</f>
        <v>3.38807353605471</v>
      </c>
      <c r="AU73" s="10" t="str">
        <f>IF(Q73&lt;=AT73,"DESPRECIABLE","DISEÑAR")</f>
        <v>DISEÑAR</v>
      </c>
      <c r="AV73" s="10">
        <f>IF(Q73&lt;=AT73,0,Q73*1000000/('Parametros'!$B$6*2*0.85*(H73-2*'Parametros'!$B$7)*(I73-2*'Parametros'!$B$7)*'Parametros'!$B$4))</f>
        <v>0.13112479840421</v>
      </c>
      <c r="AW73" s="10">
        <f>AV73*2*((H73-2*'Parametros'!$B$7)+(I73-2*'Parametros'!$B$7))*'Parametros'!$B$4/'Parametros'!$B$3</f>
        <v>141.614782276547</v>
      </c>
      <c r="AX73" s="17" t="n">
        <v>1</v>
      </c>
      <c r="AY73" s="10" t="str">
        <f>IF(AV73=0,"DESPRECIABLE",IF('Parametros'!$B$11/AP73&gt;=AV73,"CUMPLE","NO CUMPLE"))</f>
        <v>CUMPLE</v>
      </c>
      <c r="AZ73" s="10" t="str">
        <f>IF(AND(X73="CUMPLE",AE73="CUMPLE",AS73="CUMPLE",OR(AY73="CUMPLE",AY73="DESPRECIABLE")),IF(OR(F73&lt;&gt;H73,G73&lt;&gt;I73),"CUMPLE - REANALIZAR SAP","CUMPLE"),"NO CUMPLE")</f>
        <v>CUMPLE</v>
      </c>
    </row>
    <row r="74">
      <c r="A74" s="15" t="inlineStr">
        <is>
          <t>VC3</t>
        </is>
      </c>
      <c r="B74" s="15" t="inlineStr">
        <is>
          <t>259</t>
        </is>
      </c>
      <c r="C74" s="10" t="n">
        <v>1</v>
      </c>
      <c r="D74" s="10" t="n">
        <v>3.81477</v>
      </c>
      <c r="E74" s="10" t="n">
        <v>3.81477</v>
      </c>
      <c r="F74" s="10" t="n">
        <v>300</v>
      </c>
      <c r="G74" s="10" t="n">
        <v>400</v>
      </c>
      <c r="H74" s="15" t="n">
        <v>300</v>
      </c>
      <c r="I74" s="15" t="n">
        <v>400</v>
      </c>
      <c r="J74" s="16" t="n">
        <v>91.039</v>
      </c>
      <c r="K74" s="10" t="inlineStr">
        <is>
          <t>259</t>
        </is>
      </c>
      <c r="L74" s="16" t="n">
        <v>66.4196</v>
      </c>
      <c r="M74" s="10" t="inlineStr">
        <is>
          <t>259</t>
        </is>
      </c>
      <c r="N74" s="16" t="n">
        <v>52.303</v>
      </c>
      <c r="O74" s="16" t="n">
        <v>191.753</v>
      </c>
      <c r="P74" s="10" t="inlineStr">
        <is>
          <t>259</t>
        </is>
      </c>
      <c r="Q74" s="16" t="n">
        <v>4.9423</v>
      </c>
      <c r="R74" s="10">
        <f>MAX(MAX(1.4/'Parametros'!$B$3,0.25*SQRT('Parametros'!$B$2)/'Parametros'!$B$3)*H74*U74,(0.85*'Parametros'!$B$2/'Parametros'!$B$3)*(1-SQRT(1-2*(J74*1000000/('Parametros'!$B$5*H74*U74^2))/(0.85*'Parametros'!$B$2)))*H74*U74)</f>
        <v>751.593686768175</v>
      </c>
      <c r="S74" s="17" t="n">
        <v>4</v>
      </c>
      <c r="T74" s="18" t="n">
        <v>1</v>
      </c>
      <c r="U74" s="10">
        <f>IF(T74=1,I74-('Parametros'!$B$7+'Parametros'!$B$9+'Parametros'!$B$12/2),I74-(ROUNDUP(S74/2,0)*('Parametros'!$B$7+'Parametros'!$B$9+'Parametros'!$B$12/2)+ROUNDDOWN(S74/2,0)*('Parametros'!$B$7+'Parametros'!$B$9+'Parametros'!$B$12/2+'Parametros'!$B$12+'Parametros'!$B$10))/S74)</f>
        <v>342.55</v>
      </c>
      <c r="V74" s="10">
        <f>S74*'Parametros'!$B$8</f>
        <v>796</v>
      </c>
      <c r="W74" s="10">
        <f>'Parametros'!$B$5*V74*'Parametros'!$B$3*(U74-(V74*'Parametros'!$B$3/(0.85*'Parametros'!$B$2*H74))/2)/1000000</f>
        <v>96.0248653411765</v>
      </c>
      <c r="X74" s="10" t="str">
        <f>IF(W74&gt;=J74,"CUMPLE","NO CUMPLE")</f>
        <v>CUMPLE</v>
      </c>
      <c r="Y74" s="10">
        <f>MAX(MAX(1.4/'Parametros'!$B$3,0.25*SQRT('Parametros'!$B$2)/'Parametros'!$B$3)*H74*AB74,(0.85*'Parametros'!$B$2/'Parametros'!$B$3)*(1-SQRT(1-2*(L74*1000000/('Parametros'!$B$5*H74*AB74^2))/(0.85*'Parametros'!$B$2)))*H74*AB74)</f>
        <v>537.788961940723</v>
      </c>
      <c r="Z74" s="17" t="n">
        <v>3</v>
      </c>
      <c r="AA74" s="18" t="n">
        <v>1</v>
      </c>
      <c r="AB74" s="10">
        <f>IF(AA74=1,I74-('Parametros'!$B$7+'Parametros'!$B$9+'Parametros'!$B$12/2),I74-(ROUNDUP(Z74/2,0)*('Parametros'!$B$7+'Parametros'!$B$9+'Parametros'!$B$12/2)+ROUNDDOWN(Z74/2,0)*('Parametros'!$B$7+'Parametros'!$B$9+'Parametros'!$B$12/2+'Parametros'!$B$12+'Parametros'!$B$10))/Z74)</f>
        <v>342.55</v>
      </c>
      <c r="AC74" s="10">
        <f>Z74*'Parametros'!$B$8</f>
        <v>597</v>
      </c>
      <c r="AD74" s="10">
        <f>'Parametros'!$B$5*AC74*'Parametros'!$B$3*(AB74-(AC74*'Parametros'!$B$3/(0.85*'Parametros'!$B$2*H74))/2)/1000000</f>
        <v>73.3394588294118</v>
      </c>
      <c r="AE74" s="10" t="str">
        <f>IF(AD74&gt;=L74,"CUMPLE","NO CUMPLE")</f>
        <v>CUMPLE</v>
      </c>
      <c r="AF74" s="10">
        <f>V74*1.25*'Parametros'!$B$3*(U74-(V74*1.25*'Parametros'!$B$3/(0.85*'Parametros'!$B$2*H74))/2)/1000000</f>
        <v>130.921924411765</v>
      </c>
      <c r="AG74" s="10">
        <f>AC74*1.25*'Parametros'!$B$3*(AB74-(AC74*1.25*'Parametros'!$B$3/(0.85*'Parametros'!$B$2*H74))/2)/1000000</f>
        <v>100.484515919118</v>
      </c>
      <c r="AH74" s="10">
        <f>N74+(AF74+AG74)/D74</f>
        <v>112.963653284702</v>
      </c>
      <c r="AI74" s="10">
        <f>MIN(O74,MAX(N74,AH74))</f>
        <v>112.963653284702</v>
      </c>
      <c r="AJ74" s="10">
        <f>0.17*SQRT('Parametros'!$B$2)*H74*MIN(U74,AB74)/1000</f>
        <v>92.4428153837279</v>
      </c>
      <c r="AK74" s="10">
        <f>MAX(AI74/'Parametros'!$B$6-AJ74,0)</f>
        <v>58.1753889958746</v>
      </c>
      <c r="AL74" s="10">
        <f>0.66*SQRT('Parametros'!$B$2)*H74*MIN(U74,AB74)/1000</f>
        <v>358.89563619565</v>
      </c>
      <c r="AM74" s="10" t="str">
        <f>IF(AK74&lt;=AL74,"CUMPLE","NO CUMPLE")</f>
        <v>CUMPLE</v>
      </c>
      <c r="AN74" s="15" t="inlineStr">
        <is>
          <t>Nº3 cerrado</t>
        </is>
      </c>
      <c r="AO74" s="17" t="n">
        <v>2</v>
      </c>
      <c r="AP74" s="10">
        <f>ROUNDDOWN(MIN(IF(AK74=0,1000000000,AO74*'Parametros'!$B$11*'Parametros'!$B$4*MIN(U74,AB74)/(AK74*1000)),IF(AV74=0,1000000000,'Parametros'!$B$11/AV74),MIN(U74,AB74)/4,8*'Parametros'!$B$12,24*'Parametros'!$B$9,300)/10,0)*10</f>
        <v>80</v>
      </c>
      <c r="AQ74" s="10">
        <f>ROUNDDOWN(MIN(IF(AK74=0,1000000000,AO74*'Parametros'!$B$11*'Parametros'!$B$4*MIN(U74,AB74)/(AK74*1000)),IF(AV74=0,1000000000,'Parametros'!$B$11/AV74),MIN(U74,AB74)/2,600)/10,0)*10</f>
        <v>170</v>
      </c>
      <c r="AR74" s="10">
        <f>'Parametros'!$B$6*(AJ74+AO74*'Parametros'!$B$11*'Parametros'!$B$4*MIN(U74,AB74)/AP74/1000)</f>
        <v>260.860380287796</v>
      </c>
      <c r="AS74" s="10" t="str">
        <f>IF(AND(AM74="CUMPLE",AR74&gt;=AI74),"CUMPLE","NO CUMPLE")</f>
        <v>CUMPLE</v>
      </c>
      <c r="AT74" s="10">
        <f>'Parametros'!$B$6*0.083*SQRT('Parametros'!$B$2)*(H74*I74)^2/(2*(H74+I74))/1000000</f>
        <v>3.38807353605471</v>
      </c>
      <c r="AU74" s="10" t="str">
        <f>IF(Q74&lt;=AT74,"DESPRECIABLE","DISEÑAR")</f>
        <v>DISEÑAR</v>
      </c>
      <c r="AV74" s="10">
        <f>IF(Q74&lt;=AT74,0,Q74*1000000/('Parametros'!$B$6*2*0.85*(H74-2*'Parametros'!$B$7)*(I74-2*'Parametros'!$B$7)*'Parametros'!$B$4))</f>
        <v>0.13109827264239</v>
      </c>
      <c r="AW74" s="10">
        <f>AV74*2*((H74-2*'Parametros'!$B$7)+(I74-2*'Parametros'!$B$7))*'Parametros'!$B$4/'Parametros'!$B$3</f>
        <v>141.586134453782</v>
      </c>
      <c r="AX74" s="17" t="n">
        <v>1</v>
      </c>
      <c r="AY74" s="10" t="str">
        <f>IF(AV74=0,"DESPRECIABLE",IF('Parametros'!$B$11/AP74&gt;=AV74,"CUMPLE","NO CUMPLE"))</f>
        <v>CUMPLE</v>
      </c>
      <c r="AZ74" s="10" t="str">
        <f>IF(AND(X74="CUMPLE",AE74="CUMPLE",AS74="CUMPLE",OR(AY74="CUMPLE",AY74="DESPRECIABLE")),IF(OR(F74&lt;&gt;H74,G74&lt;&gt;I74),"CUMPLE - REANALIZAR SAP","CUMPLE"),"NO CUMPLE")</f>
        <v>CUMPLE</v>
      </c>
    </row>
    <row r="75">
      <c r="A75" s="15" t="inlineStr">
        <is>
          <t>VC3</t>
        </is>
      </c>
      <c r="B75" s="15" t="inlineStr">
        <is>
          <t>260</t>
        </is>
      </c>
      <c r="C75" s="10" t="n">
        <v>1</v>
      </c>
      <c r="D75" s="10" t="n">
        <v>4</v>
      </c>
      <c r="E75" s="10" t="n">
        <v>4</v>
      </c>
      <c r="F75" s="10" t="n">
        <v>300</v>
      </c>
      <c r="G75" s="10" t="n">
        <v>400</v>
      </c>
      <c r="H75" s="15" t="n">
        <v>300</v>
      </c>
      <c r="I75" s="15" t="n">
        <v>400</v>
      </c>
      <c r="J75" s="16" t="n">
        <v>82.4203</v>
      </c>
      <c r="K75" s="10" t="inlineStr">
        <is>
          <t>260</t>
        </is>
      </c>
      <c r="L75" s="16" t="n">
        <v>70.3567</v>
      </c>
      <c r="M75" s="10" t="inlineStr">
        <is>
          <t>260</t>
        </is>
      </c>
      <c r="N75" s="16" t="n">
        <v>44.7</v>
      </c>
      <c r="O75" s="16" t="n">
        <v>192.811</v>
      </c>
      <c r="P75" s="10" t="inlineStr">
        <is>
          <t>260</t>
        </is>
      </c>
      <c r="Q75" s="16" t="n">
        <v>0.6937</v>
      </c>
      <c r="R75" s="10">
        <f>MAX(MAX(1.4/'Parametros'!$B$3,0.25*SQRT('Parametros'!$B$2)/'Parametros'!$B$3)*H75*U75,(0.85*'Parametros'!$B$2/'Parametros'!$B$3)*(1-SQRT(1-2*(J75*1000000/('Parametros'!$B$5*H75*U75^2))/(0.85*'Parametros'!$B$2)))*H75*U75)</f>
        <v>675.735107165274</v>
      </c>
      <c r="S75" s="17" t="n">
        <v>4</v>
      </c>
      <c r="T75" s="18" t="n">
        <v>1</v>
      </c>
      <c r="U75" s="10">
        <f>IF(T75=1,I75-('Parametros'!$B$7+'Parametros'!$B$9+'Parametros'!$B$12/2),I75-(ROUNDUP(S75/2,0)*('Parametros'!$B$7+'Parametros'!$B$9+'Parametros'!$B$12/2)+ROUNDDOWN(S75/2,0)*('Parametros'!$B$7+'Parametros'!$B$9+'Parametros'!$B$12/2+'Parametros'!$B$12+'Parametros'!$B$10))/S75)</f>
        <v>342.55</v>
      </c>
      <c r="V75" s="10">
        <f>S75*'Parametros'!$B$8</f>
        <v>796</v>
      </c>
      <c r="W75" s="10">
        <f>'Parametros'!$B$5*V75*'Parametros'!$B$3*(U75-(V75*'Parametros'!$B$3/(0.85*'Parametros'!$B$2*H75))/2)/1000000</f>
        <v>96.0248653411765</v>
      </c>
      <c r="X75" s="10" t="str">
        <f>IF(W75&gt;=J75,"CUMPLE","NO CUMPLE")</f>
        <v>CUMPLE</v>
      </c>
      <c r="Y75" s="10">
        <f>MAX(MAX(1.4/'Parametros'!$B$3,0.25*SQRT('Parametros'!$B$2)/'Parametros'!$B$3)*H75*AB75,(0.85*'Parametros'!$B$2/'Parametros'!$B$3)*(1-SQRT(1-2*(L75*1000000/('Parametros'!$B$5*H75*AB75^2))/(0.85*'Parametros'!$B$2)))*H75*AB75)</f>
        <v>571.395620988357</v>
      </c>
      <c r="Z75" s="17" t="n">
        <v>3</v>
      </c>
      <c r="AA75" s="18" t="n">
        <v>1</v>
      </c>
      <c r="AB75" s="10">
        <f>IF(AA75=1,I75-('Parametros'!$B$7+'Parametros'!$B$9+'Parametros'!$B$12/2),I75-(ROUNDUP(Z75/2,0)*('Parametros'!$B$7+'Parametros'!$B$9+'Parametros'!$B$12/2)+ROUNDDOWN(Z75/2,0)*('Parametros'!$B$7+'Parametros'!$B$9+'Parametros'!$B$12/2+'Parametros'!$B$12+'Parametros'!$B$10))/Z75)</f>
        <v>342.55</v>
      </c>
      <c r="AC75" s="10">
        <f>Z75*'Parametros'!$B$8</f>
        <v>597</v>
      </c>
      <c r="AD75" s="10">
        <f>'Parametros'!$B$5*AC75*'Parametros'!$B$3*(AB75-(AC75*'Parametros'!$B$3/(0.85*'Parametros'!$B$2*H75))/2)/1000000</f>
        <v>73.3394588294118</v>
      </c>
      <c r="AE75" s="10" t="str">
        <f>IF(AD75&gt;=L75,"CUMPLE","NO CUMPLE")</f>
        <v>CUMPLE</v>
      </c>
      <c r="AF75" s="10">
        <f>V75*1.25*'Parametros'!$B$3*(U75-(V75*1.25*'Parametros'!$B$3/(0.85*'Parametros'!$B$2*H75))/2)/1000000</f>
        <v>130.921924411765</v>
      </c>
      <c r="AG75" s="10">
        <f>AC75*1.25*'Parametros'!$B$3*(AB75-(AC75*1.25*'Parametros'!$B$3/(0.85*'Parametros'!$B$2*H75))/2)/1000000</f>
        <v>100.484515919118</v>
      </c>
      <c r="AH75" s="10">
        <f>N75+(AF75+AG75)/D75</f>
        <v>102.551610082721</v>
      </c>
      <c r="AI75" s="10">
        <f>MIN(O75,MAX(N75,AH75))</f>
        <v>102.551610082721</v>
      </c>
      <c r="AJ75" s="10">
        <f>0.17*SQRT('Parametros'!$B$2)*H75*MIN(U75,AB75)/1000</f>
        <v>92.4428153837279</v>
      </c>
      <c r="AK75" s="10">
        <f>MAX(AI75/'Parametros'!$B$6-AJ75,0)</f>
        <v>44.2926647265662</v>
      </c>
      <c r="AL75" s="10">
        <f>0.66*SQRT('Parametros'!$B$2)*H75*MIN(U75,AB75)/1000</f>
        <v>358.89563619565</v>
      </c>
      <c r="AM75" s="10" t="str">
        <f>IF(AK75&lt;=AL75,"CUMPLE","NO CUMPLE")</f>
        <v>CUMPLE</v>
      </c>
      <c r="AN75" s="15" t="inlineStr">
        <is>
          <t>Nº3 cerrado</t>
        </is>
      </c>
      <c r="AO75" s="17" t="n">
        <v>2</v>
      </c>
      <c r="AP75" s="10">
        <f>ROUNDDOWN(MIN(IF(AK75=0,1000000000,AO75*'Parametros'!$B$11*'Parametros'!$B$4*MIN(U75,AB75)/(AK75*1000)),IF(AV75=0,1000000000,'Parametros'!$B$11/AV75),MIN(U75,AB75)/4,8*'Parametros'!$B$12,24*'Parametros'!$B$9,300)/10,0)*10</f>
        <v>80</v>
      </c>
      <c r="AQ75" s="10">
        <f>ROUNDDOWN(MIN(IF(AK75=0,1000000000,AO75*'Parametros'!$B$11*'Parametros'!$B$4*MIN(U75,AB75)/(AK75*1000)),IF(AV75=0,1000000000,'Parametros'!$B$11/AV75),MIN(U75,AB75)/2,600)/10,0)*10</f>
        <v>170</v>
      </c>
      <c r="AR75" s="10">
        <f>'Parametros'!$B$6*(AJ75+AO75*'Parametros'!$B$11*'Parametros'!$B$4*MIN(U75,AB75)/AP75/1000)</f>
        <v>260.860380287796</v>
      </c>
      <c r="AS75" s="10" t="str">
        <f>IF(AND(AM75="CUMPLE",AR75&gt;=AI75),"CUMPLE","NO CUMPLE")</f>
        <v>CUMPLE</v>
      </c>
      <c r="AT75" s="10">
        <f>'Parametros'!$B$6*0.083*SQRT('Parametros'!$B$2)*(H75*I75)^2/(2*(H75+I75))/1000000</f>
        <v>3.38807353605471</v>
      </c>
      <c r="AU75" s="10" t="str">
        <f>IF(Q75&lt;=AT75,"DESPRECIABLE","DISEÑAR")</f>
        <v>DESPRECIABLE</v>
      </c>
      <c r="AV75" s="10">
        <f>IF(Q75&lt;=AT75,0,Q75*1000000/('Parametros'!$B$6*2*0.85*(H75-2*'Parametros'!$B$7)*(I75-2*'Parametros'!$B$7)*'Parametros'!$B$4))</f>
        <v>0</v>
      </c>
      <c r="AW75" s="10">
        <f>AV75*2*((H75-2*'Parametros'!$B$7)+(I75-2*'Parametros'!$B$7))*'Parametros'!$B$4/'Parametros'!$B$3</f>
        <v>0</v>
      </c>
      <c r="AX75" s="17" t="n">
        <v>0</v>
      </c>
      <c r="AY75" s="10" t="str">
        <f>IF(AV75=0,"DESPRECIABLE",IF('Parametros'!$B$11/AP75&gt;=AV75,"CUMPLE","NO CUMPLE"))</f>
        <v>DESPRECIABLE</v>
      </c>
      <c r="AZ75" s="10" t="str">
        <f>IF(AND(X75="CUMPLE",AE75="CUMPLE",AS75="CUMPLE",OR(AY75="CUMPLE",AY75="DESPRECIABLE")),IF(OR(F75&lt;&gt;H75,G75&lt;&gt;I75),"CUMPLE - REANALIZAR SAP","CUMPLE"),"NO CUMPLE")</f>
        <v>CUMPLE</v>
      </c>
    </row>
    <row r="76">
      <c r="A76" s="15" t="inlineStr">
        <is>
          <t>VC3</t>
        </is>
      </c>
      <c r="B76" s="15" t="inlineStr">
        <is>
          <t>289</t>
        </is>
      </c>
      <c r="C76" s="10" t="n">
        <v>1</v>
      </c>
      <c r="D76" s="10" t="n">
        <v>4</v>
      </c>
      <c r="E76" s="10" t="n">
        <v>4</v>
      </c>
      <c r="F76" s="10" t="n">
        <v>300</v>
      </c>
      <c r="G76" s="10" t="n">
        <v>400</v>
      </c>
      <c r="H76" s="15" t="n">
        <v>300</v>
      </c>
      <c r="I76" s="15" t="n">
        <v>400</v>
      </c>
      <c r="J76" s="16" t="n">
        <v>82.4288</v>
      </c>
      <c r="K76" s="10" t="inlineStr">
        <is>
          <t>289</t>
        </is>
      </c>
      <c r="L76" s="16" t="n">
        <v>70.3614</v>
      </c>
      <c r="M76" s="10" t="inlineStr">
        <is>
          <t>289</t>
        </is>
      </c>
      <c r="N76" s="16" t="n">
        <v>44.705</v>
      </c>
      <c r="O76" s="16" t="n">
        <v>192.828</v>
      </c>
      <c r="P76" s="10" t="inlineStr">
        <is>
          <t>289</t>
        </is>
      </c>
      <c r="Q76" s="16" t="n">
        <v>0.6935</v>
      </c>
      <c r="R76" s="10">
        <f>MAX(MAX(1.4/'Parametros'!$B$3,0.25*SQRT('Parametros'!$B$2)/'Parametros'!$B$3)*H76*U76,(0.85*'Parametros'!$B$2/'Parametros'!$B$3)*(1-SQRT(1-2*(J76*1000000/('Parametros'!$B$5*H76*U76^2))/(0.85*'Parametros'!$B$2)))*H76*U76)</f>
        <v>675.809370275033</v>
      </c>
      <c r="S76" s="17" t="n">
        <v>4</v>
      </c>
      <c r="T76" s="18" t="n">
        <v>1</v>
      </c>
      <c r="U76" s="10">
        <f>IF(T76=1,I76-('Parametros'!$B$7+'Parametros'!$B$9+'Parametros'!$B$12/2),I76-(ROUNDUP(S76/2,0)*('Parametros'!$B$7+'Parametros'!$B$9+'Parametros'!$B$12/2)+ROUNDDOWN(S76/2,0)*('Parametros'!$B$7+'Parametros'!$B$9+'Parametros'!$B$12/2+'Parametros'!$B$12+'Parametros'!$B$10))/S76)</f>
        <v>342.55</v>
      </c>
      <c r="V76" s="10">
        <f>S76*'Parametros'!$B$8</f>
        <v>796</v>
      </c>
      <c r="W76" s="10">
        <f>'Parametros'!$B$5*V76*'Parametros'!$B$3*(U76-(V76*'Parametros'!$B$3/(0.85*'Parametros'!$B$2*H76))/2)/1000000</f>
        <v>96.0248653411765</v>
      </c>
      <c r="X76" s="10" t="str">
        <f>IF(W76&gt;=J76,"CUMPLE","NO CUMPLE")</f>
        <v>CUMPLE</v>
      </c>
      <c r="Y76" s="10">
        <f>MAX(MAX(1.4/'Parametros'!$B$3,0.25*SQRT('Parametros'!$B$2)/'Parametros'!$B$3)*H76*AB76,(0.85*'Parametros'!$B$2/'Parametros'!$B$3)*(1-SQRT(1-2*(L76*1000000/('Parametros'!$B$5*H76*AB76^2))/(0.85*'Parametros'!$B$2)))*H76*AB76)</f>
        <v>571.435868190834</v>
      </c>
      <c r="Z76" s="17" t="n">
        <v>3</v>
      </c>
      <c r="AA76" s="18" t="n">
        <v>1</v>
      </c>
      <c r="AB76" s="10">
        <f>IF(AA76=1,I76-('Parametros'!$B$7+'Parametros'!$B$9+'Parametros'!$B$12/2),I76-(ROUNDUP(Z76/2,0)*('Parametros'!$B$7+'Parametros'!$B$9+'Parametros'!$B$12/2)+ROUNDDOWN(Z76/2,0)*('Parametros'!$B$7+'Parametros'!$B$9+'Parametros'!$B$12/2+'Parametros'!$B$12+'Parametros'!$B$10))/Z76)</f>
        <v>342.55</v>
      </c>
      <c r="AC76" s="10">
        <f>Z76*'Parametros'!$B$8</f>
        <v>597</v>
      </c>
      <c r="AD76" s="10">
        <f>'Parametros'!$B$5*AC76*'Parametros'!$B$3*(AB76-(AC76*'Parametros'!$B$3/(0.85*'Parametros'!$B$2*H76))/2)/1000000</f>
        <v>73.3394588294118</v>
      </c>
      <c r="AE76" s="10" t="str">
        <f>IF(AD76&gt;=L76,"CUMPLE","NO CUMPLE")</f>
        <v>CUMPLE</v>
      </c>
      <c r="AF76" s="10">
        <f>V76*1.25*'Parametros'!$B$3*(U76-(V76*1.25*'Parametros'!$B$3/(0.85*'Parametros'!$B$2*H76))/2)/1000000</f>
        <v>130.921924411765</v>
      </c>
      <c r="AG76" s="10">
        <f>AC76*1.25*'Parametros'!$B$3*(AB76-(AC76*1.25*'Parametros'!$B$3/(0.85*'Parametros'!$B$2*H76))/2)/1000000</f>
        <v>100.484515919118</v>
      </c>
      <c r="AH76" s="10">
        <f>N76+(AF76+AG76)/D76</f>
        <v>102.556610082721</v>
      </c>
      <c r="AI76" s="10">
        <f>MIN(O76,MAX(N76,AH76))</f>
        <v>102.556610082721</v>
      </c>
      <c r="AJ76" s="10">
        <f>0.17*SQRT('Parametros'!$B$2)*H76*MIN(U76,AB76)/1000</f>
        <v>92.4428153837279</v>
      </c>
      <c r="AK76" s="10">
        <f>MAX(AI76/'Parametros'!$B$6-AJ76,0)</f>
        <v>44.2993313932329</v>
      </c>
      <c r="AL76" s="10">
        <f>0.66*SQRT('Parametros'!$B$2)*H76*MIN(U76,AB76)/1000</f>
        <v>358.89563619565</v>
      </c>
      <c r="AM76" s="10" t="str">
        <f>IF(AK76&lt;=AL76,"CUMPLE","NO CUMPLE")</f>
        <v>CUMPLE</v>
      </c>
      <c r="AN76" s="15" t="inlineStr">
        <is>
          <t>Nº3 cerrado</t>
        </is>
      </c>
      <c r="AO76" s="17" t="n">
        <v>2</v>
      </c>
      <c r="AP76" s="10">
        <f>ROUNDDOWN(MIN(IF(AK76=0,1000000000,AO76*'Parametros'!$B$11*'Parametros'!$B$4*MIN(U76,AB76)/(AK76*1000)),IF(AV76=0,1000000000,'Parametros'!$B$11/AV76),MIN(U76,AB76)/4,8*'Parametros'!$B$12,24*'Parametros'!$B$9,300)/10,0)*10</f>
        <v>80</v>
      </c>
      <c r="AQ76" s="10">
        <f>ROUNDDOWN(MIN(IF(AK76=0,1000000000,AO76*'Parametros'!$B$11*'Parametros'!$B$4*MIN(U76,AB76)/(AK76*1000)),IF(AV76=0,1000000000,'Parametros'!$B$11/AV76),MIN(U76,AB76)/2,600)/10,0)*10</f>
        <v>170</v>
      </c>
      <c r="AR76" s="10">
        <f>'Parametros'!$B$6*(AJ76+AO76*'Parametros'!$B$11*'Parametros'!$B$4*MIN(U76,AB76)/AP76/1000)</f>
        <v>260.860380287796</v>
      </c>
      <c r="AS76" s="10" t="str">
        <f>IF(AND(AM76="CUMPLE",AR76&gt;=AI76),"CUMPLE","NO CUMPLE")</f>
        <v>CUMPLE</v>
      </c>
      <c r="AT76" s="10">
        <f>'Parametros'!$B$6*0.083*SQRT('Parametros'!$B$2)*(H76*I76)^2/(2*(H76+I76))/1000000</f>
        <v>3.38807353605471</v>
      </c>
      <c r="AU76" s="10" t="str">
        <f>IF(Q76&lt;=AT76,"DESPRECIABLE","DISEÑAR")</f>
        <v>DESPRECIABLE</v>
      </c>
      <c r="AV76" s="10">
        <f>IF(Q76&lt;=AT76,0,Q76*1000000/('Parametros'!$B$6*2*0.85*(H76-2*'Parametros'!$B$7)*(I76-2*'Parametros'!$B$7)*'Parametros'!$B$4))</f>
        <v>0</v>
      </c>
      <c r="AW76" s="10">
        <f>AV76*2*((H76-2*'Parametros'!$B$7)+(I76-2*'Parametros'!$B$7))*'Parametros'!$B$4/'Parametros'!$B$3</f>
        <v>0</v>
      </c>
      <c r="AX76" s="17" t="n">
        <v>0</v>
      </c>
      <c r="AY76" s="10" t="str">
        <f>IF(AV76=0,"DESPRECIABLE",IF('Parametros'!$B$11/AP76&gt;=AV76,"CUMPLE","NO CUMPLE"))</f>
        <v>DESPRECIABLE</v>
      </c>
      <c r="AZ76" s="10" t="str">
        <f>IF(AND(X76="CUMPLE",AE76="CUMPLE",AS76="CUMPLE",OR(AY76="CUMPLE",AY76="DESPRECIABLE")),IF(OR(F76&lt;&gt;H76,G76&lt;&gt;I76),"CUMPLE - REANALIZAR SAP","CUMPLE"),"NO CUMPLE")</f>
        <v>CUMPLE</v>
      </c>
    </row>
    <row r="77">
      <c r="A77" s="15" t="inlineStr">
        <is>
          <t>VC3</t>
        </is>
      </c>
      <c r="B77" s="15" t="inlineStr">
        <is>
          <t>290</t>
        </is>
      </c>
      <c r="C77" s="10" t="n">
        <v>1</v>
      </c>
      <c r="D77" s="10" t="n">
        <v>3.81477</v>
      </c>
      <c r="E77" s="10" t="n">
        <v>3.81477</v>
      </c>
      <c r="F77" s="10" t="n">
        <v>300</v>
      </c>
      <c r="G77" s="10" t="n">
        <v>400</v>
      </c>
      <c r="H77" s="15" t="n">
        <v>300</v>
      </c>
      <c r="I77" s="15" t="n">
        <v>400</v>
      </c>
      <c r="J77" s="16" t="n">
        <v>91.0671</v>
      </c>
      <c r="K77" s="10" t="inlineStr">
        <is>
          <t>290</t>
        </is>
      </c>
      <c r="L77" s="16" t="n">
        <v>66.4355</v>
      </c>
      <c r="M77" s="10" t="inlineStr">
        <is>
          <t>290</t>
        </is>
      </c>
      <c r="N77" s="16" t="n">
        <v>52.32</v>
      </c>
      <c r="O77" s="16" t="n">
        <v>191.714</v>
      </c>
      <c r="P77" s="10" t="inlineStr">
        <is>
          <t>290</t>
        </is>
      </c>
      <c r="Q77" s="16" t="n">
        <v>4.9448</v>
      </c>
      <c r="R77" s="10">
        <f>MAX(MAX(1.4/'Parametros'!$B$3,0.25*SQRT('Parametros'!$B$2)/'Parametros'!$B$3)*H77*U77,(0.85*'Parametros'!$B$2/'Parametros'!$B$3)*(1-SQRT(1-2*(J77*1000000/('Parametros'!$B$5*H77*U77^2))/(0.85*'Parametros'!$B$2)))*H77*U77)</f>
        <v>751.84286823144</v>
      </c>
      <c r="S77" s="17" t="n">
        <v>4</v>
      </c>
      <c r="T77" s="18" t="n">
        <v>1</v>
      </c>
      <c r="U77" s="10">
        <f>IF(T77=1,I77-('Parametros'!$B$7+'Parametros'!$B$9+'Parametros'!$B$12/2),I77-(ROUNDUP(S77/2,0)*('Parametros'!$B$7+'Parametros'!$B$9+'Parametros'!$B$12/2)+ROUNDDOWN(S77/2,0)*('Parametros'!$B$7+'Parametros'!$B$9+'Parametros'!$B$12/2+'Parametros'!$B$12+'Parametros'!$B$10))/S77)</f>
        <v>342.55</v>
      </c>
      <c r="V77" s="10">
        <f>S77*'Parametros'!$B$8</f>
        <v>796</v>
      </c>
      <c r="W77" s="10">
        <f>'Parametros'!$B$5*V77*'Parametros'!$B$3*(U77-(V77*'Parametros'!$B$3/(0.85*'Parametros'!$B$2*H77))/2)/1000000</f>
        <v>96.0248653411765</v>
      </c>
      <c r="X77" s="10" t="str">
        <f>IF(W77&gt;=J77,"CUMPLE","NO CUMPLE")</f>
        <v>CUMPLE</v>
      </c>
      <c r="Y77" s="10">
        <f>MAX(MAX(1.4/'Parametros'!$B$3,0.25*SQRT('Parametros'!$B$2)/'Parametros'!$B$3)*H77*AB77,(0.85*'Parametros'!$B$2/'Parametros'!$B$3)*(1-SQRT(1-2*(L77*1000000/('Parametros'!$B$5*H77*AB77^2))/(0.85*'Parametros'!$B$2)))*H77*AB77)</f>
        <v>537.924252879896</v>
      </c>
      <c r="Z77" s="17" t="n">
        <v>3</v>
      </c>
      <c r="AA77" s="18" t="n">
        <v>1</v>
      </c>
      <c r="AB77" s="10">
        <f>IF(AA77=1,I77-('Parametros'!$B$7+'Parametros'!$B$9+'Parametros'!$B$12/2),I77-(ROUNDUP(Z77/2,0)*('Parametros'!$B$7+'Parametros'!$B$9+'Parametros'!$B$12/2)+ROUNDDOWN(Z77/2,0)*('Parametros'!$B$7+'Parametros'!$B$9+'Parametros'!$B$12/2+'Parametros'!$B$12+'Parametros'!$B$10))/Z77)</f>
        <v>342.55</v>
      </c>
      <c r="AC77" s="10">
        <f>Z77*'Parametros'!$B$8</f>
        <v>597</v>
      </c>
      <c r="AD77" s="10">
        <f>'Parametros'!$B$5*AC77*'Parametros'!$B$3*(AB77-(AC77*'Parametros'!$B$3/(0.85*'Parametros'!$B$2*H77))/2)/1000000</f>
        <v>73.3394588294118</v>
      </c>
      <c r="AE77" s="10" t="str">
        <f>IF(AD77&gt;=L77,"CUMPLE","NO CUMPLE")</f>
        <v>CUMPLE</v>
      </c>
      <c r="AF77" s="10">
        <f>V77*1.25*'Parametros'!$B$3*(U77-(V77*1.25*'Parametros'!$B$3/(0.85*'Parametros'!$B$2*H77))/2)/1000000</f>
        <v>130.921924411765</v>
      </c>
      <c r="AG77" s="10">
        <f>AC77*1.25*'Parametros'!$B$3*(AB77-(AC77*1.25*'Parametros'!$B$3/(0.85*'Parametros'!$B$2*H77))/2)/1000000</f>
        <v>100.484515919118</v>
      </c>
      <c r="AH77" s="10">
        <f>N77+(AF77+AG77)/D77</f>
        <v>112.980653284702</v>
      </c>
      <c r="AI77" s="10">
        <f>MIN(O77,MAX(N77,AH77))</f>
        <v>112.980653284702</v>
      </c>
      <c r="AJ77" s="10">
        <f>0.17*SQRT('Parametros'!$B$2)*H77*MIN(U77,AB77)/1000</f>
        <v>92.4428153837279</v>
      </c>
      <c r="AK77" s="10">
        <f>MAX(AI77/'Parametros'!$B$6-AJ77,0)</f>
        <v>58.1980556625413</v>
      </c>
      <c r="AL77" s="10">
        <f>0.66*SQRT('Parametros'!$B$2)*H77*MIN(U77,AB77)/1000</f>
        <v>358.89563619565</v>
      </c>
      <c r="AM77" s="10" t="str">
        <f>IF(AK77&lt;=AL77,"CUMPLE","NO CUMPLE")</f>
        <v>CUMPLE</v>
      </c>
      <c r="AN77" s="15" t="inlineStr">
        <is>
          <t>Nº3 cerrado</t>
        </is>
      </c>
      <c r="AO77" s="17" t="n">
        <v>2</v>
      </c>
      <c r="AP77" s="10">
        <f>ROUNDDOWN(MIN(IF(AK77=0,1000000000,AO77*'Parametros'!$B$11*'Parametros'!$B$4*MIN(U77,AB77)/(AK77*1000)),IF(AV77=0,1000000000,'Parametros'!$B$11/AV77),MIN(U77,AB77)/4,8*'Parametros'!$B$12,24*'Parametros'!$B$9,300)/10,0)*10</f>
        <v>80</v>
      </c>
      <c r="AQ77" s="10">
        <f>ROUNDDOWN(MIN(IF(AK77=0,1000000000,AO77*'Parametros'!$B$11*'Parametros'!$B$4*MIN(U77,AB77)/(AK77*1000)),IF(AV77=0,1000000000,'Parametros'!$B$11/AV77),MIN(U77,AB77)/2,600)/10,0)*10</f>
        <v>170</v>
      </c>
      <c r="AR77" s="10">
        <f>'Parametros'!$B$6*(AJ77+AO77*'Parametros'!$B$11*'Parametros'!$B$4*MIN(U77,AB77)/AP77/1000)</f>
        <v>260.860380287796</v>
      </c>
      <c r="AS77" s="10" t="str">
        <f>IF(AND(AM77="CUMPLE",AR77&gt;=AI77),"CUMPLE","NO CUMPLE")</f>
        <v>CUMPLE</v>
      </c>
      <c r="AT77" s="10">
        <f>'Parametros'!$B$6*0.083*SQRT('Parametros'!$B$2)*(H77*I77)^2/(2*(H77+I77))/1000000</f>
        <v>3.38807353605471</v>
      </c>
      <c r="AU77" s="10" t="str">
        <f>IF(Q77&lt;=AT77,"DESPRECIABLE","DISEÑAR")</f>
        <v>DISEÑAR</v>
      </c>
      <c r="AV77" s="10">
        <f>IF(Q77&lt;=AT77,0,Q77*1000000/('Parametros'!$B$6*2*0.85*(H77-2*'Parametros'!$B$7)*(I77-2*'Parametros'!$B$7)*'Parametros'!$B$4))</f>
        <v>0.13116458704694</v>
      </c>
      <c r="AW77" s="10">
        <f>AV77*2*((H77-2*'Parametros'!$B$7)+(I77-2*'Parametros'!$B$7))*'Parametros'!$B$4/'Parametros'!$B$3</f>
        <v>141.657754010695</v>
      </c>
      <c r="AX77" s="17" t="n">
        <v>1</v>
      </c>
      <c r="AY77" s="10" t="str">
        <f>IF(AV77=0,"DESPRECIABLE",IF('Parametros'!$B$11/AP77&gt;=AV77,"CUMPLE","NO CUMPLE"))</f>
        <v>CUMPLE</v>
      </c>
      <c r="AZ77" s="10" t="str">
        <f>IF(AND(X77="CUMPLE",AE77="CUMPLE",AS77="CUMPLE",OR(AY77="CUMPLE",AY77="DESPRECIABLE")),IF(OR(F77&lt;&gt;H77,G77&lt;&gt;I77),"CUMPLE - REANALIZAR SAP","CUMPLE"),"NO CUMPLE")</f>
        <v>CUMPLE</v>
      </c>
    </row>
    <row r="78">
      <c r="A78" s="15" t="inlineStr">
        <is>
          <t>VC3</t>
        </is>
      </c>
      <c r="B78" s="15" t="inlineStr">
        <is>
          <t>291</t>
        </is>
      </c>
      <c r="C78" s="10" t="n">
        <v>1</v>
      </c>
      <c r="D78" s="10" t="n">
        <v>3.81477</v>
      </c>
      <c r="E78" s="10" t="n">
        <v>3.81477</v>
      </c>
      <c r="F78" s="10" t="n">
        <v>300</v>
      </c>
      <c r="G78" s="10" t="n">
        <v>400</v>
      </c>
      <c r="H78" s="15" t="n">
        <v>300</v>
      </c>
      <c r="I78" s="15" t="n">
        <v>400</v>
      </c>
      <c r="J78" s="16" t="n">
        <v>91.0257</v>
      </c>
      <c r="K78" s="10" t="inlineStr">
        <is>
          <t>291</t>
        </is>
      </c>
      <c r="L78" s="16" t="n">
        <v>66.4115</v>
      </c>
      <c r="M78" s="10" t="inlineStr">
        <is>
          <t>291</t>
        </is>
      </c>
      <c r="N78" s="16" t="n">
        <v>52.295</v>
      </c>
      <c r="O78" s="16" t="n">
        <v>191.754</v>
      </c>
      <c r="P78" s="10" t="inlineStr">
        <is>
          <t>291</t>
        </is>
      </c>
      <c r="Q78" s="16" t="n">
        <v>4.9473</v>
      </c>
      <c r="R78" s="10">
        <f>MAX(MAX(1.4/'Parametros'!$B$3,0.25*SQRT('Parametros'!$B$2)/'Parametros'!$B$3)*H78*U78,(0.85*'Parametros'!$B$2/'Parametros'!$B$3)*(1-SQRT(1-2*(J78*1000000/('Parametros'!$B$5*H78*U78^2))/(0.85*'Parametros'!$B$2)))*H78*U78)</f>
        <v>751.475751055812</v>
      </c>
      <c r="S78" s="17" t="n">
        <v>4</v>
      </c>
      <c r="T78" s="18" t="n">
        <v>1</v>
      </c>
      <c r="U78" s="10">
        <f>IF(T78=1,I78-('Parametros'!$B$7+'Parametros'!$B$9+'Parametros'!$B$12/2),I78-(ROUNDUP(S78/2,0)*('Parametros'!$B$7+'Parametros'!$B$9+'Parametros'!$B$12/2)+ROUNDDOWN(S78/2,0)*('Parametros'!$B$7+'Parametros'!$B$9+'Parametros'!$B$12/2+'Parametros'!$B$12+'Parametros'!$B$10))/S78)</f>
        <v>342.55</v>
      </c>
      <c r="V78" s="10">
        <f>S78*'Parametros'!$B$8</f>
        <v>796</v>
      </c>
      <c r="W78" s="10">
        <f>'Parametros'!$B$5*V78*'Parametros'!$B$3*(U78-(V78*'Parametros'!$B$3/(0.85*'Parametros'!$B$2*H78))/2)/1000000</f>
        <v>96.0248653411765</v>
      </c>
      <c r="X78" s="10" t="str">
        <f>IF(W78&gt;=J78,"CUMPLE","NO CUMPLE")</f>
        <v>CUMPLE</v>
      </c>
      <c r="Y78" s="10">
        <f>MAX(MAX(1.4/'Parametros'!$B$3,0.25*SQRT('Parametros'!$B$2)/'Parametros'!$B$3)*H78*AB78,(0.85*'Parametros'!$B$2/'Parametros'!$B$3)*(1-SQRT(1-2*(L78*1000000/('Parametros'!$B$5*H78*AB78^2))/(0.85*'Parametros'!$B$2)))*H78*AB78)</f>
        <v>537.720041472934</v>
      </c>
      <c r="Z78" s="17" t="n">
        <v>3</v>
      </c>
      <c r="AA78" s="18" t="n">
        <v>1</v>
      </c>
      <c r="AB78" s="10">
        <f>IF(AA78=1,I78-('Parametros'!$B$7+'Parametros'!$B$9+'Parametros'!$B$12/2),I78-(ROUNDUP(Z78/2,0)*('Parametros'!$B$7+'Parametros'!$B$9+'Parametros'!$B$12/2)+ROUNDDOWN(Z78/2,0)*('Parametros'!$B$7+'Parametros'!$B$9+'Parametros'!$B$12/2+'Parametros'!$B$12+'Parametros'!$B$10))/Z78)</f>
        <v>342.55</v>
      </c>
      <c r="AC78" s="10">
        <f>Z78*'Parametros'!$B$8</f>
        <v>597</v>
      </c>
      <c r="AD78" s="10">
        <f>'Parametros'!$B$5*AC78*'Parametros'!$B$3*(AB78-(AC78*'Parametros'!$B$3/(0.85*'Parametros'!$B$2*H78))/2)/1000000</f>
        <v>73.3394588294118</v>
      </c>
      <c r="AE78" s="10" t="str">
        <f>IF(AD78&gt;=L78,"CUMPLE","NO CUMPLE")</f>
        <v>CUMPLE</v>
      </c>
      <c r="AF78" s="10">
        <f>V78*1.25*'Parametros'!$B$3*(U78-(V78*1.25*'Parametros'!$B$3/(0.85*'Parametros'!$B$2*H78))/2)/1000000</f>
        <v>130.921924411765</v>
      </c>
      <c r="AG78" s="10">
        <f>AC78*1.25*'Parametros'!$B$3*(AB78-(AC78*1.25*'Parametros'!$B$3/(0.85*'Parametros'!$B$2*H78))/2)/1000000</f>
        <v>100.484515919118</v>
      </c>
      <c r="AH78" s="10">
        <f>N78+(AF78+AG78)/D78</f>
        <v>112.955653284702</v>
      </c>
      <c r="AI78" s="10">
        <f>MIN(O78,MAX(N78,AH78))</f>
        <v>112.955653284702</v>
      </c>
      <c r="AJ78" s="10">
        <f>0.17*SQRT('Parametros'!$B$2)*H78*MIN(U78,AB78)/1000</f>
        <v>92.4428153837279</v>
      </c>
      <c r="AK78" s="10">
        <f>MAX(AI78/'Parametros'!$B$6-AJ78,0)</f>
        <v>58.164722329208</v>
      </c>
      <c r="AL78" s="10">
        <f>0.66*SQRT('Parametros'!$B$2)*H78*MIN(U78,AB78)/1000</f>
        <v>358.89563619565</v>
      </c>
      <c r="AM78" s="10" t="str">
        <f>IF(AK78&lt;=AL78,"CUMPLE","NO CUMPLE")</f>
        <v>CUMPLE</v>
      </c>
      <c r="AN78" s="15" t="inlineStr">
        <is>
          <t>Nº3 cerrado</t>
        </is>
      </c>
      <c r="AO78" s="17" t="n">
        <v>2</v>
      </c>
      <c r="AP78" s="10">
        <f>ROUNDDOWN(MIN(IF(AK78=0,1000000000,AO78*'Parametros'!$B$11*'Parametros'!$B$4*MIN(U78,AB78)/(AK78*1000)),IF(AV78=0,1000000000,'Parametros'!$B$11/AV78),MIN(U78,AB78)/4,8*'Parametros'!$B$12,24*'Parametros'!$B$9,300)/10,0)*10</f>
        <v>80</v>
      </c>
      <c r="AQ78" s="10">
        <f>ROUNDDOWN(MIN(IF(AK78=0,1000000000,AO78*'Parametros'!$B$11*'Parametros'!$B$4*MIN(U78,AB78)/(AK78*1000)),IF(AV78=0,1000000000,'Parametros'!$B$11/AV78),MIN(U78,AB78)/2,600)/10,0)*10</f>
        <v>170</v>
      </c>
      <c r="AR78" s="10">
        <f>'Parametros'!$B$6*(AJ78+AO78*'Parametros'!$B$11*'Parametros'!$B$4*MIN(U78,AB78)/AP78/1000)</f>
        <v>260.860380287796</v>
      </c>
      <c r="AS78" s="10" t="str">
        <f>IF(AND(AM78="CUMPLE",AR78&gt;=AI78),"CUMPLE","NO CUMPLE")</f>
        <v>CUMPLE</v>
      </c>
      <c r="AT78" s="10">
        <f>'Parametros'!$B$6*0.083*SQRT('Parametros'!$B$2)*(H78*I78)^2/(2*(H78+I78))/1000000</f>
        <v>3.38807353605471</v>
      </c>
      <c r="AU78" s="10" t="str">
        <f>IF(Q78&lt;=AT78,"DESPRECIABLE","DISEÑAR")</f>
        <v>DISEÑAR</v>
      </c>
      <c r="AV78" s="10">
        <f>IF(Q78&lt;=AT78,0,Q78*1000000/('Parametros'!$B$6*2*0.85*(H78-2*'Parametros'!$B$7)*(I78-2*'Parametros'!$B$7)*'Parametros'!$B$4))</f>
        <v>0.13123090145149</v>
      </c>
      <c r="AW78" s="10">
        <f>AV78*2*((H78-2*'Parametros'!$B$7)+(I78-2*'Parametros'!$B$7))*'Parametros'!$B$4/'Parametros'!$B$3</f>
        <v>141.729373567609</v>
      </c>
      <c r="AX78" s="17" t="n">
        <v>1</v>
      </c>
      <c r="AY78" s="10" t="str">
        <f>IF(AV78=0,"DESPRECIABLE",IF('Parametros'!$B$11/AP78&gt;=AV78,"CUMPLE","NO CUMPLE"))</f>
        <v>CUMPLE</v>
      </c>
      <c r="AZ78" s="10" t="str">
        <f>IF(AND(X78="CUMPLE",AE78="CUMPLE",AS78="CUMPLE",OR(AY78="CUMPLE",AY78="DESPRECIABLE")),IF(OR(F78&lt;&gt;H78,G78&lt;&gt;I78),"CUMPLE - REANALIZAR SAP","CUMPLE"),"NO CUMPLE")</f>
        <v>CUMPLE</v>
      </c>
    </row>
    <row r="79">
      <c r="A79" s="15" t="inlineStr">
        <is>
          <t>VC3</t>
        </is>
      </c>
      <c r="B79" s="15" t="inlineStr">
        <is>
          <t>292</t>
        </is>
      </c>
      <c r="C79" s="10" t="n">
        <v>1</v>
      </c>
      <c r="D79" s="10" t="n">
        <v>4</v>
      </c>
      <c r="E79" s="10" t="n">
        <v>4</v>
      </c>
      <c r="F79" s="10" t="n">
        <v>300</v>
      </c>
      <c r="G79" s="10" t="n">
        <v>400</v>
      </c>
      <c r="H79" s="15" t="n">
        <v>300</v>
      </c>
      <c r="I79" s="15" t="n">
        <v>400</v>
      </c>
      <c r="J79" s="16" t="n">
        <v>82.4034</v>
      </c>
      <c r="K79" s="10" t="inlineStr">
        <is>
          <t>292</t>
        </is>
      </c>
      <c r="L79" s="16" t="n">
        <v>70.3763</v>
      </c>
      <c r="M79" s="10" t="inlineStr">
        <is>
          <t>292</t>
        </is>
      </c>
      <c r="N79" s="16" t="n">
        <v>44.692</v>
      </c>
      <c r="O79" s="16" t="n">
        <v>192.815</v>
      </c>
      <c r="P79" s="10" t="inlineStr">
        <is>
          <t>292</t>
        </is>
      </c>
      <c r="Q79" s="16" t="n">
        <v>0.6945</v>
      </c>
      <c r="R79" s="10">
        <f>MAX(MAX(1.4/'Parametros'!$B$3,0.25*SQRT('Parametros'!$B$2)/'Parametros'!$B$3)*H79*U79,(0.85*'Parametros'!$B$2/'Parametros'!$B$3)*(1-SQRT(1-2*(J79*1000000/('Parametros'!$B$5*H79*U79^2))/(0.85*'Parametros'!$B$2)))*H79*U79)</f>
        <v>675.587457811989</v>
      </c>
      <c r="S79" s="17" t="n">
        <v>4</v>
      </c>
      <c r="T79" s="18" t="n">
        <v>1</v>
      </c>
      <c r="U79" s="10">
        <f>IF(T79=1,I79-('Parametros'!$B$7+'Parametros'!$B$9+'Parametros'!$B$12/2),I79-(ROUNDUP(S79/2,0)*('Parametros'!$B$7+'Parametros'!$B$9+'Parametros'!$B$12/2)+ROUNDDOWN(S79/2,0)*('Parametros'!$B$7+'Parametros'!$B$9+'Parametros'!$B$12/2+'Parametros'!$B$12+'Parametros'!$B$10))/S79)</f>
        <v>342.55</v>
      </c>
      <c r="V79" s="10">
        <f>S79*'Parametros'!$B$8</f>
        <v>796</v>
      </c>
      <c r="W79" s="10">
        <f>'Parametros'!$B$5*V79*'Parametros'!$B$3*(U79-(V79*'Parametros'!$B$3/(0.85*'Parametros'!$B$2*H79))/2)/1000000</f>
        <v>96.0248653411765</v>
      </c>
      <c r="X79" s="10" t="str">
        <f>IF(W79&gt;=J79,"CUMPLE","NO CUMPLE")</f>
        <v>CUMPLE</v>
      </c>
      <c r="Y79" s="10">
        <f>MAX(MAX(1.4/'Parametros'!$B$3,0.25*SQRT('Parametros'!$B$2)/'Parametros'!$B$3)*H79*AB79,(0.85*'Parametros'!$B$2/'Parametros'!$B$3)*(1-SQRT(1-2*(L79*1000000/('Parametros'!$B$5*H79*AB79^2))/(0.85*'Parametros'!$B$2)))*H79*AB79)</f>
        <v>571.563462424752</v>
      </c>
      <c r="Z79" s="17" t="n">
        <v>3</v>
      </c>
      <c r="AA79" s="18" t="n">
        <v>1</v>
      </c>
      <c r="AB79" s="10">
        <f>IF(AA79=1,I79-('Parametros'!$B$7+'Parametros'!$B$9+'Parametros'!$B$12/2),I79-(ROUNDUP(Z79/2,0)*('Parametros'!$B$7+'Parametros'!$B$9+'Parametros'!$B$12/2)+ROUNDDOWN(Z79/2,0)*('Parametros'!$B$7+'Parametros'!$B$9+'Parametros'!$B$12/2+'Parametros'!$B$12+'Parametros'!$B$10))/Z79)</f>
        <v>342.55</v>
      </c>
      <c r="AC79" s="10">
        <f>Z79*'Parametros'!$B$8</f>
        <v>597</v>
      </c>
      <c r="AD79" s="10">
        <f>'Parametros'!$B$5*AC79*'Parametros'!$B$3*(AB79-(AC79*'Parametros'!$B$3/(0.85*'Parametros'!$B$2*H79))/2)/1000000</f>
        <v>73.3394588294118</v>
      </c>
      <c r="AE79" s="10" t="str">
        <f>IF(AD79&gt;=L79,"CUMPLE","NO CUMPLE")</f>
        <v>CUMPLE</v>
      </c>
      <c r="AF79" s="10">
        <f>V79*1.25*'Parametros'!$B$3*(U79-(V79*1.25*'Parametros'!$B$3/(0.85*'Parametros'!$B$2*H79))/2)/1000000</f>
        <v>130.921924411765</v>
      </c>
      <c r="AG79" s="10">
        <f>AC79*1.25*'Parametros'!$B$3*(AB79-(AC79*1.25*'Parametros'!$B$3/(0.85*'Parametros'!$B$2*H79))/2)/1000000</f>
        <v>100.484515919118</v>
      </c>
      <c r="AH79" s="10">
        <f>N79+(AF79+AG79)/D79</f>
        <v>102.543610082721</v>
      </c>
      <c r="AI79" s="10">
        <f>MIN(O79,MAX(N79,AH79))</f>
        <v>102.543610082721</v>
      </c>
      <c r="AJ79" s="10">
        <f>0.17*SQRT('Parametros'!$B$2)*H79*MIN(U79,AB79)/1000</f>
        <v>92.4428153837279</v>
      </c>
      <c r="AK79" s="10">
        <f>MAX(AI79/'Parametros'!$B$6-AJ79,0)</f>
        <v>44.2819980598995</v>
      </c>
      <c r="AL79" s="10">
        <f>0.66*SQRT('Parametros'!$B$2)*H79*MIN(U79,AB79)/1000</f>
        <v>358.89563619565</v>
      </c>
      <c r="AM79" s="10" t="str">
        <f>IF(AK79&lt;=AL79,"CUMPLE","NO CUMPLE")</f>
        <v>CUMPLE</v>
      </c>
      <c r="AN79" s="15" t="inlineStr">
        <is>
          <t>Nº3 cerrado</t>
        </is>
      </c>
      <c r="AO79" s="17" t="n">
        <v>2</v>
      </c>
      <c r="AP79" s="10">
        <f>ROUNDDOWN(MIN(IF(AK79=0,1000000000,AO79*'Parametros'!$B$11*'Parametros'!$B$4*MIN(U79,AB79)/(AK79*1000)),IF(AV79=0,1000000000,'Parametros'!$B$11/AV79),MIN(U79,AB79)/4,8*'Parametros'!$B$12,24*'Parametros'!$B$9,300)/10,0)*10</f>
        <v>80</v>
      </c>
      <c r="AQ79" s="10">
        <f>ROUNDDOWN(MIN(IF(AK79=0,1000000000,AO79*'Parametros'!$B$11*'Parametros'!$B$4*MIN(U79,AB79)/(AK79*1000)),IF(AV79=0,1000000000,'Parametros'!$B$11/AV79),MIN(U79,AB79)/2,600)/10,0)*10</f>
        <v>170</v>
      </c>
      <c r="AR79" s="10">
        <f>'Parametros'!$B$6*(AJ79+AO79*'Parametros'!$B$11*'Parametros'!$B$4*MIN(U79,AB79)/AP79/1000)</f>
        <v>260.860380287796</v>
      </c>
      <c r="AS79" s="10" t="str">
        <f>IF(AND(AM79="CUMPLE",AR79&gt;=AI79),"CUMPLE","NO CUMPLE")</f>
        <v>CUMPLE</v>
      </c>
      <c r="AT79" s="10">
        <f>'Parametros'!$B$6*0.083*SQRT('Parametros'!$B$2)*(H79*I79)^2/(2*(H79+I79))/1000000</f>
        <v>3.38807353605471</v>
      </c>
      <c r="AU79" s="10" t="str">
        <f>IF(Q79&lt;=AT79,"DESPRECIABLE","DISEÑAR")</f>
        <v>DESPRECIABLE</v>
      </c>
      <c r="AV79" s="10">
        <f>IF(Q79&lt;=AT79,0,Q79*1000000/('Parametros'!$B$6*2*0.85*(H79-2*'Parametros'!$B$7)*(I79-2*'Parametros'!$B$7)*'Parametros'!$B$4))</f>
        <v>0</v>
      </c>
      <c r="AW79" s="10">
        <f>AV79*2*((H79-2*'Parametros'!$B$7)+(I79-2*'Parametros'!$B$7))*'Parametros'!$B$4/'Parametros'!$B$3</f>
        <v>0</v>
      </c>
      <c r="AX79" s="17" t="n">
        <v>0</v>
      </c>
      <c r="AY79" s="10" t="str">
        <f>IF(AV79=0,"DESPRECIABLE",IF('Parametros'!$B$11/AP79&gt;=AV79,"CUMPLE","NO CUMPLE"))</f>
        <v>DESPRECIABLE</v>
      </c>
      <c r="AZ79" s="10" t="str">
        <f>IF(AND(X79="CUMPLE",AE79="CUMPLE",AS79="CUMPLE",OR(AY79="CUMPLE",AY79="DESPRECIABLE")),IF(OR(F79&lt;&gt;H79,G79&lt;&gt;I79),"CUMPLE - REANALIZAR SAP","CUMPLE"),"NO CUMPLE")</f>
        <v>CUMPLE</v>
      </c>
    </row>
    <row r="80">
      <c r="A80" s="15" t="inlineStr">
        <is>
          <t>VC3</t>
        </is>
      </c>
      <c r="B80" s="15" t="inlineStr">
        <is>
          <t>815</t>
        </is>
      </c>
      <c r="C80" s="10" t="n">
        <v>1</v>
      </c>
      <c r="D80" s="10" t="n">
        <v>4</v>
      </c>
      <c r="E80" s="10" t="n">
        <v>4</v>
      </c>
      <c r="F80" s="10" t="n">
        <v>300</v>
      </c>
      <c r="G80" s="10" t="n">
        <v>400</v>
      </c>
      <c r="H80" s="15" t="n">
        <v>300</v>
      </c>
      <c r="I80" s="15" t="n">
        <v>400</v>
      </c>
      <c r="J80" s="16" t="n">
        <v>69.1275</v>
      </c>
      <c r="K80" s="10" t="inlineStr">
        <is>
          <t>815</t>
        </is>
      </c>
      <c r="L80" s="16" t="n">
        <v>56.9387</v>
      </c>
      <c r="M80" s="10" t="inlineStr">
        <is>
          <t>815</t>
        </is>
      </c>
      <c r="N80" s="16" t="n">
        <v>38.102</v>
      </c>
      <c r="O80" s="16" t="n">
        <v>158.119</v>
      </c>
      <c r="P80" s="10" t="inlineStr">
        <is>
          <t>815</t>
        </is>
      </c>
      <c r="Q80" s="16" t="n">
        <v>0.6948</v>
      </c>
      <c r="R80" s="10">
        <f>MAX(MAX(1.4/'Parametros'!$B$3,0.25*SQRT('Parametros'!$B$2)/'Parametros'!$B$3)*H80*U80,(0.85*'Parametros'!$B$2/'Parametros'!$B$3)*(1-SQRT(1-2*(J80*1000000/('Parametros'!$B$5*H80*U80^2))/(0.85*'Parametros'!$B$2)))*H80*U80)</f>
        <v>560.880260212175</v>
      </c>
      <c r="S80" s="17" t="n">
        <v>3</v>
      </c>
      <c r="T80" s="18" t="n">
        <v>1</v>
      </c>
      <c r="U80" s="10">
        <f>IF(T80=1,I80-('Parametros'!$B$7+'Parametros'!$B$9+'Parametros'!$B$12/2),I80-(ROUNDUP(S80/2,0)*('Parametros'!$B$7+'Parametros'!$B$9+'Parametros'!$B$12/2)+ROUNDDOWN(S80/2,0)*('Parametros'!$B$7+'Parametros'!$B$9+'Parametros'!$B$12/2+'Parametros'!$B$12+'Parametros'!$B$10))/S80)</f>
        <v>342.55</v>
      </c>
      <c r="V80" s="10">
        <f>S80*'Parametros'!$B$8</f>
        <v>597</v>
      </c>
      <c r="W80" s="10">
        <f>'Parametros'!$B$5*V80*'Parametros'!$B$3*(U80-(V80*'Parametros'!$B$3/(0.85*'Parametros'!$B$2*H80))/2)/1000000</f>
        <v>73.3394588294118</v>
      </c>
      <c r="X80" s="10" t="str">
        <f>IF(W80&gt;=J80,"CUMPLE","NO CUMPLE")</f>
        <v>CUMPLE</v>
      </c>
      <c r="Y80" s="10">
        <f>MAX(MAX(1.4/'Parametros'!$B$3,0.25*SQRT('Parametros'!$B$2)/'Parametros'!$B$3)*H80*AB80,(0.85*'Parametros'!$B$2/'Parametros'!$B$3)*(1-SQRT(1-2*(L80*1000000/('Parametros'!$B$5*H80*AB80^2))/(0.85*'Parametros'!$B$2)))*H80*AB80)</f>
        <v>457.724700733415</v>
      </c>
      <c r="Z80" s="17" t="n">
        <v>3</v>
      </c>
      <c r="AA80" s="18" t="n">
        <v>1</v>
      </c>
      <c r="AB80" s="10">
        <f>IF(AA80=1,I80-('Parametros'!$B$7+'Parametros'!$B$9+'Parametros'!$B$12/2),I80-(ROUNDUP(Z80/2,0)*('Parametros'!$B$7+'Parametros'!$B$9+'Parametros'!$B$12/2)+ROUNDDOWN(Z80/2,0)*('Parametros'!$B$7+'Parametros'!$B$9+'Parametros'!$B$12/2+'Parametros'!$B$12+'Parametros'!$B$10))/Z80)</f>
        <v>342.55</v>
      </c>
      <c r="AC80" s="10">
        <f>Z80*'Parametros'!$B$8</f>
        <v>597</v>
      </c>
      <c r="AD80" s="10">
        <f>'Parametros'!$B$5*AC80*'Parametros'!$B$3*(AB80-(AC80*'Parametros'!$B$3/(0.85*'Parametros'!$B$2*H80))/2)/1000000</f>
        <v>73.3394588294118</v>
      </c>
      <c r="AE80" s="10" t="str">
        <f>IF(AD80&gt;=L80,"CUMPLE","NO CUMPLE")</f>
        <v>CUMPLE</v>
      </c>
      <c r="AF80" s="10">
        <f>V80*1.25*'Parametros'!$B$3*(U80-(V80*1.25*'Parametros'!$B$3/(0.85*'Parametros'!$B$2*H80))/2)/1000000</f>
        <v>100.484515919118</v>
      </c>
      <c r="AG80" s="10">
        <f>AC80*1.25*'Parametros'!$B$3*(AB80-(AC80*1.25*'Parametros'!$B$3/(0.85*'Parametros'!$B$2*H80))/2)/1000000</f>
        <v>100.484515919118</v>
      </c>
      <c r="AH80" s="10">
        <f>N80+(AF80+AG80)/D80</f>
        <v>88.3442579595588</v>
      </c>
      <c r="AI80" s="10">
        <f>MIN(O80,MAX(N80,AH80))</f>
        <v>88.3442579595588</v>
      </c>
      <c r="AJ80" s="10">
        <f>0.17*SQRT('Parametros'!$B$2)*H80*MIN(U80,AB80)/1000</f>
        <v>92.4428153837279</v>
      </c>
      <c r="AK80" s="10">
        <f>MAX(AI80/'Parametros'!$B$6-AJ80,0)</f>
        <v>25.3495285623505</v>
      </c>
      <c r="AL80" s="10">
        <f>0.66*SQRT('Parametros'!$B$2)*H80*MIN(U80,AB80)/1000</f>
        <v>358.89563619565</v>
      </c>
      <c r="AM80" s="10" t="str">
        <f>IF(AK80&lt;=AL80,"CUMPLE","NO CUMPLE")</f>
        <v>CUMPLE</v>
      </c>
      <c r="AN80" s="15" t="inlineStr">
        <is>
          <t>Nº3 cerrado</t>
        </is>
      </c>
      <c r="AO80" s="17" t="n">
        <v>2</v>
      </c>
      <c r="AP80" s="10">
        <f>ROUNDDOWN(MIN(IF(AK80=0,1000000000,AO80*'Parametros'!$B$11*'Parametros'!$B$4*MIN(U80,AB80)/(AK80*1000)),IF(AV80=0,1000000000,'Parametros'!$B$11/AV80),MIN(U80,AB80)/4,8*'Parametros'!$B$12,24*'Parametros'!$B$9,300)/10,0)*10</f>
        <v>80</v>
      </c>
      <c r="AQ80" s="10">
        <f>ROUNDDOWN(MIN(IF(AK80=0,1000000000,AO80*'Parametros'!$B$11*'Parametros'!$B$4*MIN(U80,AB80)/(AK80*1000)),IF(AV80=0,1000000000,'Parametros'!$B$11/AV80),MIN(U80,AB80)/2,600)/10,0)*10</f>
        <v>170</v>
      </c>
      <c r="AR80" s="10">
        <f>'Parametros'!$B$6*(AJ80+AO80*'Parametros'!$B$11*'Parametros'!$B$4*MIN(U80,AB80)/AP80/1000)</f>
        <v>260.860380287796</v>
      </c>
      <c r="AS80" s="10" t="str">
        <f>IF(AND(AM80="CUMPLE",AR80&gt;=AI80),"CUMPLE","NO CUMPLE")</f>
        <v>CUMPLE</v>
      </c>
      <c r="AT80" s="10">
        <f>'Parametros'!$B$6*0.083*SQRT('Parametros'!$B$2)*(H80*I80)^2/(2*(H80+I80))/1000000</f>
        <v>3.38807353605471</v>
      </c>
      <c r="AU80" s="10" t="str">
        <f>IF(Q80&lt;=AT80,"DESPRECIABLE","DISEÑAR")</f>
        <v>DESPRECIABLE</v>
      </c>
      <c r="AV80" s="10">
        <f>IF(Q80&lt;=AT80,0,Q80*1000000/('Parametros'!$B$6*2*0.85*(H80-2*'Parametros'!$B$7)*(I80-2*'Parametros'!$B$7)*'Parametros'!$B$4))</f>
        <v>0</v>
      </c>
      <c r="AW80" s="10">
        <f>AV80*2*((H80-2*'Parametros'!$B$7)+(I80-2*'Parametros'!$B$7))*'Parametros'!$B$4/'Parametros'!$B$3</f>
        <v>0</v>
      </c>
      <c r="AX80" s="17" t="n">
        <v>0</v>
      </c>
      <c r="AY80" s="10" t="str">
        <f>IF(AV80=0,"DESPRECIABLE",IF('Parametros'!$B$11/AP80&gt;=AV80,"CUMPLE","NO CUMPLE"))</f>
        <v>DESPRECIABLE</v>
      </c>
      <c r="AZ80" s="10" t="str">
        <f>IF(AND(X80="CUMPLE",AE80="CUMPLE",AS80="CUMPLE",OR(AY80="CUMPLE",AY80="DESPRECIABLE")),IF(OR(F80&lt;&gt;H80,G80&lt;&gt;I80),"CUMPLE - REANALIZAR SAP","CUMPLE"),"NO CUMPLE")</f>
        <v>CUMPLE</v>
      </c>
    </row>
    <row r="81">
      <c r="A81" s="15" t="inlineStr">
        <is>
          <t>VC3</t>
        </is>
      </c>
      <c r="B81" s="15" t="inlineStr">
        <is>
          <t>816</t>
        </is>
      </c>
      <c r="C81" s="10" t="n">
        <v>1</v>
      </c>
      <c r="D81" s="10" t="n">
        <v>3.81477</v>
      </c>
      <c r="E81" s="10" t="n">
        <v>3.81477</v>
      </c>
      <c r="F81" s="10" t="n">
        <v>300</v>
      </c>
      <c r="G81" s="10" t="n">
        <v>400</v>
      </c>
      <c r="H81" s="15" t="n">
        <v>300</v>
      </c>
      <c r="I81" s="15" t="n">
        <v>400</v>
      </c>
      <c r="J81" s="16" t="n">
        <v>81.3691</v>
      </c>
      <c r="K81" s="10" t="inlineStr">
        <is>
          <t>816</t>
        </is>
      </c>
      <c r="L81" s="16" t="n">
        <v>57.0002</v>
      </c>
      <c r="M81" s="10" t="inlineStr">
        <is>
          <t>816</t>
        </is>
      </c>
      <c r="N81" s="16" t="n">
        <v>47.78</v>
      </c>
      <c r="O81" s="16" t="n">
        <v>160.251</v>
      </c>
      <c r="P81" s="10" t="inlineStr">
        <is>
          <t>816</t>
        </is>
      </c>
      <c r="Q81" s="16" t="n">
        <v>4.9624</v>
      </c>
      <c r="R81" s="10">
        <f>MAX(MAX(1.4/'Parametros'!$B$3,0.25*SQRT('Parametros'!$B$2)/'Parametros'!$B$3)*H81*U81,(0.85*'Parametros'!$B$2/'Parametros'!$B$3)*(1-SQRT(1-2*(J81*1000000/('Parametros'!$B$5*H81*U81^2))/(0.85*'Parametros'!$B$2)))*H81*U81)</f>
        <v>666.559189245094</v>
      </c>
      <c r="S81" s="17" t="n">
        <v>4</v>
      </c>
      <c r="T81" s="18" t="n">
        <v>1</v>
      </c>
      <c r="U81" s="10">
        <f>IF(T81=1,I81-('Parametros'!$B$7+'Parametros'!$B$9+'Parametros'!$B$12/2),I81-(ROUNDUP(S81/2,0)*('Parametros'!$B$7+'Parametros'!$B$9+'Parametros'!$B$12/2)+ROUNDDOWN(S81/2,0)*('Parametros'!$B$7+'Parametros'!$B$9+'Parametros'!$B$12/2+'Parametros'!$B$12+'Parametros'!$B$10))/S81)</f>
        <v>342.55</v>
      </c>
      <c r="V81" s="10">
        <f>S81*'Parametros'!$B$8</f>
        <v>796</v>
      </c>
      <c r="W81" s="10">
        <f>'Parametros'!$B$5*V81*'Parametros'!$B$3*(U81-(V81*'Parametros'!$B$3/(0.85*'Parametros'!$B$2*H81))/2)/1000000</f>
        <v>96.0248653411765</v>
      </c>
      <c r="X81" s="10" t="str">
        <f>IF(W81&gt;=J81,"CUMPLE","NO CUMPLE")</f>
        <v>CUMPLE</v>
      </c>
      <c r="Y81" s="10">
        <f>MAX(MAX(1.4/'Parametros'!$B$3,0.25*SQRT('Parametros'!$B$2)/'Parametros'!$B$3)*H81*AB81,(0.85*'Parametros'!$B$2/'Parametros'!$B$3)*(1-SQRT(1-2*(L81*1000000/('Parametros'!$B$5*H81*AB81^2))/(0.85*'Parametros'!$B$2)))*H81*AB81)</f>
        <v>458.240205587784</v>
      </c>
      <c r="Z81" s="17" t="n">
        <v>3</v>
      </c>
      <c r="AA81" s="18" t="n">
        <v>1</v>
      </c>
      <c r="AB81" s="10">
        <f>IF(AA81=1,I81-('Parametros'!$B$7+'Parametros'!$B$9+'Parametros'!$B$12/2),I81-(ROUNDUP(Z81/2,0)*('Parametros'!$B$7+'Parametros'!$B$9+'Parametros'!$B$12/2)+ROUNDDOWN(Z81/2,0)*('Parametros'!$B$7+'Parametros'!$B$9+'Parametros'!$B$12/2+'Parametros'!$B$12+'Parametros'!$B$10))/Z81)</f>
        <v>342.55</v>
      </c>
      <c r="AC81" s="10">
        <f>Z81*'Parametros'!$B$8</f>
        <v>597</v>
      </c>
      <c r="AD81" s="10">
        <f>'Parametros'!$B$5*AC81*'Parametros'!$B$3*(AB81-(AC81*'Parametros'!$B$3/(0.85*'Parametros'!$B$2*H81))/2)/1000000</f>
        <v>73.3394588294118</v>
      </c>
      <c r="AE81" s="10" t="str">
        <f>IF(AD81&gt;=L81,"CUMPLE","NO CUMPLE")</f>
        <v>CUMPLE</v>
      </c>
      <c r="AF81" s="10">
        <f>V81*1.25*'Parametros'!$B$3*(U81-(V81*1.25*'Parametros'!$B$3/(0.85*'Parametros'!$B$2*H81))/2)/1000000</f>
        <v>130.921924411765</v>
      </c>
      <c r="AG81" s="10">
        <f>AC81*1.25*'Parametros'!$B$3*(AB81-(AC81*1.25*'Parametros'!$B$3/(0.85*'Parametros'!$B$2*H81))/2)/1000000</f>
        <v>100.484515919118</v>
      </c>
      <c r="AH81" s="10">
        <f>N81+(AF81+AG81)/D81</f>
        <v>108.440653284702</v>
      </c>
      <c r="AI81" s="10">
        <f>MIN(O81,MAX(N81,AH81))</f>
        <v>108.440653284702</v>
      </c>
      <c r="AJ81" s="10">
        <f>0.17*SQRT('Parametros'!$B$2)*H81*MIN(U81,AB81)/1000</f>
        <v>92.4428153837279</v>
      </c>
      <c r="AK81" s="10">
        <f>MAX(AI81/'Parametros'!$B$6-AJ81,0)</f>
        <v>52.144722329208</v>
      </c>
      <c r="AL81" s="10">
        <f>0.66*SQRT('Parametros'!$B$2)*H81*MIN(U81,AB81)/1000</f>
        <v>358.89563619565</v>
      </c>
      <c r="AM81" s="10" t="str">
        <f>IF(AK81&lt;=AL81,"CUMPLE","NO CUMPLE")</f>
        <v>CUMPLE</v>
      </c>
      <c r="AN81" s="15" t="inlineStr">
        <is>
          <t>Nº3 cerrado</t>
        </is>
      </c>
      <c r="AO81" s="17" t="n">
        <v>2</v>
      </c>
      <c r="AP81" s="10">
        <f>ROUNDDOWN(MIN(IF(AK81=0,1000000000,AO81*'Parametros'!$B$11*'Parametros'!$B$4*MIN(U81,AB81)/(AK81*1000)),IF(AV81=0,1000000000,'Parametros'!$B$11/AV81),MIN(U81,AB81)/4,8*'Parametros'!$B$12,24*'Parametros'!$B$9,300)/10,0)*10</f>
        <v>80</v>
      </c>
      <c r="AQ81" s="10">
        <f>ROUNDDOWN(MIN(IF(AK81=0,1000000000,AO81*'Parametros'!$B$11*'Parametros'!$B$4*MIN(U81,AB81)/(AK81*1000)),IF(AV81=0,1000000000,'Parametros'!$B$11/AV81),MIN(U81,AB81)/2,600)/10,0)*10</f>
        <v>170</v>
      </c>
      <c r="AR81" s="10">
        <f>'Parametros'!$B$6*(AJ81+AO81*'Parametros'!$B$11*'Parametros'!$B$4*MIN(U81,AB81)/AP81/1000)</f>
        <v>260.860380287796</v>
      </c>
      <c r="AS81" s="10" t="str">
        <f>IF(AND(AM81="CUMPLE",AR81&gt;=AI81),"CUMPLE","NO CUMPLE")</f>
        <v>CUMPLE</v>
      </c>
      <c r="AT81" s="10">
        <f>'Parametros'!$B$6*0.083*SQRT('Parametros'!$B$2)*(H81*I81)^2/(2*(H81+I81))/1000000</f>
        <v>3.38807353605471</v>
      </c>
      <c r="AU81" s="10" t="str">
        <f>IF(Q81&lt;=AT81,"DESPRECIABLE","DISEÑAR")</f>
        <v>DISEÑAR</v>
      </c>
      <c r="AV81" s="10">
        <f>IF(Q81&lt;=AT81,0,Q81*1000000/('Parametros'!$B$6*2*0.85*(H81-2*'Parametros'!$B$7)*(I81-2*'Parametros'!$B$7)*'Parametros'!$B$4))</f>
        <v>0.13163144045497</v>
      </c>
      <c r="AW81" s="10">
        <f>AV81*2*((H81-2*'Parametros'!$B$7)+(I81-2*'Parametros'!$B$7))*'Parametros'!$B$4/'Parametros'!$B$3</f>
        <v>142.161955691367</v>
      </c>
      <c r="AX81" s="17" t="n">
        <v>1</v>
      </c>
      <c r="AY81" s="10" t="str">
        <f>IF(AV81=0,"DESPRECIABLE",IF('Parametros'!$B$11/AP81&gt;=AV81,"CUMPLE","NO CUMPLE"))</f>
        <v>CUMPLE</v>
      </c>
      <c r="AZ81" s="10" t="str">
        <f>IF(AND(X81="CUMPLE",AE81="CUMPLE",AS81="CUMPLE",OR(AY81="CUMPLE",AY81="DESPRECIABLE")),IF(OR(F81&lt;&gt;H81,G81&lt;&gt;I81),"CUMPLE - REANALIZAR SAP","CUMPLE"),"NO CUMPLE")</f>
        <v>CUMPLE</v>
      </c>
    </row>
    <row r="82">
      <c r="A82" s="15" t="inlineStr">
        <is>
          <t>VC3</t>
        </is>
      </c>
      <c r="B82" s="15" t="inlineStr">
        <is>
          <t>817</t>
        </is>
      </c>
      <c r="C82" s="10" t="n">
        <v>1</v>
      </c>
      <c r="D82" s="10" t="n">
        <v>3.81477</v>
      </c>
      <c r="E82" s="10" t="n">
        <v>3.81477</v>
      </c>
      <c r="F82" s="10" t="n">
        <v>300</v>
      </c>
      <c r="G82" s="10" t="n">
        <v>400</v>
      </c>
      <c r="H82" s="15" t="n">
        <v>300</v>
      </c>
      <c r="I82" s="15" t="n">
        <v>400</v>
      </c>
      <c r="J82" s="16" t="n">
        <v>81.43089999999999</v>
      </c>
      <c r="K82" s="10" t="inlineStr">
        <is>
          <t>817</t>
        </is>
      </c>
      <c r="L82" s="16" t="n">
        <v>57.0903</v>
      </c>
      <c r="M82" s="10" t="inlineStr">
        <is>
          <t>817</t>
        </is>
      </c>
      <c r="N82" s="16" t="n">
        <v>47.814</v>
      </c>
      <c r="O82" s="16" t="n">
        <v>160.159</v>
      </c>
      <c r="P82" s="10" t="inlineStr">
        <is>
          <t>817</t>
        </is>
      </c>
      <c r="Q82" s="16" t="n">
        <v>4.9663</v>
      </c>
      <c r="R82" s="10">
        <f>MAX(MAX(1.4/'Parametros'!$B$3,0.25*SQRT('Parametros'!$B$2)/'Parametros'!$B$3)*H82*U82,(0.85*'Parametros'!$B$2/'Parametros'!$B$3)*(1-SQRT(1-2*(J82*1000000/('Parametros'!$B$5*H82*U82^2))/(0.85*'Parametros'!$B$2)))*H82*U82)</f>
        <v>667.098189263104</v>
      </c>
      <c r="S82" s="17" t="n">
        <v>4</v>
      </c>
      <c r="T82" s="18" t="n">
        <v>1</v>
      </c>
      <c r="U82" s="10">
        <f>IF(T82=1,I82-('Parametros'!$B$7+'Parametros'!$B$9+'Parametros'!$B$12/2),I82-(ROUNDUP(S82/2,0)*('Parametros'!$B$7+'Parametros'!$B$9+'Parametros'!$B$12/2)+ROUNDDOWN(S82/2,0)*('Parametros'!$B$7+'Parametros'!$B$9+'Parametros'!$B$12/2+'Parametros'!$B$12+'Parametros'!$B$10))/S82)</f>
        <v>342.55</v>
      </c>
      <c r="V82" s="10">
        <f>S82*'Parametros'!$B$8</f>
        <v>796</v>
      </c>
      <c r="W82" s="10">
        <f>'Parametros'!$B$5*V82*'Parametros'!$B$3*(U82-(V82*'Parametros'!$B$3/(0.85*'Parametros'!$B$2*H82))/2)/1000000</f>
        <v>96.0248653411765</v>
      </c>
      <c r="X82" s="10" t="str">
        <f>IF(W82&gt;=J82,"CUMPLE","NO CUMPLE")</f>
        <v>CUMPLE</v>
      </c>
      <c r="Y82" s="10">
        <f>MAX(MAX(1.4/'Parametros'!$B$3,0.25*SQRT('Parametros'!$B$2)/'Parametros'!$B$3)*H82*AB82,(0.85*'Parametros'!$B$2/'Parametros'!$B$3)*(1-SQRT(1-2*(L82*1000000/('Parametros'!$B$5*H82*AB82^2))/(0.85*'Parametros'!$B$2)))*H82*AB82)</f>
        <v>458.99553060728</v>
      </c>
      <c r="Z82" s="17" t="n">
        <v>3</v>
      </c>
      <c r="AA82" s="18" t="n">
        <v>1</v>
      </c>
      <c r="AB82" s="10">
        <f>IF(AA82=1,I82-('Parametros'!$B$7+'Parametros'!$B$9+'Parametros'!$B$12/2),I82-(ROUNDUP(Z82/2,0)*('Parametros'!$B$7+'Parametros'!$B$9+'Parametros'!$B$12/2)+ROUNDDOWN(Z82/2,0)*('Parametros'!$B$7+'Parametros'!$B$9+'Parametros'!$B$12/2+'Parametros'!$B$12+'Parametros'!$B$10))/Z82)</f>
        <v>342.55</v>
      </c>
      <c r="AC82" s="10">
        <f>Z82*'Parametros'!$B$8</f>
        <v>597</v>
      </c>
      <c r="AD82" s="10">
        <f>'Parametros'!$B$5*AC82*'Parametros'!$B$3*(AB82-(AC82*'Parametros'!$B$3/(0.85*'Parametros'!$B$2*H82))/2)/1000000</f>
        <v>73.3394588294118</v>
      </c>
      <c r="AE82" s="10" t="str">
        <f>IF(AD82&gt;=L82,"CUMPLE","NO CUMPLE")</f>
        <v>CUMPLE</v>
      </c>
      <c r="AF82" s="10">
        <f>V82*1.25*'Parametros'!$B$3*(U82-(V82*1.25*'Parametros'!$B$3/(0.85*'Parametros'!$B$2*H82))/2)/1000000</f>
        <v>130.921924411765</v>
      </c>
      <c r="AG82" s="10">
        <f>AC82*1.25*'Parametros'!$B$3*(AB82-(AC82*1.25*'Parametros'!$B$3/(0.85*'Parametros'!$B$2*H82))/2)/1000000</f>
        <v>100.484515919118</v>
      </c>
      <c r="AH82" s="10">
        <f>N82+(AF82+AG82)/D82</f>
        <v>108.474653284702</v>
      </c>
      <c r="AI82" s="10">
        <f>MIN(O82,MAX(N82,AH82))</f>
        <v>108.474653284702</v>
      </c>
      <c r="AJ82" s="10">
        <f>0.17*SQRT('Parametros'!$B$2)*H82*MIN(U82,AB82)/1000</f>
        <v>92.4428153837279</v>
      </c>
      <c r="AK82" s="10">
        <f>MAX(AI82/'Parametros'!$B$6-AJ82,0)</f>
        <v>52.1900556625413</v>
      </c>
      <c r="AL82" s="10">
        <f>0.66*SQRT('Parametros'!$B$2)*H82*MIN(U82,AB82)/1000</f>
        <v>358.89563619565</v>
      </c>
      <c r="AM82" s="10" t="str">
        <f>IF(AK82&lt;=AL82,"CUMPLE","NO CUMPLE")</f>
        <v>CUMPLE</v>
      </c>
      <c r="AN82" s="15" t="inlineStr">
        <is>
          <t>Nº3 cerrado</t>
        </is>
      </c>
      <c r="AO82" s="17" t="n">
        <v>2</v>
      </c>
      <c r="AP82" s="10">
        <f>ROUNDDOWN(MIN(IF(AK82=0,1000000000,AO82*'Parametros'!$B$11*'Parametros'!$B$4*MIN(U82,AB82)/(AK82*1000)),IF(AV82=0,1000000000,'Parametros'!$B$11/AV82),MIN(U82,AB82)/4,8*'Parametros'!$B$12,24*'Parametros'!$B$9,300)/10,0)*10</f>
        <v>80</v>
      </c>
      <c r="AQ82" s="10">
        <f>ROUNDDOWN(MIN(IF(AK82=0,1000000000,AO82*'Parametros'!$B$11*'Parametros'!$B$4*MIN(U82,AB82)/(AK82*1000)),IF(AV82=0,1000000000,'Parametros'!$B$11/AV82),MIN(U82,AB82)/2,600)/10,0)*10</f>
        <v>170</v>
      </c>
      <c r="AR82" s="10">
        <f>'Parametros'!$B$6*(AJ82+AO82*'Parametros'!$B$11*'Parametros'!$B$4*MIN(U82,AB82)/AP82/1000)</f>
        <v>260.860380287796</v>
      </c>
      <c r="AS82" s="10" t="str">
        <f>IF(AND(AM82="CUMPLE",AR82&gt;=AI82),"CUMPLE","NO CUMPLE")</f>
        <v>CUMPLE</v>
      </c>
      <c r="AT82" s="10">
        <f>'Parametros'!$B$6*0.083*SQRT('Parametros'!$B$2)*(H82*I82)^2/(2*(H82+I82))/1000000</f>
        <v>3.38807353605471</v>
      </c>
      <c r="AU82" s="10" t="str">
        <f>IF(Q82&lt;=AT82,"DESPRECIABLE","DISEÑAR")</f>
        <v>DISEÑAR</v>
      </c>
      <c r="AV82" s="10">
        <f>IF(Q82&lt;=AT82,0,Q82*1000000/('Parametros'!$B$6*2*0.85*(H82-2*'Parametros'!$B$7)*(I82-2*'Parametros'!$B$7)*'Parametros'!$B$4))</f>
        <v>0.131734890926067</v>
      </c>
      <c r="AW82" s="10">
        <f>AV82*2*((H82-2*'Parametros'!$B$7)+(I82-2*'Parametros'!$B$7))*'Parametros'!$B$4/'Parametros'!$B$3</f>
        <v>142.273682200153</v>
      </c>
      <c r="AX82" s="17" t="n">
        <v>1</v>
      </c>
      <c r="AY82" s="10" t="str">
        <f>IF(AV82=0,"DESPRECIABLE",IF('Parametros'!$B$11/AP82&gt;=AV82,"CUMPLE","NO CUMPLE"))</f>
        <v>CUMPLE</v>
      </c>
      <c r="AZ82" s="10" t="str">
        <f>IF(AND(X82="CUMPLE",AE82="CUMPLE",AS82="CUMPLE",OR(AY82="CUMPLE",AY82="DESPRECIABLE")),IF(OR(F82&lt;&gt;H82,G82&lt;&gt;I82),"CUMPLE - REANALIZAR SAP","CUMPLE"),"NO CUMPLE")</f>
        <v>CUMPLE</v>
      </c>
    </row>
    <row r="83">
      <c r="A83" s="15" t="inlineStr">
        <is>
          <t>VC3</t>
        </is>
      </c>
      <c r="B83" s="15" t="inlineStr">
        <is>
          <t>818</t>
        </is>
      </c>
      <c r="C83" s="10" t="n">
        <v>1</v>
      </c>
      <c r="D83" s="10" t="n">
        <v>4</v>
      </c>
      <c r="E83" s="10" t="n">
        <v>4</v>
      </c>
      <c r="F83" s="10" t="n">
        <v>300</v>
      </c>
      <c r="G83" s="10" t="n">
        <v>400</v>
      </c>
      <c r="H83" s="15" t="n">
        <v>300</v>
      </c>
      <c r="I83" s="15" t="n">
        <v>400</v>
      </c>
      <c r="J83" s="16" t="n">
        <v>69.1602</v>
      </c>
      <c r="K83" s="10" t="inlineStr">
        <is>
          <t>818</t>
        </is>
      </c>
      <c r="L83" s="16" t="n">
        <v>56.9578</v>
      </c>
      <c r="M83" s="10" t="inlineStr">
        <is>
          <t>818</t>
        </is>
      </c>
      <c r="N83" s="16" t="n">
        <v>38.119</v>
      </c>
      <c r="O83" s="16" t="n">
        <v>158.135</v>
      </c>
      <c r="P83" s="10" t="inlineStr">
        <is>
          <t>818</t>
        </is>
      </c>
      <c r="Q83" s="16" t="n">
        <v>0.6936</v>
      </c>
      <c r="R83" s="10">
        <f>MAX(MAX(1.4/'Parametros'!$B$3,0.25*SQRT('Parametros'!$B$2)/'Parametros'!$B$3)*H83*U83,(0.85*'Parametros'!$B$2/'Parametros'!$B$3)*(1-SQRT(1-2*(J83*1000000/('Parametros'!$B$5*H83*U83^2))/(0.85*'Parametros'!$B$2)))*H83*U83)</f>
        <v>561.159724806478</v>
      </c>
      <c r="S83" s="17" t="n">
        <v>3</v>
      </c>
      <c r="T83" s="18" t="n">
        <v>1</v>
      </c>
      <c r="U83" s="10">
        <f>IF(T83=1,I83-('Parametros'!$B$7+'Parametros'!$B$9+'Parametros'!$B$12/2),I83-(ROUNDUP(S83/2,0)*('Parametros'!$B$7+'Parametros'!$B$9+'Parametros'!$B$12/2)+ROUNDDOWN(S83/2,0)*('Parametros'!$B$7+'Parametros'!$B$9+'Parametros'!$B$12/2+'Parametros'!$B$12+'Parametros'!$B$10))/S83)</f>
        <v>342.55</v>
      </c>
      <c r="V83" s="10">
        <f>S83*'Parametros'!$B$8</f>
        <v>597</v>
      </c>
      <c r="W83" s="10">
        <f>'Parametros'!$B$5*V83*'Parametros'!$B$3*(U83-(V83*'Parametros'!$B$3/(0.85*'Parametros'!$B$2*H83))/2)/1000000</f>
        <v>73.3394588294118</v>
      </c>
      <c r="X83" s="10" t="str">
        <f>IF(W83&gt;=J83,"CUMPLE","NO CUMPLE")</f>
        <v>CUMPLE</v>
      </c>
      <c r="Y83" s="10">
        <f>MAX(MAX(1.4/'Parametros'!$B$3,0.25*SQRT('Parametros'!$B$2)/'Parametros'!$B$3)*H83*AB83,(0.85*'Parametros'!$B$2/'Parametros'!$B$3)*(1-SQRT(1-2*(L83*1000000/('Parametros'!$B$5*H83*AB83^2))/(0.85*'Parametros'!$B$2)))*H83*AB83)</f>
        <v>457.884795312559</v>
      </c>
      <c r="Z83" s="17" t="n">
        <v>3</v>
      </c>
      <c r="AA83" s="18" t="n">
        <v>1</v>
      </c>
      <c r="AB83" s="10">
        <f>IF(AA83=1,I83-('Parametros'!$B$7+'Parametros'!$B$9+'Parametros'!$B$12/2),I83-(ROUNDUP(Z83/2,0)*('Parametros'!$B$7+'Parametros'!$B$9+'Parametros'!$B$12/2)+ROUNDDOWN(Z83/2,0)*('Parametros'!$B$7+'Parametros'!$B$9+'Parametros'!$B$12/2+'Parametros'!$B$12+'Parametros'!$B$10))/Z83)</f>
        <v>342.55</v>
      </c>
      <c r="AC83" s="10">
        <f>Z83*'Parametros'!$B$8</f>
        <v>597</v>
      </c>
      <c r="AD83" s="10">
        <f>'Parametros'!$B$5*AC83*'Parametros'!$B$3*(AB83-(AC83*'Parametros'!$B$3/(0.85*'Parametros'!$B$2*H83))/2)/1000000</f>
        <v>73.3394588294118</v>
      </c>
      <c r="AE83" s="10" t="str">
        <f>IF(AD83&gt;=L83,"CUMPLE","NO CUMPLE")</f>
        <v>CUMPLE</v>
      </c>
      <c r="AF83" s="10">
        <f>V83*1.25*'Parametros'!$B$3*(U83-(V83*1.25*'Parametros'!$B$3/(0.85*'Parametros'!$B$2*H83))/2)/1000000</f>
        <v>100.484515919118</v>
      </c>
      <c r="AG83" s="10">
        <f>AC83*1.25*'Parametros'!$B$3*(AB83-(AC83*1.25*'Parametros'!$B$3/(0.85*'Parametros'!$B$2*H83))/2)/1000000</f>
        <v>100.484515919118</v>
      </c>
      <c r="AH83" s="10">
        <f>N83+(AF83+AG83)/D83</f>
        <v>88.3612579595588</v>
      </c>
      <c r="AI83" s="10">
        <f>MIN(O83,MAX(N83,AH83))</f>
        <v>88.3612579595588</v>
      </c>
      <c r="AJ83" s="10">
        <f>0.17*SQRT('Parametros'!$B$2)*H83*MIN(U83,AB83)/1000</f>
        <v>92.4428153837279</v>
      </c>
      <c r="AK83" s="10">
        <f>MAX(AI83/'Parametros'!$B$6-AJ83,0)</f>
        <v>25.3721952290172</v>
      </c>
      <c r="AL83" s="10">
        <f>0.66*SQRT('Parametros'!$B$2)*H83*MIN(U83,AB83)/1000</f>
        <v>358.89563619565</v>
      </c>
      <c r="AM83" s="10" t="str">
        <f>IF(AK83&lt;=AL83,"CUMPLE","NO CUMPLE")</f>
        <v>CUMPLE</v>
      </c>
      <c r="AN83" s="15" t="inlineStr">
        <is>
          <t>Nº3 cerrado</t>
        </is>
      </c>
      <c r="AO83" s="17" t="n">
        <v>2</v>
      </c>
      <c r="AP83" s="10">
        <f>ROUNDDOWN(MIN(IF(AK83=0,1000000000,AO83*'Parametros'!$B$11*'Parametros'!$B$4*MIN(U83,AB83)/(AK83*1000)),IF(AV83=0,1000000000,'Parametros'!$B$11/AV83),MIN(U83,AB83)/4,8*'Parametros'!$B$12,24*'Parametros'!$B$9,300)/10,0)*10</f>
        <v>80</v>
      </c>
      <c r="AQ83" s="10">
        <f>ROUNDDOWN(MIN(IF(AK83=0,1000000000,AO83*'Parametros'!$B$11*'Parametros'!$B$4*MIN(U83,AB83)/(AK83*1000)),IF(AV83=0,1000000000,'Parametros'!$B$11/AV83),MIN(U83,AB83)/2,600)/10,0)*10</f>
        <v>170</v>
      </c>
      <c r="AR83" s="10">
        <f>'Parametros'!$B$6*(AJ83+AO83*'Parametros'!$B$11*'Parametros'!$B$4*MIN(U83,AB83)/AP83/1000)</f>
        <v>260.860380287796</v>
      </c>
      <c r="AS83" s="10" t="str">
        <f>IF(AND(AM83="CUMPLE",AR83&gt;=AI83),"CUMPLE","NO CUMPLE")</f>
        <v>CUMPLE</v>
      </c>
      <c r="AT83" s="10">
        <f>'Parametros'!$B$6*0.083*SQRT('Parametros'!$B$2)*(H83*I83)^2/(2*(H83+I83))/1000000</f>
        <v>3.38807353605471</v>
      </c>
      <c r="AU83" s="10" t="str">
        <f>IF(Q83&lt;=AT83,"DESPRECIABLE","DISEÑAR")</f>
        <v>DESPRECIABLE</v>
      </c>
      <c r="AV83" s="10">
        <f>IF(Q83&lt;=AT83,0,Q83*1000000/('Parametros'!$B$6*2*0.85*(H83-2*'Parametros'!$B$7)*(I83-2*'Parametros'!$B$7)*'Parametros'!$B$4))</f>
        <v>0</v>
      </c>
      <c r="AW83" s="10">
        <f>AV83*2*((H83-2*'Parametros'!$B$7)+(I83-2*'Parametros'!$B$7))*'Parametros'!$B$4/'Parametros'!$B$3</f>
        <v>0</v>
      </c>
      <c r="AX83" s="17" t="n">
        <v>0</v>
      </c>
      <c r="AY83" s="10" t="str">
        <f>IF(AV83=0,"DESPRECIABLE",IF('Parametros'!$B$11/AP83&gt;=AV83,"CUMPLE","NO CUMPLE"))</f>
        <v>DESPRECIABLE</v>
      </c>
      <c r="AZ83" s="10" t="str">
        <f>IF(AND(X83="CUMPLE",AE83="CUMPLE",AS83="CUMPLE",OR(AY83="CUMPLE",AY83="DESPRECIABLE")),IF(OR(F83&lt;&gt;H83,G83&lt;&gt;I83),"CUMPLE - REANALIZAR SAP","CUMPLE"),"NO CUMPLE")</f>
        <v>CUMPLE</v>
      </c>
    </row>
    <row r="84">
      <c r="A84" s="15" t="inlineStr">
        <is>
          <t>VC3</t>
        </is>
      </c>
      <c r="B84" s="15" t="inlineStr">
        <is>
          <t>847</t>
        </is>
      </c>
      <c r="C84" s="10" t="n">
        <v>1</v>
      </c>
      <c r="D84" s="10" t="n">
        <v>4</v>
      </c>
      <c r="E84" s="10" t="n">
        <v>4</v>
      </c>
      <c r="F84" s="10" t="n">
        <v>300</v>
      </c>
      <c r="G84" s="10" t="n">
        <v>400</v>
      </c>
      <c r="H84" s="15" t="n">
        <v>300</v>
      </c>
      <c r="I84" s="15" t="n">
        <v>400</v>
      </c>
      <c r="J84" s="16" t="n">
        <v>69.1604</v>
      </c>
      <c r="K84" s="10" t="inlineStr">
        <is>
          <t>847</t>
        </is>
      </c>
      <c r="L84" s="16" t="n">
        <v>56.9591</v>
      </c>
      <c r="M84" s="10" t="inlineStr">
        <is>
          <t>847</t>
        </is>
      </c>
      <c r="N84" s="16" t="n">
        <v>38.118</v>
      </c>
      <c r="O84" s="16" t="n">
        <v>158.146</v>
      </c>
      <c r="P84" s="10" t="inlineStr">
        <is>
          <t>847</t>
        </is>
      </c>
      <c r="Q84" s="16" t="n">
        <v>0.6939</v>
      </c>
      <c r="R84" s="10">
        <f>MAX(MAX(1.4/'Parametros'!$B$3,0.25*SQRT('Parametros'!$B$2)/'Parametros'!$B$3)*H84*U84,(0.85*'Parametros'!$B$2/'Parametros'!$B$3)*(1-SQRT(1-2*(J84*1000000/('Parametros'!$B$5*H84*U84^2))/(0.85*'Parametros'!$B$2)))*H84*U84)</f>
        <v>561.161434115718</v>
      </c>
      <c r="S84" s="17" t="n">
        <v>3</v>
      </c>
      <c r="T84" s="18" t="n">
        <v>1</v>
      </c>
      <c r="U84" s="10">
        <f>IF(T84=1,I84-('Parametros'!$B$7+'Parametros'!$B$9+'Parametros'!$B$12/2),I84-(ROUNDUP(S84/2,0)*('Parametros'!$B$7+'Parametros'!$B$9+'Parametros'!$B$12/2)+ROUNDDOWN(S84/2,0)*('Parametros'!$B$7+'Parametros'!$B$9+'Parametros'!$B$12/2+'Parametros'!$B$12+'Parametros'!$B$10))/S84)</f>
        <v>342.55</v>
      </c>
      <c r="V84" s="10">
        <f>S84*'Parametros'!$B$8</f>
        <v>597</v>
      </c>
      <c r="W84" s="10">
        <f>'Parametros'!$B$5*V84*'Parametros'!$B$3*(U84-(V84*'Parametros'!$B$3/(0.85*'Parametros'!$B$2*H84))/2)/1000000</f>
        <v>73.3394588294118</v>
      </c>
      <c r="X84" s="10" t="str">
        <f>IF(W84&gt;=J84,"CUMPLE","NO CUMPLE")</f>
        <v>CUMPLE</v>
      </c>
      <c r="Y84" s="10">
        <f>MAX(MAX(1.4/'Parametros'!$B$3,0.25*SQRT('Parametros'!$B$2)/'Parametros'!$B$3)*H84*AB84,(0.85*'Parametros'!$B$2/'Parametros'!$B$3)*(1-SQRT(1-2*(L84*1000000/('Parametros'!$B$5*H84*AB84^2))/(0.85*'Parametros'!$B$2)))*H84*AB84)</f>
        <v>457.895691975868</v>
      </c>
      <c r="Z84" s="17" t="n">
        <v>3</v>
      </c>
      <c r="AA84" s="18" t="n">
        <v>1</v>
      </c>
      <c r="AB84" s="10">
        <f>IF(AA84=1,I84-('Parametros'!$B$7+'Parametros'!$B$9+'Parametros'!$B$12/2),I84-(ROUNDUP(Z84/2,0)*('Parametros'!$B$7+'Parametros'!$B$9+'Parametros'!$B$12/2)+ROUNDDOWN(Z84/2,0)*('Parametros'!$B$7+'Parametros'!$B$9+'Parametros'!$B$12/2+'Parametros'!$B$12+'Parametros'!$B$10))/Z84)</f>
        <v>342.55</v>
      </c>
      <c r="AC84" s="10">
        <f>Z84*'Parametros'!$B$8</f>
        <v>597</v>
      </c>
      <c r="AD84" s="10">
        <f>'Parametros'!$B$5*AC84*'Parametros'!$B$3*(AB84-(AC84*'Parametros'!$B$3/(0.85*'Parametros'!$B$2*H84))/2)/1000000</f>
        <v>73.3394588294118</v>
      </c>
      <c r="AE84" s="10" t="str">
        <f>IF(AD84&gt;=L84,"CUMPLE","NO CUMPLE")</f>
        <v>CUMPLE</v>
      </c>
      <c r="AF84" s="10">
        <f>V84*1.25*'Parametros'!$B$3*(U84-(V84*1.25*'Parametros'!$B$3/(0.85*'Parametros'!$B$2*H84))/2)/1000000</f>
        <v>100.484515919118</v>
      </c>
      <c r="AG84" s="10">
        <f>AC84*1.25*'Parametros'!$B$3*(AB84-(AC84*1.25*'Parametros'!$B$3/(0.85*'Parametros'!$B$2*H84))/2)/1000000</f>
        <v>100.484515919118</v>
      </c>
      <c r="AH84" s="10">
        <f>N84+(AF84+AG84)/D84</f>
        <v>88.3602579595588</v>
      </c>
      <c r="AI84" s="10">
        <f>MIN(O84,MAX(N84,AH84))</f>
        <v>88.3602579595588</v>
      </c>
      <c r="AJ84" s="10">
        <f>0.17*SQRT('Parametros'!$B$2)*H84*MIN(U84,AB84)/1000</f>
        <v>92.4428153837279</v>
      </c>
      <c r="AK84" s="10">
        <f>MAX(AI84/'Parametros'!$B$6-AJ84,0)</f>
        <v>25.3708618956838</v>
      </c>
      <c r="AL84" s="10">
        <f>0.66*SQRT('Parametros'!$B$2)*H84*MIN(U84,AB84)/1000</f>
        <v>358.89563619565</v>
      </c>
      <c r="AM84" s="10" t="str">
        <f>IF(AK84&lt;=AL84,"CUMPLE","NO CUMPLE")</f>
        <v>CUMPLE</v>
      </c>
      <c r="AN84" s="15" t="inlineStr">
        <is>
          <t>Nº3 cerrado</t>
        </is>
      </c>
      <c r="AO84" s="17" t="n">
        <v>2</v>
      </c>
      <c r="AP84" s="10">
        <f>ROUNDDOWN(MIN(IF(AK84=0,1000000000,AO84*'Parametros'!$B$11*'Parametros'!$B$4*MIN(U84,AB84)/(AK84*1000)),IF(AV84=0,1000000000,'Parametros'!$B$11/AV84),MIN(U84,AB84)/4,8*'Parametros'!$B$12,24*'Parametros'!$B$9,300)/10,0)*10</f>
        <v>80</v>
      </c>
      <c r="AQ84" s="10">
        <f>ROUNDDOWN(MIN(IF(AK84=0,1000000000,AO84*'Parametros'!$B$11*'Parametros'!$B$4*MIN(U84,AB84)/(AK84*1000)),IF(AV84=0,1000000000,'Parametros'!$B$11/AV84),MIN(U84,AB84)/2,600)/10,0)*10</f>
        <v>170</v>
      </c>
      <c r="AR84" s="10">
        <f>'Parametros'!$B$6*(AJ84+AO84*'Parametros'!$B$11*'Parametros'!$B$4*MIN(U84,AB84)/AP84/1000)</f>
        <v>260.860380287796</v>
      </c>
      <c r="AS84" s="10" t="str">
        <f>IF(AND(AM84="CUMPLE",AR84&gt;=AI84),"CUMPLE","NO CUMPLE")</f>
        <v>CUMPLE</v>
      </c>
      <c r="AT84" s="10">
        <f>'Parametros'!$B$6*0.083*SQRT('Parametros'!$B$2)*(H84*I84)^2/(2*(H84+I84))/1000000</f>
        <v>3.38807353605471</v>
      </c>
      <c r="AU84" s="10" t="str">
        <f>IF(Q84&lt;=AT84,"DESPRECIABLE","DISEÑAR")</f>
        <v>DESPRECIABLE</v>
      </c>
      <c r="AV84" s="10">
        <f>IF(Q84&lt;=AT84,0,Q84*1000000/('Parametros'!$B$6*2*0.85*(H84-2*'Parametros'!$B$7)*(I84-2*'Parametros'!$B$7)*'Parametros'!$B$4))</f>
        <v>0</v>
      </c>
      <c r="AW84" s="10">
        <f>AV84*2*((H84-2*'Parametros'!$B$7)+(I84-2*'Parametros'!$B$7))*'Parametros'!$B$4/'Parametros'!$B$3</f>
        <v>0</v>
      </c>
      <c r="AX84" s="17" t="n">
        <v>0</v>
      </c>
      <c r="AY84" s="10" t="str">
        <f>IF(AV84=0,"DESPRECIABLE",IF('Parametros'!$B$11/AP84&gt;=AV84,"CUMPLE","NO CUMPLE"))</f>
        <v>DESPRECIABLE</v>
      </c>
      <c r="AZ84" s="10" t="str">
        <f>IF(AND(X84="CUMPLE",AE84="CUMPLE",AS84="CUMPLE",OR(AY84="CUMPLE",AY84="DESPRECIABLE")),IF(OR(F84&lt;&gt;H84,G84&lt;&gt;I84),"CUMPLE - REANALIZAR SAP","CUMPLE"),"NO CUMPLE")</f>
        <v>CUMPLE</v>
      </c>
    </row>
    <row r="85">
      <c r="A85" s="15" t="inlineStr">
        <is>
          <t>VC3</t>
        </is>
      </c>
      <c r="B85" s="15" t="inlineStr">
        <is>
          <t>848</t>
        </is>
      </c>
      <c r="C85" s="10" t="n">
        <v>1</v>
      </c>
      <c r="D85" s="10" t="n">
        <v>3.81477</v>
      </c>
      <c r="E85" s="10" t="n">
        <v>3.81477</v>
      </c>
      <c r="F85" s="10" t="n">
        <v>300</v>
      </c>
      <c r="G85" s="10" t="n">
        <v>400</v>
      </c>
      <c r="H85" s="15" t="n">
        <v>300</v>
      </c>
      <c r="I85" s="15" t="n">
        <v>400</v>
      </c>
      <c r="J85" s="16" t="n">
        <v>81.43429999999999</v>
      </c>
      <c r="K85" s="10" t="inlineStr">
        <is>
          <t>848</t>
        </is>
      </c>
      <c r="L85" s="16" t="n">
        <v>57.0774</v>
      </c>
      <c r="M85" s="10" t="inlineStr">
        <is>
          <t>848</t>
        </is>
      </c>
      <c r="N85" s="16" t="n">
        <v>47.821</v>
      </c>
      <c r="O85" s="16" t="n">
        <v>160.238</v>
      </c>
      <c r="P85" s="10" t="inlineStr">
        <is>
          <t>848</t>
        </is>
      </c>
      <c r="Q85" s="16" t="n">
        <v>4.958</v>
      </c>
      <c r="R85" s="10">
        <f>MAX(MAX(1.4/'Parametros'!$B$3,0.25*SQRT('Parametros'!$B$2)/'Parametros'!$B$3)*H85*U85,(0.85*'Parametros'!$B$2/'Parametros'!$B$3)*(1-SQRT(1-2*(J85*1000000/('Parametros'!$B$5*H85*U85^2))/(0.85*'Parametros'!$B$2)))*H85*U85)</f>
        <v>667.127844620959</v>
      </c>
      <c r="S85" s="17" t="n">
        <v>4</v>
      </c>
      <c r="T85" s="18" t="n">
        <v>1</v>
      </c>
      <c r="U85" s="10">
        <f>IF(T85=1,I85-('Parametros'!$B$7+'Parametros'!$B$9+'Parametros'!$B$12/2),I85-(ROUNDUP(S85/2,0)*('Parametros'!$B$7+'Parametros'!$B$9+'Parametros'!$B$12/2)+ROUNDDOWN(S85/2,0)*('Parametros'!$B$7+'Parametros'!$B$9+'Parametros'!$B$12/2+'Parametros'!$B$12+'Parametros'!$B$10))/S85)</f>
        <v>342.55</v>
      </c>
      <c r="V85" s="10">
        <f>S85*'Parametros'!$B$8</f>
        <v>796</v>
      </c>
      <c r="W85" s="10">
        <f>'Parametros'!$B$5*V85*'Parametros'!$B$3*(U85-(V85*'Parametros'!$B$3/(0.85*'Parametros'!$B$2*H85))/2)/1000000</f>
        <v>96.0248653411765</v>
      </c>
      <c r="X85" s="10" t="str">
        <f>IF(W85&gt;=J85,"CUMPLE","NO CUMPLE")</f>
        <v>CUMPLE</v>
      </c>
      <c r="Y85" s="10">
        <f>MAX(MAX(1.4/'Parametros'!$B$3,0.25*SQRT('Parametros'!$B$2)/'Parametros'!$B$3)*H85*AB85,(0.85*'Parametros'!$B$2/'Parametros'!$B$3)*(1-SQRT(1-2*(L85*1000000/('Parametros'!$B$5*H85*AB85^2))/(0.85*'Parametros'!$B$2)))*H85*AB85)</f>
        <v>458.887380990155</v>
      </c>
      <c r="Z85" s="17" t="n">
        <v>3</v>
      </c>
      <c r="AA85" s="18" t="n">
        <v>1</v>
      </c>
      <c r="AB85" s="10">
        <f>IF(AA85=1,I85-('Parametros'!$B$7+'Parametros'!$B$9+'Parametros'!$B$12/2),I85-(ROUNDUP(Z85/2,0)*('Parametros'!$B$7+'Parametros'!$B$9+'Parametros'!$B$12/2)+ROUNDDOWN(Z85/2,0)*('Parametros'!$B$7+'Parametros'!$B$9+'Parametros'!$B$12/2+'Parametros'!$B$12+'Parametros'!$B$10))/Z85)</f>
        <v>342.55</v>
      </c>
      <c r="AC85" s="10">
        <f>Z85*'Parametros'!$B$8</f>
        <v>597</v>
      </c>
      <c r="AD85" s="10">
        <f>'Parametros'!$B$5*AC85*'Parametros'!$B$3*(AB85-(AC85*'Parametros'!$B$3/(0.85*'Parametros'!$B$2*H85))/2)/1000000</f>
        <v>73.3394588294118</v>
      </c>
      <c r="AE85" s="10" t="str">
        <f>IF(AD85&gt;=L85,"CUMPLE","NO CUMPLE")</f>
        <v>CUMPLE</v>
      </c>
      <c r="AF85" s="10">
        <f>V85*1.25*'Parametros'!$B$3*(U85-(V85*1.25*'Parametros'!$B$3/(0.85*'Parametros'!$B$2*H85))/2)/1000000</f>
        <v>130.921924411765</v>
      </c>
      <c r="AG85" s="10">
        <f>AC85*1.25*'Parametros'!$B$3*(AB85-(AC85*1.25*'Parametros'!$B$3/(0.85*'Parametros'!$B$2*H85))/2)/1000000</f>
        <v>100.484515919118</v>
      </c>
      <c r="AH85" s="10">
        <f>N85+(AF85+AG85)/D85</f>
        <v>108.481653284702</v>
      </c>
      <c r="AI85" s="10">
        <f>MIN(O85,MAX(N85,AH85))</f>
        <v>108.481653284702</v>
      </c>
      <c r="AJ85" s="10">
        <f>0.17*SQRT('Parametros'!$B$2)*H85*MIN(U85,AB85)/1000</f>
        <v>92.4428153837279</v>
      </c>
      <c r="AK85" s="10">
        <f>MAX(AI85/'Parametros'!$B$6-AJ85,0)</f>
        <v>52.1993889958746</v>
      </c>
      <c r="AL85" s="10">
        <f>0.66*SQRT('Parametros'!$B$2)*H85*MIN(U85,AB85)/1000</f>
        <v>358.89563619565</v>
      </c>
      <c r="AM85" s="10" t="str">
        <f>IF(AK85&lt;=AL85,"CUMPLE","NO CUMPLE")</f>
        <v>CUMPLE</v>
      </c>
      <c r="AN85" s="15" t="inlineStr">
        <is>
          <t>Nº3 cerrado</t>
        </is>
      </c>
      <c r="AO85" s="17" t="n">
        <v>2</v>
      </c>
      <c r="AP85" s="10">
        <f>ROUNDDOWN(MIN(IF(AK85=0,1000000000,AO85*'Parametros'!$B$11*'Parametros'!$B$4*MIN(U85,AB85)/(AK85*1000)),IF(AV85=0,1000000000,'Parametros'!$B$11/AV85),MIN(U85,AB85)/4,8*'Parametros'!$B$12,24*'Parametros'!$B$9,300)/10,0)*10</f>
        <v>80</v>
      </c>
      <c r="AQ85" s="10">
        <f>ROUNDDOWN(MIN(IF(AK85=0,1000000000,AO85*'Parametros'!$B$11*'Parametros'!$B$4*MIN(U85,AB85)/(AK85*1000)),IF(AV85=0,1000000000,'Parametros'!$B$11/AV85),MIN(U85,AB85)/2,600)/10,0)*10</f>
        <v>170</v>
      </c>
      <c r="AR85" s="10">
        <f>'Parametros'!$B$6*(AJ85+AO85*'Parametros'!$B$11*'Parametros'!$B$4*MIN(U85,AB85)/AP85/1000)</f>
        <v>260.860380287796</v>
      </c>
      <c r="AS85" s="10" t="str">
        <f>IF(AND(AM85="CUMPLE",AR85&gt;=AI85),"CUMPLE","NO CUMPLE")</f>
        <v>CUMPLE</v>
      </c>
      <c r="AT85" s="10">
        <f>'Parametros'!$B$6*0.083*SQRT('Parametros'!$B$2)*(H85*I85)^2/(2*(H85+I85))/1000000</f>
        <v>3.38807353605471</v>
      </c>
      <c r="AU85" s="10" t="str">
        <f>IF(Q85&lt;=AT85,"DESPRECIABLE","DISEÑAR")</f>
        <v>DISEÑAR</v>
      </c>
      <c r="AV85" s="10">
        <f>IF(Q85&lt;=AT85,0,Q85*1000000/('Parametros'!$B$6*2*0.85*(H85-2*'Parametros'!$B$7)*(I85-2*'Parametros'!$B$7)*'Parametros'!$B$4))</f>
        <v>0.131514727102962</v>
      </c>
      <c r="AW85" s="10">
        <f>AV85*2*((H85-2*'Parametros'!$B$7)+(I85-2*'Parametros'!$B$7))*'Parametros'!$B$4/'Parametros'!$B$3</f>
        <v>142.035905271199</v>
      </c>
      <c r="AX85" s="17" t="n">
        <v>1</v>
      </c>
      <c r="AY85" s="10" t="str">
        <f>IF(AV85=0,"DESPRECIABLE",IF('Parametros'!$B$11/AP85&gt;=AV85,"CUMPLE","NO CUMPLE"))</f>
        <v>CUMPLE</v>
      </c>
      <c r="AZ85" s="10" t="str">
        <f>IF(AND(X85="CUMPLE",AE85="CUMPLE",AS85="CUMPLE",OR(AY85="CUMPLE",AY85="DESPRECIABLE")),IF(OR(F85&lt;&gt;H85,G85&lt;&gt;I85),"CUMPLE - REANALIZAR SAP","CUMPLE"),"NO CUMPLE")</f>
        <v>CUMPLE</v>
      </c>
    </row>
    <row r="86">
      <c r="A86" s="15" t="inlineStr">
        <is>
          <t>VC3</t>
        </is>
      </c>
      <c r="B86" s="15" t="inlineStr">
        <is>
          <t>849</t>
        </is>
      </c>
      <c r="C86" s="10" t="n">
        <v>1</v>
      </c>
      <c r="D86" s="10" t="n">
        <v>3.81477</v>
      </c>
      <c r="E86" s="10" t="n">
        <v>3.81477</v>
      </c>
      <c r="F86" s="10" t="n">
        <v>300</v>
      </c>
      <c r="G86" s="10" t="n">
        <v>400</v>
      </c>
      <c r="H86" s="15" t="n">
        <v>300</v>
      </c>
      <c r="I86" s="15" t="n">
        <v>400</v>
      </c>
      <c r="J86" s="16" t="n">
        <v>81.3908</v>
      </c>
      <c r="K86" s="10" t="inlineStr">
        <is>
          <t>849</t>
        </is>
      </c>
      <c r="L86" s="16" t="n">
        <v>57.033</v>
      </c>
      <c r="M86" s="10" t="inlineStr">
        <is>
          <t>849</t>
        </is>
      </c>
      <c r="N86" s="16" t="n">
        <v>47.794</v>
      </c>
      <c r="O86" s="16" t="n">
        <v>160.276</v>
      </c>
      <c r="P86" s="10" t="inlineStr">
        <is>
          <t>849</t>
        </is>
      </c>
      <c r="Q86" s="16" t="n">
        <v>4.9604</v>
      </c>
      <c r="R86" s="10">
        <f>MAX(MAX(1.4/'Parametros'!$B$3,0.25*SQRT('Parametros'!$B$2)/'Parametros'!$B$3)*H86*U86,(0.85*'Parametros'!$B$2/'Parametros'!$B$3)*(1-SQRT(1-2*(J86*1000000/('Parametros'!$B$5*H86*U86^2))/(0.85*'Parametros'!$B$2)))*H86*U86)</f>
        <v>666.748443351048</v>
      </c>
      <c r="S86" s="17" t="n">
        <v>4</v>
      </c>
      <c r="T86" s="18" t="n">
        <v>1</v>
      </c>
      <c r="U86" s="10">
        <f>IF(T86=1,I86-('Parametros'!$B$7+'Parametros'!$B$9+'Parametros'!$B$12/2),I86-(ROUNDUP(S86/2,0)*('Parametros'!$B$7+'Parametros'!$B$9+'Parametros'!$B$12/2)+ROUNDDOWN(S86/2,0)*('Parametros'!$B$7+'Parametros'!$B$9+'Parametros'!$B$12/2+'Parametros'!$B$12+'Parametros'!$B$10))/S86)</f>
        <v>342.55</v>
      </c>
      <c r="V86" s="10">
        <f>S86*'Parametros'!$B$8</f>
        <v>796</v>
      </c>
      <c r="W86" s="10">
        <f>'Parametros'!$B$5*V86*'Parametros'!$B$3*(U86-(V86*'Parametros'!$B$3/(0.85*'Parametros'!$B$2*H86))/2)/1000000</f>
        <v>96.0248653411765</v>
      </c>
      <c r="X86" s="10" t="str">
        <f>IF(W86&gt;=J86,"CUMPLE","NO CUMPLE")</f>
        <v>CUMPLE</v>
      </c>
      <c r="Y86" s="10">
        <f>MAX(MAX(1.4/'Parametros'!$B$3,0.25*SQRT('Parametros'!$B$2)/'Parametros'!$B$3)*H86*AB86,(0.85*'Parametros'!$B$2/'Parametros'!$B$3)*(1-SQRT(1-2*(L86*1000000/('Parametros'!$B$5*H86*AB86^2))/(0.85*'Parametros'!$B$2)))*H86*AB86)</f>
        <v>458.515161764286</v>
      </c>
      <c r="Z86" s="17" t="n">
        <v>3</v>
      </c>
      <c r="AA86" s="18" t="n">
        <v>1</v>
      </c>
      <c r="AB86" s="10">
        <f>IF(AA86=1,I86-('Parametros'!$B$7+'Parametros'!$B$9+'Parametros'!$B$12/2),I86-(ROUNDUP(Z86/2,0)*('Parametros'!$B$7+'Parametros'!$B$9+'Parametros'!$B$12/2)+ROUNDDOWN(Z86/2,0)*('Parametros'!$B$7+'Parametros'!$B$9+'Parametros'!$B$12/2+'Parametros'!$B$12+'Parametros'!$B$10))/Z86)</f>
        <v>342.55</v>
      </c>
      <c r="AC86" s="10">
        <f>Z86*'Parametros'!$B$8</f>
        <v>597</v>
      </c>
      <c r="AD86" s="10">
        <f>'Parametros'!$B$5*AC86*'Parametros'!$B$3*(AB86-(AC86*'Parametros'!$B$3/(0.85*'Parametros'!$B$2*H86))/2)/1000000</f>
        <v>73.3394588294118</v>
      </c>
      <c r="AE86" s="10" t="str">
        <f>IF(AD86&gt;=L86,"CUMPLE","NO CUMPLE")</f>
        <v>CUMPLE</v>
      </c>
      <c r="AF86" s="10">
        <f>V86*1.25*'Parametros'!$B$3*(U86-(V86*1.25*'Parametros'!$B$3/(0.85*'Parametros'!$B$2*H86))/2)/1000000</f>
        <v>130.921924411765</v>
      </c>
      <c r="AG86" s="10">
        <f>AC86*1.25*'Parametros'!$B$3*(AB86-(AC86*1.25*'Parametros'!$B$3/(0.85*'Parametros'!$B$2*H86))/2)/1000000</f>
        <v>100.484515919118</v>
      </c>
      <c r="AH86" s="10">
        <f>N86+(AF86+AG86)/D86</f>
        <v>108.454653284702</v>
      </c>
      <c r="AI86" s="10">
        <f>MIN(O86,MAX(N86,AH86))</f>
        <v>108.454653284702</v>
      </c>
      <c r="AJ86" s="10">
        <f>0.17*SQRT('Parametros'!$B$2)*H86*MIN(U86,AB86)/1000</f>
        <v>92.4428153837279</v>
      </c>
      <c r="AK86" s="10">
        <f>MAX(AI86/'Parametros'!$B$6-AJ86,0)</f>
        <v>52.1633889958746</v>
      </c>
      <c r="AL86" s="10">
        <f>0.66*SQRT('Parametros'!$B$2)*H86*MIN(U86,AB86)/1000</f>
        <v>358.89563619565</v>
      </c>
      <c r="AM86" s="10" t="str">
        <f>IF(AK86&lt;=AL86,"CUMPLE","NO CUMPLE")</f>
        <v>CUMPLE</v>
      </c>
      <c r="AN86" s="15" t="inlineStr">
        <is>
          <t>Nº3 cerrado</t>
        </is>
      </c>
      <c r="AO86" s="17" t="n">
        <v>2</v>
      </c>
      <c r="AP86" s="10">
        <f>ROUNDDOWN(MIN(IF(AK86=0,1000000000,AO86*'Parametros'!$B$11*'Parametros'!$B$4*MIN(U86,AB86)/(AK86*1000)),IF(AV86=0,1000000000,'Parametros'!$B$11/AV86),MIN(U86,AB86)/4,8*'Parametros'!$B$12,24*'Parametros'!$B$9,300)/10,0)*10</f>
        <v>80</v>
      </c>
      <c r="AQ86" s="10">
        <f>ROUNDDOWN(MIN(IF(AK86=0,1000000000,AO86*'Parametros'!$B$11*'Parametros'!$B$4*MIN(U86,AB86)/(AK86*1000)),IF(AV86=0,1000000000,'Parametros'!$B$11/AV86),MIN(U86,AB86)/2,600)/10,0)*10</f>
        <v>170</v>
      </c>
      <c r="AR86" s="10">
        <f>'Parametros'!$B$6*(AJ86+AO86*'Parametros'!$B$11*'Parametros'!$B$4*MIN(U86,AB86)/AP86/1000)</f>
        <v>260.860380287796</v>
      </c>
      <c r="AS86" s="10" t="str">
        <f>IF(AND(AM86="CUMPLE",AR86&gt;=AI86),"CUMPLE","NO CUMPLE")</f>
        <v>CUMPLE</v>
      </c>
      <c r="AT86" s="10">
        <f>'Parametros'!$B$6*0.083*SQRT('Parametros'!$B$2)*(H86*I86)^2/(2*(H86+I86))/1000000</f>
        <v>3.38807353605471</v>
      </c>
      <c r="AU86" s="10" t="str">
        <f>IF(Q86&lt;=AT86,"DESPRECIABLE","DISEÑAR")</f>
        <v>DISEÑAR</v>
      </c>
      <c r="AV86" s="10">
        <f>IF(Q86&lt;=AT86,0,Q86*1000000/('Parametros'!$B$6*2*0.85*(H86-2*'Parametros'!$B$7)*(I86-2*'Parametros'!$B$7)*'Parametros'!$B$4))</f>
        <v>0.13157838893133</v>
      </c>
      <c r="AW86" s="10">
        <f>AV86*2*((H86-2*'Parametros'!$B$7)+(I86-2*'Parametros'!$B$7))*'Parametros'!$B$4/'Parametros'!$B$3</f>
        <v>142.104660045837</v>
      </c>
      <c r="AX86" s="17" t="n">
        <v>1</v>
      </c>
      <c r="AY86" s="10" t="str">
        <f>IF(AV86=0,"DESPRECIABLE",IF('Parametros'!$B$11/AP86&gt;=AV86,"CUMPLE","NO CUMPLE"))</f>
        <v>CUMPLE</v>
      </c>
      <c r="AZ86" s="10" t="str">
        <f>IF(AND(X86="CUMPLE",AE86="CUMPLE",AS86="CUMPLE",OR(AY86="CUMPLE",AY86="DESPRECIABLE")),IF(OR(F86&lt;&gt;H86,G86&lt;&gt;I86),"CUMPLE - REANALIZAR SAP","CUMPLE"),"NO CUMPLE")</f>
        <v>CUMPLE</v>
      </c>
    </row>
    <row r="87">
      <c r="A87" s="15" t="inlineStr">
        <is>
          <t>VC3</t>
        </is>
      </c>
      <c r="B87" s="15" t="inlineStr">
        <is>
          <t>850</t>
        </is>
      </c>
      <c r="C87" s="10" t="n">
        <v>1</v>
      </c>
      <c r="D87" s="10" t="n">
        <v>4</v>
      </c>
      <c r="E87" s="10" t="n">
        <v>4</v>
      </c>
      <c r="F87" s="10" t="n">
        <v>300</v>
      </c>
      <c r="G87" s="10" t="n">
        <v>400</v>
      </c>
      <c r="H87" s="15" t="n">
        <v>300</v>
      </c>
      <c r="I87" s="15" t="n">
        <v>400</v>
      </c>
      <c r="J87" s="16" t="n">
        <v>69.1336</v>
      </c>
      <c r="K87" s="10" t="inlineStr">
        <is>
          <t>850</t>
        </is>
      </c>
      <c r="L87" s="16" t="n">
        <v>56.9437</v>
      </c>
      <c r="M87" s="10" t="inlineStr">
        <is>
          <t>850</t>
        </is>
      </c>
      <c r="N87" s="16" t="n">
        <v>38.105</v>
      </c>
      <c r="O87" s="16" t="n">
        <v>158.132</v>
      </c>
      <c r="P87" s="10" t="inlineStr">
        <is>
          <t>850</t>
        </is>
      </c>
      <c r="Q87" s="16" t="n">
        <v>0.6951000000000001</v>
      </c>
      <c r="R87" s="10">
        <f>MAX(MAX(1.4/'Parametros'!$B$3,0.25*SQRT('Parametros'!$B$2)/'Parametros'!$B$3)*H87*U87,(0.85*'Parametros'!$B$2/'Parametros'!$B$3)*(1-SQRT(1-2*(J87*1000000/('Parametros'!$B$5*H87*U87^2))/(0.85*'Parametros'!$B$2)))*H87*U87)</f>
        <v>560.932391625132</v>
      </c>
      <c r="S87" s="17" t="n">
        <v>3</v>
      </c>
      <c r="T87" s="18" t="n">
        <v>1</v>
      </c>
      <c r="U87" s="10">
        <f>IF(T87=1,I87-('Parametros'!$B$7+'Parametros'!$B$9+'Parametros'!$B$12/2),I87-(ROUNDUP(S87/2,0)*('Parametros'!$B$7+'Parametros'!$B$9+'Parametros'!$B$12/2)+ROUNDDOWN(S87/2,0)*('Parametros'!$B$7+'Parametros'!$B$9+'Parametros'!$B$12/2+'Parametros'!$B$12+'Parametros'!$B$10))/S87)</f>
        <v>342.55</v>
      </c>
      <c r="V87" s="10">
        <f>S87*'Parametros'!$B$8</f>
        <v>597</v>
      </c>
      <c r="W87" s="10">
        <f>'Parametros'!$B$5*V87*'Parametros'!$B$3*(U87-(V87*'Parametros'!$B$3/(0.85*'Parametros'!$B$2*H87))/2)/1000000</f>
        <v>73.3394588294118</v>
      </c>
      <c r="X87" s="10" t="str">
        <f>IF(W87&gt;=J87,"CUMPLE","NO CUMPLE")</f>
        <v>CUMPLE</v>
      </c>
      <c r="Y87" s="10">
        <f>MAX(MAX(1.4/'Parametros'!$B$3,0.25*SQRT('Parametros'!$B$2)/'Parametros'!$B$3)*H87*AB87,(0.85*'Parametros'!$B$2/'Parametros'!$B$3)*(1-SQRT(1-2*(L87*1000000/('Parametros'!$B$5*H87*AB87^2))/(0.85*'Parametros'!$B$2)))*H87*AB87)</f>
        <v>457.766609847547</v>
      </c>
      <c r="Z87" s="17" t="n">
        <v>3</v>
      </c>
      <c r="AA87" s="18" t="n">
        <v>1</v>
      </c>
      <c r="AB87" s="10">
        <f>IF(AA87=1,I87-('Parametros'!$B$7+'Parametros'!$B$9+'Parametros'!$B$12/2),I87-(ROUNDUP(Z87/2,0)*('Parametros'!$B$7+'Parametros'!$B$9+'Parametros'!$B$12/2)+ROUNDDOWN(Z87/2,0)*('Parametros'!$B$7+'Parametros'!$B$9+'Parametros'!$B$12/2+'Parametros'!$B$12+'Parametros'!$B$10))/Z87)</f>
        <v>342.55</v>
      </c>
      <c r="AC87" s="10">
        <f>Z87*'Parametros'!$B$8</f>
        <v>597</v>
      </c>
      <c r="AD87" s="10">
        <f>'Parametros'!$B$5*AC87*'Parametros'!$B$3*(AB87-(AC87*'Parametros'!$B$3/(0.85*'Parametros'!$B$2*H87))/2)/1000000</f>
        <v>73.3394588294118</v>
      </c>
      <c r="AE87" s="10" t="str">
        <f>IF(AD87&gt;=L87,"CUMPLE","NO CUMPLE")</f>
        <v>CUMPLE</v>
      </c>
      <c r="AF87" s="10">
        <f>V87*1.25*'Parametros'!$B$3*(U87-(V87*1.25*'Parametros'!$B$3/(0.85*'Parametros'!$B$2*H87))/2)/1000000</f>
        <v>100.484515919118</v>
      </c>
      <c r="AG87" s="10">
        <f>AC87*1.25*'Parametros'!$B$3*(AB87-(AC87*1.25*'Parametros'!$B$3/(0.85*'Parametros'!$B$2*H87))/2)/1000000</f>
        <v>100.484515919118</v>
      </c>
      <c r="AH87" s="10">
        <f>N87+(AF87+AG87)/D87</f>
        <v>88.3472579595588</v>
      </c>
      <c r="AI87" s="10">
        <f>MIN(O87,MAX(N87,AH87))</f>
        <v>88.3472579595588</v>
      </c>
      <c r="AJ87" s="10">
        <f>0.17*SQRT('Parametros'!$B$2)*H87*MIN(U87,AB87)/1000</f>
        <v>92.4428153837279</v>
      </c>
      <c r="AK87" s="10">
        <f>MAX(AI87/'Parametros'!$B$6-AJ87,0)</f>
        <v>25.3535285623505</v>
      </c>
      <c r="AL87" s="10">
        <f>0.66*SQRT('Parametros'!$B$2)*H87*MIN(U87,AB87)/1000</f>
        <v>358.89563619565</v>
      </c>
      <c r="AM87" s="10" t="str">
        <f>IF(AK87&lt;=AL87,"CUMPLE","NO CUMPLE")</f>
        <v>CUMPLE</v>
      </c>
      <c r="AN87" s="15" t="inlineStr">
        <is>
          <t>Nº3 cerrado</t>
        </is>
      </c>
      <c r="AO87" s="17" t="n">
        <v>2</v>
      </c>
      <c r="AP87" s="10">
        <f>ROUNDDOWN(MIN(IF(AK87=0,1000000000,AO87*'Parametros'!$B$11*'Parametros'!$B$4*MIN(U87,AB87)/(AK87*1000)),IF(AV87=0,1000000000,'Parametros'!$B$11/AV87),MIN(U87,AB87)/4,8*'Parametros'!$B$12,24*'Parametros'!$B$9,300)/10,0)*10</f>
        <v>80</v>
      </c>
      <c r="AQ87" s="10">
        <f>ROUNDDOWN(MIN(IF(AK87=0,1000000000,AO87*'Parametros'!$B$11*'Parametros'!$B$4*MIN(U87,AB87)/(AK87*1000)),IF(AV87=0,1000000000,'Parametros'!$B$11/AV87),MIN(U87,AB87)/2,600)/10,0)*10</f>
        <v>170</v>
      </c>
      <c r="AR87" s="10">
        <f>'Parametros'!$B$6*(AJ87+AO87*'Parametros'!$B$11*'Parametros'!$B$4*MIN(U87,AB87)/AP87/1000)</f>
        <v>260.860380287796</v>
      </c>
      <c r="AS87" s="10" t="str">
        <f>IF(AND(AM87="CUMPLE",AR87&gt;=AI87),"CUMPLE","NO CUMPLE")</f>
        <v>CUMPLE</v>
      </c>
      <c r="AT87" s="10">
        <f>'Parametros'!$B$6*0.083*SQRT('Parametros'!$B$2)*(H87*I87)^2/(2*(H87+I87))/1000000</f>
        <v>3.38807353605471</v>
      </c>
      <c r="AU87" s="10" t="str">
        <f>IF(Q87&lt;=AT87,"DESPRECIABLE","DISEÑAR")</f>
        <v>DESPRECIABLE</v>
      </c>
      <c r="AV87" s="10">
        <f>IF(Q87&lt;=AT87,0,Q87*1000000/('Parametros'!$B$6*2*0.85*(H87-2*'Parametros'!$B$7)*(I87-2*'Parametros'!$B$7)*'Parametros'!$B$4))</f>
        <v>0</v>
      </c>
      <c r="AW87" s="10">
        <f>AV87*2*((H87-2*'Parametros'!$B$7)+(I87-2*'Parametros'!$B$7))*'Parametros'!$B$4/'Parametros'!$B$3</f>
        <v>0</v>
      </c>
      <c r="AX87" s="17" t="n">
        <v>0</v>
      </c>
      <c r="AY87" s="10" t="str">
        <f>IF(AV87=0,"DESPRECIABLE",IF('Parametros'!$B$11/AP87&gt;=AV87,"CUMPLE","NO CUMPLE"))</f>
        <v>DESPRECIABLE</v>
      </c>
      <c r="AZ87" s="10" t="str">
        <f>IF(AND(X87="CUMPLE",AE87="CUMPLE",AS87="CUMPLE",OR(AY87="CUMPLE",AY87="DESPRECIABLE")),IF(OR(F87&lt;&gt;H87,G87&lt;&gt;I87),"CUMPLE - REANALIZAR SAP","CUMPLE"),"NO CUMPLE")</f>
        <v>CUMPLE</v>
      </c>
    </row>
    <row r="88">
      <c r="A88" s="15" t="inlineStr">
        <is>
          <t>VC3</t>
        </is>
      </c>
      <c r="B88" s="15" t="inlineStr">
        <is>
          <t>909</t>
        </is>
      </c>
      <c r="C88" s="10" t="n">
        <v>1</v>
      </c>
      <c r="D88" s="10" t="n">
        <v>4</v>
      </c>
      <c r="E88" s="10" t="n">
        <v>4</v>
      </c>
      <c r="F88" s="10" t="n">
        <v>300</v>
      </c>
      <c r="G88" s="10" t="n">
        <v>400</v>
      </c>
      <c r="H88" s="15" t="n">
        <v>300</v>
      </c>
      <c r="I88" s="15" t="n">
        <v>400</v>
      </c>
      <c r="J88" s="16" t="n">
        <v>49.6707</v>
      </c>
      <c r="K88" s="10" t="inlineStr">
        <is>
          <t>909</t>
        </is>
      </c>
      <c r="L88" s="16" t="n">
        <v>37.9865</v>
      </c>
      <c r="M88" s="10" t="inlineStr">
        <is>
          <t>909</t>
        </is>
      </c>
      <c r="N88" s="16" t="n">
        <v>28.649</v>
      </c>
      <c r="O88" s="16" t="n">
        <v>108.324</v>
      </c>
      <c r="P88" s="10" t="inlineStr">
        <is>
          <t>909</t>
        </is>
      </c>
      <c r="Q88" s="16" t="n">
        <v>0.5177</v>
      </c>
      <c r="R88" s="10">
        <f>MAX(MAX(1.4/'Parametros'!$B$3,0.25*SQRT('Parametros'!$B$2)/'Parametros'!$B$3)*H88*U88,(0.85*'Parametros'!$B$2/'Parametros'!$B$3)*(1-SQRT(1-2*(J88*1000000/('Parametros'!$B$5*H88*U88^2))/(0.85*'Parametros'!$B$2)))*H88*U88)</f>
        <v>397.147801236571</v>
      </c>
      <c r="S88" s="17" t="n">
        <v>2</v>
      </c>
      <c r="T88" s="18" t="n">
        <v>1</v>
      </c>
      <c r="U88" s="10">
        <f>IF(T88=1,I88-('Parametros'!$B$7+'Parametros'!$B$9+'Parametros'!$B$12/2),I88-(ROUNDUP(S88/2,0)*('Parametros'!$B$7+'Parametros'!$B$9+'Parametros'!$B$12/2)+ROUNDDOWN(S88/2,0)*('Parametros'!$B$7+'Parametros'!$B$9+'Parametros'!$B$12/2+'Parametros'!$B$12+'Parametros'!$B$10))/S88)</f>
        <v>342.55</v>
      </c>
      <c r="V88" s="10">
        <f>S88*'Parametros'!$B$8</f>
        <v>398</v>
      </c>
      <c r="W88" s="10">
        <f>'Parametros'!$B$5*V88*'Parametros'!$B$3*(U88-(V88*'Parametros'!$B$3/(0.85*'Parametros'!$B$2*H88))/2)/1000000</f>
        <v>49.7735124352941</v>
      </c>
      <c r="X88" s="10" t="str">
        <f>IF(W88&gt;=J88,"CUMPLE","NO CUMPLE")</f>
        <v>CUMPLE</v>
      </c>
      <c r="Y88" s="10">
        <f>MAX(MAX(1.4/'Parametros'!$B$3,0.25*SQRT('Parametros'!$B$2)/'Parametros'!$B$3)*H88*AB88,(0.85*'Parametros'!$B$2/'Parametros'!$B$3)*(1-SQRT(1-2*(L88*1000000/('Parametros'!$B$5*H88*AB88^2))/(0.85*'Parametros'!$B$2)))*H88*AB88)</f>
        <v>342.55</v>
      </c>
      <c r="Z88" s="17" t="n">
        <v>2</v>
      </c>
      <c r="AA88" s="18" t="n">
        <v>1</v>
      </c>
      <c r="AB88" s="10">
        <f>IF(AA88=1,I88-('Parametros'!$B$7+'Parametros'!$B$9+'Parametros'!$B$12/2),I88-(ROUNDUP(Z88/2,0)*('Parametros'!$B$7+'Parametros'!$B$9+'Parametros'!$B$12/2)+ROUNDDOWN(Z88/2,0)*('Parametros'!$B$7+'Parametros'!$B$9+'Parametros'!$B$12/2+'Parametros'!$B$12+'Parametros'!$B$10))/Z88)</f>
        <v>342.55</v>
      </c>
      <c r="AC88" s="10">
        <f>Z88*'Parametros'!$B$8</f>
        <v>398</v>
      </c>
      <c r="AD88" s="10">
        <f>'Parametros'!$B$5*AC88*'Parametros'!$B$3*(AB88-(AC88*'Parametros'!$B$3/(0.85*'Parametros'!$B$2*H88))/2)/1000000</f>
        <v>49.7735124352941</v>
      </c>
      <c r="AE88" s="10" t="str">
        <f>IF(AD88&gt;=L88,"CUMPLE","NO CUMPLE")</f>
        <v>CUMPLE</v>
      </c>
      <c r="AF88" s="10">
        <f>V88*1.25*'Parametros'!$B$3*(U88-(V88*1.25*'Parametros'!$B$3/(0.85*'Parametros'!$B$2*H88))/2)/1000000</f>
        <v>68.5183923529412</v>
      </c>
      <c r="AG88" s="10">
        <f>AC88*1.25*'Parametros'!$B$3*(AB88-(AC88*1.25*'Parametros'!$B$3/(0.85*'Parametros'!$B$2*H88))/2)/1000000</f>
        <v>68.5183923529412</v>
      </c>
      <c r="AH88" s="10">
        <f>N88+(AF88+AG88)/D88</f>
        <v>62.9081961764706</v>
      </c>
      <c r="AI88" s="10">
        <f>MIN(O88,MAX(N88,AH88))</f>
        <v>62.9081961764706</v>
      </c>
      <c r="AJ88" s="10">
        <f>0.17*SQRT('Parametros'!$B$2)*H88*MIN(U88,AB88)/1000</f>
        <v>92.4428153837279</v>
      </c>
      <c r="AK88" s="10">
        <f>MAX(AI88/'Parametros'!$B$6-AJ88,0)</f>
        <v>0</v>
      </c>
      <c r="AL88" s="10">
        <f>0.66*SQRT('Parametros'!$B$2)*H88*MIN(U88,AB88)/1000</f>
        <v>358.89563619565</v>
      </c>
      <c r="AM88" s="10" t="str">
        <f>IF(AK88&lt;=AL88,"CUMPLE","NO CUMPLE")</f>
        <v>CUMPLE</v>
      </c>
      <c r="AN88" s="15" t="inlineStr">
        <is>
          <t>Nº3 cerrado</t>
        </is>
      </c>
      <c r="AO88" s="17" t="n">
        <v>2</v>
      </c>
      <c r="AP88" s="10">
        <f>ROUNDDOWN(MIN(IF(AK88=0,1000000000,AO88*'Parametros'!$B$11*'Parametros'!$B$4*MIN(U88,AB88)/(AK88*1000)),IF(AV88=0,1000000000,'Parametros'!$B$11/AV88),MIN(U88,AB88)/4,8*'Parametros'!$B$12,24*'Parametros'!$B$9,300)/10,0)*10</f>
        <v>80</v>
      </c>
      <c r="AQ88" s="10">
        <f>ROUNDDOWN(MIN(IF(AK88=0,1000000000,AO88*'Parametros'!$B$11*'Parametros'!$B$4*MIN(U88,AB88)/(AK88*1000)),IF(AV88=0,1000000000,'Parametros'!$B$11/AV88),MIN(U88,AB88)/2,600)/10,0)*10</f>
        <v>170</v>
      </c>
      <c r="AR88" s="10">
        <f>'Parametros'!$B$6*(AJ88+AO88*'Parametros'!$B$11*'Parametros'!$B$4*MIN(U88,AB88)/AP88/1000)</f>
        <v>260.860380287796</v>
      </c>
      <c r="AS88" s="10" t="str">
        <f>IF(AND(AM88="CUMPLE",AR88&gt;=AI88),"CUMPLE","NO CUMPLE")</f>
        <v>CUMPLE</v>
      </c>
      <c r="AT88" s="10">
        <f>'Parametros'!$B$6*0.083*SQRT('Parametros'!$B$2)*(H88*I88)^2/(2*(H88+I88))/1000000</f>
        <v>3.38807353605471</v>
      </c>
      <c r="AU88" s="10" t="str">
        <f>IF(Q88&lt;=AT88,"DESPRECIABLE","DISEÑAR")</f>
        <v>DESPRECIABLE</v>
      </c>
      <c r="AV88" s="10">
        <f>IF(Q88&lt;=AT88,0,Q88*1000000/('Parametros'!$B$6*2*0.85*(H88-2*'Parametros'!$B$7)*(I88-2*'Parametros'!$B$7)*'Parametros'!$B$4))</f>
        <v>0</v>
      </c>
      <c r="AW88" s="10">
        <f>AV88*2*((H88-2*'Parametros'!$B$7)+(I88-2*'Parametros'!$B$7))*'Parametros'!$B$4/'Parametros'!$B$3</f>
        <v>0</v>
      </c>
      <c r="AX88" s="17" t="n">
        <v>0</v>
      </c>
      <c r="AY88" s="10" t="str">
        <f>IF(AV88=0,"DESPRECIABLE",IF('Parametros'!$B$11/AP88&gt;=AV88,"CUMPLE","NO CUMPLE"))</f>
        <v>DESPRECIABLE</v>
      </c>
      <c r="AZ88" s="10" t="str">
        <f>IF(AND(X88="CUMPLE",AE88="CUMPLE",AS88="CUMPLE",OR(AY88="CUMPLE",AY88="DESPRECIABLE")),IF(OR(F88&lt;&gt;H88,G88&lt;&gt;I88),"CUMPLE - REANALIZAR SAP","CUMPLE"),"NO CUMPLE")</f>
        <v>CUMPLE</v>
      </c>
    </row>
    <row r="89">
      <c r="A89" s="15" t="inlineStr">
        <is>
          <t>VC3</t>
        </is>
      </c>
      <c r="B89" s="15" t="inlineStr">
        <is>
          <t>910</t>
        </is>
      </c>
      <c r="C89" s="10" t="n">
        <v>1</v>
      </c>
      <c r="D89" s="10" t="n">
        <v>3.81477</v>
      </c>
      <c r="E89" s="10" t="n">
        <v>3.81477</v>
      </c>
      <c r="F89" s="10" t="n">
        <v>300</v>
      </c>
      <c r="G89" s="10" t="n">
        <v>400</v>
      </c>
      <c r="H89" s="15" t="n">
        <v>300</v>
      </c>
      <c r="I89" s="15" t="n">
        <v>400</v>
      </c>
      <c r="J89" s="16" t="n">
        <v>66.2876</v>
      </c>
      <c r="K89" s="10" t="inlineStr">
        <is>
          <t>910</t>
        </is>
      </c>
      <c r="L89" s="16" t="n">
        <v>42.95</v>
      </c>
      <c r="M89" s="10" t="inlineStr">
        <is>
          <t>910</t>
        </is>
      </c>
      <c r="N89" s="16" t="n">
        <v>40.734</v>
      </c>
      <c r="O89" s="16" t="n">
        <v>116.098</v>
      </c>
      <c r="P89" s="10" t="inlineStr">
        <is>
          <t>910</t>
        </is>
      </c>
      <c r="Q89" s="16" t="n">
        <v>4.6629</v>
      </c>
      <c r="R89" s="10">
        <f>MAX(MAX(1.4/'Parametros'!$B$3,0.25*SQRT('Parametros'!$B$2)/'Parametros'!$B$3)*H89*U89,(0.85*'Parametros'!$B$2/'Parametros'!$B$3)*(1-SQRT(1-2*(J89*1000000/('Parametros'!$B$5*H89*U89^2))/(0.85*'Parametros'!$B$2)))*H89*U89)</f>
        <v>536.665925561347</v>
      </c>
      <c r="S89" s="17" t="n">
        <v>3</v>
      </c>
      <c r="T89" s="18" t="n">
        <v>1</v>
      </c>
      <c r="U89" s="10">
        <f>IF(T89=1,I89-('Parametros'!$B$7+'Parametros'!$B$9+'Parametros'!$B$12/2),I89-(ROUNDUP(S89/2,0)*('Parametros'!$B$7+'Parametros'!$B$9+'Parametros'!$B$12/2)+ROUNDDOWN(S89/2,0)*('Parametros'!$B$7+'Parametros'!$B$9+'Parametros'!$B$12/2+'Parametros'!$B$12+'Parametros'!$B$10))/S89)</f>
        <v>342.55</v>
      </c>
      <c r="V89" s="10">
        <f>S89*'Parametros'!$B$8</f>
        <v>597</v>
      </c>
      <c r="W89" s="10">
        <f>'Parametros'!$B$5*V89*'Parametros'!$B$3*(U89-(V89*'Parametros'!$B$3/(0.85*'Parametros'!$B$2*H89))/2)/1000000</f>
        <v>73.3394588294118</v>
      </c>
      <c r="X89" s="10" t="str">
        <f>IF(W89&gt;=J89,"CUMPLE","NO CUMPLE")</f>
        <v>CUMPLE</v>
      </c>
      <c r="Y89" s="10">
        <f>MAX(MAX(1.4/'Parametros'!$B$3,0.25*SQRT('Parametros'!$B$2)/'Parametros'!$B$3)*H89*AB89,(0.85*'Parametros'!$B$2/'Parametros'!$B$3)*(1-SQRT(1-2*(L89*1000000/('Parametros'!$B$5*H89*AB89^2))/(0.85*'Parametros'!$B$2)))*H89*AB89)</f>
        <v>342.55</v>
      </c>
      <c r="Z89" s="17" t="n">
        <v>2</v>
      </c>
      <c r="AA89" s="18" t="n">
        <v>1</v>
      </c>
      <c r="AB89" s="10">
        <f>IF(AA89=1,I89-('Parametros'!$B$7+'Parametros'!$B$9+'Parametros'!$B$12/2),I89-(ROUNDUP(Z89/2,0)*('Parametros'!$B$7+'Parametros'!$B$9+'Parametros'!$B$12/2)+ROUNDDOWN(Z89/2,0)*('Parametros'!$B$7+'Parametros'!$B$9+'Parametros'!$B$12/2+'Parametros'!$B$12+'Parametros'!$B$10))/Z89)</f>
        <v>342.55</v>
      </c>
      <c r="AC89" s="10">
        <f>Z89*'Parametros'!$B$8</f>
        <v>398</v>
      </c>
      <c r="AD89" s="10">
        <f>'Parametros'!$B$5*AC89*'Parametros'!$B$3*(AB89-(AC89*'Parametros'!$B$3/(0.85*'Parametros'!$B$2*H89))/2)/1000000</f>
        <v>49.7735124352941</v>
      </c>
      <c r="AE89" s="10" t="str">
        <f>IF(AD89&gt;=L89,"CUMPLE","NO CUMPLE")</f>
        <v>CUMPLE</v>
      </c>
      <c r="AF89" s="10">
        <f>V89*1.25*'Parametros'!$B$3*(U89-(V89*1.25*'Parametros'!$B$3/(0.85*'Parametros'!$B$2*H89))/2)/1000000</f>
        <v>100.484515919118</v>
      </c>
      <c r="AG89" s="10">
        <f>AC89*1.25*'Parametros'!$B$3*(AB89-(AC89*1.25*'Parametros'!$B$3/(0.85*'Parametros'!$B$2*H89))/2)/1000000</f>
        <v>68.5183923529412</v>
      </c>
      <c r="AH89" s="10">
        <f>N89+(AF89+AG89)/D89</f>
        <v>85.036253680316</v>
      </c>
      <c r="AI89" s="10">
        <f>MIN(O89,MAX(N89,AH89))</f>
        <v>85.036253680316</v>
      </c>
      <c r="AJ89" s="10">
        <f>0.17*SQRT('Parametros'!$B$2)*H89*MIN(U89,AB89)/1000</f>
        <v>92.4428153837279</v>
      </c>
      <c r="AK89" s="10">
        <f>MAX(AI89/'Parametros'!$B$6-AJ89,0)</f>
        <v>20.9388561900267</v>
      </c>
      <c r="AL89" s="10">
        <f>0.66*SQRT('Parametros'!$B$2)*H89*MIN(U89,AB89)/1000</f>
        <v>358.89563619565</v>
      </c>
      <c r="AM89" s="10" t="str">
        <f>IF(AK89&lt;=AL89,"CUMPLE","NO CUMPLE")</f>
        <v>CUMPLE</v>
      </c>
      <c r="AN89" s="15" t="inlineStr">
        <is>
          <t>Nº3 cerrado</t>
        </is>
      </c>
      <c r="AO89" s="17" t="n">
        <v>2</v>
      </c>
      <c r="AP89" s="10">
        <f>ROUNDDOWN(MIN(IF(AK89=0,1000000000,AO89*'Parametros'!$B$11*'Parametros'!$B$4*MIN(U89,AB89)/(AK89*1000)),IF(AV89=0,1000000000,'Parametros'!$B$11/AV89),MIN(U89,AB89)/4,8*'Parametros'!$B$12,24*'Parametros'!$B$9,300)/10,0)*10</f>
        <v>80</v>
      </c>
      <c r="AQ89" s="10">
        <f>ROUNDDOWN(MIN(IF(AK89=0,1000000000,AO89*'Parametros'!$B$11*'Parametros'!$B$4*MIN(U89,AB89)/(AK89*1000)),IF(AV89=0,1000000000,'Parametros'!$B$11/AV89),MIN(U89,AB89)/2,600)/10,0)*10</f>
        <v>170</v>
      </c>
      <c r="AR89" s="10">
        <f>'Parametros'!$B$6*(AJ89+AO89*'Parametros'!$B$11*'Parametros'!$B$4*MIN(U89,AB89)/AP89/1000)</f>
        <v>260.860380287796</v>
      </c>
      <c r="AS89" s="10" t="str">
        <f>IF(AND(AM89="CUMPLE",AR89&gt;=AI89),"CUMPLE","NO CUMPLE")</f>
        <v>CUMPLE</v>
      </c>
      <c r="AT89" s="10">
        <f>'Parametros'!$B$6*0.083*SQRT('Parametros'!$B$2)*(H89*I89)^2/(2*(H89+I89))/1000000</f>
        <v>3.38807353605471</v>
      </c>
      <c r="AU89" s="10" t="str">
        <f>IF(Q89&lt;=AT89,"DESPRECIABLE","DISEÑAR")</f>
        <v>DISEÑAR</v>
      </c>
      <c r="AV89" s="10">
        <f>IF(Q89&lt;=AT89,0,Q89*1000000/('Parametros'!$B$6*2*0.85*(H89-2*'Parametros'!$B$7)*(I89-2*'Parametros'!$B$7)*'Parametros'!$B$4))</f>
        <v>0.123686974789916</v>
      </c>
      <c r="AW89" s="10">
        <f>AV89*2*((H89-2*'Parametros'!$B$7)+(I89-2*'Parametros'!$B$7))*'Parametros'!$B$4/'Parametros'!$B$3</f>
        <v>133.581932773109</v>
      </c>
      <c r="AX89" s="17" t="n">
        <v>1</v>
      </c>
      <c r="AY89" s="10" t="str">
        <f>IF(AV89=0,"DESPRECIABLE",IF('Parametros'!$B$11/AP89&gt;=AV89,"CUMPLE","NO CUMPLE"))</f>
        <v>CUMPLE</v>
      </c>
      <c r="AZ89" s="10" t="str">
        <f>IF(AND(X89="CUMPLE",AE89="CUMPLE",AS89="CUMPLE",OR(AY89="CUMPLE",AY89="DESPRECIABLE")),IF(OR(F89&lt;&gt;H89,G89&lt;&gt;I89),"CUMPLE - REANALIZAR SAP","CUMPLE"),"NO CUMPLE")</f>
        <v>CUMPLE</v>
      </c>
    </row>
    <row r="90">
      <c r="A90" s="15" t="inlineStr">
        <is>
          <t>VC3</t>
        </is>
      </c>
      <c r="B90" s="15" t="inlineStr">
        <is>
          <t>911</t>
        </is>
      </c>
      <c r="C90" s="10" t="n">
        <v>1</v>
      </c>
      <c r="D90" s="10" t="n">
        <v>3.81477</v>
      </c>
      <c r="E90" s="10" t="n">
        <v>3.81477</v>
      </c>
      <c r="F90" s="10" t="n">
        <v>300</v>
      </c>
      <c r="G90" s="10" t="n">
        <v>400</v>
      </c>
      <c r="H90" s="15" t="n">
        <v>300</v>
      </c>
      <c r="I90" s="15" t="n">
        <v>400</v>
      </c>
      <c r="J90" s="16" t="n">
        <v>66.3476</v>
      </c>
      <c r="K90" s="10" t="inlineStr">
        <is>
          <t>911</t>
        </is>
      </c>
      <c r="L90" s="16" t="n">
        <v>43.0254</v>
      </c>
      <c r="M90" s="10" t="inlineStr">
        <is>
          <t>911</t>
        </is>
      </c>
      <c r="N90" s="16" t="n">
        <v>40.763</v>
      </c>
      <c r="O90" s="16" t="n">
        <v>116.137</v>
      </c>
      <c r="P90" s="10" t="inlineStr">
        <is>
          <t>911</t>
        </is>
      </c>
      <c r="Q90" s="16" t="n">
        <v>4.667</v>
      </c>
      <c r="R90" s="10">
        <f>MAX(MAX(1.4/'Parametros'!$B$3,0.25*SQRT('Parametros'!$B$2)/'Parametros'!$B$3)*H90*U90,(0.85*'Parametros'!$B$2/'Parametros'!$B$3)*(1-SQRT(1-2*(J90*1000000/('Parametros'!$B$5*H90*U90^2))/(0.85*'Parametros'!$B$2)))*H90*U90)</f>
        <v>537.176367066018</v>
      </c>
      <c r="S90" s="17" t="n">
        <v>3</v>
      </c>
      <c r="T90" s="18" t="n">
        <v>1</v>
      </c>
      <c r="U90" s="10">
        <f>IF(T90=1,I90-('Parametros'!$B$7+'Parametros'!$B$9+'Parametros'!$B$12/2),I90-(ROUNDUP(S90/2,0)*('Parametros'!$B$7+'Parametros'!$B$9+'Parametros'!$B$12/2)+ROUNDDOWN(S90/2,0)*('Parametros'!$B$7+'Parametros'!$B$9+'Parametros'!$B$12/2+'Parametros'!$B$12+'Parametros'!$B$10))/S90)</f>
        <v>342.55</v>
      </c>
      <c r="V90" s="10">
        <f>S90*'Parametros'!$B$8</f>
        <v>597</v>
      </c>
      <c r="W90" s="10">
        <f>'Parametros'!$B$5*V90*'Parametros'!$B$3*(U90-(V90*'Parametros'!$B$3/(0.85*'Parametros'!$B$2*H90))/2)/1000000</f>
        <v>73.3394588294118</v>
      </c>
      <c r="X90" s="10" t="str">
        <f>IF(W90&gt;=J90,"CUMPLE","NO CUMPLE")</f>
        <v>CUMPLE</v>
      </c>
      <c r="Y90" s="10">
        <f>MAX(MAX(1.4/'Parametros'!$B$3,0.25*SQRT('Parametros'!$B$2)/'Parametros'!$B$3)*H90*AB90,(0.85*'Parametros'!$B$2/'Parametros'!$B$3)*(1-SQRT(1-2*(L90*1000000/('Parametros'!$B$5*H90*AB90^2))/(0.85*'Parametros'!$B$2)))*H90*AB90)</f>
        <v>342.55</v>
      </c>
      <c r="Z90" s="17" t="n">
        <v>2</v>
      </c>
      <c r="AA90" s="18" t="n">
        <v>1</v>
      </c>
      <c r="AB90" s="10">
        <f>IF(AA90=1,I90-('Parametros'!$B$7+'Parametros'!$B$9+'Parametros'!$B$12/2),I90-(ROUNDUP(Z90/2,0)*('Parametros'!$B$7+'Parametros'!$B$9+'Parametros'!$B$12/2)+ROUNDDOWN(Z90/2,0)*('Parametros'!$B$7+'Parametros'!$B$9+'Parametros'!$B$12/2+'Parametros'!$B$12+'Parametros'!$B$10))/Z90)</f>
        <v>342.55</v>
      </c>
      <c r="AC90" s="10">
        <f>Z90*'Parametros'!$B$8</f>
        <v>398</v>
      </c>
      <c r="AD90" s="10">
        <f>'Parametros'!$B$5*AC90*'Parametros'!$B$3*(AB90-(AC90*'Parametros'!$B$3/(0.85*'Parametros'!$B$2*H90))/2)/1000000</f>
        <v>49.7735124352941</v>
      </c>
      <c r="AE90" s="10" t="str">
        <f>IF(AD90&gt;=L90,"CUMPLE","NO CUMPLE")</f>
        <v>CUMPLE</v>
      </c>
      <c r="AF90" s="10">
        <f>V90*1.25*'Parametros'!$B$3*(U90-(V90*1.25*'Parametros'!$B$3/(0.85*'Parametros'!$B$2*H90))/2)/1000000</f>
        <v>100.484515919118</v>
      </c>
      <c r="AG90" s="10">
        <f>AC90*1.25*'Parametros'!$B$3*(AB90-(AC90*1.25*'Parametros'!$B$3/(0.85*'Parametros'!$B$2*H90))/2)/1000000</f>
        <v>68.5183923529412</v>
      </c>
      <c r="AH90" s="10">
        <f>N90+(AF90+AG90)/D90</f>
        <v>85.0652536803159</v>
      </c>
      <c r="AI90" s="10">
        <f>MIN(O90,MAX(N90,AH90))</f>
        <v>85.0652536803159</v>
      </c>
      <c r="AJ90" s="10">
        <f>0.17*SQRT('Parametros'!$B$2)*H90*MIN(U90,AB90)/1000</f>
        <v>92.4428153837279</v>
      </c>
      <c r="AK90" s="10">
        <f>MAX(AI90/'Parametros'!$B$6-AJ90,0)</f>
        <v>20.9775228566933</v>
      </c>
      <c r="AL90" s="10">
        <f>0.66*SQRT('Parametros'!$B$2)*H90*MIN(U90,AB90)/1000</f>
        <v>358.89563619565</v>
      </c>
      <c r="AM90" s="10" t="str">
        <f>IF(AK90&lt;=AL90,"CUMPLE","NO CUMPLE")</f>
        <v>CUMPLE</v>
      </c>
      <c r="AN90" s="15" t="inlineStr">
        <is>
          <t>Nº3 cerrado</t>
        </is>
      </c>
      <c r="AO90" s="17" t="n">
        <v>2</v>
      </c>
      <c r="AP90" s="10">
        <f>ROUNDDOWN(MIN(IF(AK90=0,1000000000,AO90*'Parametros'!$B$11*'Parametros'!$B$4*MIN(U90,AB90)/(AK90*1000)),IF(AV90=0,1000000000,'Parametros'!$B$11/AV90),MIN(U90,AB90)/4,8*'Parametros'!$B$12,24*'Parametros'!$B$9,300)/10,0)*10</f>
        <v>80</v>
      </c>
      <c r="AQ90" s="10">
        <f>ROUNDDOWN(MIN(IF(AK90=0,1000000000,AO90*'Parametros'!$B$11*'Parametros'!$B$4*MIN(U90,AB90)/(AK90*1000)),IF(AV90=0,1000000000,'Parametros'!$B$11/AV90),MIN(U90,AB90)/2,600)/10,0)*10</f>
        <v>170</v>
      </c>
      <c r="AR90" s="10">
        <f>'Parametros'!$B$6*(AJ90+AO90*'Parametros'!$B$11*'Parametros'!$B$4*MIN(U90,AB90)/AP90/1000)</f>
        <v>260.860380287796</v>
      </c>
      <c r="AS90" s="10" t="str">
        <f>IF(AND(AM90="CUMPLE",AR90&gt;=AI90),"CUMPLE","NO CUMPLE")</f>
        <v>CUMPLE</v>
      </c>
      <c r="AT90" s="10">
        <f>'Parametros'!$B$6*0.083*SQRT('Parametros'!$B$2)*(H90*I90)^2/(2*(H90+I90))/1000000</f>
        <v>3.38807353605471</v>
      </c>
      <c r="AU90" s="10" t="str">
        <f>IF(Q90&lt;=AT90,"DESPRECIABLE","DISEÑAR")</f>
        <v>DISEÑAR</v>
      </c>
      <c r="AV90" s="10">
        <f>IF(Q90&lt;=AT90,0,Q90*1000000/('Parametros'!$B$6*2*0.85*(H90-2*'Parametros'!$B$7)*(I90-2*'Parametros'!$B$7)*'Parametros'!$B$4))</f>
        <v>0.123795730413377</v>
      </c>
      <c r="AW90" s="10">
        <f>AV90*2*((H90-2*'Parametros'!$B$7)+(I90-2*'Parametros'!$B$7))*'Parametros'!$B$4/'Parametros'!$B$3</f>
        <v>133.699388846448</v>
      </c>
      <c r="AX90" s="17" t="n">
        <v>1</v>
      </c>
      <c r="AY90" s="10" t="str">
        <f>IF(AV90=0,"DESPRECIABLE",IF('Parametros'!$B$11/AP90&gt;=AV90,"CUMPLE","NO CUMPLE"))</f>
        <v>CUMPLE</v>
      </c>
      <c r="AZ90" s="10" t="str">
        <f>IF(AND(X90="CUMPLE",AE90="CUMPLE",AS90="CUMPLE",OR(AY90="CUMPLE",AY90="DESPRECIABLE")),IF(OR(F90&lt;&gt;H90,G90&lt;&gt;I90),"CUMPLE - REANALIZAR SAP","CUMPLE"),"NO CUMPLE")</f>
        <v>CUMPLE</v>
      </c>
    </row>
    <row r="91">
      <c r="A91" s="15" t="inlineStr">
        <is>
          <t>VC3</t>
        </is>
      </c>
      <c r="B91" s="15" t="inlineStr">
        <is>
          <t>912</t>
        </is>
      </c>
      <c r="C91" s="10" t="n">
        <v>1</v>
      </c>
      <c r="D91" s="10" t="n">
        <v>4</v>
      </c>
      <c r="E91" s="10" t="n">
        <v>4</v>
      </c>
      <c r="F91" s="10" t="n">
        <v>300</v>
      </c>
      <c r="G91" s="10" t="n">
        <v>400</v>
      </c>
      <c r="H91" s="15" t="n">
        <v>300</v>
      </c>
      <c r="I91" s="15" t="n">
        <v>400</v>
      </c>
      <c r="J91" s="16" t="n">
        <v>49.7147</v>
      </c>
      <c r="K91" s="10" t="inlineStr">
        <is>
          <t>912</t>
        </is>
      </c>
      <c r="L91" s="16" t="n">
        <v>38.0105</v>
      </c>
      <c r="M91" s="10" t="inlineStr">
        <is>
          <t>912</t>
        </is>
      </c>
      <c r="N91" s="16" t="n">
        <v>28.671</v>
      </c>
      <c r="O91" s="16" t="n">
        <v>108.346</v>
      </c>
      <c r="P91" s="10" t="inlineStr">
        <is>
          <t>912</t>
        </is>
      </c>
      <c r="Q91" s="16" t="n">
        <v>0.5164</v>
      </c>
      <c r="R91" s="10">
        <f>MAX(MAX(1.4/'Parametros'!$B$3,0.25*SQRT('Parametros'!$B$2)/'Parametros'!$B$3)*H91*U91,(0.85*'Parametros'!$B$2/'Parametros'!$B$3)*(1-SQRT(1-2*(J91*1000000/('Parametros'!$B$5*H91*U91^2))/(0.85*'Parametros'!$B$2)))*H91*U91)</f>
        <v>397.512495069778</v>
      </c>
      <c r="S91" s="17" t="n">
        <v>2</v>
      </c>
      <c r="T91" s="18" t="n">
        <v>1</v>
      </c>
      <c r="U91" s="10">
        <f>IF(T91=1,I91-('Parametros'!$B$7+'Parametros'!$B$9+'Parametros'!$B$12/2),I91-(ROUNDUP(S91/2,0)*('Parametros'!$B$7+'Parametros'!$B$9+'Parametros'!$B$12/2)+ROUNDDOWN(S91/2,0)*('Parametros'!$B$7+'Parametros'!$B$9+'Parametros'!$B$12/2+'Parametros'!$B$12+'Parametros'!$B$10))/S91)</f>
        <v>342.55</v>
      </c>
      <c r="V91" s="10">
        <f>S91*'Parametros'!$B$8</f>
        <v>398</v>
      </c>
      <c r="W91" s="10">
        <f>'Parametros'!$B$5*V91*'Parametros'!$B$3*(U91-(V91*'Parametros'!$B$3/(0.85*'Parametros'!$B$2*H91))/2)/1000000</f>
        <v>49.7735124352941</v>
      </c>
      <c r="X91" s="10" t="str">
        <f>IF(W91&gt;=J91,"CUMPLE","NO CUMPLE")</f>
        <v>CUMPLE</v>
      </c>
      <c r="Y91" s="10">
        <f>MAX(MAX(1.4/'Parametros'!$B$3,0.25*SQRT('Parametros'!$B$2)/'Parametros'!$B$3)*H91*AB91,(0.85*'Parametros'!$B$2/'Parametros'!$B$3)*(1-SQRT(1-2*(L91*1000000/('Parametros'!$B$5*H91*AB91^2))/(0.85*'Parametros'!$B$2)))*H91*AB91)</f>
        <v>342.55</v>
      </c>
      <c r="Z91" s="17" t="n">
        <v>2</v>
      </c>
      <c r="AA91" s="18" t="n">
        <v>1</v>
      </c>
      <c r="AB91" s="10">
        <f>IF(AA91=1,I91-('Parametros'!$B$7+'Parametros'!$B$9+'Parametros'!$B$12/2),I91-(ROUNDUP(Z91/2,0)*('Parametros'!$B$7+'Parametros'!$B$9+'Parametros'!$B$12/2)+ROUNDDOWN(Z91/2,0)*('Parametros'!$B$7+'Parametros'!$B$9+'Parametros'!$B$12/2+'Parametros'!$B$12+'Parametros'!$B$10))/Z91)</f>
        <v>342.55</v>
      </c>
      <c r="AC91" s="10">
        <f>Z91*'Parametros'!$B$8</f>
        <v>398</v>
      </c>
      <c r="AD91" s="10">
        <f>'Parametros'!$B$5*AC91*'Parametros'!$B$3*(AB91-(AC91*'Parametros'!$B$3/(0.85*'Parametros'!$B$2*H91))/2)/1000000</f>
        <v>49.7735124352941</v>
      </c>
      <c r="AE91" s="10" t="str">
        <f>IF(AD91&gt;=L91,"CUMPLE","NO CUMPLE")</f>
        <v>CUMPLE</v>
      </c>
      <c r="AF91" s="10">
        <f>V91*1.25*'Parametros'!$B$3*(U91-(V91*1.25*'Parametros'!$B$3/(0.85*'Parametros'!$B$2*H91))/2)/1000000</f>
        <v>68.5183923529412</v>
      </c>
      <c r="AG91" s="10">
        <f>AC91*1.25*'Parametros'!$B$3*(AB91-(AC91*1.25*'Parametros'!$B$3/(0.85*'Parametros'!$B$2*H91))/2)/1000000</f>
        <v>68.5183923529412</v>
      </c>
      <c r="AH91" s="10">
        <f>N91+(AF91+AG91)/D91</f>
        <v>62.9301961764706</v>
      </c>
      <c r="AI91" s="10">
        <f>MIN(O91,MAX(N91,AH91))</f>
        <v>62.9301961764706</v>
      </c>
      <c r="AJ91" s="10">
        <f>0.17*SQRT('Parametros'!$B$2)*H91*MIN(U91,AB91)/1000</f>
        <v>92.4428153837279</v>
      </c>
      <c r="AK91" s="10">
        <f>MAX(AI91/'Parametros'!$B$6-AJ91,0)</f>
        <v>0</v>
      </c>
      <c r="AL91" s="10">
        <f>0.66*SQRT('Parametros'!$B$2)*H91*MIN(U91,AB91)/1000</f>
        <v>358.89563619565</v>
      </c>
      <c r="AM91" s="10" t="str">
        <f>IF(AK91&lt;=AL91,"CUMPLE","NO CUMPLE")</f>
        <v>CUMPLE</v>
      </c>
      <c r="AN91" s="15" t="inlineStr">
        <is>
          <t>Nº3 cerrado</t>
        </is>
      </c>
      <c r="AO91" s="17" t="n">
        <v>2</v>
      </c>
      <c r="AP91" s="10">
        <f>ROUNDDOWN(MIN(IF(AK91=0,1000000000,AO91*'Parametros'!$B$11*'Parametros'!$B$4*MIN(U91,AB91)/(AK91*1000)),IF(AV91=0,1000000000,'Parametros'!$B$11/AV91),MIN(U91,AB91)/4,8*'Parametros'!$B$12,24*'Parametros'!$B$9,300)/10,0)*10</f>
        <v>80</v>
      </c>
      <c r="AQ91" s="10">
        <f>ROUNDDOWN(MIN(IF(AK91=0,1000000000,AO91*'Parametros'!$B$11*'Parametros'!$B$4*MIN(U91,AB91)/(AK91*1000)),IF(AV91=0,1000000000,'Parametros'!$B$11/AV91),MIN(U91,AB91)/2,600)/10,0)*10</f>
        <v>170</v>
      </c>
      <c r="AR91" s="10">
        <f>'Parametros'!$B$6*(AJ91+AO91*'Parametros'!$B$11*'Parametros'!$B$4*MIN(U91,AB91)/AP91/1000)</f>
        <v>260.860380287796</v>
      </c>
      <c r="AS91" s="10" t="str">
        <f>IF(AND(AM91="CUMPLE",AR91&gt;=AI91),"CUMPLE","NO CUMPLE")</f>
        <v>CUMPLE</v>
      </c>
      <c r="AT91" s="10">
        <f>'Parametros'!$B$6*0.083*SQRT('Parametros'!$B$2)*(H91*I91)^2/(2*(H91+I91))/1000000</f>
        <v>3.38807353605471</v>
      </c>
      <c r="AU91" s="10" t="str">
        <f>IF(Q91&lt;=AT91,"DESPRECIABLE","DISEÑAR")</f>
        <v>DESPRECIABLE</v>
      </c>
      <c r="AV91" s="10">
        <f>IF(Q91&lt;=AT91,0,Q91*1000000/('Parametros'!$B$6*2*0.85*(H91-2*'Parametros'!$B$7)*(I91-2*'Parametros'!$B$7)*'Parametros'!$B$4))</f>
        <v>0</v>
      </c>
      <c r="AW91" s="10">
        <f>AV91*2*((H91-2*'Parametros'!$B$7)+(I91-2*'Parametros'!$B$7))*'Parametros'!$B$4/'Parametros'!$B$3</f>
        <v>0</v>
      </c>
      <c r="AX91" s="17" t="n">
        <v>0</v>
      </c>
      <c r="AY91" s="10" t="str">
        <f>IF(AV91=0,"DESPRECIABLE",IF('Parametros'!$B$11/AP91&gt;=AV91,"CUMPLE","NO CUMPLE"))</f>
        <v>DESPRECIABLE</v>
      </c>
      <c r="AZ91" s="10" t="str">
        <f>IF(AND(X91="CUMPLE",AE91="CUMPLE",AS91="CUMPLE",OR(AY91="CUMPLE",AY91="DESPRECIABLE")),IF(OR(F91&lt;&gt;H91,G91&lt;&gt;I91),"CUMPLE - REANALIZAR SAP","CUMPLE"),"NO CUMPLE")</f>
        <v>CUMPLE</v>
      </c>
    </row>
    <row r="92">
      <c r="A92" s="15" t="inlineStr">
        <is>
          <t>VC3</t>
        </is>
      </c>
      <c r="B92" s="15" t="inlineStr">
        <is>
          <t>941</t>
        </is>
      </c>
      <c r="C92" s="10" t="n">
        <v>1</v>
      </c>
      <c r="D92" s="10" t="n">
        <v>4</v>
      </c>
      <c r="E92" s="10" t="n">
        <v>4</v>
      </c>
      <c r="F92" s="10" t="n">
        <v>300</v>
      </c>
      <c r="G92" s="10" t="n">
        <v>400</v>
      </c>
      <c r="H92" s="15" t="n">
        <v>300</v>
      </c>
      <c r="I92" s="15" t="n">
        <v>400</v>
      </c>
      <c r="J92" s="16" t="n">
        <v>49.7098</v>
      </c>
      <c r="K92" s="10" t="inlineStr">
        <is>
          <t>941</t>
        </is>
      </c>
      <c r="L92" s="16" t="n">
        <v>38.0094</v>
      </c>
      <c r="M92" s="10" t="inlineStr">
        <is>
          <t>941</t>
        </is>
      </c>
      <c r="N92" s="16" t="n">
        <v>28.668</v>
      </c>
      <c r="O92" s="16" t="n">
        <v>108.353</v>
      </c>
      <c r="P92" s="10" t="inlineStr">
        <is>
          <t>941</t>
        </is>
      </c>
      <c r="Q92" s="16" t="n">
        <v>0.5168</v>
      </c>
      <c r="R92" s="10">
        <f>MAX(MAX(1.4/'Parametros'!$B$3,0.25*SQRT('Parametros'!$B$2)/'Parametros'!$B$3)*H92*U92,(0.85*'Parametros'!$B$2/'Parametros'!$B$3)*(1-SQRT(1-2*(J92*1000000/('Parametros'!$B$5*H92*U92^2))/(0.85*'Parametros'!$B$2)))*H92*U92)</f>
        <v>397.471880225456</v>
      </c>
      <c r="S92" s="17" t="n">
        <v>2</v>
      </c>
      <c r="T92" s="18" t="n">
        <v>1</v>
      </c>
      <c r="U92" s="10">
        <f>IF(T92=1,I92-('Parametros'!$B$7+'Parametros'!$B$9+'Parametros'!$B$12/2),I92-(ROUNDUP(S92/2,0)*('Parametros'!$B$7+'Parametros'!$B$9+'Parametros'!$B$12/2)+ROUNDDOWN(S92/2,0)*('Parametros'!$B$7+'Parametros'!$B$9+'Parametros'!$B$12/2+'Parametros'!$B$12+'Parametros'!$B$10))/S92)</f>
        <v>342.55</v>
      </c>
      <c r="V92" s="10">
        <f>S92*'Parametros'!$B$8</f>
        <v>398</v>
      </c>
      <c r="W92" s="10">
        <f>'Parametros'!$B$5*V92*'Parametros'!$B$3*(U92-(V92*'Parametros'!$B$3/(0.85*'Parametros'!$B$2*H92))/2)/1000000</f>
        <v>49.7735124352941</v>
      </c>
      <c r="X92" s="10" t="str">
        <f>IF(W92&gt;=J92,"CUMPLE","NO CUMPLE")</f>
        <v>CUMPLE</v>
      </c>
      <c r="Y92" s="10">
        <f>MAX(MAX(1.4/'Parametros'!$B$3,0.25*SQRT('Parametros'!$B$2)/'Parametros'!$B$3)*H92*AB92,(0.85*'Parametros'!$B$2/'Parametros'!$B$3)*(1-SQRT(1-2*(L92*1000000/('Parametros'!$B$5*H92*AB92^2))/(0.85*'Parametros'!$B$2)))*H92*AB92)</f>
        <v>342.55</v>
      </c>
      <c r="Z92" s="17" t="n">
        <v>2</v>
      </c>
      <c r="AA92" s="18" t="n">
        <v>1</v>
      </c>
      <c r="AB92" s="10">
        <f>IF(AA92=1,I92-('Parametros'!$B$7+'Parametros'!$B$9+'Parametros'!$B$12/2),I92-(ROUNDUP(Z92/2,0)*('Parametros'!$B$7+'Parametros'!$B$9+'Parametros'!$B$12/2)+ROUNDDOWN(Z92/2,0)*('Parametros'!$B$7+'Parametros'!$B$9+'Parametros'!$B$12/2+'Parametros'!$B$12+'Parametros'!$B$10))/Z92)</f>
        <v>342.55</v>
      </c>
      <c r="AC92" s="10">
        <f>Z92*'Parametros'!$B$8</f>
        <v>398</v>
      </c>
      <c r="AD92" s="10">
        <f>'Parametros'!$B$5*AC92*'Parametros'!$B$3*(AB92-(AC92*'Parametros'!$B$3/(0.85*'Parametros'!$B$2*H92))/2)/1000000</f>
        <v>49.7735124352941</v>
      </c>
      <c r="AE92" s="10" t="str">
        <f>IF(AD92&gt;=L92,"CUMPLE","NO CUMPLE")</f>
        <v>CUMPLE</v>
      </c>
      <c r="AF92" s="10">
        <f>V92*1.25*'Parametros'!$B$3*(U92-(V92*1.25*'Parametros'!$B$3/(0.85*'Parametros'!$B$2*H92))/2)/1000000</f>
        <v>68.5183923529412</v>
      </c>
      <c r="AG92" s="10">
        <f>AC92*1.25*'Parametros'!$B$3*(AB92-(AC92*1.25*'Parametros'!$B$3/(0.85*'Parametros'!$B$2*H92))/2)/1000000</f>
        <v>68.5183923529412</v>
      </c>
      <c r="AH92" s="10">
        <f>N92+(AF92+AG92)/D92</f>
        <v>62.9271961764706</v>
      </c>
      <c r="AI92" s="10">
        <f>MIN(O92,MAX(N92,AH92))</f>
        <v>62.9271961764706</v>
      </c>
      <c r="AJ92" s="10">
        <f>0.17*SQRT('Parametros'!$B$2)*H92*MIN(U92,AB92)/1000</f>
        <v>92.4428153837279</v>
      </c>
      <c r="AK92" s="10">
        <f>MAX(AI92/'Parametros'!$B$6-AJ92,0)</f>
        <v>0</v>
      </c>
      <c r="AL92" s="10">
        <f>0.66*SQRT('Parametros'!$B$2)*H92*MIN(U92,AB92)/1000</f>
        <v>358.89563619565</v>
      </c>
      <c r="AM92" s="10" t="str">
        <f>IF(AK92&lt;=AL92,"CUMPLE","NO CUMPLE")</f>
        <v>CUMPLE</v>
      </c>
      <c r="AN92" s="15" t="inlineStr">
        <is>
          <t>Nº3 cerrado</t>
        </is>
      </c>
      <c r="AO92" s="17" t="n">
        <v>2</v>
      </c>
      <c r="AP92" s="10">
        <f>ROUNDDOWN(MIN(IF(AK92=0,1000000000,AO92*'Parametros'!$B$11*'Parametros'!$B$4*MIN(U92,AB92)/(AK92*1000)),IF(AV92=0,1000000000,'Parametros'!$B$11/AV92),MIN(U92,AB92)/4,8*'Parametros'!$B$12,24*'Parametros'!$B$9,300)/10,0)*10</f>
        <v>80</v>
      </c>
      <c r="AQ92" s="10">
        <f>ROUNDDOWN(MIN(IF(AK92=0,1000000000,AO92*'Parametros'!$B$11*'Parametros'!$B$4*MIN(U92,AB92)/(AK92*1000)),IF(AV92=0,1000000000,'Parametros'!$B$11/AV92),MIN(U92,AB92)/2,600)/10,0)*10</f>
        <v>170</v>
      </c>
      <c r="AR92" s="10">
        <f>'Parametros'!$B$6*(AJ92+AO92*'Parametros'!$B$11*'Parametros'!$B$4*MIN(U92,AB92)/AP92/1000)</f>
        <v>260.860380287796</v>
      </c>
      <c r="AS92" s="10" t="str">
        <f>IF(AND(AM92="CUMPLE",AR92&gt;=AI92),"CUMPLE","NO CUMPLE")</f>
        <v>CUMPLE</v>
      </c>
      <c r="AT92" s="10">
        <f>'Parametros'!$B$6*0.083*SQRT('Parametros'!$B$2)*(H92*I92)^2/(2*(H92+I92))/1000000</f>
        <v>3.38807353605471</v>
      </c>
      <c r="AU92" s="10" t="str">
        <f>IF(Q92&lt;=AT92,"DESPRECIABLE","DISEÑAR")</f>
        <v>DESPRECIABLE</v>
      </c>
      <c r="AV92" s="10">
        <f>IF(Q92&lt;=AT92,0,Q92*1000000/('Parametros'!$B$6*2*0.85*(H92-2*'Parametros'!$B$7)*(I92-2*'Parametros'!$B$7)*'Parametros'!$B$4))</f>
        <v>0</v>
      </c>
      <c r="AW92" s="10">
        <f>AV92*2*((H92-2*'Parametros'!$B$7)+(I92-2*'Parametros'!$B$7))*'Parametros'!$B$4/'Parametros'!$B$3</f>
        <v>0</v>
      </c>
      <c r="AX92" s="17" t="n">
        <v>0</v>
      </c>
      <c r="AY92" s="10" t="str">
        <f>IF(AV92=0,"DESPRECIABLE",IF('Parametros'!$B$11/AP92&gt;=AV92,"CUMPLE","NO CUMPLE"))</f>
        <v>DESPRECIABLE</v>
      </c>
      <c r="AZ92" s="10" t="str">
        <f>IF(AND(X92="CUMPLE",AE92="CUMPLE",AS92="CUMPLE",OR(AY92="CUMPLE",AY92="DESPRECIABLE")),IF(OR(F92&lt;&gt;H92,G92&lt;&gt;I92),"CUMPLE - REANALIZAR SAP","CUMPLE"),"NO CUMPLE")</f>
        <v>CUMPLE</v>
      </c>
    </row>
    <row r="93">
      <c r="A93" s="15" t="inlineStr">
        <is>
          <t>VC3</t>
        </is>
      </c>
      <c r="B93" s="15" t="inlineStr">
        <is>
          <t>942</t>
        </is>
      </c>
      <c r="C93" s="10" t="n">
        <v>1</v>
      </c>
      <c r="D93" s="10" t="n">
        <v>3.81477</v>
      </c>
      <c r="E93" s="10" t="n">
        <v>3.81477</v>
      </c>
      <c r="F93" s="10" t="n">
        <v>300</v>
      </c>
      <c r="G93" s="10" t="n">
        <v>400</v>
      </c>
      <c r="H93" s="15" t="n">
        <v>300</v>
      </c>
      <c r="I93" s="15" t="n">
        <v>400</v>
      </c>
      <c r="J93" s="16" t="n">
        <v>66.35209999999999</v>
      </c>
      <c r="K93" s="10" t="inlineStr">
        <is>
          <t>942</t>
        </is>
      </c>
      <c r="L93" s="16" t="n">
        <v>43.0171</v>
      </c>
      <c r="M93" s="10" t="inlineStr">
        <is>
          <t>942</t>
        </is>
      </c>
      <c r="N93" s="16" t="n">
        <v>40.771</v>
      </c>
      <c r="O93" s="16" t="n">
        <v>116.152</v>
      </c>
      <c r="P93" s="10" t="inlineStr">
        <is>
          <t>942</t>
        </is>
      </c>
      <c r="Q93" s="16" t="n">
        <v>4.6597</v>
      </c>
      <c r="R93" s="10">
        <f>MAX(MAX(1.4/'Parametros'!$B$3,0.25*SQRT('Parametros'!$B$2)/'Parametros'!$B$3)*H93*U93,(0.85*'Parametros'!$B$2/'Parametros'!$B$3)*(1-SQRT(1-2*(J93*1000000/('Parametros'!$B$5*H93*U93^2))/(0.85*'Parametros'!$B$2)))*H93*U93)</f>
        <v>537.214652165848</v>
      </c>
      <c r="S93" s="17" t="n">
        <v>3</v>
      </c>
      <c r="T93" s="18" t="n">
        <v>1</v>
      </c>
      <c r="U93" s="10">
        <f>IF(T93=1,I93-('Parametros'!$B$7+'Parametros'!$B$9+'Parametros'!$B$12/2),I93-(ROUNDUP(S93/2,0)*('Parametros'!$B$7+'Parametros'!$B$9+'Parametros'!$B$12/2)+ROUNDDOWN(S93/2,0)*('Parametros'!$B$7+'Parametros'!$B$9+'Parametros'!$B$12/2+'Parametros'!$B$12+'Parametros'!$B$10))/S93)</f>
        <v>342.55</v>
      </c>
      <c r="V93" s="10">
        <f>S93*'Parametros'!$B$8</f>
        <v>597</v>
      </c>
      <c r="W93" s="10">
        <f>'Parametros'!$B$5*V93*'Parametros'!$B$3*(U93-(V93*'Parametros'!$B$3/(0.85*'Parametros'!$B$2*H93))/2)/1000000</f>
        <v>73.3394588294118</v>
      </c>
      <c r="X93" s="10" t="str">
        <f>IF(W93&gt;=J93,"CUMPLE","NO CUMPLE")</f>
        <v>CUMPLE</v>
      </c>
      <c r="Y93" s="10">
        <f>MAX(MAX(1.4/'Parametros'!$B$3,0.25*SQRT('Parametros'!$B$2)/'Parametros'!$B$3)*H93*AB93,(0.85*'Parametros'!$B$2/'Parametros'!$B$3)*(1-SQRT(1-2*(L93*1000000/('Parametros'!$B$5*H93*AB93^2))/(0.85*'Parametros'!$B$2)))*H93*AB93)</f>
        <v>342.55</v>
      </c>
      <c r="Z93" s="17" t="n">
        <v>2</v>
      </c>
      <c r="AA93" s="18" t="n">
        <v>1</v>
      </c>
      <c r="AB93" s="10">
        <f>IF(AA93=1,I93-('Parametros'!$B$7+'Parametros'!$B$9+'Parametros'!$B$12/2),I93-(ROUNDUP(Z93/2,0)*('Parametros'!$B$7+'Parametros'!$B$9+'Parametros'!$B$12/2)+ROUNDDOWN(Z93/2,0)*('Parametros'!$B$7+'Parametros'!$B$9+'Parametros'!$B$12/2+'Parametros'!$B$12+'Parametros'!$B$10))/Z93)</f>
        <v>342.55</v>
      </c>
      <c r="AC93" s="10">
        <f>Z93*'Parametros'!$B$8</f>
        <v>398</v>
      </c>
      <c r="AD93" s="10">
        <f>'Parametros'!$B$5*AC93*'Parametros'!$B$3*(AB93-(AC93*'Parametros'!$B$3/(0.85*'Parametros'!$B$2*H93))/2)/1000000</f>
        <v>49.7735124352941</v>
      </c>
      <c r="AE93" s="10" t="str">
        <f>IF(AD93&gt;=L93,"CUMPLE","NO CUMPLE")</f>
        <v>CUMPLE</v>
      </c>
      <c r="AF93" s="10">
        <f>V93*1.25*'Parametros'!$B$3*(U93-(V93*1.25*'Parametros'!$B$3/(0.85*'Parametros'!$B$2*H93))/2)/1000000</f>
        <v>100.484515919118</v>
      </c>
      <c r="AG93" s="10">
        <f>AC93*1.25*'Parametros'!$B$3*(AB93-(AC93*1.25*'Parametros'!$B$3/(0.85*'Parametros'!$B$2*H93))/2)/1000000</f>
        <v>68.5183923529412</v>
      </c>
      <c r="AH93" s="10">
        <f>N93+(AF93+AG93)/D93</f>
        <v>85.0732536803159</v>
      </c>
      <c r="AI93" s="10">
        <f>MIN(O93,MAX(N93,AH93))</f>
        <v>85.0732536803159</v>
      </c>
      <c r="AJ93" s="10">
        <f>0.17*SQRT('Parametros'!$B$2)*H93*MIN(U93,AB93)/1000</f>
        <v>92.4428153837279</v>
      </c>
      <c r="AK93" s="10">
        <f>MAX(AI93/'Parametros'!$B$6-AJ93,0)</f>
        <v>20.98818952336</v>
      </c>
      <c r="AL93" s="10">
        <f>0.66*SQRT('Parametros'!$B$2)*H93*MIN(U93,AB93)/1000</f>
        <v>358.89563619565</v>
      </c>
      <c r="AM93" s="10" t="str">
        <f>IF(AK93&lt;=AL93,"CUMPLE","NO CUMPLE")</f>
        <v>CUMPLE</v>
      </c>
      <c r="AN93" s="15" t="inlineStr">
        <is>
          <t>Nº3 cerrado</t>
        </is>
      </c>
      <c r="AO93" s="17" t="n">
        <v>2</v>
      </c>
      <c r="AP93" s="10">
        <f>ROUNDDOWN(MIN(IF(AK93=0,1000000000,AO93*'Parametros'!$B$11*'Parametros'!$B$4*MIN(U93,AB93)/(AK93*1000)),IF(AV93=0,1000000000,'Parametros'!$B$11/AV93),MIN(U93,AB93)/4,8*'Parametros'!$B$12,24*'Parametros'!$B$9,300)/10,0)*10</f>
        <v>80</v>
      </c>
      <c r="AQ93" s="10">
        <f>ROUNDDOWN(MIN(IF(AK93=0,1000000000,AO93*'Parametros'!$B$11*'Parametros'!$B$4*MIN(U93,AB93)/(AK93*1000)),IF(AV93=0,1000000000,'Parametros'!$B$11/AV93),MIN(U93,AB93)/2,600)/10,0)*10</f>
        <v>170</v>
      </c>
      <c r="AR93" s="10">
        <f>'Parametros'!$B$6*(AJ93+AO93*'Parametros'!$B$11*'Parametros'!$B$4*MIN(U93,AB93)/AP93/1000)</f>
        <v>260.860380287796</v>
      </c>
      <c r="AS93" s="10" t="str">
        <f>IF(AND(AM93="CUMPLE",AR93&gt;=AI93),"CUMPLE","NO CUMPLE")</f>
        <v>CUMPLE</v>
      </c>
      <c r="AT93" s="10">
        <f>'Parametros'!$B$6*0.083*SQRT('Parametros'!$B$2)*(H93*I93)^2/(2*(H93+I93))/1000000</f>
        <v>3.38807353605471</v>
      </c>
      <c r="AU93" s="10" t="str">
        <f>IF(Q93&lt;=AT93,"DESPRECIABLE","DISEÑAR")</f>
        <v>DISEÑAR</v>
      </c>
      <c r="AV93" s="10">
        <f>IF(Q93&lt;=AT93,0,Q93*1000000/('Parametros'!$B$6*2*0.85*(H93-2*'Parametros'!$B$7)*(I93-2*'Parametros'!$B$7)*'Parametros'!$B$4))</f>
        <v>0.123602092352092</v>
      </c>
      <c r="AW93" s="10">
        <f>AV93*2*((H93-2*'Parametros'!$B$7)+(I93-2*'Parametros'!$B$7))*'Parametros'!$B$4/'Parametros'!$B$3</f>
        <v>133.49025974026</v>
      </c>
      <c r="AX93" s="17" t="n">
        <v>1</v>
      </c>
      <c r="AY93" s="10" t="str">
        <f>IF(AV93=0,"DESPRECIABLE",IF('Parametros'!$B$11/AP93&gt;=AV93,"CUMPLE","NO CUMPLE"))</f>
        <v>CUMPLE</v>
      </c>
      <c r="AZ93" s="10" t="str">
        <f>IF(AND(X93="CUMPLE",AE93="CUMPLE",AS93="CUMPLE",OR(AY93="CUMPLE",AY93="DESPRECIABLE")),IF(OR(F93&lt;&gt;H93,G93&lt;&gt;I93),"CUMPLE - REANALIZAR SAP","CUMPLE"),"NO CUMPLE")</f>
        <v>CUMPLE</v>
      </c>
    </row>
    <row r="94">
      <c r="A94" s="15" t="inlineStr">
        <is>
          <t>VC3</t>
        </is>
      </c>
      <c r="B94" s="15" t="inlineStr">
        <is>
          <t>943</t>
        </is>
      </c>
      <c r="C94" s="10" t="n">
        <v>1</v>
      </c>
      <c r="D94" s="10" t="n">
        <v>3.81477</v>
      </c>
      <c r="E94" s="10" t="n">
        <v>3.81477</v>
      </c>
      <c r="F94" s="10" t="n">
        <v>300</v>
      </c>
      <c r="G94" s="10" t="n">
        <v>400</v>
      </c>
      <c r="H94" s="15" t="n">
        <v>300</v>
      </c>
      <c r="I94" s="15" t="n">
        <v>400</v>
      </c>
      <c r="J94" s="16" t="n">
        <v>66.309</v>
      </c>
      <c r="K94" s="10" t="inlineStr">
        <is>
          <t>943</t>
        </is>
      </c>
      <c r="L94" s="16" t="n">
        <v>42.9749</v>
      </c>
      <c r="M94" s="10" t="inlineStr">
        <is>
          <t>943</t>
        </is>
      </c>
      <c r="N94" s="16" t="n">
        <v>40.747</v>
      </c>
      <c r="O94" s="16" t="n">
        <v>116.121</v>
      </c>
      <c r="P94" s="10" t="inlineStr">
        <is>
          <t>943</t>
        </is>
      </c>
      <c r="Q94" s="16" t="n">
        <v>4.6621</v>
      </c>
      <c r="R94" s="10">
        <f>MAX(MAX(1.4/'Parametros'!$B$3,0.25*SQRT('Parametros'!$B$2)/'Parametros'!$B$3)*H94*U94,(0.85*'Parametros'!$B$2/'Parametros'!$B$3)*(1-SQRT(1-2*(J94*1000000/('Parametros'!$B$5*H94*U94^2))/(0.85*'Parametros'!$B$2)))*H94*U94)</f>
        <v>536.847977376873</v>
      </c>
      <c r="S94" s="17" t="n">
        <v>3</v>
      </c>
      <c r="T94" s="18" t="n">
        <v>1</v>
      </c>
      <c r="U94" s="10">
        <f>IF(T94=1,I94-('Parametros'!$B$7+'Parametros'!$B$9+'Parametros'!$B$12/2),I94-(ROUNDUP(S94/2,0)*('Parametros'!$B$7+'Parametros'!$B$9+'Parametros'!$B$12/2)+ROUNDDOWN(S94/2,0)*('Parametros'!$B$7+'Parametros'!$B$9+'Parametros'!$B$12/2+'Parametros'!$B$12+'Parametros'!$B$10))/S94)</f>
        <v>342.55</v>
      </c>
      <c r="V94" s="10">
        <f>S94*'Parametros'!$B$8</f>
        <v>597</v>
      </c>
      <c r="W94" s="10">
        <f>'Parametros'!$B$5*V94*'Parametros'!$B$3*(U94-(V94*'Parametros'!$B$3/(0.85*'Parametros'!$B$2*H94))/2)/1000000</f>
        <v>73.3394588294118</v>
      </c>
      <c r="X94" s="10" t="str">
        <f>IF(W94&gt;=J94,"CUMPLE","NO CUMPLE")</f>
        <v>CUMPLE</v>
      </c>
      <c r="Y94" s="10">
        <f>MAX(MAX(1.4/'Parametros'!$B$3,0.25*SQRT('Parametros'!$B$2)/'Parametros'!$B$3)*H94*AB94,(0.85*'Parametros'!$B$2/'Parametros'!$B$3)*(1-SQRT(1-2*(L94*1000000/('Parametros'!$B$5*H94*AB94^2))/(0.85*'Parametros'!$B$2)))*H94*AB94)</f>
        <v>342.55</v>
      </c>
      <c r="Z94" s="17" t="n">
        <v>2</v>
      </c>
      <c r="AA94" s="18" t="n">
        <v>1</v>
      </c>
      <c r="AB94" s="10">
        <f>IF(AA94=1,I94-('Parametros'!$B$7+'Parametros'!$B$9+'Parametros'!$B$12/2),I94-(ROUNDUP(Z94/2,0)*('Parametros'!$B$7+'Parametros'!$B$9+'Parametros'!$B$12/2)+ROUNDDOWN(Z94/2,0)*('Parametros'!$B$7+'Parametros'!$B$9+'Parametros'!$B$12/2+'Parametros'!$B$12+'Parametros'!$B$10))/Z94)</f>
        <v>342.55</v>
      </c>
      <c r="AC94" s="10">
        <f>Z94*'Parametros'!$B$8</f>
        <v>398</v>
      </c>
      <c r="AD94" s="10">
        <f>'Parametros'!$B$5*AC94*'Parametros'!$B$3*(AB94-(AC94*'Parametros'!$B$3/(0.85*'Parametros'!$B$2*H94))/2)/1000000</f>
        <v>49.7735124352941</v>
      </c>
      <c r="AE94" s="10" t="str">
        <f>IF(AD94&gt;=L94,"CUMPLE","NO CUMPLE")</f>
        <v>CUMPLE</v>
      </c>
      <c r="AF94" s="10">
        <f>V94*1.25*'Parametros'!$B$3*(U94-(V94*1.25*'Parametros'!$B$3/(0.85*'Parametros'!$B$2*H94))/2)/1000000</f>
        <v>100.484515919118</v>
      </c>
      <c r="AG94" s="10">
        <f>AC94*1.25*'Parametros'!$B$3*(AB94-(AC94*1.25*'Parametros'!$B$3/(0.85*'Parametros'!$B$2*H94))/2)/1000000</f>
        <v>68.5183923529412</v>
      </c>
      <c r="AH94" s="10">
        <f>N94+(AF94+AG94)/D94</f>
        <v>85.0492536803159</v>
      </c>
      <c r="AI94" s="10">
        <f>MIN(O94,MAX(N94,AH94))</f>
        <v>85.0492536803159</v>
      </c>
      <c r="AJ94" s="10">
        <f>0.17*SQRT('Parametros'!$B$2)*H94*MIN(U94,AB94)/1000</f>
        <v>92.4428153837279</v>
      </c>
      <c r="AK94" s="10">
        <f>MAX(AI94/'Parametros'!$B$6-AJ94,0)</f>
        <v>20.95618952336</v>
      </c>
      <c r="AL94" s="10">
        <f>0.66*SQRT('Parametros'!$B$2)*H94*MIN(U94,AB94)/1000</f>
        <v>358.89563619565</v>
      </c>
      <c r="AM94" s="10" t="str">
        <f>IF(AK94&lt;=AL94,"CUMPLE","NO CUMPLE")</f>
        <v>CUMPLE</v>
      </c>
      <c r="AN94" s="15" t="inlineStr">
        <is>
          <t>Nº3 cerrado</t>
        </is>
      </c>
      <c r="AO94" s="17" t="n">
        <v>2</v>
      </c>
      <c r="AP94" s="10">
        <f>ROUNDDOWN(MIN(IF(AK94=0,1000000000,AO94*'Parametros'!$B$11*'Parametros'!$B$4*MIN(U94,AB94)/(AK94*1000)),IF(AV94=0,1000000000,'Parametros'!$B$11/AV94),MIN(U94,AB94)/4,8*'Parametros'!$B$12,24*'Parametros'!$B$9,300)/10,0)*10</f>
        <v>80</v>
      </c>
      <c r="AQ94" s="10">
        <f>ROUNDDOWN(MIN(IF(AK94=0,1000000000,AO94*'Parametros'!$B$11*'Parametros'!$B$4*MIN(U94,AB94)/(AK94*1000)),IF(AV94=0,1000000000,'Parametros'!$B$11/AV94),MIN(U94,AB94)/2,600)/10,0)*10</f>
        <v>170</v>
      </c>
      <c r="AR94" s="10">
        <f>'Parametros'!$B$6*(AJ94+AO94*'Parametros'!$B$11*'Parametros'!$B$4*MIN(U94,AB94)/AP94/1000)</f>
        <v>260.860380287796</v>
      </c>
      <c r="AS94" s="10" t="str">
        <f>IF(AND(AM94="CUMPLE",AR94&gt;=AI94),"CUMPLE","NO CUMPLE")</f>
        <v>CUMPLE</v>
      </c>
      <c r="AT94" s="10">
        <f>'Parametros'!$B$6*0.083*SQRT('Parametros'!$B$2)*(H94*I94)^2/(2*(H94+I94))/1000000</f>
        <v>3.38807353605471</v>
      </c>
      <c r="AU94" s="10" t="str">
        <f>IF(Q94&lt;=AT94,"DESPRECIABLE","DISEÑAR")</f>
        <v>DISEÑAR</v>
      </c>
      <c r="AV94" s="10">
        <f>IF(Q94&lt;=AT94,0,Q94*1000000/('Parametros'!$B$6*2*0.85*(H94-2*'Parametros'!$B$7)*(I94-2*'Parametros'!$B$7)*'Parametros'!$B$4))</f>
        <v>0.12366575418046</v>
      </c>
      <c r="AW94" s="10">
        <f>AV94*2*((H94-2*'Parametros'!$B$7)+(I94-2*'Parametros'!$B$7))*'Parametros'!$B$4/'Parametros'!$B$3</f>
        <v>133.559014514897</v>
      </c>
      <c r="AX94" s="17" t="n">
        <v>1</v>
      </c>
      <c r="AY94" s="10" t="str">
        <f>IF(AV94=0,"DESPRECIABLE",IF('Parametros'!$B$11/AP94&gt;=AV94,"CUMPLE","NO CUMPLE"))</f>
        <v>CUMPLE</v>
      </c>
      <c r="AZ94" s="10" t="str">
        <f>IF(AND(X94="CUMPLE",AE94="CUMPLE",AS94="CUMPLE",OR(AY94="CUMPLE",AY94="DESPRECIABLE")),IF(OR(F94&lt;&gt;H94,G94&lt;&gt;I94),"CUMPLE - REANALIZAR SAP","CUMPLE"),"NO CUMPLE")</f>
        <v>CUMPLE</v>
      </c>
    </row>
    <row r="95">
      <c r="A95" s="15" t="inlineStr">
        <is>
          <t>VC3</t>
        </is>
      </c>
      <c r="B95" s="15" t="inlineStr">
        <is>
          <t>944</t>
        </is>
      </c>
      <c r="C95" s="10" t="n">
        <v>1</v>
      </c>
      <c r="D95" s="10" t="n">
        <v>4</v>
      </c>
      <c r="E95" s="10" t="n">
        <v>4</v>
      </c>
      <c r="F95" s="10" t="n">
        <v>300</v>
      </c>
      <c r="G95" s="10" t="n">
        <v>400</v>
      </c>
      <c r="H95" s="15" t="n">
        <v>300</v>
      </c>
      <c r="I95" s="15" t="n">
        <v>400</v>
      </c>
      <c r="J95" s="16" t="n">
        <v>49.681</v>
      </c>
      <c r="K95" s="10" t="inlineStr">
        <is>
          <t>944</t>
        </is>
      </c>
      <c r="L95" s="16" t="n">
        <v>37.9937</v>
      </c>
      <c r="M95" s="10" t="inlineStr">
        <is>
          <t>944</t>
        </is>
      </c>
      <c r="N95" s="16" t="n">
        <v>28.654</v>
      </c>
      <c r="O95" s="16" t="n">
        <v>108.338</v>
      </c>
      <c r="P95" s="10" t="inlineStr">
        <is>
          <t>944</t>
        </is>
      </c>
      <c r="Q95" s="16" t="n">
        <v>0.5181</v>
      </c>
      <c r="R95" s="10">
        <f>MAX(MAX(1.4/'Parametros'!$B$3,0.25*SQRT('Parametros'!$B$2)/'Parametros'!$B$3)*H95*U95,(0.85*'Parametros'!$B$2/'Parametros'!$B$3)*(1-SQRT(1-2*(J95*1000000/('Parametros'!$B$5*H95*U95^2))/(0.85*'Parametros'!$B$2)))*H95*U95)</f>
        <v>397.233170550175</v>
      </c>
      <c r="S95" s="17" t="n">
        <v>2</v>
      </c>
      <c r="T95" s="18" t="n">
        <v>1</v>
      </c>
      <c r="U95" s="10">
        <f>IF(T95=1,I95-('Parametros'!$B$7+'Parametros'!$B$9+'Parametros'!$B$12/2),I95-(ROUNDUP(S95/2,0)*('Parametros'!$B$7+'Parametros'!$B$9+'Parametros'!$B$12/2)+ROUNDDOWN(S95/2,0)*('Parametros'!$B$7+'Parametros'!$B$9+'Parametros'!$B$12/2+'Parametros'!$B$12+'Parametros'!$B$10))/S95)</f>
        <v>342.55</v>
      </c>
      <c r="V95" s="10">
        <f>S95*'Parametros'!$B$8</f>
        <v>398</v>
      </c>
      <c r="W95" s="10">
        <f>'Parametros'!$B$5*V95*'Parametros'!$B$3*(U95-(V95*'Parametros'!$B$3/(0.85*'Parametros'!$B$2*H95))/2)/1000000</f>
        <v>49.7735124352941</v>
      </c>
      <c r="X95" s="10" t="str">
        <f>IF(W95&gt;=J95,"CUMPLE","NO CUMPLE")</f>
        <v>CUMPLE</v>
      </c>
      <c r="Y95" s="10">
        <f>MAX(MAX(1.4/'Parametros'!$B$3,0.25*SQRT('Parametros'!$B$2)/'Parametros'!$B$3)*H95*AB95,(0.85*'Parametros'!$B$2/'Parametros'!$B$3)*(1-SQRT(1-2*(L95*1000000/('Parametros'!$B$5*H95*AB95^2))/(0.85*'Parametros'!$B$2)))*H95*AB95)</f>
        <v>342.55</v>
      </c>
      <c r="Z95" s="17" t="n">
        <v>2</v>
      </c>
      <c r="AA95" s="18" t="n">
        <v>1</v>
      </c>
      <c r="AB95" s="10">
        <f>IF(AA95=1,I95-('Parametros'!$B$7+'Parametros'!$B$9+'Parametros'!$B$12/2),I95-(ROUNDUP(Z95/2,0)*('Parametros'!$B$7+'Parametros'!$B$9+'Parametros'!$B$12/2)+ROUNDDOWN(Z95/2,0)*('Parametros'!$B$7+'Parametros'!$B$9+'Parametros'!$B$12/2+'Parametros'!$B$12+'Parametros'!$B$10))/Z95)</f>
        <v>342.55</v>
      </c>
      <c r="AC95" s="10">
        <f>Z95*'Parametros'!$B$8</f>
        <v>398</v>
      </c>
      <c r="AD95" s="10">
        <f>'Parametros'!$B$5*AC95*'Parametros'!$B$3*(AB95-(AC95*'Parametros'!$B$3/(0.85*'Parametros'!$B$2*H95))/2)/1000000</f>
        <v>49.7735124352941</v>
      </c>
      <c r="AE95" s="10" t="str">
        <f>IF(AD95&gt;=L95,"CUMPLE","NO CUMPLE")</f>
        <v>CUMPLE</v>
      </c>
      <c r="AF95" s="10">
        <f>V95*1.25*'Parametros'!$B$3*(U95-(V95*1.25*'Parametros'!$B$3/(0.85*'Parametros'!$B$2*H95))/2)/1000000</f>
        <v>68.5183923529412</v>
      </c>
      <c r="AG95" s="10">
        <f>AC95*1.25*'Parametros'!$B$3*(AB95-(AC95*1.25*'Parametros'!$B$3/(0.85*'Parametros'!$B$2*H95))/2)/1000000</f>
        <v>68.5183923529412</v>
      </c>
      <c r="AH95" s="10">
        <f>N95+(AF95+AG95)/D95</f>
        <v>62.9131961764706</v>
      </c>
      <c r="AI95" s="10">
        <f>MIN(O95,MAX(N95,AH95))</f>
        <v>62.9131961764706</v>
      </c>
      <c r="AJ95" s="10">
        <f>0.17*SQRT('Parametros'!$B$2)*H95*MIN(U95,AB95)/1000</f>
        <v>92.4428153837279</v>
      </c>
      <c r="AK95" s="10">
        <f>MAX(AI95/'Parametros'!$B$6-AJ95,0)</f>
        <v>0</v>
      </c>
      <c r="AL95" s="10">
        <f>0.66*SQRT('Parametros'!$B$2)*H95*MIN(U95,AB95)/1000</f>
        <v>358.89563619565</v>
      </c>
      <c r="AM95" s="10" t="str">
        <f>IF(AK95&lt;=AL95,"CUMPLE","NO CUMPLE")</f>
        <v>CUMPLE</v>
      </c>
      <c r="AN95" s="15" t="inlineStr">
        <is>
          <t>Nº3 cerrado</t>
        </is>
      </c>
      <c r="AO95" s="17" t="n">
        <v>2</v>
      </c>
      <c r="AP95" s="10">
        <f>ROUNDDOWN(MIN(IF(AK95=0,1000000000,AO95*'Parametros'!$B$11*'Parametros'!$B$4*MIN(U95,AB95)/(AK95*1000)),IF(AV95=0,1000000000,'Parametros'!$B$11/AV95),MIN(U95,AB95)/4,8*'Parametros'!$B$12,24*'Parametros'!$B$9,300)/10,0)*10</f>
        <v>80</v>
      </c>
      <c r="AQ95" s="10">
        <f>ROUNDDOWN(MIN(IF(AK95=0,1000000000,AO95*'Parametros'!$B$11*'Parametros'!$B$4*MIN(U95,AB95)/(AK95*1000)),IF(AV95=0,1000000000,'Parametros'!$B$11/AV95),MIN(U95,AB95)/2,600)/10,0)*10</f>
        <v>170</v>
      </c>
      <c r="AR95" s="10">
        <f>'Parametros'!$B$6*(AJ95+AO95*'Parametros'!$B$11*'Parametros'!$B$4*MIN(U95,AB95)/AP95/1000)</f>
        <v>260.860380287796</v>
      </c>
      <c r="AS95" s="10" t="str">
        <f>IF(AND(AM95="CUMPLE",AR95&gt;=AI95),"CUMPLE","NO CUMPLE")</f>
        <v>CUMPLE</v>
      </c>
      <c r="AT95" s="10">
        <f>'Parametros'!$B$6*0.083*SQRT('Parametros'!$B$2)*(H95*I95)^2/(2*(H95+I95))/1000000</f>
        <v>3.38807353605471</v>
      </c>
      <c r="AU95" s="10" t="str">
        <f>IF(Q95&lt;=AT95,"DESPRECIABLE","DISEÑAR")</f>
        <v>DESPRECIABLE</v>
      </c>
      <c r="AV95" s="10">
        <f>IF(Q95&lt;=AT95,0,Q95*1000000/('Parametros'!$B$6*2*0.85*(H95-2*'Parametros'!$B$7)*(I95-2*'Parametros'!$B$7)*'Parametros'!$B$4))</f>
        <v>0</v>
      </c>
      <c r="AW95" s="10">
        <f>AV95*2*((H95-2*'Parametros'!$B$7)+(I95-2*'Parametros'!$B$7))*'Parametros'!$B$4/'Parametros'!$B$3</f>
        <v>0</v>
      </c>
      <c r="AX95" s="17" t="n">
        <v>0</v>
      </c>
      <c r="AY95" s="10" t="str">
        <f>IF(AV95=0,"DESPRECIABLE",IF('Parametros'!$B$11/AP95&gt;=AV95,"CUMPLE","NO CUMPLE"))</f>
        <v>DESPRECIABLE</v>
      </c>
      <c r="AZ95" s="10" t="str">
        <f>IF(AND(X95="CUMPLE",AE95="CUMPLE",AS95="CUMPLE",OR(AY95="CUMPLE",AY95="DESPRECIABLE")),IF(OR(F95&lt;&gt;H95,G95&lt;&gt;I95),"CUMPLE - REANALIZAR SAP","CUMPLE"),"NO CUMPLE")</f>
        <v>CUMPLE</v>
      </c>
    </row>
    <row r="96">
      <c r="A96" s="15" t="inlineStr">
        <is>
          <t>VC3</t>
        </is>
      </c>
      <c r="B96" s="15" t="inlineStr">
        <is>
          <t>1003</t>
        </is>
      </c>
      <c r="C96" s="10" t="n">
        <v>1</v>
      </c>
      <c r="D96" s="10" t="n">
        <v>4</v>
      </c>
      <c r="E96" s="10" t="n">
        <v>4</v>
      </c>
      <c r="F96" s="10" t="n">
        <v>300</v>
      </c>
      <c r="G96" s="10" t="n">
        <v>400</v>
      </c>
      <c r="H96" s="15" t="n">
        <v>300</v>
      </c>
      <c r="I96" s="15" t="n">
        <v>400</v>
      </c>
      <c r="J96" s="16" t="n">
        <v>28.807</v>
      </c>
      <c r="K96" s="10" t="inlineStr">
        <is>
          <t>1003</t>
        </is>
      </c>
      <c r="L96" s="16" t="n">
        <v>17.5045</v>
      </c>
      <c r="M96" s="10" t="inlineStr">
        <is>
          <t>1003</t>
        </is>
      </c>
      <c r="N96" s="16" t="n">
        <v>17.839</v>
      </c>
      <c r="O96" s="16" t="n">
        <v>60.09</v>
      </c>
      <c r="P96" s="10" t="inlineStr">
        <is>
          <t>1003</t>
        </is>
      </c>
      <c r="Q96" s="16" t="n">
        <v>1.0354</v>
      </c>
      <c r="R96" s="10">
        <f>MAX(MAX(1.4/'Parametros'!$B$3,0.25*SQRT('Parametros'!$B$2)/'Parametros'!$B$3)*H96*U96,(0.85*'Parametros'!$B$2/'Parametros'!$B$3)*(1-SQRT(1-2*(J96*1000000/('Parametros'!$B$5*H96*U96^2))/(0.85*'Parametros'!$B$2)))*H96*U96)</f>
        <v>342.55</v>
      </c>
      <c r="S96" s="17" t="n">
        <v>2</v>
      </c>
      <c r="T96" s="18" t="n">
        <v>1</v>
      </c>
      <c r="U96" s="10">
        <f>IF(T96=1,I96-('Parametros'!$B$7+'Parametros'!$B$9+'Parametros'!$B$12/2),I96-(ROUNDUP(S96/2,0)*('Parametros'!$B$7+'Parametros'!$B$9+'Parametros'!$B$12/2)+ROUNDDOWN(S96/2,0)*('Parametros'!$B$7+'Parametros'!$B$9+'Parametros'!$B$12/2+'Parametros'!$B$12+'Parametros'!$B$10))/S96)</f>
        <v>342.55</v>
      </c>
      <c r="V96" s="10">
        <f>S96*'Parametros'!$B$8</f>
        <v>398</v>
      </c>
      <c r="W96" s="10">
        <f>'Parametros'!$B$5*V96*'Parametros'!$B$3*(U96-(V96*'Parametros'!$B$3/(0.85*'Parametros'!$B$2*H96))/2)/1000000</f>
        <v>49.7735124352941</v>
      </c>
      <c r="X96" s="10" t="str">
        <f>IF(W96&gt;=J96,"CUMPLE","NO CUMPLE")</f>
        <v>CUMPLE</v>
      </c>
      <c r="Y96" s="10">
        <f>MAX(MAX(1.4/'Parametros'!$B$3,0.25*SQRT('Parametros'!$B$2)/'Parametros'!$B$3)*H96*AB96,(0.85*'Parametros'!$B$2/'Parametros'!$B$3)*(1-SQRT(1-2*(L96*1000000/('Parametros'!$B$5*H96*AB96^2))/(0.85*'Parametros'!$B$2)))*H96*AB96)</f>
        <v>342.55</v>
      </c>
      <c r="Z96" s="17" t="n">
        <v>2</v>
      </c>
      <c r="AA96" s="18" t="n">
        <v>1</v>
      </c>
      <c r="AB96" s="10">
        <f>IF(AA96=1,I96-('Parametros'!$B$7+'Parametros'!$B$9+'Parametros'!$B$12/2),I96-(ROUNDUP(Z96/2,0)*('Parametros'!$B$7+'Parametros'!$B$9+'Parametros'!$B$12/2)+ROUNDDOWN(Z96/2,0)*('Parametros'!$B$7+'Parametros'!$B$9+'Parametros'!$B$12/2+'Parametros'!$B$12+'Parametros'!$B$10))/Z96)</f>
        <v>342.55</v>
      </c>
      <c r="AC96" s="10">
        <f>Z96*'Parametros'!$B$8</f>
        <v>398</v>
      </c>
      <c r="AD96" s="10">
        <f>'Parametros'!$B$5*AC96*'Parametros'!$B$3*(AB96-(AC96*'Parametros'!$B$3/(0.85*'Parametros'!$B$2*H96))/2)/1000000</f>
        <v>49.7735124352941</v>
      </c>
      <c r="AE96" s="10" t="str">
        <f>IF(AD96&gt;=L96,"CUMPLE","NO CUMPLE")</f>
        <v>CUMPLE</v>
      </c>
      <c r="AF96" s="10">
        <f>V96*1.25*'Parametros'!$B$3*(U96-(V96*1.25*'Parametros'!$B$3/(0.85*'Parametros'!$B$2*H96))/2)/1000000</f>
        <v>68.5183923529412</v>
      </c>
      <c r="AG96" s="10">
        <f>AC96*1.25*'Parametros'!$B$3*(AB96-(AC96*1.25*'Parametros'!$B$3/(0.85*'Parametros'!$B$2*H96))/2)/1000000</f>
        <v>68.5183923529412</v>
      </c>
      <c r="AH96" s="10">
        <f>N96+(AF96+AG96)/D96</f>
        <v>52.0981961764706</v>
      </c>
      <c r="AI96" s="10">
        <f>MIN(O96,MAX(N96,AH96))</f>
        <v>52.0981961764706</v>
      </c>
      <c r="AJ96" s="10">
        <f>0.17*SQRT('Parametros'!$B$2)*H96*MIN(U96,AB96)/1000</f>
        <v>92.4428153837279</v>
      </c>
      <c r="AK96" s="10">
        <f>MAX(AI96/'Parametros'!$B$6-AJ96,0)</f>
        <v>0</v>
      </c>
      <c r="AL96" s="10">
        <f>0.66*SQRT('Parametros'!$B$2)*H96*MIN(U96,AB96)/1000</f>
        <v>358.89563619565</v>
      </c>
      <c r="AM96" s="10" t="str">
        <f>IF(AK96&lt;=AL96,"CUMPLE","NO CUMPLE")</f>
        <v>CUMPLE</v>
      </c>
      <c r="AN96" s="15" t="inlineStr">
        <is>
          <t>Nº3 cerrado</t>
        </is>
      </c>
      <c r="AO96" s="17" t="n">
        <v>2</v>
      </c>
      <c r="AP96" s="10">
        <f>ROUNDDOWN(MIN(IF(AK96=0,1000000000,AO96*'Parametros'!$B$11*'Parametros'!$B$4*MIN(U96,AB96)/(AK96*1000)),IF(AV96=0,1000000000,'Parametros'!$B$11/AV96),MIN(U96,AB96)/4,8*'Parametros'!$B$12,24*'Parametros'!$B$9,300)/10,0)*10</f>
        <v>80</v>
      </c>
      <c r="AQ96" s="10">
        <f>ROUNDDOWN(MIN(IF(AK96=0,1000000000,AO96*'Parametros'!$B$11*'Parametros'!$B$4*MIN(U96,AB96)/(AK96*1000)),IF(AV96=0,1000000000,'Parametros'!$B$11/AV96),MIN(U96,AB96)/2,600)/10,0)*10</f>
        <v>170</v>
      </c>
      <c r="AR96" s="10">
        <f>'Parametros'!$B$6*(AJ96+AO96*'Parametros'!$B$11*'Parametros'!$B$4*MIN(U96,AB96)/AP96/1000)</f>
        <v>260.860380287796</v>
      </c>
      <c r="AS96" s="10" t="str">
        <f>IF(AND(AM96="CUMPLE",AR96&gt;=AI96),"CUMPLE","NO CUMPLE")</f>
        <v>CUMPLE</v>
      </c>
      <c r="AT96" s="10">
        <f>'Parametros'!$B$6*0.083*SQRT('Parametros'!$B$2)*(H96*I96)^2/(2*(H96+I96))/1000000</f>
        <v>3.38807353605471</v>
      </c>
      <c r="AU96" s="10" t="str">
        <f>IF(Q96&lt;=AT96,"DESPRECIABLE","DISEÑAR")</f>
        <v>DESPRECIABLE</v>
      </c>
      <c r="AV96" s="10">
        <f>IF(Q96&lt;=AT96,0,Q96*1000000/('Parametros'!$B$6*2*0.85*(H96-2*'Parametros'!$B$7)*(I96-2*'Parametros'!$B$7)*'Parametros'!$B$4))</f>
        <v>0</v>
      </c>
      <c r="AW96" s="10">
        <f>AV96*2*((H96-2*'Parametros'!$B$7)+(I96-2*'Parametros'!$B$7))*'Parametros'!$B$4/'Parametros'!$B$3</f>
        <v>0</v>
      </c>
      <c r="AX96" s="17" t="n">
        <v>0</v>
      </c>
      <c r="AY96" s="10" t="str">
        <f>IF(AV96=0,"DESPRECIABLE",IF('Parametros'!$B$11/AP96&gt;=AV96,"CUMPLE","NO CUMPLE"))</f>
        <v>DESPRECIABLE</v>
      </c>
      <c r="AZ96" s="10" t="str">
        <f>IF(AND(X96="CUMPLE",AE96="CUMPLE",AS96="CUMPLE",OR(AY96="CUMPLE",AY96="DESPRECIABLE")),IF(OR(F96&lt;&gt;H96,G96&lt;&gt;I96),"CUMPLE - REANALIZAR SAP","CUMPLE"),"NO CUMPLE")</f>
        <v>CUMPLE</v>
      </c>
    </row>
    <row r="97">
      <c r="A97" s="15" t="inlineStr">
        <is>
          <t>VC3</t>
        </is>
      </c>
      <c r="B97" s="15" t="inlineStr">
        <is>
          <t>1004</t>
        </is>
      </c>
      <c r="C97" s="10" t="n">
        <v>1</v>
      </c>
      <c r="D97" s="10" t="n">
        <v>3.81477</v>
      </c>
      <c r="E97" s="10" t="n">
        <v>3.81477</v>
      </c>
      <c r="F97" s="10" t="n">
        <v>300</v>
      </c>
      <c r="G97" s="10" t="n">
        <v>400</v>
      </c>
      <c r="H97" s="15" t="n">
        <v>300</v>
      </c>
      <c r="I97" s="15" t="n">
        <v>400</v>
      </c>
      <c r="J97" s="16" t="n">
        <v>41.4132</v>
      </c>
      <c r="K97" s="10" t="inlineStr">
        <is>
          <t>1004</t>
        </is>
      </c>
      <c r="L97" s="16" t="n">
        <v>21.6043</v>
      </c>
      <c r="M97" s="10" t="inlineStr">
        <is>
          <t>1004</t>
        </is>
      </c>
      <c r="N97" s="16" t="n">
        <v>28.368</v>
      </c>
      <c r="O97" s="16" t="n">
        <v>66.3</v>
      </c>
      <c r="P97" s="10" t="inlineStr">
        <is>
          <t>1004</t>
        </is>
      </c>
      <c r="Q97" s="16" t="n">
        <v>6.8245</v>
      </c>
      <c r="R97" s="10">
        <f>MAX(MAX(1.4/'Parametros'!$B$3,0.25*SQRT('Parametros'!$B$2)/'Parametros'!$B$3)*H97*U97,(0.85*'Parametros'!$B$2/'Parametros'!$B$3)*(1-SQRT(1-2*(J97*1000000/('Parametros'!$B$5*H97*U97^2))/(0.85*'Parametros'!$B$2)))*H97*U97)</f>
        <v>342.55</v>
      </c>
      <c r="S97" s="17" t="n">
        <v>2</v>
      </c>
      <c r="T97" s="18" t="n">
        <v>1</v>
      </c>
      <c r="U97" s="10">
        <f>IF(T97=1,I97-('Parametros'!$B$7+'Parametros'!$B$9+'Parametros'!$B$12/2),I97-(ROUNDUP(S97/2,0)*('Parametros'!$B$7+'Parametros'!$B$9+'Parametros'!$B$12/2)+ROUNDDOWN(S97/2,0)*('Parametros'!$B$7+'Parametros'!$B$9+'Parametros'!$B$12/2+'Parametros'!$B$12+'Parametros'!$B$10))/S97)</f>
        <v>342.55</v>
      </c>
      <c r="V97" s="10">
        <f>S97*'Parametros'!$B$8</f>
        <v>398</v>
      </c>
      <c r="W97" s="10">
        <f>'Parametros'!$B$5*V97*'Parametros'!$B$3*(U97-(V97*'Parametros'!$B$3/(0.85*'Parametros'!$B$2*H97))/2)/1000000</f>
        <v>49.7735124352941</v>
      </c>
      <c r="X97" s="10" t="str">
        <f>IF(W97&gt;=J97,"CUMPLE","NO CUMPLE")</f>
        <v>CUMPLE</v>
      </c>
      <c r="Y97" s="10">
        <f>MAX(MAX(1.4/'Parametros'!$B$3,0.25*SQRT('Parametros'!$B$2)/'Parametros'!$B$3)*H97*AB97,(0.85*'Parametros'!$B$2/'Parametros'!$B$3)*(1-SQRT(1-2*(L97*1000000/('Parametros'!$B$5*H97*AB97^2))/(0.85*'Parametros'!$B$2)))*H97*AB97)</f>
        <v>342.55</v>
      </c>
      <c r="Z97" s="17" t="n">
        <v>2</v>
      </c>
      <c r="AA97" s="18" t="n">
        <v>1</v>
      </c>
      <c r="AB97" s="10">
        <f>IF(AA97=1,I97-('Parametros'!$B$7+'Parametros'!$B$9+'Parametros'!$B$12/2),I97-(ROUNDUP(Z97/2,0)*('Parametros'!$B$7+'Parametros'!$B$9+'Parametros'!$B$12/2)+ROUNDDOWN(Z97/2,0)*('Parametros'!$B$7+'Parametros'!$B$9+'Parametros'!$B$12/2+'Parametros'!$B$12+'Parametros'!$B$10))/Z97)</f>
        <v>342.55</v>
      </c>
      <c r="AC97" s="10">
        <f>Z97*'Parametros'!$B$8</f>
        <v>398</v>
      </c>
      <c r="AD97" s="10">
        <f>'Parametros'!$B$5*AC97*'Parametros'!$B$3*(AB97-(AC97*'Parametros'!$B$3/(0.85*'Parametros'!$B$2*H97))/2)/1000000</f>
        <v>49.7735124352941</v>
      </c>
      <c r="AE97" s="10" t="str">
        <f>IF(AD97&gt;=L97,"CUMPLE","NO CUMPLE")</f>
        <v>CUMPLE</v>
      </c>
      <c r="AF97" s="10">
        <f>V97*1.25*'Parametros'!$B$3*(U97-(V97*1.25*'Parametros'!$B$3/(0.85*'Parametros'!$B$2*H97))/2)/1000000</f>
        <v>68.5183923529412</v>
      </c>
      <c r="AG97" s="10">
        <f>AC97*1.25*'Parametros'!$B$3*(AB97-(AC97*1.25*'Parametros'!$B$3/(0.85*'Parametros'!$B$2*H97))/2)/1000000</f>
        <v>68.5183923529412</v>
      </c>
      <c r="AH97" s="10">
        <f>N97+(AF97+AG97)/D97</f>
        <v>64.2906859563964</v>
      </c>
      <c r="AI97" s="10">
        <f>MIN(O97,MAX(N97,AH97))</f>
        <v>64.2906859563964</v>
      </c>
      <c r="AJ97" s="10">
        <f>0.17*SQRT('Parametros'!$B$2)*H97*MIN(U97,AB97)/1000</f>
        <v>92.4428153837279</v>
      </c>
      <c r="AK97" s="10">
        <f>MAX(AI97/'Parametros'!$B$6-AJ97,0)</f>
        <v>0</v>
      </c>
      <c r="AL97" s="10">
        <f>0.66*SQRT('Parametros'!$B$2)*H97*MIN(U97,AB97)/1000</f>
        <v>358.89563619565</v>
      </c>
      <c r="AM97" s="10" t="str">
        <f>IF(AK97&lt;=AL97,"CUMPLE","NO CUMPLE")</f>
        <v>CUMPLE</v>
      </c>
      <c r="AN97" s="15" t="inlineStr">
        <is>
          <t>Nº3 cerrado</t>
        </is>
      </c>
      <c r="AO97" s="17" t="n">
        <v>2</v>
      </c>
      <c r="AP97" s="10">
        <f>ROUNDDOWN(MIN(IF(AK97=0,1000000000,AO97*'Parametros'!$B$11*'Parametros'!$B$4*MIN(U97,AB97)/(AK97*1000)),IF(AV97=0,1000000000,'Parametros'!$B$11/AV97),MIN(U97,AB97)/4,8*'Parametros'!$B$12,24*'Parametros'!$B$9,300)/10,0)*10</f>
        <v>80</v>
      </c>
      <c r="AQ97" s="10">
        <f>ROUNDDOWN(MIN(IF(AK97=0,1000000000,AO97*'Parametros'!$B$11*'Parametros'!$B$4*MIN(U97,AB97)/(AK97*1000)),IF(AV97=0,1000000000,'Parametros'!$B$11/AV97),MIN(U97,AB97)/2,600)/10,0)*10</f>
        <v>170</v>
      </c>
      <c r="AR97" s="10">
        <f>'Parametros'!$B$6*(AJ97+AO97*'Parametros'!$B$11*'Parametros'!$B$4*MIN(U97,AB97)/AP97/1000)</f>
        <v>260.860380287796</v>
      </c>
      <c r="AS97" s="10" t="str">
        <f>IF(AND(AM97="CUMPLE",AR97&gt;=AI97),"CUMPLE","NO CUMPLE")</f>
        <v>CUMPLE</v>
      </c>
      <c r="AT97" s="10">
        <f>'Parametros'!$B$6*0.083*SQRT('Parametros'!$B$2)*(H97*I97)^2/(2*(H97+I97))/1000000</f>
        <v>3.38807353605471</v>
      </c>
      <c r="AU97" s="10" t="str">
        <f>IF(Q97&lt;=AT97,"DESPRECIABLE","DISEÑAR")</f>
        <v>DISEÑAR</v>
      </c>
      <c r="AV97" s="10">
        <f>IF(Q97&lt;=AT97,0,Q97*1000000/('Parametros'!$B$6*2*0.85*(H97-2*'Parametros'!$B$7)*(I97-2*'Parametros'!$B$7)*'Parametros'!$B$4))</f>
        <v>0.181025061539767</v>
      </c>
      <c r="AW97" s="10">
        <f>AV97*2*((H97-2*'Parametros'!$B$7)+(I97-2*'Parametros'!$B$7))*'Parametros'!$B$4/'Parametros'!$B$3</f>
        <v>195.507066462949</v>
      </c>
      <c r="AX97" s="17" t="n">
        <v>1</v>
      </c>
      <c r="AY97" s="10" t="str">
        <f>IF(AV97=0,"DESPRECIABLE",IF('Parametros'!$B$11/AP97&gt;=AV97,"CUMPLE","NO CUMPLE"))</f>
        <v>CUMPLE</v>
      </c>
      <c r="AZ97" s="10" t="str">
        <f>IF(AND(X97="CUMPLE",AE97="CUMPLE",AS97="CUMPLE",OR(AY97="CUMPLE",AY97="DESPRECIABLE")),IF(OR(F97&lt;&gt;H97,G97&lt;&gt;I97),"CUMPLE - REANALIZAR SAP","CUMPLE"),"NO CUMPLE")</f>
        <v>CUMPLE</v>
      </c>
    </row>
    <row r="98">
      <c r="A98" s="15" t="inlineStr">
        <is>
          <t>VC3</t>
        </is>
      </c>
      <c r="B98" s="15" t="inlineStr">
        <is>
          <t>1005</t>
        </is>
      </c>
      <c r="C98" s="10" t="n">
        <v>1</v>
      </c>
      <c r="D98" s="10" t="n">
        <v>3.81477</v>
      </c>
      <c r="E98" s="10" t="n">
        <v>3.81477</v>
      </c>
      <c r="F98" s="10" t="n">
        <v>300</v>
      </c>
      <c r="G98" s="10" t="n">
        <v>400</v>
      </c>
      <c r="H98" s="15" t="n">
        <v>300</v>
      </c>
      <c r="I98" s="15" t="n">
        <v>400</v>
      </c>
      <c r="J98" s="16" t="n">
        <v>41.4854</v>
      </c>
      <c r="K98" s="10" t="inlineStr">
        <is>
          <t>1005</t>
        </is>
      </c>
      <c r="L98" s="16" t="n">
        <v>21.6526</v>
      </c>
      <c r="M98" s="10" t="inlineStr">
        <is>
          <t>1005</t>
        </is>
      </c>
      <c r="N98" s="16" t="n">
        <v>28.41</v>
      </c>
      <c r="O98" s="16" t="n">
        <v>66.346</v>
      </c>
      <c r="P98" s="10" t="inlineStr">
        <is>
          <t>1005</t>
        </is>
      </c>
      <c r="Q98" s="16" t="n">
        <v>6.8314</v>
      </c>
      <c r="R98" s="10">
        <f>MAX(MAX(1.4/'Parametros'!$B$3,0.25*SQRT('Parametros'!$B$2)/'Parametros'!$B$3)*H98*U98,(0.85*'Parametros'!$B$2/'Parametros'!$B$3)*(1-SQRT(1-2*(J98*1000000/('Parametros'!$B$5*H98*U98^2))/(0.85*'Parametros'!$B$2)))*H98*U98)</f>
        <v>342.55</v>
      </c>
      <c r="S98" s="17" t="n">
        <v>2</v>
      </c>
      <c r="T98" s="18" t="n">
        <v>1</v>
      </c>
      <c r="U98" s="10">
        <f>IF(T98=1,I98-('Parametros'!$B$7+'Parametros'!$B$9+'Parametros'!$B$12/2),I98-(ROUNDUP(S98/2,0)*('Parametros'!$B$7+'Parametros'!$B$9+'Parametros'!$B$12/2)+ROUNDDOWN(S98/2,0)*('Parametros'!$B$7+'Parametros'!$B$9+'Parametros'!$B$12/2+'Parametros'!$B$12+'Parametros'!$B$10))/S98)</f>
        <v>342.55</v>
      </c>
      <c r="V98" s="10">
        <f>S98*'Parametros'!$B$8</f>
        <v>398</v>
      </c>
      <c r="W98" s="10">
        <f>'Parametros'!$B$5*V98*'Parametros'!$B$3*(U98-(V98*'Parametros'!$B$3/(0.85*'Parametros'!$B$2*H98))/2)/1000000</f>
        <v>49.7735124352941</v>
      </c>
      <c r="X98" s="10" t="str">
        <f>IF(W98&gt;=J98,"CUMPLE","NO CUMPLE")</f>
        <v>CUMPLE</v>
      </c>
      <c r="Y98" s="10">
        <f>MAX(MAX(1.4/'Parametros'!$B$3,0.25*SQRT('Parametros'!$B$2)/'Parametros'!$B$3)*H98*AB98,(0.85*'Parametros'!$B$2/'Parametros'!$B$3)*(1-SQRT(1-2*(L98*1000000/('Parametros'!$B$5*H98*AB98^2))/(0.85*'Parametros'!$B$2)))*H98*AB98)</f>
        <v>342.55</v>
      </c>
      <c r="Z98" s="17" t="n">
        <v>2</v>
      </c>
      <c r="AA98" s="18" t="n">
        <v>1</v>
      </c>
      <c r="AB98" s="10">
        <f>IF(AA98=1,I98-('Parametros'!$B$7+'Parametros'!$B$9+'Parametros'!$B$12/2),I98-(ROUNDUP(Z98/2,0)*('Parametros'!$B$7+'Parametros'!$B$9+'Parametros'!$B$12/2)+ROUNDDOWN(Z98/2,0)*('Parametros'!$B$7+'Parametros'!$B$9+'Parametros'!$B$12/2+'Parametros'!$B$12+'Parametros'!$B$10))/Z98)</f>
        <v>342.55</v>
      </c>
      <c r="AC98" s="10">
        <f>Z98*'Parametros'!$B$8</f>
        <v>398</v>
      </c>
      <c r="AD98" s="10">
        <f>'Parametros'!$B$5*AC98*'Parametros'!$B$3*(AB98-(AC98*'Parametros'!$B$3/(0.85*'Parametros'!$B$2*H98))/2)/1000000</f>
        <v>49.7735124352941</v>
      </c>
      <c r="AE98" s="10" t="str">
        <f>IF(AD98&gt;=L98,"CUMPLE","NO CUMPLE")</f>
        <v>CUMPLE</v>
      </c>
      <c r="AF98" s="10">
        <f>V98*1.25*'Parametros'!$B$3*(U98-(V98*1.25*'Parametros'!$B$3/(0.85*'Parametros'!$B$2*H98))/2)/1000000</f>
        <v>68.5183923529412</v>
      </c>
      <c r="AG98" s="10">
        <f>AC98*1.25*'Parametros'!$B$3*(AB98-(AC98*1.25*'Parametros'!$B$3/(0.85*'Parametros'!$B$2*H98))/2)/1000000</f>
        <v>68.5183923529412</v>
      </c>
      <c r="AH98" s="10">
        <f>N98+(AF98+AG98)/D98</f>
        <v>64.3326859563964</v>
      </c>
      <c r="AI98" s="10">
        <f>MIN(O98,MAX(N98,AH98))</f>
        <v>64.3326859563964</v>
      </c>
      <c r="AJ98" s="10">
        <f>0.17*SQRT('Parametros'!$B$2)*H98*MIN(U98,AB98)/1000</f>
        <v>92.4428153837279</v>
      </c>
      <c r="AK98" s="10">
        <f>MAX(AI98/'Parametros'!$B$6-AJ98,0)</f>
        <v>0</v>
      </c>
      <c r="AL98" s="10">
        <f>0.66*SQRT('Parametros'!$B$2)*H98*MIN(U98,AB98)/1000</f>
        <v>358.89563619565</v>
      </c>
      <c r="AM98" s="10" t="str">
        <f>IF(AK98&lt;=AL98,"CUMPLE","NO CUMPLE")</f>
        <v>CUMPLE</v>
      </c>
      <c r="AN98" s="15" t="inlineStr">
        <is>
          <t>Nº3 cerrado</t>
        </is>
      </c>
      <c r="AO98" s="17" t="n">
        <v>2</v>
      </c>
      <c r="AP98" s="10">
        <f>ROUNDDOWN(MIN(IF(AK98=0,1000000000,AO98*'Parametros'!$B$11*'Parametros'!$B$4*MIN(U98,AB98)/(AK98*1000)),IF(AV98=0,1000000000,'Parametros'!$B$11/AV98),MIN(U98,AB98)/4,8*'Parametros'!$B$12,24*'Parametros'!$B$9,300)/10,0)*10</f>
        <v>80</v>
      </c>
      <c r="AQ98" s="10">
        <f>ROUNDDOWN(MIN(IF(AK98=0,1000000000,AO98*'Parametros'!$B$11*'Parametros'!$B$4*MIN(U98,AB98)/(AK98*1000)),IF(AV98=0,1000000000,'Parametros'!$B$11/AV98),MIN(U98,AB98)/2,600)/10,0)*10</f>
        <v>170</v>
      </c>
      <c r="AR98" s="10">
        <f>'Parametros'!$B$6*(AJ98+AO98*'Parametros'!$B$11*'Parametros'!$B$4*MIN(U98,AB98)/AP98/1000)</f>
        <v>260.860380287796</v>
      </c>
      <c r="AS98" s="10" t="str">
        <f>IF(AND(AM98="CUMPLE",AR98&gt;=AI98),"CUMPLE","NO CUMPLE")</f>
        <v>CUMPLE</v>
      </c>
      <c r="AT98" s="10">
        <f>'Parametros'!$B$6*0.083*SQRT('Parametros'!$B$2)*(H98*I98)^2/(2*(H98+I98))/1000000</f>
        <v>3.38807353605471</v>
      </c>
      <c r="AU98" s="10" t="str">
        <f>IF(Q98&lt;=AT98,"DESPRECIABLE","DISEÑAR")</f>
        <v>DISEÑAR</v>
      </c>
      <c r="AV98" s="10">
        <f>IF(Q98&lt;=AT98,0,Q98*1000000/('Parametros'!$B$6*2*0.85*(H98-2*'Parametros'!$B$7)*(I98-2*'Parametros'!$B$7)*'Parametros'!$B$4))</f>
        <v>0.181208089296325</v>
      </c>
      <c r="AW98" s="10">
        <f>AV98*2*((H98-2*'Parametros'!$B$7)+(I98-2*'Parametros'!$B$7))*'Parametros'!$B$4/'Parametros'!$B$3</f>
        <v>195.704736440031</v>
      </c>
      <c r="AX98" s="17" t="n">
        <v>1</v>
      </c>
      <c r="AY98" s="10" t="str">
        <f>IF(AV98=0,"DESPRECIABLE",IF('Parametros'!$B$11/AP98&gt;=AV98,"CUMPLE","NO CUMPLE"))</f>
        <v>CUMPLE</v>
      </c>
      <c r="AZ98" s="10" t="str">
        <f>IF(AND(X98="CUMPLE",AE98="CUMPLE",AS98="CUMPLE",OR(AY98="CUMPLE",AY98="DESPRECIABLE")),IF(OR(F98&lt;&gt;H98,G98&lt;&gt;I98),"CUMPLE - REANALIZAR SAP","CUMPLE"),"NO CUMPLE")</f>
        <v>CUMPLE</v>
      </c>
    </row>
    <row r="99">
      <c r="A99" s="15" t="inlineStr">
        <is>
          <t>VC3</t>
        </is>
      </c>
      <c r="B99" s="15" t="inlineStr">
        <is>
          <t>1006</t>
        </is>
      </c>
      <c r="C99" s="10" t="n">
        <v>1</v>
      </c>
      <c r="D99" s="10" t="n">
        <v>4</v>
      </c>
      <c r="E99" s="10" t="n">
        <v>4</v>
      </c>
      <c r="F99" s="10" t="n">
        <v>300</v>
      </c>
      <c r="G99" s="10" t="n">
        <v>400</v>
      </c>
      <c r="H99" s="15" t="n">
        <v>300</v>
      </c>
      <c r="I99" s="15" t="n">
        <v>400</v>
      </c>
      <c r="J99" s="16" t="n">
        <v>28.8416</v>
      </c>
      <c r="K99" s="10" t="inlineStr">
        <is>
          <t>1006</t>
        </is>
      </c>
      <c r="L99" s="16" t="n">
        <v>17.5212</v>
      </c>
      <c r="M99" s="10" t="inlineStr">
        <is>
          <t>1006</t>
        </is>
      </c>
      <c r="N99" s="16" t="n">
        <v>17.856</v>
      </c>
      <c r="O99" s="16" t="n">
        <v>60.107</v>
      </c>
      <c r="P99" s="10" t="inlineStr">
        <is>
          <t>1006</t>
        </is>
      </c>
      <c r="Q99" s="16" t="n">
        <v>1.0334</v>
      </c>
      <c r="R99" s="10">
        <f>MAX(MAX(1.4/'Parametros'!$B$3,0.25*SQRT('Parametros'!$B$2)/'Parametros'!$B$3)*H99*U99,(0.85*'Parametros'!$B$2/'Parametros'!$B$3)*(1-SQRT(1-2*(J99*1000000/('Parametros'!$B$5*H99*U99^2))/(0.85*'Parametros'!$B$2)))*H99*U99)</f>
        <v>342.55</v>
      </c>
      <c r="S99" s="17" t="n">
        <v>2</v>
      </c>
      <c r="T99" s="18" t="n">
        <v>1</v>
      </c>
      <c r="U99" s="10">
        <f>IF(T99=1,I99-('Parametros'!$B$7+'Parametros'!$B$9+'Parametros'!$B$12/2),I99-(ROUNDUP(S99/2,0)*('Parametros'!$B$7+'Parametros'!$B$9+'Parametros'!$B$12/2)+ROUNDDOWN(S99/2,0)*('Parametros'!$B$7+'Parametros'!$B$9+'Parametros'!$B$12/2+'Parametros'!$B$12+'Parametros'!$B$10))/S99)</f>
        <v>342.55</v>
      </c>
      <c r="V99" s="10">
        <f>S99*'Parametros'!$B$8</f>
        <v>398</v>
      </c>
      <c r="W99" s="10">
        <f>'Parametros'!$B$5*V99*'Parametros'!$B$3*(U99-(V99*'Parametros'!$B$3/(0.85*'Parametros'!$B$2*H99))/2)/1000000</f>
        <v>49.7735124352941</v>
      </c>
      <c r="X99" s="10" t="str">
        <f>IF(W99&gt;=J99,"CUMPLE","NO CUMPLE")</f>
        <v>CUMPLE</v>
      </c>
      <c r="Y99" s="10">
        <f>MAX(MAX(1.4/'Parametros'!$B$3,0.25*SQRT('Parametros'!$B$2)/'Parametros'!$B$3)*H99*AB99,(0.85*'Parametros'!$B$2/'Parametros'!$B$3)*(1-SQRT(1-2*(L99*1000000/('Parametros'!$B$5*H99*AB99^2))/(0.85*'Parametros'!$B$2)))*H99*AB99)</f>
        <v>342.55</v>
      </c>
      <c r="Z99" s="17" t="n">
        <v>2</v>
      </c>
      <c r="AA99" s="18" t="n">
        <v>1</v>
      </c>
      <c r="AB99" s="10">
        <f>IF(AA99=1,I99-('Parametros'!$B$7+'Parametros'!$B$9+'Parametros'!$B$12/2),I99-(ROUNDUP(Z99/2,0)*('Parametros'!$B$7+'Parametros'!$B$9+'Parametros'!$B$12/2)+ROUNDDOWN(Z99/2,0)*('Parametros'!$B$7+'Parametros'!$B$9+'Parametros'!$B$12/2+'Parametros'!$B$12+'Parametros'!$B$10))/Z99)</f>
        <v>342.55</v>
      </c>
      <c r="AC99" s="10">
        <f>Z99*'Parametros'!$B$8</f>
        <v>398</v>
      </c>
      <c r="AD99" s="10">
        <f>'Parametros'!$B$5*AC99*'Parametros'!$B$3*(AB99-(AC99*'Parametros'!$B$3/(0.85*'Parametros'!$B$2*H99))/2)/1000000</f>
        <v>49.7735124352941</v>
      </c>
      <c r="AE99" s="10" t="str">
        <f>IF(AD99&gt;=L99,"CUMPLE","NO CUMPLE")</f>
        <v>CUMPLE</v>
      </c>
      <c r="AF99" s="10">
        <f>V99*1.25*'Parametros'!$B$3*(U99-(V99*1.25*'Parametros'!$B$3/(0.85*'Parametros'!$B$2*H99))/2)/1000000</f>
        <v>68.5183923529412</v>
      </c>
      <c r="AG99" s="10">
        <f>AC99*1.25*'Parametros'!$B$3*(AB99-(AC99*1.25*'Parametros'!$B$3/(0.85*'Parametros'!$B$2*H99))/2)/1000000</f>
        <v>68.5183923529412</v>
      </c>
      <c r="AH99" s="10">
        <f>N99+(AF99+AG99)/D99</f>
        <v>52.1151961764706</v>
      </c>
      <c r="AI99" s="10">
        <f>MIN(O99,MAX(N99,AH99))</f>
        <v>52.1151961764706</v>
      </c>
      <c r="AJ99" s="10">
        <f>0.17*SQRT('Parametros'!$B$2)*H99*MIN(U99,AB99)/1000</f>
        <v>92.4428153837279</v>
      </c>
      <c r="AK99" s="10">
        <f>MAX(AI99/'Parametros'!$B$6-AJ99,0)</f>
        <v>0</v>
      </c>
      <c r="AL99" s="10">
        <f>0.66*SQRT('Parametros'!$B$2)*H99*MIN(U99,AB99)/1000</f>
        <v>358.89563619565</v>
      </c>
      <c r="AM99" s="10" t="str">
        <f>IF(AK99&lt;=AL99,"CUMPLE","NO CUMPLE")</f>
        <v>CUMPLE</v>
      </c>
      <c r="AN99" s="15" t="inlineStr">
        <is>
          <t>Nº3 cerrado</t>
        </is>
      </c>
      <c r="AO99" s="17" t="n">
        <v>2</v>
      </c>
      <c r="AP99" s="10">
        <f>ROUNDDOWN(MIN(IF(AK99=0,1000000000,AO99*'Parametros'!$B$11*'Parametros'!$B$4*MIN(U99,AB99)/(AK99*1000)),IF(AV99=0,1000000000,'Parametros'!$B$11/AV99),MIN(U99,AB99)/4,8*'Parametros'!$B$12,24*'Parametros'!$B$9,300)/10,0)*10</f>
        <v>80</v>
      </c>
      <c r="AQ99" s="10">
        <f>ROUNDDOWN(MIN(IF(AK99=0,1000000000,AO99*'Parametros'!$B$11*'Parametros'!$B$4*MIN(U99,AB99)/(AK99*1000)),IF(AV99=0,1000000000,'Parametros'!$B$11/AV99),MIN(U99,AB99)/2,600)/10,0)*10</f>
        <v>170</v>
      </c>
      <c r="AR99" s="10">
        <f>'Parametros'!$B$6*(AJ99+AO99*'Parametros'!$B$11*'Parametros'!$B$4*MIN(U99,AB99)/AP99/1000)</f>
        <v>260.860380287796</v>
      </c>
      <c r="AS99" s="10" t="str">
        <f>IF(AND(AM99="CUMPLE",AR99&gt;=AI99),"CUMPLE","NO CUMPLE")</f>
        <v>CUMPLE</v>
      </c>
      <c r="AT99" s="10">
        <f>'Parametros'!$B$6*0.083*SQRT('Parametros'!$B$2)*(H99*I99)^2/(2*(H99+I99))/1000000</f>
        <v>3.38807353605471</v>
      </c>
      <c r="AU99" s="10" t="str">
        <f>IF(Q99&lt;=AT99,"DESPRECIABLE","DISEÑAR")</f>
        <v>DESPRECIABLE</v>
      </c>
      <c r="AV99" s="10">
        <f>IF(Q99&lt;=AT99,0,Q99*1000000/('Parametros'!$B$6*2*0.85*(H99-2*'Parametros'!$B$7)*(I99-2*'Parametros'!$B$7)*'Parametros'!$B$4))</f>
        <v>0</v>
      </c>
      <c r="AW99" s="10">
        <f>AV99*2*((H99-2*'Parametros'!$B$7)+(I99-2*'Parametros'!$B$7))*'Parametros'!$B$4/'Parametros'!$B$3</f>
        <v>0</v>
      </c>
      <c r="AX99" s="17" t="n">
        <v>0</v>
      </c>
      <c r="AY99" s="10" t="str">
        <f>IF(AV99=0,"DESPRECIABLE",IF('Parametros'!$B$11/AP99&gt;=AV99,"CUMPLE","NO CUMPLE"))</f>
        <v>DESPRECIABLE</v>
      </c>
      <c r="AZ99" s="10" t="str">
        <f>IF(AND(X99="CUMPLE",AE99="CUMPLE",AS99="CUMPLE",OR(AY99="CUMPLE",AY99="DESPRECIABLE")),IF(OR(F99&lt;&gt;H99,G99&lt;&gt;I99),"CUMPLE - REANALIZAR SAP","CUMPLE"),"NO CUMPLE")</f>
        <v>CUMPLE</v>
      </c>
    </row>
    <row r="100">
      <c r="A100" s="15" t="inlineStr">
        <is>
          <t>VC3</t>
        </is>
      </c>
      <c r="B100" s="15" t="inlineStr">
        <is>
          <t>1035</t>
        </is>
      </c>
      <c r="C100" s="10" t="n">
        <v>1</v>
      </c>
      <c r="D100" s="10" t="n">
        <v>4</v>
      </c>
      <c r="E100" s="10" t="n">
        <v>4</v>
      </c>
      <c r="F100" s="10" t="n">
        <v>300</v>
      </c>
      <c r="G100" s="10" t="n">
        <v>400</v>
      </c>
      <c r="H100" s="15" t="n">
        <v>300</v>
      </c>
      <c r="I100" s="15" t="n">
        <v>400</v>
      </c>
      <c r="J100" s="16" t="n">
        <v>28.8368</v>
      </c>
      <c r="K100" s="10" t="inlineStr">
        <is>
          <t>1035</t>
        </is>
      </c>
      <c r="L100" s="16" t="n">
        <v>17.52</v>
      </c>
      <c r="M100" s="10" t="inlineStr">
        <is>
          <t>1035</t>
        </is>
      </c>
      <c r="N100" s="16" t="n">
        <v>17.853</v>
      </c>
      <c r="O100" s="16" t="n">
        <v>60.111</v>
      </c>
      <c r="P100" s="10" t="inlineStr">
        <is>
          <t>1035</t>
        </is>
      </c>
      <c r="Q100" s="16" t="n">
        <v>1.0342</v>
      </c>
      <c r="R100" s="10">
        <f>MAX(MAX(1.4/'Parametros'!$B$3,0.25*SQRT('Parametros'!$B$2)/'Parametros'!$B$3)*H100*U100,(0.85*'Parametros'!$B$2/'Parametros'!$B$3)*(1-SQRT(1-2*(J100*1000000/('Parametros'!$B$5*H100*U100^2))/(0.85*'Parametros'!$B$2)))*H100*U100)</f>
        <v>342.55</v>
      </c>
      <c r="S100" s="17" t="n">
        <v>2</v>
      </c>
      <c r="T100" s="18" t="n">
        <v>1</v>
      </c>
      <c r="U100" s="10">
        <f>IF(T100=1,I100-('Parametros'!$B$7+'Parametros'!$B$9+'Parametros'!$B$12/2),I100-(ROUNDUP(S100/2,0)*('Parametros'!$B$7+'Parametros'!$B$9+'Parametros'!$B$12/2)+ROUNDDOWN(S100/2,0)*('Parametros'!$B$7+'Parametros'!$B$9+'Parametros'!$B$12/2+'Parametros'!$B$12+'Parametros'!$B$10))/S100)</f>
        <v>342.55</v>
      </c>
      <c r="V100" s="10">
        <f>S100*'Parametros'!$B$8</f>
        <v>398</v>
      </c>
      <c r="W100" s="10">
        <f>'Parametros'!$B$5*V100*'Parametros'!$B$3*(U100-(V100*'Parametros'!$B$3/(0.85*'Parametros'!$B$2*H100))/2)/1000000</f>
        <v>49.7735124352941</v>
      </c>
      <c r="X100" s="10" t="str">
        <f>IF(W100&gt;=J100,"CUMPLE","NO CUMPLE")</f>
        <v>CUMPLE</v>
      </c>
      <c r="Y100" s="10">
        <f>MAX(MAX(1.4/'Parametros'!$B$3,0.25*SQRT('Parametros'!$B$2)/'Parametros'!$B$3)*H100*AB100,(0.85*'Parametros'!$B$2/'Parametros'!$B$3)*(1-SQRT(1-2*(L100*1000000/('Parametros'!$B$5*H100*AB100^2))/(0.85*'Parametros'!$B$2)))*H100*AB100)</f>
        <v>342.55</v>
      </c>
      <c r="Z100" s="17" t="n">
        <v>2</v>
      </c>
      <c r="AA100" s="18" t="n">
        <v>1</v>
      </c>
      <c r="AB100" s="10">
        <f>IF(AA100=1,I100-('Parametros'!$B$7+'Parametros'!$B$9+'Parametros'!$B$12/2),I100-(ROUNDUP(Z100/2,0)*('Parametros'!$B$7+'Parametros'!$B$9+'Parametros'!$B$12/2)+ROUNDDOWN(Z100/2,0)*('Parametros'!$B$7+'Parametros'!$B$9+'Parametros'!$B$12/2+'Parametros'!$B$12+'Parametros'!$B$10))/Z100)</f>
        <v>342.55</v>
      </c>
      <c r="AC100" s="10">
        <f>Z100*'Parametros'!$B$8</f>
        <v>398</v>
      </c>
      <c r="AD100" s="10">
        <f>'Parametros'!$B$5*AC100*'Parametros'!$B$3*(AB100-(AC100*'Parametros'!$B$3/(0.85*'Parametros'!$B$2*H100))/2)/1000000</f>
        <v>49.7735124352941</v>
      </c>
      <c r="AE100" s="10" t="str">
        <f>IF(AD100&gt;=L100,"CUMPLE","NO CUMPLE")</f>
        <v>CUMPLE</v>
      </c>
      <c r="AF100" s="10">
        <f>V100*1.25*'Parametros'!$B$3*(U100-(V100*1.25*'Parametros'!$B$3/(0.85*'Parametros'!$B$2*H100))/2)/1000000</f>
        <v>68.5183923529412</v>
      </c>
      <c r="AG100" s="10">
        <f>AC100*1.25*'Parametros'!$B$3*(AB100-(AC100*1.25*'Parametros'!$B$3/(0.85*'Parametros'!$B$2*H100))/2)/1000000</f>
        <v>68.5183923529412</v>
      </c>
      <c r="AH100" s="10">
        <f>N100+(AF100+AG100)/D100</f>
        <v>52.1121961764706</v>
      </c>
      <c r="AI100" s="10">
        <f>MIN(O100,MAX(N100,AH100))</f>
        <v>52.1121961764706</v>
      </c>
      <c r="AJ100" s="10">
        <f>0.17*SQRT('Parametros'!$B$2)*H100*MIN(U100,AB100)/1000</f>
        <v>92.4428153837279</v>
      </c>
      <c r="AK100" s="10">
        <f>MAX(AI100/'Parametros'!$B$6-AJ100,0)</f>
        <v>0</v>
      </c>
      <c r="AL100" s="10">
        <f>0.66*SQRT('Parametros'!$B$2)*H100*MIN(U100,AB100)/1000</f>
        <v>358.89563619565</v>
      </c>
      <c r="AM100" s="10" t="str">
        <f>IF(AK100&lt;=AL100,"CUMPLE","NO CUMPLE")</f>
        <v>CUMPLE</v>
      </c>
      <c r="AN100" s="15" t="inlineStr">
        <is>
          <t>Nº3 cerrado</t>
        </is>
      </c>
      <c r="AO100" s="17" t="n">
        <v>2</v>
      </c>
      <c r="AP100" s="10">
        <f>ROUNDDOWN(MIN(IF(AK100=0,1000000000,AO100*'Parametros'!$B$11*'Parametros'!$B$4*MIN(U100,AB100)/(AK100*1000)),IF(AV100=0,1000000000,'Parametros'!$B$11/AV100),MIN(U100,AB100)/4,8*'Parametros'!$B$12,24*'Parametros'!$B$9,300)/10,0)*10</f>
        <v>80</v>
      </c>
      <c r="AQ100" s="10">
        <f>ROUNDDOWN(MIN(IF(AK100=0,1000000000,AO100*'Parametros'!$B$11*'Parametros'!$B$4*MIN(U100,AB100)/(AK100*1000)),IF(AV100=0,1000000000,'Parametros'!$B$11/AV100),MIN(U100,AB100)/2,600)/10,0)*10</f>
        <v>170</v>
      </c>
      <c r="AR100" s="10">
        <f>'Parametros'!$B$6*(AJ100+AO100*'Parametros'!$B$11*'Parametros'!$B$4*MIN(U100,AB100)/AP100/1000)</f>
        <v>260.860380287796</v>
      </c>
      <c r="AS100" s="10" t="str">
        <f>IF(AND(AM100="CUMPLE",AR100&gt;=AI100),"CUMPLE","NO CUMPLE")</f>
        <v>CUMPLE</v>
      </c>
      <c r="AT100" s="10">
        <f>'Parametros'!$B$6*0.083*SQRT('Parametros'!$B$2)*(H100*I100)^2/(2*(H100+I100))/1000000</f>
        <v>3.38807353605471</v>
      </c>
      <c r="AU100" s="10" t="str">
        <f>IF(Q100&lt;=AT100,"DESPRECIABLE","DISEÑAR")</f>
        <v>DESPRECIABLE</v>
      </c>
      <c r="AV100" s="10">
        <f>IF(Q100&lt;=AT100,0,Q100*1000000/('Parametros'!$B$6*2*0.85*(H100-2*'Parametros'!$B$7)*(I100-2*'Parametros'!$B$7)*'Parametros'!$B$4))</f>
        <v>0</v>
      </c>
      <c r="AW100" s="10">
        <f>AV100*2*((H100-2*'Parametros'!$B$7)+(I100-2*'Parametros'!$B$7))*'Parametros'!$B$4/'Parametros'!$B$3</f>
        <v>0</v>
      </c>
      <c r="AX100" s="17" t="n">
        <v>0</v>
      </c>
      <c r="AY100" s="10" t="str">
        <f>IF(AV100=0,"DESPRECIABLE",IF('Parametros'!$B$11/AP100&gt;=AV100,"CUMPLE","NO CUMPLE"))</f>
        <v>DESPRECIABLE</v>
      </c>
      <c r="AZ100" s="10" t="str">
        <f>IF(AND(X100="CUMPLE",AE100="CUMPLE",AS100="CUMPLE",OR(AY100="CUMPLE",AY100="DESPRECIABLE")),IF(OR(F100&lt;&gt;H100,G100&lt;&gt;I100),"CUMPLE - REANALIZAR SAP","CUMPLE"),"NO CUMPLE")</f>
        <v>CUMPLE</v>
      </c>
    </row>
    <row r="101">
      <c r="A101" s="15" t="inlineStr">
        <is>
          <t>VC3</t>
        </is>
      </c>
      <c r="B101" s="15" t="inlineStr">
        <is>
          <t>1036</t>
        </is>
      </c>
      <c r="C101" s="10" t="n">
        <v>1</v>
      </c>
      <c r="D101" s="10" t="n">
        <v>3.81477</v>
      </c>
      <c r="E101" s="10" t="n">
        <v>3.81477</v>
      </c>
      <c r="F101" s="10" t="n">
        <v>300</v>
      </c>
      <c r="G101" s="10" t="n">
        <v>400</v>
      </c>
      <c r="H101" s="15" t="n">
        <v>300</v>
      </c>
      <c r="I101" s="15" t="n">
        <v>400</v>
      </c>
      <c r="J101" s="16" t="n">
        <v>41.4802</v>
      </c>
      <c r="K101" s="10" t="inlineStr">
        <is>
          <t>1036</t>
        </is>
      </c>
      <c r="L101" s="16" t="n">
        <v>21.6453</v>
      </c>
      <c r="M101" s="10" t="inlineStr">
        <is>
          <t>1036</t>
        </is>
      </c>
      <c r="N101" s="16" t="n">
        <v>28.411</v>
      </c>
      <c r="O101" s="16" t="n">
        <v>66.352</v>
      </c>
      <c r="P101" s="10" t="inlineStr">
        <is>
          <t>1036</t>
        </is>
      </c>
      <c r="Q101" s="16" t="n">
        <v>6.8213</v>
      </c>
      <c r="R101" s="10">
        <f>MAX(MAX(1.4/'Parametros'!$B$3,0.25*SQRT('Parametros'!$B$2)/'Parametros'!$B$3)*H101*U101,(0.85*'Parametros'!$B$2/'Parametros'!$B$3)*(1-SQRT(1-2*(J101*1000000/('Parametros'!$B$5*H101*U101^2))/(0.85*'Parametros'!$B$2)))*H101*U101)</f>
        <v>342.55</v>
      </c>
      <c r="S101" s="17" t="n">
        <v>2</v>
      </c>
      <c r="T101" s="18" t="n">
        <v>1</v>
      </c>
      <c r="U101" s="10">
        <f>IF(T101=1,I101-('Parametros'!$B$7+'Parametros'!$B$9+'Parametros'!$B$12/2),I101-(ROUNDUP(S101/2,0)*('Parametros'!$B$7+'Parametros'!$B$9+'Parametros'!$B$12/2)+ROUNDDOWN(S101/2,0)*('Parametros'!$B$7+'Parametros'!$B$9+'Parametros'!$B$12/2+'Parametros'!$B$12+'Parametros'!$B$10))/S101)</f>
        <v>342.55</v>
      </c>
      <c r="V101" s="10">
        <f>S101*'Parametros'!$B$8</f>
        <v>398</v>
      </c>
      <c r="W101" s="10">
        <f>'Parametros'!$B$5*V101*'Parametros'!$B$3*(U101-(V101*'Parametros'!$B$3/(0.85*'Parametros'!$B$2*H101))/2)/1000000</f>
        <v>49.7735124352941</v>
      </c>
      <c r="X101" s="10" t="str">
        <f>IF(W101&gt;=J101,"CUMPLE","NO CUMPLE")</f>
        <v>CUMPLE</v>
      </c>
      <c r="Y101" s="10">
        <f>MAX(MAX(1.4/'Parametros'!$B$3,0.25*SQRT('Parametros'!$B$2)/'Parametros'!$B$3)*H101*AB101,(0.85*'Parametros'!$B$2/'Parametros'!$B$3)*(1-SQRT(1-2*(L101*1000000/('Parametros'!$B$5*H101*AB101^2))/(0.85*'Parametros'!$B$2)))*H101*AB101)</f>
        <v>342.55</v>
      </c>
      <c r="Z101" s="17" t="n">
        <v>2</v>
      </c>
      <c r="AA101" s="18" t="n">
        <v>1</v>
      </c>
      <c r="AB101" s="10">
        <f>IF(AA101=1,I101-('Parametros'!$B$7+'Parametros'!$B$9+'Parametros'!$B$12/2),I101-(ROUNDUP(Z101/2,0)*('Parametros'!$B$7+'Parametros'!$B$9+'Parametros'!$B$12/2)+ROUNDDOWN(Z101/2,0)*('Parametros'!$B$7+'Parametros'!$B$9+'Parametros'!$B$12/2+'Parametros'!$B$12+'Parametros'!$B$10))/Z101)</f>
        <v>342.55</v>
      </c>
      <c r="AC101" s="10">
        <f>Z101*'Parametros'!$B$8</f>
        <v>398</v>
      </c>
      <c r="AD101" s="10">
        <f>'Parametros'!$B$5*AC101*'Parametros'!$B$3*(AB101-(AC101*'Parametros'!$B$3/(0.85*'Parametros'!$B$2*H101))/2)/1000000</f>
        <v>49.7735124352941</v>
      </c>
      <c r="AE101" s="10" t="str">
        <f>IF(AD101&gt;=L101,"CUMPLE","NO CUMPLE")</f>
        <v>CUMPLE</v>
      </c>
      <c r="AF101" s="10">
        <f>V101*1.25*'Parametros'!$B$3*(U101-(V101*1.25*'Parametros'!$B$3/(0.85*'Parametros'!$B$2*H101))/2)/1000000</f>
        <v>68.5183923529412</v>
      </c>
      <c r="AG101" s="10">
        <f>AC101*1.25*'Parametros'!$B$3*(AB101-(AC101*1.25*'Parametros'!$B$3/(0.85*'Parametros'!$B$2*H101))/2)/1000000</f>
        <v>68.5183923529412</v>
      </c>
      <c r="AH101" s="10">
        <f>N101+(AF101+AG101)/D101</f>
        <v>64.3336859563964</v>
      </c>
      <c r="AI101" s="10">
        <f>MIN(O101,MAX(N101,AH101))</f>
        <v>64.3336859563964</v>
      </c>
      <c r="AJ101" s="10">
        <f>0.17*SQRT('Parametros'!$B$2)*H101*MIN(U101,AB101)/1000</f>
        <v>92.4428153837279</v>
      </c>
      <c r="AK101" s="10">
        <f>MAX(AI101/'Parametros'!$B$6-AJ101,0)</f>
        <v>0</v>
      </c>
      <c r="AL101" s="10">
        <f>0.66*SQRT('Parametros'!$B$2)*H101*MIN(U101,AB101)/1000</f>
        <v>358.89563619565</v>
      </c>
      <c r="AM101" s="10" t="str">
        <f>IF(AK101&lt;=AL101,"CUMPLE","NO CUMPLE")</f>
        <v>CUMPLE</v>
      </c>
      <c r="AN101" s="15" t="inlineStr">
        <is>
          <t>Nº3 cerrado</t>
        </is>
      </c>
      <c r="AO101" s="17" t="n">
        <v>2</v>
      </c>
      <c r="AP101" s="10">
        <f>ROUNDDOWN(MIN(IF(AK101=0,1000000000,AO101*'Parametros'!$B$11*'Parametros'!$B$4*MIN(U101,AB101)/(AK101*1000)),IF(AV101=0,1000000000,'Parametros'!$B$11/AV101),MIN(U101,AB101)/4,8*'Parametros'!$B$12,24*'Parametros'!$B$9,300)/10,0)*10</f>
        <v>80</v>
      </c>
      <c r="AQ101" s="10">
        <f>ROUNDDOWN(MIN(IF(AK101=0,1000000000,AO101*'Parametros'!$B$11*'Parametros'!$B$4*MIN(U101,AB101)/(AK101*1000)),IF(AV101=0,1000000000,'Parametros'!$B$11/AV101),MIN(U101,AB101)/2,600)/10,0)*10</f>
        <v>170</v>
      </c>
      <c r="AR101" s="10">
        <f>'Parametros'!$B$6*(AJ101+AO101*'Parametros'!$B$11*'Parametros'!$B$4*MIN(U101,AB101)/AP101/1000)</f>
        <v>260.860380287796</v>
      </c>
      <c r="AS101" s="10" t="str">
        <f>IF(AND(AM101="CUMPLE",AR101&gt;=AI101),"CUMPLE","NO CUMPLE")</f>
        <v>CUMPLE</v>
      </c>
      <c r="AT101" s="10">
        <f>'Parametros'!$B$6*0.083*SQRT('Parametros'!$B$2)*(H101*I101)^2/(2*(H101+I101))/1000000</f>
        <v>3.38807353605471</v>
      </c>
      <c r="AU101" s="10" t="str">
        <f>IF(Q101&lt;=AT101,"DESPRECIABLE","DISEÑAR")</f>
        <v>DISEÑAR</v>
      </c>
      <c r="AV101" s="10">
        <f>IF(Q101&lt;=AT101,0,Q101*1000000/('Parametros'!$B$6*2*0.85*(H101-2*'Parametros'!$B$7)*(I101-2*'Parametros'!$B$7)*'Parametros'!$B$4))</f>
        <v>0.180940179101944</v>
      </c>
      <c r="AW101" s="10">
        <f>AV101*2*((H101-2*'Parametros'!$B$7)+(I101-2*'Parametros'!$B$7))*'Parametros'!$B$4/'Parametros'!$B$3</f>
        <v>195.415393430099</v>
      </c>
      <c r="AX101" s="17" t="n">
        <v>1</v>
      </c>
      <c r="AY101" s="10" t="str">
        <f>IF(AV101=0,"DESPRECIABLE",IF('Parametros'!$B$11/AP101&gt;=AV101,"CUMPLE","NO CUMPLE"))</f>
        <v>CUMPLE</v>
      </c>
      <c r="AZ101" s="10" t="str">
        <f>IF(AND(X101="CUMPLE",AE101="CUMPLE",AS101="CUMPLE",OR(AY101="CUMPLE",AY101="DESPRECIABLE")),IF(OR(F101&lt;&gt;H101,G101&lt;&gt;I101),"CUMPLE - REANALIZAR SAP","CUMPLE"),"NO CUMPLE")</f>
        <v>CUMPLE</v>
      </c>
    </row>
    <row r="102">
      <c r="A102" s="15" t="inlineStr">
        <is>
          <t>VC3</t>
        </is>
      </c>
      <c r="B102" s="15" t="inlineStr">
        <is>
          <t>1037</t>
        </is>
      </c>
      <c r="C102" s="10" t="n">
        <v>1</v>
      </c>
      <c r="D102" s="10" t="n">
        <v>3.81477</v>
      </c>
      <c r="E102" s="10" t="n">
        <v>3.81477</v>
      </c>
      <c r="F102" s="10" t="n">
        <v>300</v>
      </c>
      <c r="G102" s="10" t="n">
        <v>400</v>
      </c>
      <c r="H102" s="15" t="n">
        <v>300</v>
      </c>
      <c r="I102" s="15" t="n">
        <v>400</v>
      </c>
      <c r="J102" s="16" t="n">
        <v>41.4308</v>
      </c>
      <c r="K102" s="10" t="inlineStr">
        <is>
          <t>1037</t>
        </is>
      </c>
      <c r="L102" s="16" t="n">
        <v>21.6178</v>
      </c>
      <c r="M102" s="10" t="inlineStr">
        <is>
          <t>1037</t>
        </is>
      </c>
      <c r="N102" s="16" t="n">
        <v>28.38</v>
      </c>
      <c r="O102" s="16" t="n">
        <v>66.31699999999999</v>
      </c>
      <c r="P102" s="10" t="inlineStr">
        <is>
          <t>1037</t>
        </is>
      </c>
      <c r="Q102" s="16" t="n">
        <v>6.8217</v>
      </c>
      <c r="R102" s="10">
        <f>MAX(MAX(1.4/'Parametros'!$B$3,0.25*SQRT('Parametros'!$B$2)/'Parametros'!$B$3)*H102*U102,(0.85*'Parametros'!$B$2/'Parametros'!$B$3)*(1-SQRT(1-2*(J102*1000000/('Parametros'!$B$5*H102*U102^2))/(0.85*'Parametros'!$B$2)))*H102*U102)</f>
        <v>342.55</v>
      </c>
      <c r="S102" s="17" t="n">
        <v>2</v>
      </c>
      <c r="T102" s="18" t="n">
        <v>1</v>
      </c>
      <c r="U102" s="10">
        <f>IF(T102=1,I102-('Parametros'!$B$7+'Parametros'!$B$9+'Parametros'!$B$12/2),I102-(ROUNDUP(S102/2,0)*('Parametros'!$B$7+'Parametros'!$B$9+'Parametros'!$B$12/2)+ROUNDDOWN(S102/2,0)*('Parametros'!$B$7+'Parametros'!$B$9+'Parametros'!$B$12/2+'Parametros'!$B$12+'Parametros'!$B$10))/S102)</f>
        <v>342.55</v>
      </c>
      <c r="V102" s="10">
        <f>S102*'Parametros'!$B$8</f>
        <v>398</v>
      </c>
      <c r="W102" s="10">
        <f>'Parametros'!$B$5*V102*'Parametros'!$B$3*(U102-(V102*'Parametros'!$B$3/(0.85*'Parametros'!$B$2*H102))/2)/1000000</f>
        <v>49.7735124352941</v>
      </c>
      <c r="X102" s="10" t="str">
        <f>IF(W102&gt;=J102,"CUMPLE","NO CUMPLE")</f>
        <v>CUMPLE</v>
      </c>
      <c r="Y102" s="10">
        <f>MAX(MAX(1.4/'Parametros'!$B$3,0.25*SQRT('Parametros'!$B$2)/'Parametros'!$B$3)*H102*AB102,(0.85*'Parametros'!$B$2/'Parametros'!$B$3)*(1-SQRT(1-2*(L102*1000000/('Parametros'!$B$5*H102*AB102^2))/(0.85*'Parametros'!$B$2)))*H102*AB102)</f>
        <v>342.55</v>
      </c>
      <c r="Z102" s="17" t="n">
        <v>2</v>
      </c>
      <c r="AA102" s="18" t="n">
        <v>1</v>
      </c>
      <c r="AB102" s="10">
        <f>IF(AA102=1,I102-('Parametros'!$B$7+'Parametros'!$B$9+'Parametros'!$B$12/2),I102-(ROUNDUP(Z102/2,0)*('Parametros'!$B$7+'Parametros'!$B$9+'Parametros'!$B$12/2)+ROUNDDOWN(Z102/2,0)*('Parametros'!$B$7+'Parametros'!$B$9+'Parametros'!$B$12/2+'Parametros'!$B$12+'Parametros'!$B$10))/Z102)</f>
        <v>342.55</v>
      </c>
      <c r="AC102" s="10">
        <f>Z102*'Parametros'!$B$8</f>
        <v>398</v>
      </c>
      <c r="AD102" s="10">
        <f>'Parametros'!$B$5*AC102*'Parametros'!$B$3*(AB102-(AC102*'Parametros'!$B$3/(0.85*'Parametros'!$B$2*H102))/2)/1000000</f>
        <v>49.7735124352941</v>
      </c>
      <c r="AE102" s="10" t="str">
        <f>IF(AD102&gt;=L102,"CUMPLE","NO CUMPLE")</f>
        <v>CUMPLE</v>
      </c>
      <c r="AF102" s="10">
        <f>V102*1.25*'Parametros'!$B$3*(U102-(V102*1.25*'Parametros'!$B$3/(0.85*'Parametros'!$B$2*H102))/2)/1000000</f>
        <v>68.5183923529412</v>
      </c>
      <c r="AG102" s="10">
        <f>AC102*1.25*'Parametros'!$B$3*(AB102-(AC102*1.25*'Parametros'!$B$3/(0.85*'Parametros'!$B$2*H102))/2)/1000000</f>
        <v>68.5183923529412</v>
      </c>
      <c r="AH102" s="10">
        <f>N102+(AF102+AG102)/D102</f>
        <v>64.3026859563964</v>
      </c>
      <c r="AI102" s="10">
        <f>MIN(O102,MAX(N102,AH102))</f>
        <v>64.3026859563964</v>
      </c>
      <c r="AJ102" s="10">
        <f>0.17*SQRT('Parametros'!$B$2)*H102*MIN(U102,AB102)/1000</f>
        <v>92.4428153837279</v>
      </c>
      <c r="AK102" s="10">
        <f>MAX(AI102/'Parametros'!$B$6-AJ102,0)</f>
        <v>0</v>
      </c>
      <c r="AL102" s="10">
        <f>0.66*SQRT('Parametros'!$B$2)*H102*MIN(U102,AB102)/1000</f>
        <v>358.89563619565</v>
      </c>
      <c r="AM102" s="10" t="str">
        <f>IF(AK102&lt;=AL102,"CUMPLE","NO CUMPLE")</f>
        <v>CUMPLE</v>
      </c>
      <c r="AN102" s="15" t="inlineStr">
        <is>
          <t>Nº3 cerrado</t>
        </is>
      </c>
      <c r="AO102" s="17" t="n">
        <v>2</v>
      </c>
      <c r="AP102" s="10">
        <f>ROUNDDOWN(MIN(IF(AK102=0,1000000000,AO102*'Parametros'!$B$11*'Parametros'!$B$4*MIN(U102,AB102)/(AK102*1000)),IF(AV102=0,1000000000,'Parametros'!$B$11/AV102),MIN(U102,AB102)/4,8*'Parametros'!$B$12,24*'Parametros'!$B$9,300)/10,0)*10</f>
        <v>80</v>
      </c>
      <c r="AQ102" s="10">
        <f>ROUNDDOWN(MIN(IF(AK102=0,1000000000,AO102*'Parametros'!$B$11*'Parametros'!$B$4*MIN(U102,AB102)/(AK102*1000)),IF(AV102=0,1000000000,'Parametros'!$B$11/AV102),MIN(U102,AB102)/2,600)/10,0)*10</f>
        <v>170</v>
      </c>
      <c r="AR102" s="10">
        <f>'Parametros'!$B$6*(AJ102+AO102*'Parametros'!$B$11*'Parametros'!$B$4*MIN(U102,AB102)/AP102/1000)</f>
        <v>260.860380287796</v>
      </c>
      <c r="AS102" s="10" t="str">
        <f>IF(AND(AM102="CUMPLE",AR102&gt;=AI102),"CUMPLE","NO CUMPLE")</f>
        <v>CUMPLE</v>
      </c>
      <c r="AT102" s="10">
        <f>'Parametros'!$B$6*0.083*SQRT('Parametros'!$B$2)*(H102*I102)^2/(2*(H102+I102))/1000000</f>
        <v>3.38807353605471</v>
      </c>
      <c r="AU102" s="10" t="str">
        <f>IF(Q102&lt;=AT102,"DESPRECIABLE","DISEÑAR")</f>
        <v>DISEÑAR</v>
      </c>
      <c r="AV102" s="10">
        <f>IF(Q102&lt;=AT102,0,Q102*1000000/('Parametros'!$B$6*2*0.85*(H102-2*'Parametros'!$B$7)*(I102-2*'Parametros'!$B$7)*'Parametros'!$B$4))</f>
        <v>0.180950789406672</v>
      </c>
      <c r="AW102" s="10">
        <f>AV102*2*((H102-2*'Parametros'!$B$7)+(I102-2*'Parametros'!$B$7))*'Parametros'!$B$4/'Parametros'!$B$3</f>
        <v>195.426852559205</v>
      </c>
      <c r="AX102" s="17" t="n">
        <v>1</v>
      </c>
      <c r="AY102" s="10" t="str">
        <f>IF(AV102=0,"DESPRECIABLE",IF('Parametros'!$B$11/AP102&gt;=AV102,"CUMPLE","NO CUMPLE"))</f>
        <v>CUMPLE</v>
      </c>
      <c r="AZ102" s="10" t="str">
        <f>IF(AND(X102="CUMPLE",AE102="CUMPLE",AS102="CUMPLE",OR(AY102="CUMPLE",AY102="DESPRECIABLE")),IF(OR(F102&lt;&gt;H102,G102&lt;&gt;I102),"CUMPLE - REANALIZAR SAP","CUMPLE"),"NO CUMPLE")</f>
        <v>CUMPLE</v>
      </c>
    </row>
    <row r="103">
      <c r="A103" s="15" t="inlineStr">
        <is>
          <t>VC3</t>
        </is>
      </c>
      <c r="B103" s="15" t="inlineStr">
        <is>
          <t>1038</t>
        </is>
      </c>
      <c r="C103" s="10" t="n">
        <v>1</v>
      </c>
      <c r="D103" s="10" t="n">
        <v>4</v>
      </c>
      <c r="E103" s="10" t="n">
        <v>4</v>
      </c>
      <c r="F103" s="10" t="n">
        <v>300</v>
      </c>
      <c r="G103" s="10" t="n">
        <v>400</v>
      </c>
      <c r="H103" s="15" t="n">
        <v>300</v>
      </c>
      <c r="I103" s="15" t="n">
        <v>400</v>
      </c>
      <c r="J103" s="16" t="n">
        <v>28.8145</v>
      </c>
      <c r="K103" s="10" t="inlineStr">
        <is>
          <t>1038</t>
        </is>
      </c>
      <c r="L103" s="16" t="n">
        <v>17.5094</v>
      </c>
      <c r="M103" s="10" t="inlineStr">
        <is>
          <t>1038</t>
        </is>
      </c>
      <c r="N103" s="16" t="n">
        <v>17.842</v>
      </c>
      <c r="O103" s="16" t="n">
        <v>60.1</v>
      </c>
      <c r="P103" s="10" t="inlineStr">
        <is>
          <t>1038</t>
        </is>
      </c>
      <c r="Q103" s="16" t="n">
        <v>1.0361</v>
      </c>
      <c r="R103" s="10">
        <f>MAX(MAX(1.4/'Parametros'!$B$3,0.25*SQRT('Parametros'!$B$2)/'Parametros'!$B$3)*H103*U103,(0.85*'Parametros'!$B$2/'Parametros'!$B$3)*(1-SQRT(1-2*(J103*1000000/('Parametros'!$B$5*H103*U103^2))/(0.85*'Parametros'!$B$2)))*H103*U103)</f>
        <v>342.55</v>
      </c>
      <c r="S103" s="17" t="n">
        <v>2</v>
      </c>
      <c r="T103" s="18" t="n">
        <v>1</v>
      </c>
      <c r="U103" s="10">
        <f>IF(T103=1,I103-('Parametros'!$B$7+'Parametros'!$B$9+'Parametros'!$B$12/2),I103-(ROUNDUP(S103/2,0)*('Parametros'!$B$7+'Parametros'!$B$9+'Parametros'!$B$12/2)+ROUNDDOWN(S103/2,0)*('Parametros'!$B$7+'Parametros'!$B$9+'Parametros'!$B$12/2+'Parametros'!$B$12+'Parametros'!$B$10))/S103)</f>
        <v>342.55</v>
      </c>
      <c r="V103" s="10">
        <f>S103*'Parametros'!$B$8</f>
        <v>398</v>
      </c>
      <c r="W103" s="10">
        <f>'Parametros'!$B$5*V103*'Parametros'!$B$3*(U103-(V103*'Parametros'!$B$3/(0.85*'Parametros'!$B$2*H103))/2)/1000000</f>
        <v>49.7735124352941</v>
      </c>
      <c r="X103" s="10" t="str">
        <f>IF(W103&gt;=J103,"CUMPLE","NO CUMPLE")</f>
        <v>CUMPLE</v>
      </c>
      <c r="Y103" s="10">
        <f>MAX(MAX(1.4/'Parametros'!$B$3,0.25*SQRT('Parametros'!$B$2)/'Parametros'!$B$3)*H103*AB103,(0.85*'Parametros'!$B$2/'Parametros'!$B$3)*(1-SQRT(1-2*(L103*1000000/('Parametros'!$B$5*H103*AB103^2))/(0.85*'Parametros'!$B$2)))*H103*AB103)</f>
        <v>342.55</v>
      </c>
      <c r="Z103" s="17" t="n">
        <v>2</v>
      </c>
      <c r="AA103" s="18" t="n">
        <v>1</v>
      </c>
      <c r="AB103" s="10">
        <f>IF(AA103=1,I103-('Parametros'!$B$7+'Parametros'!$B$9+'Parametros'!$B$12/2),I103-(ROUNDUP(Z103/2,0)*('Parametros'!$B$7+'Parametros'!$B$9+'Parametros'!$B$12/2)+ROUNDDOWN(Z103/2,0)*('Parametros'!$B$7+'Parametros'!$B$9+'Parametros'!$B$12/2+'Parametros'!$B$12+'Parametros'!$B$10))/Z103)</f>
        <v>342.55</v>
      </c>
      <c r="AC103" s="10">
        <f>Z103*'Parametros'!$B$8</f>
        <v>398</v>
      </c>
      <c r="AD103" s="10">
        <f>'Parametros'!$B$5*AC103*'Parametros'!$B$3*(AB103-(AC103*'Parametros'!$B$3/(0.85*'Parametros'!$B$2*H103))/2)/1000000</f>
        <v>49.7735124352941</v>
      </c>
      <c r="AE103" s="10" t="str">
        <f>IF(AD103&gt;=L103,"CUMPLE","NO CUMPLE")</f>
        <v>CUMPLE</v>
      </c>
      <c r="AF103" s="10">
        <f>V103*1.25*'Parametros'!$B$3*(U103-(V103*1.25*'Parametros'!$B$3/(0.85*'Parametros'!$B$2*H103))/2)/1000000</f>
        <v>68.5183923529412</v>
      </c>
      <c r="AG103" s="10">
        <f>AC103*1.25*'Parametros'!$B$3*(AB103-(AC103*1.25*'Parametros'!$B$3/(0.85*'Parametros'!$B$2*H103))/2)/1000000</f>
        <v>68.5183923529412</v>
      </c>
      <c r="AH103" s="10">
        <f>N103+(AF103+AG103)/D103</f>
        <v>52.1011961764706</v>
      </c>
      <c r="AI103" s="10">
        <f>MIN(O103,MAX(N103,AH103))</f>
        <v>52.1011961764706</v>
      </c>
      <c r="AJ103" s="10">
        <f>0.17*SQRT('Parametros'!$B$2)*H103*MIN(U103,AB103)/1000</f>
        <v>92.4428153837279</v>
      </c>
      <c r="AK103" s="10">
        <f>MAX(AI103/'Parametros'!$B$6-AJ103,0)</f>
        <v>0</v>
      </c>
      <c r="AL103" s="10">
        <f>0.66*SQRT('Parametros'!$B$2)*H103*MIN(U103,AB103)/1000</f>
        <v>358.89563619565</v>
      </c>
      <c r="AM103" s="10" t="str">
        <f>IF(AK103&lt;=AL103,"CUMPLE","NO CUMPLE")</f>
        <v>CUMPLE</v>
      </c>
      <c r="AN103" s="15" t="inlineStr">
        <is>
          <t>Nº3 cerrado</t>
        </is>
      </c>
      <c r="AO103" s="17" t="n">
        <v>2</v>
      </c>
      <c r="AP103" s="10">
        <f>ROUNDDOWN(MIN(IF(AK103=0,1000000000,AO103*'Parametros'!$B$11*'Parametros'!$B$4*MIN(U103,AB103)/(AK103*1000)),IF(AV103=0,1000000000,'Parametros'!$B$11/AV103),MIN(U103,AB103)/4,8*'Parametros'!$B$12,24*'Parametros'!$B$9,300)/10,0)*10</f>
        <v>80</v>
      </c>
      <c r="AQ103" s="10">
        <f>ROUNDDOWN(MIN(IF(AK103=0,1000000000,AO103*'Parametros'!$B$11*'Parametros'!$B$4*MIN(U103,AB103)/(AK103*1000)),IF(AV103=0,1000000000,'Parametros'!$B$11/AV103),MIN(U103,AB103)/2,600)/10,0)*10</f>
        <v>170</v>
      </c>
      <c r="AR103" s="10">
        <f>'Parametros'!$B$6*(AJ103+AO103*'Parametros'!$B$11*'Parametros'!$B$4*MIN(U103,AB103)/AP103/1000)</f>
        <v>260.860380287796</v>
      </c>
      <c r="AS103" s="10" t="str">
        <f>IF(AND(AM103="CUMPLE",AR103&gt;=AI103),"CUMPLE","NO CUMPLE")</f>
        <v>CUMPLE</v>
      </c>
      <c r="AT103" s="10">
        <f>'Parametros'!$B$6*0.083*SQRT('Parametros'!$B$2)*(H103*I103)^2/(2*(H103+I103))/1000000</f>
        <v>3.38807353605471</v>
      </c>
      <c r="AU103" s="10" t="str">
        <f>IF(Q103&lt;=AT103,"DESPRECIABLE","DISEÑAR")</f>
        <v>DESPRECIABLE</v>
      </c>
      <c r="AV103" s="10">
        <f>IF(Q103&lt;=AT103,0,Q103*1000000/('Parametros'!$B$6*2*0.85*(H103-2*'Parametros'!$B$7)*(I103-2*'Parametros'!$B$7)*'Parametros'!$B$4))</f>
        <v>0</v>
      </c>
      <c r="AW103" s="10">
        <f>AV103*2*((H103-2*'Parametros'!$B$7)+(I103-2*'Parametros'!$B$7))*'Parametros'!$B$4/'Parametros'!$B$3</f>
        <v>0</v>
      </c>
      <c r="AX103" s="17" t="n">
        <v>0</v>
      </c>
      <c r="AY103" s="10" t="str">
        <f>IF(AV103=0,"DESPRECIABLE",IF('Parametros'!$B$11/AP103&gt;=AV103,"CUMPLE","NO CUMPLE"))</f>
        <v>DESPRECIABLE</v>
      </c>
      <c r="AZ103" s="10" t="str">
        <f>IF(AND(X103="CUMPLE",AE103="CUMPLE",AS103="CUMPLE",OR(AY103="CUMPLE",AY103="DESPRECIABLE")),IF(OR(F103&lt;&gt;H103,G103&lt;&gt;I103),"CUMPLE - REANALIZAR SAP","CUMPLE"),"NO CUMPLE")</f>
        <v>CUMPLE</v>
      </c>
    </row>
    <row r="104">
      <c r="A104" s="20" t="inlineStr">
        <is>
          <t>VC4</t>
        </is>
      </c>
      <c r="B104" s="20" t="inlineStr">
        <is>
          <t>61</t>
        </is>
      </c>
      <c r="C104" s="10" t="n">
        <v>1</v>
      </c>
      <c r="D104" s="10" t="n">
        <v>3.85</v>
      </c>
      <c r="E104" s="10" t="n">
        <v>3.85</v>
      </c>
      <c r="F104" s="10" t="n">
        <v>300</v>
      </c>
      <c r="G104" s="10" t="n">
        <v>400</v>
      </c>
      <c r="H104" s="15" t="n">
        <v>300</v>
      </c>
      <c r="I104" s="15" t="n">
        <v>400</v>
      </c>
      <c r="J104" s="16" t="n">
        <v>94.21169999999999</v>
      </c>
      <c r="K104" s="10" t="inlineStr">
        <is>
          <t>61</t>
        </is>
      </c>
      <c r="L104" s="16" t="n">
        <v>77.3862</v>
      </c>
      <c r="M104" s="10" t="inlineStr">
        <is>
          <t>61</t>
        </is>
      </c>
      <c r="N104" s="16" t="n">
        <v>55.127</v>
      </c>
      <c r="O104" s="16" t="n">
        <v>230.926</v>
      </c>
      <c r="P104" s="10" t="inlineStr">
        <is>
          <t>61</t>
        </is>
      </c>
      <c r="Q104" s="16" t="n">
        <v>6.0598</v>
      </c>
      <c r="R104" s="10">
        <f>MAX(MAX(1.4/'Parametros'!$B$3,0.25*SQRT('Parametros'!$B$2)/'Parametros'!$B$3)*H104*U104,(0.85*'Parametros'!$B$2/'Parametros'!$B$3)*(1-SQRT(1-2*(J104*1000000/('Parametros'!$B$5*H104*U104^2))/(0.85*'Parametros'!$B$2)))*H104*U104)</f>
        <v>779.805911907605</v>
      </c>
      <c r="S104" s="17" t="n">
        <v>4</v>
      </c>
      <c r="T104" s="18" t="n">
        <v>1</v>
      </c>
      <c r="U104" s="10">
        <f>IF(T104=1,I104-('Parametros'!$B$7+'Parametros'!$B$9+'Parametros'!$B$12/2),I104-(ROUNDUP(S104/2,0)*('Parametros'!$B$7+'Parametros'!$B$9+'Parametros'!$B$12/2)+ROUNDDOWN(S104/2,0)*('Parametros'!$B$7+'Parametros'!$B$9+'Parametros'!$B$12/2+'Parametros'!$B$12+'Parametros'!$B$10))/S104)</f>
        <v>342.55</v>
      </c>
      <c r="V104" s="10">
        <f>S104*'Parametros'!$B$8</f>
        <v>796</v>
      </c>
      <c r="W104" s="10">
        <f>'Parametros'!$B$5*V104*'Parametros'!$B$3*(U104-(V104*'Parametros'!$B$3/(0.85*'Parametros'!$B$2*H104))/2)/1000000</f>
        <v>96.0248653411765</v>
      </c>
      <c r="X104" s="10" t="str">
        <f>IF(W104&gt;=J104,"CUMPLE","NO CUMPLE")</f>
        <v>CUMPLE</v>
      </c>
      <c r="Y104" s="10">
        <f>MAX(MAX(1.4/'Parametros'!$B$3,0.25*SQRT('Parametros'!$B$2)/'Parametros'!$B$3)*H104*AB104,(0.85*'Parametros'!$B$2/'Parametros'!$B$3)*(1-SQRT(1-2*(L104*1000000/('Parametros'!$B$5*H104*AB104^2))/(0.85*'Parametros'!$B$2)))*H104*AB104)</f>
        <v>631.939620301964</v>
      </c>
      <c r="Z104" s="17" t="n">
        <v>4</v>
      </c>
      <c r="AA104" s="18" t="n">
        <v>1</v>
      </c>
      <c r="AB104" s="10">
        <f>IF(AA104=1,I104-('Parametros'!$B$7+'Parametros'!$B$9+'Parametros'!$B$12/2),I104-(ROUNDUP(Z104/2,0)*('Parametros'!$B$7+'Parametros'!$B$9+'Parametros'!$B$12/2)+ROUNDDOWN(Z104/2,0)*('Parametros'!$B$7+'Parametros'!$B$9+'Parametros'!$B$12/2+'Parametros'!$B$12+'Parametros'!$B$10))/Z104)</f>
        <v>342.55</v>
      </c>
      <c r="AC104" s="10">
        <f>Z104*'Parametros'!$B$8</f>
        <v>796</v>
      </c>
      <c r="AD104" s="10">
        <f>'Parametros'!$B$5*AC104*'Parametros'!$B$3*(AB104-(AC104*'Parametros'!$B$3/(0.85*'Parametros'!$B$2*H104))/2)/1000000</f>
        <v>96.0248653411765</v>
      </c>
      <c r="AE104" s="10" t="str">
        <f>IF(AD104&gt;=L104,"CUMPLE","NO CUMPLE")</f>
        <v>CUMPLE</v>
      </c>
      <c r="AF104" s="10">
        <f>V104*1.25*'Parametros'!$B$3*(U104-(V104*1.25*'Parametros'!$B$3/(0.85*'Parametros'!$B$2*H104))/2)/1000000</f>
        <v>130.921924411765</v>
      </c>
      <c r="AG104" s="10">
        <f>AC104*1.25*'Parametros'!$B$3*(AB104-(AC104*1.25*'Parametros'!$B$3/(0.85*'Parametros'!$B$2*H104))/2)/1000000</f>
        <v>130.921924411765</v>
      </c>
      <c r="AH104" s="10">
        <f>N104+(AF104+AG104)/D104</f>
        <v>123.138389304813</v>
      </c>
      <c r="AI104" s="10">
        <f>MIN(O104,MAX(N104,AH104))</f>
        <v>123.138389304813</v>
      </c>
      <c r="AJ104" s="10">
        <f>0.17*SQRT('Parametros'!$B$2)*H104*MIN(U104,AB104)/1000</f>
        <v>92.4428153837279</v>
      </c>
      <c r="AK104" s="10">
        <f>MAX(AI104/'Parametros'!$B$6-AJ104,0)</f>
        <v>71.7417036893559</v>
      </c>
      <c r="AL104" s="10">
        <f>0.66*SQRT('Parametros'!$B$2)*H104*MIN(U104,AB104)/1000</f>
        <v>358.89563619565</v>
      </c>
      <c r="AM104" s="10" t="str">
        <f>IF(AK104&lt;=AL104,"CUMPLE","NO CUMPLE")</f>
        <v>CUMPLE</v>
      </c>
      <c r="AN104" s="15" t="inlineStr">
        <is>
          <t>Nº3 cerrado</t>
        </is>
      </c>
      <c r="AO104" s="17" t="n">
        <v>2</v>
      </c>
      <c r="AP104" s="10">
        <f>ROUNDDOWN(MIN(IF(AK104=0,1000000000,AO104*'Parametros'!$B$11*'Parametros'!$B$4*MIN(U104,AB104)/(AK104*1000)),IF(AV104=0,1000000000,'Parametros'!$B$11/AV104),MIN(U104,AB104)/4,8*'Parametros'!$B$12,24*'Parametros'!$B$9,300)/10,0)*10</f>
        <v>80</v>
      </c>
      <c r="AQ104" s="10">
        <f>ROUNDDOWN(MIN(IF(AK104=0,1000000000,AO104*'Parametros'!$B$11*'Parametros'!$B$4*MIN(U104,AB104)/(AK104*1000)),IF(AV104=0,1000000000,'Parametros'!$B$11/AV104),MIN(U104,AB104)/2,600)/10,0)*10</f>
        <v>170</v>
      </c>
      <c r="AR104" s="10">
        <f>'Parametros'!$B$6*(AJ104+AO104*'Parametros'!$B$11*'Parametros'!$B$4*MIN(U104,AB104)/AP104/1000)</f>
        <v>260.860380287796</v>
      </c>
      <c r="AS104" s="10" t="str">
        <f>IF(AND(AM104="CUMPLE",AR104&gt;=AI104),"CUMPLE","NO CUMPLE")</f>
        <v>CUMPLE</v>
      </c>
      <c r="AT104" s="10">
        <f>'Parametros'!$B$6*0.083*SQRT('Parametros'!$B$2)*(H104*I104)^2/(2*(H104+I104))/1000000</f>
        <v>3.38807353605471</v>
      </c>
      <c r="AU104" s="10" t="str">
        <f>IF(Q104&lt;=AT104,"DESPRECIABLE","DISEÑAR")</f>
        <v>DISEÑAR</v>
      </c>
      <c r="AV104" s="10">
        <f>IF(Q104&lt;=AT104,0,Q104*1000000/('Parametros'!$B$6*2*0.85*(H104-2*'Parametros'!$B$7)*(I104-2*'Parametros'!$B$7)*'Parametros'!$B$4))</f>
        <v>0.160740811476106</v>
      </c>
      <c r="AW104" s="10">
        <f>AV104*2*((H104-2*'Parametros'!$B$7)+(I104-2*'Parametros'!$B$7))*'Parametros'!$B$4/'Parametros'!$B$3</f>
        <v>173.600076394194</v>
      </c>
      <c r="AX104" s="17" t="n">
        <v>1</v>
      </c>
      <c r="AY104" s="10" t="str">
        <f>IF(AV104=0,"DESPRECIABLE",IF('Parametros'!$B$11/AP104&gt;=AV104,"CUMPLE","NO CUMPLE"))</f>
        <v>CUMPLE</v>
      </c>
      <c r="AZ104" s="10" t="str">
        <f>IF(AND(X104="CUMPLE",AE104="CUMPLE",AS104="CUMPLE",OR(AY104="CUMPLE",AY104="DESPRECIABLE")),IF(OR(F104&lt;&gt;H104,G104&lt;&gt;I104),"CUMPLE - REANALIZAR SAP","CUMPLE"),"NO CUMPLE")</f>
        <v>CUMPLE</v>
      </c>
    </row>
    <row r="105">
      <c r="A105" s="20" t="inlineStr">
        <is>
          <t>VC4</t>
        </is>
      </c>
      <c r="B105" s="20" t="inlineStr">
        <is>
          <t>62</t>
        </is>
      </c>
      <c r="C105" s="10" t="n">
        <v>1</v>
      </c>
      <c r="D105" s="10" t="n">
        <v>3.85</v>
      </c>
      <c r="E105" s="10" t="n">
        <v>3.85</v>
      </c>
      <c r="F105" s="10" t="n">
        <v>300</v>
      </c>
      <c r="G105" s="10" t="n">
        <v>400</v>
      </c>
      <c r="H105" s="15" t="n">
        <v>300</v>
      </c>
      <c r="I105" s="15" t="n">
        <v>400</v>
      </c>
      <c r="J105" s="16" t="n">
        <v>94.1716</v>
      </c>
      <c r="K105" s="10" t="inlineStr">
        <is>
          <t>62</t>
        </is>
      </c>
      <c r="L105" s="16" t="n">
        <v>77.4126</v>
      </c>
      <c r="M105" s="10" t="inlineStr">
        <is>
          <t>62</t>
        </is>
      </c>
      <c r="N105" s="16" t="n">
        <v>55.111</v>
      </c>
      <c r="O105" s="16" t="n">
        <v>230.909</v>
      </c>
      <c r="P105" s="10" t="inlineStr">
        <is>
          <t>62</t>
        </is>
      </c>
      <c r="Q105" s="16" t="n">
        <v>6.0587</v>
      </c>
      <c r="R105" s="10">
        <f>MAX(MAX(1.4/'Parametros'!$B$3,0.25*SQRT('Parametros'!$B$2)/'Parametros'!$B$3)*H105*U105,(0.85*'Parametros'!$B$2/'Parametros'!$B$3)*(1-SQRT(1-2*(J105*1000000/('Parametros'!$B$5*H105*U105^2))/(0.85*'Parametros'!$B$2)))*H105*U105)</f>
        <v>779.448350796417</v>
      </c>
      <c r="S105" s="17" t="n">
        <v>4</v>
      </c>
      <c r="T105" s="18" t="n">
        <v>1</v>
      </c>
      <c r="U105" s="10">
        <f>IF(T105=1,I105-('Parametros'!$B$7+'Parametros'!$B$9+'Parametros'!$B$12/2),I105-(ROUNDUP(S105/2,0)*('Parametros'!$B$7+'Parametros'!$B$9+'Parametros'!$B$12/2)+ROUNDDOWN(S105/2,0)*('Parametros'!$B$7+'Parametros'!$B$9+'Parametros'!$B$12/2+'Parametros'!$B$12+'Parametros'!$B$10))/S105)</f>
        <v>342.55</v>
      </c>
      <c r="V105" s="10">
        <f>S105*'Parametros'!$B$8</f>
        <v>796</v>
      </c>
      <c r="W105" s="10">
        <f>'Parametros'!$B$5*V105*'Parametros'!$B$3*(U105-(V105*'Parametros'!$B$3/(0.85*'Parametros'!$B$2*H105))/2)/1000000</f>
        <v>96.0248653411765</v>
      </c>
      <c r="X105" s="10" t="str">
        <f>IF(W105&gt;=J105,"CUMPLE","NO CUMPLE")</f>
        <v>CUMPLE</v>
      </c>
      <c r="Y105" s="10">
        <f>MAX(MAX(1.4/'Parametros'!$B$3,0.25*SQRT('Parametros'!$B$2)/'Parametros'!$B$3)*H105*AB105,(0.85*'Parametros'!$B$2/'Parametros'!$B$3)*(1-SQRT(1-2*(L105*1000000/('Parametros'!$B$5*H105*AB105^2))/(0.85*'Parametros'!$B$2)))*H105*AB105)</f>
        <v>632.168330354648</v>
      </c>
      <c r="Z105" s="17" t="n">
        <v>4</v>
      </c>
      <c r="AA105" s="18" t="n">
        <v>1</v>
      </c>
      <c r="AB105" s="10">
        <f>IF(AA105=1,I105-('Parametros'!$B$7+'Parametros'!$B$9+'Parametros'!$B$12/2),I105-(ROUNDUP(Z105/2,0)*('Parametros'!$B$7+'Parametros'!$B$9+'Parametros'!$B$12/2)+ROUNDDOWN(Z105/2,0)*('Parametros'!$B$7+'Parametros'!$B$9+'Parametros'!$B$12/2+'Parametros'!$B$12+'Parametros'!$B$10))/Z105)</f>
        <v>342.55</v>
      </c>
      <c r="AC105" s="10">
        <f>Z105*'Parametros'!$B$8</f>
        <v>796</v>
      </c>
      <c r="AD105" s="10">
        <f>'Parametros'!$B$5*AC105*'Parametros'!$B$3*(AB105-(AC105*'Parametros'!$B$3/(0.85*'Parametros'!$B$2*H105))/2)/1000000</f>
        <v>96.0248653411765</v>
      </c>
      <c r="AE105" s="10" t="str">
        <f>IF(AD105&gt;=L105,"CUMPLE","NO CUMPLE")</f>
        <v>CUMPLE</v>
      </c>
      <c r="AF105" s="10">
        <f>V105*1.25*'Parametros'!$B$3*(U105-(V105*1.25*'Parametros'!$B$3/(0.85*'Parametros'!$B$2*H105))/2)/1000000</f>
        <v>130.921924411765</v>
      </c>
      <c r="AG105" s="10">
        <f>AC105*1.25*'Parametros'!$B$3*(AB105-(AC105*1.25*'Parametros'!$B$3/(0.85*'Parametros'!$B$2*H105))/2)/1000000</f>
        <v>130.921924411765</v>
      </c>
      <c r="AH105" s="10">
        <f>N105+(AF105+AG105)/D105</f>
        <v>123.122389304813</v>
      </c>
      <c r="AI105" s="10">
        <f>MIN(O105,MAX(N105,AH105))</f>
        <v>123.122389304813</v>
      </c>
      <c r="AJ105" s="10">
        <f>0.17*SQRT('Parametros'!$B$2)*H105*MIN(U105,AB105)/1000</f>
        <v>92.4428153837279</v>
      </c>
      <c r="AK105" s="10">
        <f>MAX(AI105/'Parametros'!$B$6-AJ105,0)</f>
        <v>71.7203703560225</v>
      </c>
      <c r="AL105" s="10">
        <f>0.66*SQRT('Parametros'!$B$2)*H105*MIN(U105,AB105)/1000</f>
        <v>358.89563619565</v>
      </c>
      <c r="AM105" s="10" t="str">
        <f>IF(AK105&lt;=AL105,"CUMPLE","NO CUMPLE")</f>
        <v>CUMPLE</v>
      </c>
      <c r="AN105" s="15" t="inlineStr">
        <is>
          <t>Nº3 cerrado</t>
        </is>
      </c>
      <c r="AO105" s="17" t="n">
        <v>2</v>
      </c>
      <c r="AP105" s="10">
        <f>ROUNDDOWN(MIN(IF(AK105=0,1000000000,AO105*'Parametros'!$B$11*'Parametros'!$B$4*MIN(U105,AB105)/(AK105*1000)),IF(AV105=0,1000000000,'Parametros'!$B$11/AV105),MIN(U105,AB105)/4,8*'Parametros'!$B$12,24*'Parametros'!$B$9,300)/10,0)*10</f>
        <v>80</v>
      </c>
      <c r="AQ105" s="10">
        <f>ROUNDDOWN(MIN(IF(AK105=0,1000000000,AO105*'Parametros'!$B$11*'Parametros'!$B$4*MIN(U105,AB105)/(AK105*1000)),IF(AV105=0,1000000000,'Parametros'!$B$11/AV105),MIN(U105,AB105)/2,600)/10,0)*10</f>
        <v>170</v>
      </c>
      <c r="AR105" s="10">
        <f>'Parametros'!$B$6*(AJ105+AO105*'Parametros'!$B$11*'Parametros'!$B$4*MIN(U105,AB105)/AP105/1000)</f>
        <v>260.860380287796</v>
      </c>
      <c r="AS105" s="10" t="str">
        <f>IF(AND(AM105="CUMPLE",AR105&gt;=AI105),"CUMPLE","NO CUMPLE")</f>
        <v>CUMPLE</v>
      </c>
      <c r="AT105" s="10">
        <f>'Parametros'!$B$6*0.083*SQRT('Parametros'!$B$2)*(H105*I105)^2/(2*(H105+I105))/1000000</f>
        <v>3.38807353605471</v>
      </c>
      <c r="AU105" s="10" t="str">
        <f>IF(Q105&lt;=AT105,"DESPRECIABLE","DISEÑAR")</f>
        <v>DISEÑAR</v>
      </c>
      <c r="AV105" s="10">
        <f>IF(Q105&lt;=AT105,0,Q105*1000000/('Parametros'!$B$6*2*0.85*(H105-2*'Parametros'!$B$7)*(I105-2*'Parametros'!$B$7)*'Parametros'!$B$4))</f>
        <v>0.160711633138104</v>
      </c>
      <c r="AW105" s="10">
        <f>AV105*2*((H105-2*'Parametros'!$B$7)+(I105-2*'Parametros'!$B$7))*'Parametros'!$B$4/'Parametros'!$B$3</f>
        <v>173.568563789152</v>
      </c>
      <c r="AX105" s="17" t="n">
        <v>1</v>
      </c>
      <c r="AY105" s="10" t="str">
        <f>IF(AV105=0,"DESPRECIABLE",IF('Parametros'!$B$11/AP105&gt;=AV105,"CUMPLE","NO CUMPLE"))</f>
        <v>CUMPLE</v>
      </c>
      <c r="AZ105" s="10" t="str">
        <f>IF(AND(X105="CUMPLE",AE105="CUMPLE",AS105="CUMPLE",OR(AY105="CUMPLE",AY105="DESPRECIABLE")),IF(OR(F105&lt;&gt;H105,G105&lt;&gt;I105),"CUMPLE - REANALIZAR SAP","CUMPLE"),"NO CUMPLE")</f>
        <v>CUMPLE</v>
      </c>
    </row>
    <row r="106">
      <c r="A106" s="20" t="inlineStr">
        <is>
          <t>VC4</t>
        </is>
      </c>
      <c r="B106" s="20" t="inlineStr">
        <is>
          <t>87</t>
        </is>
      </c>
      <c r="C106" s="10" t="n">
        <v>1</v>
      </c>
      <c r="D106" s="10" t="n">
        <v>3.85</v>
      </c>
      <c r="E106" s="10" t="n">
        <v>3.85</v>
      </c>
      <c r="F106" s="10" t="n">
        <v>300</v>
      </c>
      <c r="G106" s="10" t="n">
        <v>400</v>
      </c>
      <c r="H106" s="15" t="n">
        <v>300</v>
      </c>
      <c r="I106" s="15" t="n">
        <v>400</v>
      </c>
      <c r="J106" s="16" t="n">
        <v>94.19159999999999</v>
      </c>
      <c r="K106" s="10" t="inlineStr">
        <is>
          <t>87</t>
        </is>
      </c>
      <c r="L106" s="16" t="n">
        <v>77.40309999999999</v>
      </c>
      <c r="M106" s="10" t="inlineStr">
        <is>
          <t>87</t>
        </is>
      </c>
      <c r="N106" s="16" t="n">
        <v>55.12</v>
      </c>
      <c r="O106" s="16" t="n">
        <v>230.923</v>
      </c>
      <c r="P106" s="10" t="inlineStr">
        <is>
          <t>87</t>
        </is>
      </c>
      <c r="Q106" s="16" t="n">
        <v>6.0624</v>
      </c>
      <c r="R106" s="10">
        <f>MAX(MAX(1.4/'Parametros'!$B$3,0.25*SQRT('Parametros'!$B$2)/'Parametros'!$B$3)*H106*U106,(0.85*'Parametros'!$B$2/'Parametros'!$B$3)*(1-SQRT(1-2*(J106*1000000/('Parametros'!$B$5*H106*U106^2))/(0.85*'Parametros'!$B$2)))*H106*U106)</f>
        <v>779.626682346693</v>
      </c>
      <c r="S106" s="17" t="n">
        <v>4</v>
      </c>
      <c r="T106" s="18" t="n">
        <v>1</v>
      </c>
      <c r="U106" s="10">
        <f>IF(T106=1,I106-('Parametros'!$B$7+'Parametros'!$B$9+'Parametros'!$B$12/2),I106-(ROUNDUP(S106/2,0)*('Parametros'!$B$7+'Parametros'!$B$9+'Parametros'!$B$12/2)+ROUNDDOWN(S106/2,0)*('Parametros'!$B$7+'Parametros'!$B$9+'Parametros'!$B$12/2+'Parametros'!$B$12+'Parametros'!$B$10))/S106)</f>
        <v>342.55</v>
      </c>
      <c r="V106" s="10">
        <f>S106*'Parametros'!$B$8</f>
        <v>796</v>
      </c>
      <c r="W106" s="10">
        <f>'Parametros'!$B$5*V106*'Parametros'!$B$3*(U106-(V106*'Parametros'!$B$3/(0.85*'Parametros'!$B$2*H106))/2)/1000000</f>
        <v>96.0248653411765</v>
      </c>
      <c r="X106" s="10" t="str">
        <f>IF(W106&gt;=J106,"CUMPLE","NO CUMPLE")</f>
        <v>CUMPLE</v>
      </c>
      <c r="Y106" s="10">
        <f>MAX(MAX(1.4/'Parametros'!$B$3,0.25*SQRT('Parametros'!$B$2)/'Parametros'!$B$3)*H106*AB106,(0.85*'Parametros'!$B$2/'Parametros'!$B$3)*(1-SQRT(1-2*(L106*1000000/('Parametros'!$B$5*H106*AB106^2))/(0.85*'Parametros'!$B$2)))*H106*AB106)</f>
        <v>632.086028228154</v>
      </c>
      <c r="Z106" s="17" t="n">
        <v>4</v>
      </c>
      <c r="AA106" s="18" t="n">
        <v>1</v>
      </c>
      <c r="AB106" s="10">
        <f>IF(AA106=1,I106-('Parametros'!$B$7+'Parametros'!$B$9+'Parametros'!$B$12/2),I106-(ROUNDUP(Z106/2,0)*('Parametros'!$B$7+'Parametros'!$B$9+'Parametros'!$B$12/2)+ROUNDDOWN(Z106/2,0)*('Parametros'!$B$7+'Parametros'!$B$9+'Parametros'!$B$12/2+'Parametros'!$B$12+'Parametros'!$B$10))/Z106)</f>
        <v>342.55</v>
      </c>
      <c r="AC106" s="10">
        <f>Z106*'Parametros'!$B$8</f>
        <v>796</v>
      </c>
      <c r="AD106" s="10">
        <f>'Parametros'!$B$5*AC106*'Parametros'!$B$3*(AB106-(AC106*'Parametros'!$B$3/(0.85*'Parametros'!$B$2*H106))/2)/1000000</f>
        <v>96.0248653411765</v>
      </c>
      <c r="AE106" s="10" t="str">
        <f>IF(AD106&gt;=L106,"CUMPLE","NO CUMPLE")</f>
        <v>CUMPLE</v>
      </c>
      <c r="AF106" s="10">
        <f>V106*1.25*'Parametros'!$B$3*(U106-(V106*1.25*'Parametros'!$B$3/(0.85*'Parametros'!$B$2*H106))/2)/1000000</f>
        <v>130.921924411765</v>
      </c>
      <c r="AG106" s="10">
        <f>AC106*1.25*'Parametros'!$B$3*(AB106-(AC106*1.25*'Parametros'!$B$3/(0.85*'Parametros'!$B$2*H106))/2)/1000000</f>
        <v>130.921924411765</v>
      </c>
      <c r="AH106" s="10">
        <f>N106+(AF106+AG106)/D106</f>
        <v>123.131389304813</v>
      </c>
      <c r="AI106" s="10">
        <f>MIN(O106,MAX(N106,AH106))</f>
        <v>123.131389304813</v>
      </c>
      <c r="AJ106" s="10">
        <f>0.17*SQRT('Parametros'!$B$2)*H106*MIN(U106,AB106)/1000</f>
        <v>92.4428153837279</v>
      </c>
      <c r="AK106" s="10">
        <f>MAX(AI106/'Parametros'!$B$6-AJ106,0)</f>
        <v>71.7323703560225</v>
      </c>
      <c r="AL106" s="10">
        <f>0.66*SQRT('Parametros'!$B$2)*H106*MIN(U106,AB106)/1000</f>
        <v>358.89563619565</v>
      </c>
      <c r="AM106" s="10" t="str">
        <f>IF(AK106&lt;=AL106,"CUMPLE","NO CUMPLE")</f>
        <v>CUMPLE</v>
      </c>
      <c r="AN106" s="15" t="inlineStr">
        <is>
          <t>Nº3 cerrado</t>
        </is>
      </c>
      <c r="AO106" s="17" t="n">
        <v>2</v>
      </c>
      <c r="AP106" s="10">
        <f>ROUNDDOWN(MIN(IF(AK106=0,1000000000,AO106*'Parametros'!$B$11*'Parametros'!$B$4*MIN(U106,AB106)/(AK106*1000)),IF(AV106=0,1000000000,'Parametros'!$B$11/AV106),MIN(U106,AB106)/4,8*'Parametros'!$B$12,24*'Parametros'!$B$9,300)/10,0)*10</f>
        <v>80</v>
      </c>
      <c r="AQ106" s="10">
        <f>ROUNDDOWN(MIN(IF(AK106=0,1000000000,AO106*'Parametros'!$B$11*'Parametros'!$B$4*MIN(U106,AB106)/(AK106*1000)),IF(AV106=0,1000000000,'Parametros'!$B$11/AV106),MIN(U106,AB106)/2,600)/10,0)*10</f>
        <v>170</v>
      </c>
      <c r="AR106" s="10">
        <f>'Parametros'!$B$6*(AJ106+AO106*'Parametros'!$B$11*'Parametros'!$B$4*MIN(U106,AB106)/AP106/1000)</f>
        <v>260.860380287796</v>
      </c>
      <c r="AS106" s="10" t="str">
        <f>IF(AND(AM106="CUMPLE",AR106&gt;=AI106),"CUMPLE","NO CUMPLE")</f>
        <v>CUMPLE</v>
      </c>
      <c r="AT106" s="10">
        <f>'Parametros'!$B$6*0.083*SQRT('Parametros'!$B$2)*(H106*I106)^2/(2*(H106+I106))/1000000</f>
        <v>3.38807353605471</v>
      </c>
      <c r="AU106" s="10" t="str">
        <f>IF(Q106&lt;=AT106,"DESPRECIABLE","DISEÑAR")</f>
        <v>DISEÑAR</v>
      </c>
      <c r="AV106" s="10">
        <f>IF(Q106&lt;=AT106,0,Q106*1000000/('Parametros'!$B$6*2*0.85*(H106-2*'Parametros'!$B$7)*(I106-2*'Parametros'!$B$7)*'Parametros'!$B$4))</f>
        <v>0.160809778456837</v>
      </c>
      <c r="AW106" s="10">
        <f>AV106*2*((H106-2*'Parametros'!$B$7)+(I106-2*'Parametros'!$B$7))*'Parametros'!$B$4/'Parametros'!$B$3</f>
        <v>173.674560733384</v>
      </c>
      <c r="AX106" s="17" t="n">
        <v>1</v>
      </c>
      <c r="AY106" s="10" t="str">
        <f>IF(AV106=0,"DESPRECIABLE",IF('Parametros'!$B$11/AP106&gt;=AV106,"CUMPLE","NO CUMPLE"))</f>
        <v>CUMPLE</v>
      </c>
      <c r="AZ106" s="10" t="str">
        <f>IF(AND(X106="CUMPLE",AE106="CUMPLE",AS106="CUMPLE",OR(AY106="CUMPLE",AY106="DESPRECIABLE")),IF(OR(F106&lt;&gt;H106,G106&lt;&gt;I106),"CUMPLE - REANALIZAR SAP","CUMPLE"),"NO CUMPLE")</f>
        <v>CUMPLE</v>
      </c>
    </row>
    <row r="107">
      <c r="A107" s="20" t="inlineStr">
        <is>
          <t>VC4</t>
        </is>
      </c>
      <c r="B107" s="20" t="inlineStr">
        <is>
          <t>88</t>
        </is>
      </c>
      <c r="C107" s="10" t="n">
        <v>1</v>
      </c>
      <c r="D107" s="10" t="n">
        <v>3.85</v>
      </c>
      <c r="E107" s="10" t="n">
        <v>3.85</v>
      </c>
      <c r="F107" s="10" t="n">
        <v>300</v>
      </c>
      <c r="G107" s="10" t="n">
        <v>400</v>
      </c>
      <c r="H107" s="15" t="n">
        <v>300</v>
      </c>
      <c r="I107" s="15" t="n">
        <v>400</v>
      </c>
      <c r="J107" s="16" t="n">
        <v>94.2174</v>
      </c>
      <c r="K107" s="10" t="inlineStr">
        <is>
          <t>88</t>
        </is>
      </c>
      <c r="L107" s="16" t="n">
        <v>77.3862</v>
      </c>
      <c r="M107" s="10" t="inlineStr">
        <is>
          <t>88</t>
        </is>
      </c>
      <c r="N107" s="16" t="n">
        <v>55.131</v>
      </c>
      <c r="O107" s="16" t="n">
        <v>230.934</v>
      </c>
      <c r="P107" s="10" t="inlineStr">
        <is>
          <t>88</t>
        </is>
      </c>
      <c r="Q107" s="16" t="n">
        <v>6.0628</v>
      </c>
      <c r="R107" s="10">
        <f>MAX(MAX(1.4/'Parametros'!$B$3,0.25*SQRT('Parametros'!$B$2)/'Parametros'!$B$3)*H107*U107,(0.85*'Parametros'!$B$2/'Parametros'!$B$3)*(1-SQRT(1-2*(J107*1000000/('Parametros'!$B$5*H107*U107^2))/(0.85*'Parametros'!$B$2)))*H107*U107)</f>
        <v>779.856739360203</v>
      </c>
      <c r="S107" s="17" t="n">
        <v>4</v>
      </c>
      <c r="T107" s="18" t="n">
        <v>1</v>
      </c>
      <c r="U107" s="10">
        <f>IF(T107=1,I107-('Parametros'!$B$7+'Parametros'!$B$9+'Parametros'!$B$12/2),I107-(ROUNDUP(S107/2,0)*('Parametros'!$B$7+'Parametros'!$B$9+'Parametros'!$B$12/2)+ROUNDDOWN(S107/2,0)*('Parametros'!$B$7+'Parametros'!$B$9+'Parametros'!$B$12/2+'Parametros'!$B$12+'Parametros'!$B$10))/S107)</f>
        <v>342.55</v>
      </c>
      <c r="V107" s="10">
        <f>S107*'Parametros'!$B$8</f>
        <v>796</v>
      </c>
      <c r="W107" s="10">
        <f>'Parametros'!$B$5*V107*'Parametros'!$B$3*(U107-(V107*'Parametros'!$B$3/(0.85*'Parametros'!$B$2*H107))/2)/1000000</f>
        <v>96.0248653411765</v>
      </c>
      <c r="X107" s="10" t="str">
        <f>IF(W107&gt;=J107,"CUMPLE","NO CUMPLE")</f>
        <v>CUMPLE</v>
      </c>
      <c r="Y107" s="10">
        <f>MAX(MAX(1.4/'Parametros'!$B$3,0.25*SQRT('Parametros'!$B$2)/'Parametros'!$B$3)*H107*AB107,(0.85*'Parametros'!$B$2/'Parametros'!$B$3)*(1-SQRT(1-2*(L107*1000000/('Parametros'!$B$5*H107*AB107^2))/(0.85*'Parametros'!$B$2)))*H107*AB107)</f>
        <v>631.939620301964</v>
      </c>
      <c r="Z107" s="17" t="n">
        <v>4</v>
      </c>
      <c r="AA107" s="18" t="n">
        <v>1</v>
      </c>
      <c r="AB107" s="10">
        <f>IF(AA107=1,I107-('Parametros'!$B$7+'Parametros'!$B$9+'Parametros'!$B$12/2),I107-(ROUNDUP(Z107/2,0)*('Parametros'!$B$7+'Parametros'!$B$9+'Parametros'!$B$12/2)+ROUNDDOWN(Z107/2,0)*('Parametros'!$B$7+'Parametros'!$B$9+'Parametros'!$B$12/2+'Parametros'!$B$12+'Parametros'!$B$10))/Z107)</f>
        <v>342.55</v>
      </c>
      <c r="AC107" s="10">
        <f>Z107*'Parametros'!$B$8</f>
        <v>796</v>
      </c>
      <c r="AD107" s="10">
        <f>'Parametros'!$B$5*AC107*'Parametros'!$B$3*(AB107-(AC107*'Parametros'!$B$3/(0.85*'Parametros'!$B$2*H107))/2)/1000000</f>
        <v>96.0248653411765</v>
      </c>
      <c r="AE107" s="10" t="str">
        <f>IF(AD107&gt;=L107,"CUMPLE","NO CUMPLE")</f>
        <v>CUMPLE</v>
      </c>
      <c r="AF107" s="10">
        <f>V107*1.25*'Parametros'!$B$3*(U107-(V107*1.25*'Parametros'!$B$3/(0.85*'Parametros'!$B$2*H107))/2)/1000000</f>
        <v>130.921924411765</v>
      </c>
      <c r="AG107" s="10">
        <f>AC107*1.25*'Parametros'!$B$3*(AB107-(AC107*1.25*'Parametros'!$B$3/(0.85*'Parametros'!$B$2*H107))/2)/1000000</f>
        <v>130.921924411765</v>
      </c>
      <c r="AH107" s="10">
        <f>N107+(AF107+AG107)/D107</f>
        <v>123.142389304813</v>
      </c>
      <c r="AI107" s="10">
        <f>MIN(O107,MAX(N107,AH107))</f>
        <v>123.142389304813</v>
      </c>
      <c r="AJ107" s="10">
        <f>0.17*SQRT('Parametros'!$B$2)*H107*MIN(U107,AB107)/1000</f>
        <v>92.4428153837279</v>
      </c>
      <c r="AK107" s="10">
        <f>MAX(AI107/'Parametros'!$B$6-AJ107,0)</f>
        <v>71.7470370226892</v>
      </c>
      <c r="AL107" s="10">
        <f>0.66*SQRT('Parametros'!$B$2)*H107*MIN(U107,AB107)/1000</f>
        <v>358.89563619565</v>
      </c>
      <c r="AM107" s="10" t="str">
        <f>IF(AK107&lt;=AL107,"CUMPLE","NO CUMPLE")</f>
        <v>CUMPLE</v>
      </c>
      <c r="AN107" s="15" t="inlineStr">
        <is>
          <t>Nº3 cerrado</t>
        </is>
      </c>
      <c r="AO107" s="17" t="n">
        <v>2</v>
      </c>
      <c r="AP107" s="10">
        <f>ROUNDDOWN(MIN(IF(AK107=0,1000000000,AO107*'Parametros'!$B$11*'Parametros'!$B$4*MIN(U107,AB107)/(AK107*1000)),IF(AV107=0,1000000000,'Parametros'!$B$11/AV107),MIN(U107,AB107)/4,8*'Parametros'!$B$12,24*'Parametros'!$B$9,300)/10,0)*10</f>
        <v>80</v>
      </c>
      <c r="AQ107" s="10">
        <f>ROUNDDOWN(MIN(IF(AK107=0,1000000000,AO107*'Parametros'!$B$11*'Parametros'!$B$4*MIN(U107,AB107)/(AK107*1000)),IF(AV107=0,1000000000,'Parametros'!$B$11/AV107),MIN(U107,AB107)/2,600)/10,0)*10</f>
        <v>170</v>
      </c>
      <c r="AR107" s="10">
        <f>'Parametros'!$B$6*(AJ107+AO107*'Parametros'!$B$11*'Parametros'!$B$4*MIN(U107,AB107)/AP107/1000)</f>
        <v>260.860380287796</v>
      </c>
      <c r="AS107" s="10" t="str">
        <f>IF(AND(AM107="CUMPLE",AR107&gt;=AI107),"CUMPLE","NO CUMPLE")</f>
        <v>CUMPLE</v>
      </c>
      <c r="AT107" s="10">
        <f>'Parametros'!$B$6*0.083*SQRT('Parametros'!$B$2)*(H107*I107)^2/(2*(H107+I107))/1000000</f>
        <v>3.38807353605471</v>
      </c>
      <c r="AU107" s="10" t="str">
        <f>IF(Q107&lt;=AT107,"DESPRECIABLE","DISEÑAR")</f>
        <v>DISEÑAR</v>
      </c>
      <c r="AV107" s="10">
        <f>IF(Q107&lt;=AT107,0,Q107*1000000/('Parametros'!$B$6*2*0.85*(H107-2*'Parametros'!$B$7)*(I107-2*'Parametros'!$B$7)*'Parametros'!$B$4))</f>
        <v>0.160820388761565</v>
      </c>
      <c r="AW107" s="10">
        <f>AV107*2*((H107-2*'Parametros'!$B$7)+(I107-2*'Parametros'!$B$7))*'Parametros'!$B$4/'Parametros'!$B$3</f>
        <v>173.68601986249</v>
      </c>
      <c r="AX107" s="17" t="n">
        <v>1</v>
      </c>
      <c r="AY107" s="10" t="str">
        <f>IF(AV107=0,"DESPRECIABLE",IF('Parametros'!$B$11/AP107&gt;=AV107,"CUMPLE","NO CUMPLE"))</f>
        <v>CUMPLE</v>
      </c>
      <c r="AZ107" s="10" t="str">
        <f>IF(AND(X107="CUMPLE",AE107="CUMPLE",AS107="CUMPLE",OR(AY107="CUMPLE",AY107="DESPRECIABLE")),IF(OR(F107&lt;&gt;H107,G107&lt;&gt;I107),"CUMPLE - REANALIZAR SAP","CUMPLE"),"NO CUMPLE")</f>
        <v>CUMPLE</v>
      </c>
    </row>
    <row r="108">
      <c r="A108" s="20" t="inlineStr">
        <is>
          <t>VC4</t>
        </is>
      </c>
      <c r="B108" s="20" t="inlineStr">
        <is>
          <t>261</t>
        </is>
      </c>
      <c r="C108" s="10" t="n">
        <v>1</v>
      </c>
      <c r="D108" s="10" t="n">
        <v>3.85</v>
      </c>
      <c r="E108" s="10" t="n">
        <v>3.85</v>
      </c>
      <c r="F108" s="10" t="n">
        <v>300</v>
      </c>
      <c r="G108" s="10" t="n">
        <v>400</v>
      </c>
      <c r="H108" s="15" t="n">
        <v>300</v>
      </c>
      <c r="I108" s="15" t="n">
        <v>400</v>
      </c>
      <c r="J108" s="16" t="n">
        <v>92.1865</v>
      </c>
      <c r="K108" s="10" t="inlineStr">
        <is>
          <t>261</t>
        </is>
      </c>
      <c r="L108" s="16" t="n">
        <v>76.7899</v>
      </c>
      <c r="M108" s="10" t="inlineStr">
        <is>
          <t>261</t>
        </is>
      </c>
      <c r="N108" s="16" t="n">
        <v>54.345</v>
      </c>
      <c r="O108" s="16" t="n">
        <v>226.734</v>
      </c>
      <c r="P108" s="10" t="inlineStr">
        <is>
          <t>261</t>
        </is>
      </c>
      <c r="Q108" s="16" t="n">
        <v>5.5492</v>
      </c>
      <c r="R108" s="10">
        <f>MAX(MAX(1.4/'Parametros'!$B$3,0.25*SQRT('Parametros'!$B$2)/'Parametros'!$B$3)*H108*U108,(0.85*'Parametros'!$B$2/'Parametros'!$B$3)*(1-SQRT(1-2*(J108*1000000/('Parametros'!$B$5*H108*U108^2))/(0.85*'Parametros'!$B$2)))*H108*U108)</f>
        <v>761.779313435148</v>
      </c>
      <c r="S108" s="17" t="n">
        <v>4</v>
      </c>
      <c r="T108" s="18" t="n">
        <v>1</v>
      </c>
      <c r="U108" s="10">
        <f>IF(T108=1,I108-('Parametros'!$B$7+'Parametros'!$B$9+'Parametros'!$B$12/2),I108-(ROUNDUP(S108/2,0)*('Parametros'!$B$7+'Parametros'!$B$9+'Parametros'!$B$12/2)+ROUNDDOWN(S108/2,0)*('Parametros'!$B$7+'Parametros'!$B$9+'Parametros'!$B$12/2+'Parametros'!$B$12+'Parametros'!$B$10))/S108)</f>
        <v>342.55</v>
      </c>
      <c r="V108" s="10">
        <f>S108*'Parametros'!$B$8</f>
        <v>796</v>
      </c>
      <c r="W108" s="10">
        <f>'Parametros'!$B$5*V108*'Parametros'!$B$3*(U108-(V108*'Parametros'!$B$3/(0.85*'Parametros'!$B$2*H108))/2)/1000000</f>
        <v>96.0248653411765</v>
      </c>
      <c r="X108" s="10" t="str">
        <f>IF(W108&gt;=J108,"CUMPLE","NO CUMPLE")</f>
        <v>CUMPLE</v>
      </c>
      <c r="Y108" s="10">
        <f>MAX(MAX(1.4/'Parametros'!$B$3,0.25*SQRT('Parametros'!$B$2)/'Parametros'!$B$3)*H108*AB108,(0.85*'Parametros'!$B$2/'Parametros'!$B$3)*(1-SQRT(1-2*(L108*1000000/('Parametros'!$B$5*H108*AB108^2))/(0.85*'Parametros'!$B$2)))*H108*AB108)</f>
        <v>626.77640000433</v>
      </c>
      <c r="Z108" s="17" t="n">
        <v>4</v>
      </c>
      <c r="AA108" s="18" t="n">
        <v>1</v>
      </c>
      <c r="AB108" s="10">
        <f>IF(AA108=1,I108-('Parametros'!$B$7+'Parametros'!$B$9+'Parametros'!$B$12/2),I108-(ROUNDUP(Z108/2,0)*('Parametros'!$B$7+'Parametros'!$B$9+'Parametros'!$B$12/2)+ROUNDDOWN(Z108/2,0)*('Parametros'!$B$7+'Parametros'!$B$9+'Parametros'!$B$12/2+'Parametros'!$B$12+'Parametros'!$B$10))/Z108)</f>
        <v>342.55</v>
      </c>
      <c r="AC108" s="10">
        <f>Z108*'Parametros'!$B$8</f>
        <v>796</v>
      </c>
      <c r="AD108" s="10">
        <f>'Parametros'!$B$5*AC108*'Parametros'!$B$3*(AB108-(AC108*'Parametros'!$B$3/(0.85*'Parametros'!$B$2*H108))/2)/1000000</f>
        <v>96.0248653411765</v>
      </c>
      <c r="AE108" s="10" t="str">
        <f>IF(AD108&gt;=L108,"CUMPLE","NO CUMPLE")</f>
        <v>CUMPLE</v>
      </c>
      <c r="AF108" s="10">
        <f>V108*1.25*'Parametros'!$B$3*(U108-(V108*1.25*'Parametros'!$B$3/(0.85*'Parametros'!$B$2*H108))/2)/1000000</f>
        <v>130.921924411765</v>
      </c>
      <c r="AG108" s="10">
        <f>AC108*1.25*'Parametros'!$B$3*(AB108-(AC108*1.25*'Parametros'!$B$3/(0.85*'Parametros'!$B$2*H108))/2)/1000000</f>
        <v>130.921924411765</v>
      </c>
      <c r="AH108" s="10">
        <f>N108+(AF108+AG108)/D108</f>
        <v>122.356389304813</v>
      </c>
      <c r="AI108" s="10">
        <f>MIN(O108,MAX(N108,AH108))</f>
        <v>122.356389304813</v>
      </c>
      <c r="AJ108" s="10">
        <f>0.17*SQRT('Parametros'!$B$2)*H108*MIN(U108,AB108)/1000</f>
        <v>92.4428153837279</v>
      </c>
      <c r="AK108" s="10">
        <f>MAX(AI108/'Parametros'!$B$6-AJ108,0)</f>
        <v>70.6990370226892</v>
      </c>
      <c r="AL108" s="10">
        <f>0.66*SQRT('Parametros'!$B$2)*H108*MIN(U108,AB108)/1000</f>
        <v>358.89563619565</v>
      </c>
      <c r="AM108" s="10" t="str">
        <f>IF(AK108&lt;=AL108,"CUMPLE","NO CUMPLE")</f>
        <v>CUMPLE</v>
      </c>
      <c r="AN108" s="15" t="inlineStr">
        <is>
          <t>Nº3 cerrado</t>
        </is>
      </c>
      <c r="AO108" s="17" t="n">
        <v>2</v>
      </c>
      <c r="AP108" s="10">
        <f>ROUNDDOWN(MIN(IF(AK108=0,1000000000,AO108*'Parametros'!$B$11*'Parametros'!$B$4*MIN(U108,AB108)/(AK108*1000)),IF(AV108=0,1000000000,'Parametros'!$B$11/AV108),MIN(U108,AB108)/4,8*'Parametros'!$B$12,24*'Parametros'!$B$9,300)/10,0)*10</f>
        <v>80</v>
      </c>
      <c r="AQ108" s="10">
        <f>ROUNDDOWN(MIN(IF(AK108=0,1000000000,AO108*'Parametros'!$B$11*'Parametros'!$B$4*MIN(U108,AB108)/(AK108*1000)),IF(AV108=0,1000000000,'Parametros'!$B$11/AV108),MIN(U108,AB108)/2,600)/10,0)*10</f>
        <v>170</v>
      </c>
      <c r="AR108" s="10">
        <f>'Parametros'!$B$6*(AJ108+AO108*'Parametros'!$B$11*'Parametros'!$B$4*MIN(U108,AB108)/AP108/1000)</f>
        <v>260.860380287796</v>
      </c>
      <c r="AS108" s="10" t="str">
        <f>IF(AND(AM108="CUMPLE",AR108&gt;=AI108),"CUMPLE","NO CUMPLE")</f>
        <v>CUMPLE</v>
      </c>
      <c r="AT108" s="10">
        <f>'Parametros'!$B$6*0.083*SQRT('Parametros'!$B$2)*(H108*I108)^2/(2*(H108+I108))/1000000</f>
        <v>3.38807353605471</v>
      </c>
      <c r="AU108" s="10" t="str">
        <f>IF(Q108&lt;=AT108,"DESPRECIABLE","DISEÑAR")</f>
        <v>DISEÑAR</v>
      </c>
      <c r="AV108" s="10">
        <f>IF(Q108&lt;=AT108,0,Q108*1000000/('Parametros'!$B$6*2*0.85*(H108-2*'Parametros'!$B$7)*(I108-2*'Parametros'!$B$7)*'Parametros'!$B$4))</f>
        <v>0.147196757490875</v>
      </c>
      <c r="AW108" s="10">
        <f>AV108*2*((H108-2*'Parametros'!$B$7)+(I108-2*'Parametros'!$B$7))*'Parametros'!$B$4/'Parametros'!$B$3</f>
        <v>158.972498090145</v>
      </c>
      <c r="AX108" s="17" t="n">
        <v>1</v>
      </c>
      <c r="AY108" s="10" t="str">
        <f>IF(AV108=0,"DESPRECIABLE",IF('Parametros'!$B$11/AP108&gt;=AV108,"CUMPLE","NO CUMPLE"))</f>
        <v>CUMPLE</v>
      </c>
      <c r="AZ108" s="10" t="str">
        <f>IF(AND(X108="CUMPLE",AE108="CUMPLE",AS108="CUMPLE",OR(AY108="CUMPLE",AY108="DESPRECIABLE")),IF(OR(F108&lt;&gt;H108,G108&lt;&gt;I108),"CUMPLE - REANALIZAR SAP","CUMPLE"),"NO CUMPLE")</f>
        <v>CUMPLE</v>
      </c>
    </row>
    <row r="109">
      <c r="A109" s="20" t="inlineStr">
        <is>
          <t>VC4</t>
        </is>
      </c>
      <c r="B109" s="20" t="inlineStr">
        <is>
          <t>262</t>
        </is>
      </c>
      <c r="C109" s="10" t="n">
        <v>1</v>
      </c>
      <c r="D109" s="10" t="n">
        <v>3.85</v>
      </c>
      <c r="E109" s="10" t="n">
        <v>3.85</v>
      </c>
      <c r="F109" s="10" t="n">
        <v>300</v>
      </c>
      <c r="G109" s="10" t="n">
        <v>400</v>
      </c>
      <c r="H109" s="15" t="n">
        <v>300</v>
      </c>
      <c r="I109" s="15" t="n">
        <v>400</v>
      </c>
      <c r="J109" s="16" t="n">
        <v>92.19840000000001</v>
      </c>
      <c r="K109" s="10" t="inlineStr">
        <is>
          <t>262</t>
        </is>
      </c>
      <c r="L109" s="16" t="n">
        <v>76.7831</v>
      </c>
      <c r="M109" s="10" t="inlineStr">
        <is>
          <t>262</t>
        </is>
      </c>
      <c r="N109" s="16" t="n">
        <v>54.341</v>
      </c>
      <c r="O109" s="16" t="n">
        <v>226.739</v>
      </c>
      <c r="P109" s="10" t="inlineStr">
        <is>
          <t>262</t>
        </is>
      </c>
      <c r="Q109" s="16" t="n">
        <v>5.5497</v>
      </c>
      <c r="R109" s="10">
        <f>MAX(MAX(1.4/'Parametros'!$B$3,0.25*SQRT('Parametros'!$B$2)/'Parametros'!$B$3)*H109*U109,(0.85*'Parametros'!$B$2/'Parametros'!$B$3)*(1-SQRT(1-2*(J109*1000000/('Parametros'!$B$5*H109*U109^2))/(0.85*'Parametros'!$B$2)))*H109*U109)</f>
        <v>761.885049541268</v>
      </c>
      <c r="S109" s="17" t="n">
        <v>4</v>
      </c>
      <c r="T109" s="18" t="n">
        <v>1</v>
      </c>
      <c r="U109" s="10">
        <f>IF(T109=1,I109-('Parametros'!$B$7+'Parametros'!$B$9+'Parametros'!$B$12/2),I109-(ROUNDUP(S109/2,0)*('Parametros'!$B$7+'Parametros'!$B$9+'Parametros'!$B$12/2)+ROUNDDOWN(S109/2,0)*('Parametros'!$B$7+'Parametros'!$B$9+'Parametros'!$B$12/2+'Parametros'!$B$12+'Parametros'!$B$10))/S109)</f>
        <v>342.55</v>
      </c>
      <c r="V109" s="10">
        <f>S109*'Parametros'!$B$8</f>
        <v>796</v>
      </c>
      <c r="W109" s="10">
        <f>'Parametros'!$B$5*V109*'Parametros'!$B$3*(U109-(V109*'Parametros'!$B$3/(0.85*'Parametros'!$B$2*H109))/2)/1000000</f>
        <v>96.0248653411765</v>
      </c>
      <c r="X109" s="10" t="str">
        <f>IF(W109&gt;=J109,"CUMPLE","NO CUMPLE")</f>
        <v>CUMPLE</v>
      </c>
      <c r="Y109" s="10">
        <f>MAX(MAX(1.4/'Parametros'!$B$3,0.25*SQRT('Parametros'!$B$2)/'Parametros'!$B$3)*H109*AB109,(0.85*'Parametros'!$B$2/'Parametros'!$B$3)*(1-SQRT(1-2*(L109*1000000/('Parametros'!$B$5*H109*AB109^2))/(0.85*'Parametros'!$B$2)))*H109*AB109)</f>
        <v>626.717550000905</v>
      </c>
      <c r="Z109" s="17" t="n">
        <v>4</v>
      </c>
      <c r="AA109" s="18" t="n">
        <v>1</v>
      </c>
      <c r="AB109" s="10">
        <f>IF(AA109=1,I109-('Parametros'!$B$7+'Parametros'!$B$9+'Parametros'!$B$12/2),I109-(ROUNDUP(Z109/2,0)*('Parametros'!$B$7+'Parametros'!$B$9+'Parametros'!$B$12/2)+ROUNDDOWN(Z109/2,0)*('Parametros'!$B$7+'Parametros'!$B$9+'Parametros'!$B$12/2+'Parametros'!$B$12+'Parametros'!$B$10))/Z109)</f>
        <v>342.55</v>
      </c>
      <c r="AC109" s="10">
        <f>Z109*'Parametros'!$B$8</f>
        <v>796</v>
      </c>
      <c r="AD109" s="10">
        <f>'Parametros'!$B$5*AC109*'Parametros'!$B$3*(AB109-(AC109*'Parametros'!$B$3/(0.85*'Parametros'!$B$2*H109))/2)/1000000</f>
        <v>96.0248653411765</v>
      </c>
      <c r="AE109" s="10" t="str">
        <f>IF(AD109&gt;=L109,"CUMPLE","NO CUMPLE")</f>
        <v>CUMPLE</v>
      </c>
      <c r="AF109" s="10">
        <f>V109*1.25*'Parametros'!$B$3*(U109-(V109*1.25*'Parametros'!$B$3/(0.85*'Parametros'!$B$2*H109))/2)/1000000</f>
        <v>130.921924411765</v>
      </c>
      <c r="AG109" s="10">
        <f>AC109*1.25*'Parametros'!$B$3*(AB109-(AC109*1.25*'Parametros'!$B$3/(0.85*'Parametros'!$B$2*H109))/2)/1000000</f>
        <v>130.921924411765</v>
      </c>
      <c r="AH109" s="10">
        <f>N109+(AF109+AG109)/D109</f>
        <v>122.352389304813</v>
      </c>
      <c r="AI109" s="10">
        <f>MIN(O109,MAX(N109,AH109))</f>
        <v>122.352389304813</v>
      </c>
      <c r="AJ109" s="10">
        <f>0.17*SQRT('Parametros'!$B$2)*H109*MIN(U109,AB109)/1000</f>
        <v>92.4428153837279</v>
      </c>
      <c r="AK109" s="10">
        <f>MAX(AI109/'Parametros'!$B$6-AJ109,0)</f>
        <v>70.6937036893559</v>
      </c>
      <c r="AL109" s="10">
        <f>0.66*SQRT('Parametros'!$B$2)*H109*MIN(U109,AB109)/1000</f>
        <v>358.89563619565</v>
      </c>
      <c r="AM109" s="10" t="str">
        <f>IF(AK109&lt;=AL109,"CUMPLE","NO CUMPLE")</f>
        <v>CUMPLE</v>
      </c>
      <c r="AN109" s="15" t="inlineStr">
        <is>
          <t>Nº3 cerrado</t>
        </is>
      </c>
      <c r="AO109" s="17" t="n">
        <v>2</v>
      </c>
      <c r="AP109" s="10">
        <f>ROUNDDOWN(MIN(IF(AK109=0,1000000000,AO109*'Parametros'!$B$11*'Parametros'!$B$4*MIN(U109,AB109)/(AK109*1000)),IF(AV109=0,1000000000,'Parametros'!$B$11/AV109),MIN(U109,AB109)/4,8*'Parametros'!$B$12,24*'Parametros'!$B$9,300)/10,0)*10</f>
        <v>80</v>
      </c>
      <c r="AQ109" s="10">
        <f>ROUNDDOWN(MIN(IF(AK109=0,1000000000,AO109*'Parametros'!$B$11*'Parametros'!$B$4*MIN(U109,AB109)/(AK109*1000)),IF(AV109=0,1000000000,'Parametros'!$B$11/AV109),MIN(U109,AB109)/2,600)/10,0)*10</f>
        <v>170</v>
      </c>
      <c r="AR109" s="10">
        <f>'Parametros'!$B$6*(AJ109+AO109*'Parametros'!$B$11*'Parametros'!$B$4*MIN(U109,AB109)/AP109/1000)</f>
        <v>260.860380287796</v>
      </c>
      <c r="AS109" s="10" t="str">
        <f>IF(AND(AM109="CUMPLE",AR109&gt;=AI109),"CUMPLE","NO CUMPLE")</f>
        <v>CUMPLE</v>
      </c>
      <c r="AT109" s="10">
        <f>'Parametros'!$B$6*0.083*SQRT('Parametros'!$B$2)*(H109*I109)^2/(2*(H109+I109))/1000000</f>
        <v>3.38807353605471</v>
      </c>
      <c r="AU109" s="10" t="str">
        <f>IF(Q109&lt;=AT109,"DESPRECIABLE","DISEÑAR")</f>
        <v>DISEÑAR</v>
      </c>
      <c r="AV109" s="10">
        <f>IF(Q109&lt;=AT109,0,Q109*1000000/('Parametros'!$B$6*2*0.85*(H109-2*'Parametros'!$B$7)*(I109-2*'Parametros'!$B$7)*'Parametros'!$B$4))</f>
        <v>0.147210020371785</v>
      </c>
      <c r="AW109" s="10">
        <f>AV109*2*((H109-2*'Parametros'!$B$7)+(I109-2*'Parametros'!$B$7))*'Parametros'!$B$4/'Parametros'!$B$3</f>
        <v>158.986822001528</v>
      </c>
      <c r="AX109" s="17" t="n">
        <v>1</v>
      </c>
      <c r="AY109" s="10" t="str">
        <f>IF(AV109=0,"DESPRECIABLE",IF('Parametros'!$B$11/AP109&gt;=AV109,"CUMPLE","NO CUMPLE"))</f>
        <v>CUMPLE</v>
      </c>
      <c r="AZ109" s="10" t="str">
        <f>IF(AND(X109="CUMPLE",AE109="CUMPLE",AS109="CUMPLE",OR(AY109="CUMPLE",AY109="DESPRECIABLE")),IF(OR(F109&lt;&gt;H109,G109&lt;&gt;I109),"CUMPLE - REANALIZAR SAP","CUMPLE"),"NO CUMPLE")</f>
        <v>CUMPLE</v>
      </c>
    </row>
    <row r="110">
      <c r="A110" s="20" t="inlineStr">
        <is>
          <t>VC4</t>
        </is>
      </c>
      <c r="B110" s="20" t="inlineStr">
        <is>
          <t>287</t>
        </is>
      </c>
      <c r="C110" s="10" t="n">
        <v>1</v>
      </c>
      <c r="D110" s="10" t="n">
        <v>3.85</v>
      </c>
      <c r="E110" s="10" t="n">
        <v>3.85</v>
      </c>
      <c r="F110" s="10" t="n">
        <v>300</v>
      </c>
      <c r="G110" s="10" t="n">
        <v>400</v>
      </c>
      <c r="H110" s="15" t="n">
        <v>300</v>
      </c>
      <c r="I110" s="15" t="n">
        <v>400</v>
      </c>
      <c r="J110" s="16" t="n">
        <v>92.1752</v>
      </c>
      <c r="K110" s="10" t="inlineStr">
        <is>
          <t>287</t>
        </is>
      </c>
      <c r="L110" s="16" t="n">
        <v>76.80500000000001</v>
      </c>
      <c r="M110" s="10" t="inlineStr">
        <is>
          <t>287</t>
        </is>
      </c>
      <c r="N110" s="16" t="n">
        <v>54.363</v>
      </c>
      <c r="O110" s="16" t="n">
        <v>226.744</v>
      </c>
      <c r="P110" s="10" t="inlineStr">
        <is>
          <t>287</t>
        </is>
      </c>
      <c r="Q110" s="16" t="n">
        <v>5.5539</v>
      </c>
      <c r="R110" s="10">
        <f>MAX(MAX(1.4/'Parametros'!$B$3,0.25*SQRT('Parametros'!$B$2)/'Parametros'!$B$3)*H110*U110,(0.85*'Parametros'!$B$2/'Parametros'!$B$3)*(1-SQRT(1-2*(J110*1000000/('Parametros'!$B$5*H110*U110^2))/(0.85*'Parametros'!$B$2)))*H110*U110)</f>
        <v>761.678910605808</v>
      </c>
      <c r="S110" s="17" t="n">
        <v>4</v>
      </c>
      <c r="T110" s="18" t="n">
        <v>1</v>
      </c>
      <c r="U110" s="10">
        <f>IF(T110=1,I110-('Parametros'!$B$7+'Parametros'!$B$9+'Parametros'!$B$12/2),I110-(ROUNDUP(S110/2,0)*('Parametros'!$B$7+'Parametros'!$B$9+'Parametros'!$B$12/2)+ROUNDDOWN(S110/2,0)*('Parametros'!$B$7+'Parametros'!$B$9+'Parametros'!$B$12/2+'Parametros'!$B$12+'Parametros'!$B$10))/S110)</f>
        <v>342.55</v>
      </c>
      <c r="V110" s="10">
        <f>S110*'Parametros'!$B$8</f>
        <v>796</v>
      </c>
      <c r="W110" s="10">
        <f>'Parametros'!$B$5*V110*'Parametros'!$B$3*(U110-(V110*'Parametros'!$B$3/(0.85*'Parametros'!$B$2*H110))/2)/1000000</f>
        <v>96.0248653411765</v>
      </c>
      <c r="X110" s="10" t="str">
        <f>IF(W110&gt;=J110,"CUMPLE","NO CUMPLE")</f>
        <v>CUMPLE</v>
      </c>
      <c r="Y110" s="10">
        <f>MAX(MAX(1.4/'Parametros'!$B$3,0.25*SQRT('Parametros'!$B$2)/'Parametros'!$B$3)*H110*AB110,(0.85*'Parametros'!$B$2/'Parametros'!$B$3)*(1-SQRT(1-2*(L110*1000000/('Parametros'!$B$5*H110*AB110^2))/(0.85*'Parametros'!$B$2)))*H110*AB110)</f>
        <v>626.907084012781</v>
      </c>
      <c r="Z110" s="17" t="n">
        <v>4</v>
      </c>
      <c r="AA110" s="18" t="n">
        <v>1</v>
      </c>
      <c r="AB110" s="10">
        <f>IF(AA110=1,I110-('Parametros'!$B$7+'Parametros'!$B$9+'Parametros'!$B$12/2),I110-(ROUNDUP(Z110/2,0)*('Parametros'!$B$7+'Parametros'!$B$9+'Parametros'!$B$12/2)+ROUNDDOWN(Z110/2,0)*('Parametros'!$B$7+'Parametros'!$B$9+'Parametros'!$B$12/2+'Parametros'!$B$12+'Parametros'!$B$10))/Z110)</f>
        <v>342.55</v>
      </c>
      <c r="AC110" s="10">
        <f>Z110*'Parametros'!$B$8</f>
        <v>796</v>
      </c>
      <c r="AD110" s="10">
        <f>'Parametros'!$B$5*AC110*'Parametros'!$B$3*(AB110-(AC110*'Parametros'!$B$3/(0.85*'Parametros'!$B$2*H110))/2)/1000000</f>
        <v>96.0248653411765</v>
      </c>
      <c r="AE110" s="10" t="str">
        <f>IF(AD110&gt;=L110,"CUMPLE","NO CUMPLE")</f>
        <v>CUMPLE</v>
      </c>
      <c r="AF110" s="10">
        <f>V110*1.25*'Parametros'!$B$3*(U110-(V110*1.25*'Parametros'!$B$3/(0.85*'Parametros'!$B$2*H110))/2)/1000000</f>
        <v>130.921924411765</v>
      </c>
      <c r="AG110" s="10">
        <f>AC110*1.25*'Parametros'!$B$3*(AB110-(AC110*1.25*'Parametros'!$B$3/(0.85*'Parametros'!$B$2*H110))/2)/1000000</f>
        <v>130.921924411765</v>
      </c>
      <c r="AH110" s="10">
        <f>N110+(AF110+AG110)/D110</f>
        <v>122.374389304813</v>
      </c>
      <c r="AI110" s="10">
        <f>MIN(O110,MAX(N110,AH110))</f>
        <v>122.374389304813</v>
      </c>
      <c r="AJ110" s="10">
        <f>0.17*SQRT('Parametros'!$B$2)*H110*MIN(U110,AB110)/1000</f>
        <v>92.4428153837279</v>
      </c>
      <c r="AK110" s="10">
        <f>MAX(AI110/'Parametros'!$B$6-AJ110,0)</f>
        <v>70.7230370226892</v>
      </c>
      <c r="AL110" s="10">
        <f>0.66*SQRT('Parametros'!$B$2)*H110*MIN(U110,AB110)/1000</f>
        <v>358.89563619565</v>
      </c>
      <c r="AM110" s="10" t="str">
        <f>IF(AK110&lt;=AL110,"CUMPLE","NO CUMPLE")</f>
        <v>CUMPLE</v>
      </c>
      <c r="AN110" s="15" t="inlineStr">
        <is>
          <t>Nº3 cerrado</t>
        </is>
      </c>
      <c r="AO110" s="17" t="n">
        <v>2</v>
      </c>
      <c r="AP110" s="10">
        <f>ROUNDDOWN(MIN(IF(AK110=0,1000000000,AO110*'Parametros'!$B$11*'Parametros'!$B$4*MIN(U110,AB110)/(AK110*1000)),IF(AV110=0,1000000000,'Parametros'!$B$11/AV110),MIN(U110,AB110)/4,8*'Parametros'!$B$12,24*'Parametros'!$B$9,300)/10,0)*10</f>
        <v>80</v>
      </c>
      <c r="AQ110" s="10">
        <f>ROUNDDOWN(MIN(IF(AK110=0,1000000000,AO110*'Parametros'!$B$11*'Parametros'!$B$4*MIN(U110,AB110)/(AK110*1000)),IF(AV110=0,1000000000,'Parametros'!$B$11/AV110),MIN(U110,AB110)/2,600)/10,0)*10</f>
        <v>170</v>
      </c>
      <c r="AR110" s="10">
        <f>'Parametros'!$B$6*(AJ110+AO110*'Parametros'!$B$11*'Parametros'!$B$4*MIN(U110,AB110)/AP110/1000)</f>
        <v>260.860380287796</v>
      </c>
      <c r="AS110" s="10" t="str">
        <f>IF(AND(AM110="CUMPLE",AR110&gt;=AI110),"CUMPLE","NO CUMPLE")</f>
        <v>CUMPLE</v>
      </c>
      <c r="AT110" s="10">
        <f>'Parametros'!$B$6*0.083*SQRT('Parametros'!$B$2)*(H110*I110)^2/(2*(H110+I110))/1000000</f>
        <v>3.38807353605471</v>
      </c>
      <c r="AU110" s="10" t="str">
        <f>IF(Q110&lt;=AT110,"DESPRECIABLE","DISEÑAR")</f>
        <v>DISEÑAR</v>
      </c>
      <c r="AV110" s="10">
        <f>IF(Q110&lt;=AT110,0,Q110*1000000/('Parametros'!$B$6*2*0.85*(H110-2*'Parametros'!$B$7)*(I110-2*'Parametros'!$B$7)*'Parametros'!$B$4))</f>
        <v>0.147321428571429</v>
      </c>
      <c r="AW110" s="10">
        <f>AV110*2*((H110-2*'Parametros'!$B$7)+(I110-2*'Parametros'!$B$7))*'Parametros'!$B$4/'Parametros'!$B$3</f>
        <v>159.107142857143</v>
      </c>
      <c r="AX110" s="17" t="n">
        <v>1</v>
      </c>
      <c r="AY110" s="10" t="str">
        <f>IF(AV110=0,"DESPRECIABLE",IF('Parametros'!$B$11/AP110&gt;=AV110,"CUMPLE","NO CUMPLE"))</f>
        <v>CUMPLE</v>
      </c>
      <c r="AZ110" s="10" t="str">
        <f>IF(AND(X110="CUMPLE",AE110="CUMPLE",AS110="CUMPLE",OR(AY110="CUMPLE",AY110="DESPRECIABLE")),IF(OR(F110&lt;&gt;H110,G110&lt;&gt;I110),"CUMPLE - REANALIZAR SAP","CUMPLE"),"NO CUMPLE")</f>
        <v>CUMPLE</v>
      </c>
    </row>
    <row r="111">
      <c r="A111" s="20" t="inlineStr">
        <is>
          <t>VC4</t>
        </is>
      </c>
      <c r="B111" s="20" t="inlineStr">
        <is>
          <t>288</t>
        </is>
      </c>
      <c r="C111" s="10" t="n">
        <v>1</v>
      </c>
      <c r="D111" s="10" t="n">
        <v>3.85</v>
      </c>
      <c r="E111" s="10" t="n">
        <v>3.85</v>
      </c>
      <c r="F111" s="10" t="n">
        <v>300</v>
      </c>
      <c r="G111" s="10" t="n">
        <v>400</v>
      </c>
      <c r="H111" s="15" t="n">
        <v>300</v>
      </c>
      <c r="I111" s="15" t="n">
        <v>400</v>
      </c>
      <c r="J111" s="16" t="n">
        <v>92.1985</v>
      </c>
      <c r="K111" s="10" t="inlineStr">
        <is>
          <t>288</t>
        </is>
      </c>
      <c r="L111" s="16" t="n">
        <v>76.7912</v>
      </c>
      <c r="M111" s="10" t="inlineStr">
        <is>
          <t>288</t>
        </is>
      </c>
      <c r="N111" s="16" t="n">
        <v>54.354</v>
      </c>
      <c r="O111" s="16" t="n">
        <v>226.754</v>
      </c>
      <c r="P111" s="10" t="inlineStr">
        <is>
          <t>288</t>
        </is>
      </c>
      <c r="Q111" s="16" t="n">
        <v>5.5543</v>
      </c>
      <c r="R111" s="10">
        <f>MAX(MAX(1.4/'Parametros'!$B$3,0.25*SQRT('Parametros'!$B$2)/'Parametros'!$B$3)*H111*U111,(0.85*'Parametros'!$B$2/'Parametros'!$B$3)*(1-SQRT(1-2*(J111*1000000/('Parametros'!$B$5*H111*U111^2))/(0.85*'Parametros'!$B$2)))*H111*U111)</f>
        <v>761.885938089333</v>
      </c>
      <c r="S111" s="17" t="n">
        <v>4</v>
      </c>
      <c r="T111" s="18" t="n">
        <v>1</v>
      </c>
      <c r="U111" s="10">
        <f>IF(T111=1,I111-('Parametros'!$B$7+'Parametros'!$B$9+'Parametros'!$B$12/2),I111-(ROUNDUP(S111/2,0)*('Parametros'!$B$7+'Parametros'!$B$9+'Parametros'!$B$12/2)+ROUNDDOWN(S111/2,0)*('Parametros'!$B$7+'Parametros'!$B$9+'Parametros'!$B$12/2+'Parametros'!$B$12+'Parametros'!$B$10))/S111)</f>
        <v>342.55</v>
      </c>
      <c r="V111" s="10">
        <f>S111*'Parametros'!$B$8</f>
        <v>796</v>
      </c>
      <c r="W111" s="10">
        <f>'Parametros'!$B$5*V111*'Parametros'!$B$3*(U111-(V111*'Parametros'!$B$3/(0.85*'Parametros'!$B$2*H111))/2)/1000000</f>
        <v>96.0248653411765</v>
      </c>
      <c r="X111" s="10" t="str">
        <f>IF(W111&gt;=J111,"CUMPLE","NO CUMPLE")</f>
        <v>CUMPLE</v>
      </c>
      <c r="Y111" s="10">
        <f>MAX(MAX(1.4/'Parametros'!$B$3,0.25*SQRT('Parametros'!$B$2)/'Parametros'!$B$3)*H111*AB111,(0.85*'Parametros'!$B$2/'Parametros'!$B$3)*(1-SQRT(1-2*(L111*1000000/('Parametros'!$B$5*H111*AB111^2))/(0.85*'Parametros'!$B$2)))*H111*AB111)</f>
        <v>626.787650816164</v>
      </c>
      <c r="Z111" s="17" t="n">
        <v>4</v>
      </c>
      <c r="AA111" s="18" t="n">
        <v>1</v>
      </c>
      <c r="AB111" s="10">
        <f>IF(AA111=1,I111-('Parametros'!$B$7+'Parametros'!$B$9+'Parametros'!$B$12/2),I111-(ROUNDUP(Z111/2,0)*('Parametros'!$B$7+'Parametros'!$B$9+'Parametros'!$B$12/2)+ROUNDDOWN(Z111/2,0)*('Parametros'!$B$7+'Parametros'!$B$9+'Parametros'!$B$12/2+'Parametros'!$B$12+'Parametros'!$B$10))/Z111)</f>
        <v>342.55</v>
      </c>
      <c r="AC111" s="10">
        <f>Z111*'Parametros'!$B$8</f>
        <v>796</v>
      </c>
      <c r="AD111" s="10">
        <f>'Parametros'!$B$5*AC111*'Parametros'!$B$3*(AB111-(AC111*'Parametros'!$B$3/(0.85*'Parametros'!$B$2*H111))/2)/1000000</f>
        <v>96.0248653411765</v>
      </c>
      <c r="AE111" s="10" t="str">
        <f>IF(AD111&gt;=L111,"CUMPLE","NO CUMPLE")</f>
        <v>CUMPLE</v>
      </c>
      <c r="AF111" s="10">
        <f>V111*1.25*'Parametros'!$B$3*(U111-(V111*1.25*'Parametros'!$B$3/(0.85*'Parametros'!$B$2*H111))/2)/1000000</f>
        <v>130.921924411765</v>
      </c>
      <c r="AG111" s="10">
        <f>AC111*1.25*'Parametros'!$B$3*(AB111-(AC111*1.25*'Parametros'!$B$3/(0.85*'Parametros'!$B$2*H111))/2)/1000000</f>
        <v>130.921924411765</v>
      </c>
      <c r="AH111" s="10">
        <f>N111+(AF111+AG111)/D111</f>
        <v>122.365389304813</v>
      </c>
      <c r="AI111" s="10">
        <f>MIN(O111,MAX(N111,AH111))</f>
        <v>122.365389304813</v>
      </c>
      <c r="AJ111" s="10">
        <f>0.17*SQRT('Parametros'!$B$2)*H111*MIN(U111,AB111)/1000</f>
        <v>92.4428153837279</v>
      </c>
      <c r="AK111" s="10">
        <f>MAX(AI111/'Parametros'!$B$6-AJ111,0)</f>
        <v>70.7110370226892</v>
      </c>
      <c r="AL111" s="10">
        <f>0.66*SQRT('Parametros'!$B$2)*H111*MIN(U111,AB111)/1000</f>
        <v>358.89563619565</v>
      </c>
      <c r="AM111" s="10" t="str">
        <f>IF(AK111&lt;=AL111,"CUMPLE","NO CUMPLE")</f>
        <v>CUMPLE</v>
      </c>
      <c r="AN111" s="15" t="inlineStr">
        <is>
          <t>Nº3 cerrado</t>
        </is>
      </c>
      <c r="AO111" s="17" t="n">
        <v>2</v>
      </c>
      <c r="AP111" s="10">
        <f>ROUNDDOWN(MIN(IF(AK111=0,1000000000,AO111*'Parametros'!$B$11*'Parametros'!$B$4*MIN(U111,AB111)/(AK111*1000)),IF(AV111=0,1000000000,'Parametros'!$B$11/AV111),MIN(U111,AB111)/4,8*'Parametros'!$B$12,24*'Parametros'!$B$9,300)/10,0)*10</f>
        <v>80</v>
      </c>
      <c r="AQ111" s="10">
        <f>ROUNDDOWN(MIN(IF(AK111=0,1000000000,AO111*'Parametros'!$B$11*'Parametros'!$B$4*MIN(U111,AB111)/(AK111*1000)),IF(AV111=0,1000000000,'Parametros'!$B$11/AV111),MIN(U111,AB111)/2,600)/10,0)*10</f>
        <v>170</v>
      </c>
      <c r="AR111" s="10">
        <f>'Parametros'!$B$6*(AJ111+AO111*'Parametros'!$B$11*'Parametros'!$B$4*MIN(U111,AB111)/AP111/1000)</f>
        <v>260.860380287796</v>
      </c>
      <c r="AS111" s="10" t="str">
        <f>IF(AND(AM111="CUMPLE",AR111&gt;=AI111),"CUMPLE","NO CUMPLE")</f>
        <v>CUMPLE</v>
      </c>
      <c r="AT111" s="10">
        <f>'Parametros'!$B$6*0.083*SQRT('Parametros'!$B$2)*(H111*I111)^2/(2*(H111+I111))/1000000</f>
        <v>3.38807353605471</v>
      </c>
      <c r="AU111" s="10" t="str">
        <f>IF(Q111&lt;=AT111,"DESPRECIABLE","DISEÑAR")</f>
        <v>DISEÑAR</v>
      </c>
      <c r="AV111" s="10">
        <f>IF(Q111&lt;=AT111,0,Q111*1000000/('Parametros'!$B$6*2*0.85*(H111-2*'Parametros'!$B$7)*(I111-2*'Parametros'!$B$7)*'Parametros'!$B$4))</f>
        <v>0.147332038876157</v>
      </c>
      <c r="AW111" s="10">
        <f>AV111*2*((H111-2*'Parametros'!$B$7)+(I111-2*'Parametros'!$B$7))*'Parametros'!$B$4/'Parametros'!$B$3</f>
        <v>159.118601986249</v>
      </c>
      <c r="AX111" s="17" t="n">
        <v>1</v>
      </c>
      <c r="AY111" s="10" t="str">
        <f>IF(AV111=0,"DESPRECIABLE",IF('Parametros'!$B$11/AP111&gt;=AV111,"CUMPLE","NO CUMPLE"))</f>
        <v>CUMPLE</v>
      </c>
      <c r="AZ111" s="10" t="str">
        <f>IF(AND(X111="CUMPLE",AE111="CUMPLE",AS111="CUMPLE",OR(AY111="CUMPLE",AY111="DESPRECIABLE")),IF(OR(F111&lt;&gt;H111,G111&lt;&gt;I111),"CUMPLE - REANALIZAR SAP","CUMPLE"),"NO CUMPLE")</f>
        <v>CUMPLE</v>
      </c>
    </row>
    <row r="112">
      <c r="A112" s="20" t="inlineStr">
        <is>
          <t>VC4</t>
        </is>
      </c>
      <c r="B112" s="20" t="inlineStr">
        <is>
          <t>819</t>
        </is>
      </c>
      <c r="C112" s="10" t="n">
        <v>1</v>
      </c>
      <c r="D112" s="10" t="n">
        <v>3.85</v>
      </c>
      <c r="E112" s="10" t="n">
        <v>3.85</v>
      </c>
      <c r="F112" s="10" t="n">
        <v>300</v>
      </c>
      <c r="G112" s="10" t="n">
        <v>400</v>
      </c>
      <c r="H112" s="15" t="n">
        <v>300</v>
      </c>
      <c r="I112" s="15" t="n">
        <v>400</v>
      </c>
      <c r="J112" s="16" t="n">
        <v>75.9046</v>
      </c>
      <c r="K112" s="10" t="inlineStr">
        <is>
          <t>819</t>
        </is>
      </c>
      <c r="L112" s="16" t="n">
        <v>60.7995</v>
      </c>
      <c r="M112" s="10" t="inlineStr">
        <is>
          <t>819</t>
        </is>
      </c>
      <c r="N112" s="16" t="n">
        <v>45.952</v>
      </c>
      <c r="O112" s="16" t="n">
        <v>184.232</v>
      </c>
      <c r="P112" s="10" t="inlineStr">
        <is>
          <t>819</t>
        </is>
      </c>
      <c r="Q112" s="16" t="n">
        <v>4.2277</v>
      </c>
      <c r="R112" s="10">
        <f>MAX(MAX(1.4/'Parametros'!$B$3,0.25*SQRT('Parametros'!$B$2)/'Parametros'!$B$3)*H112*U112,(0.85*'Parametros'!$B$2/'Parametros'!$B$3)*(1-SQRT(1-2*(J112*1000000/('Parametros'!$B$5*H112*U112^2))/(0.85*'Parametros'!$B$2)))*H112*U112)</f>
        <v>619.120245377121</v>
      </c>
      <c r="S112" s="17" t="n">
        <v>4</v>
      </c>
      <c r="T112" s="18" t="n">
        <v>1</v>
      </c>
      <c r="U112" s="10">
        <f>IF(T112=1,I112-('Parametros'!$B$7+'Parametros'!$B$9+'Parametros'!$B$12/2),I112-(ROUNDUP(S112/2,0)*('Parametros'!$B$7+'Parametros'!$B$9+'Parametros'!$B$12/2)+ROUNDDOWN(S112/2,0)*('Parametros'!$B$7+'Parametros'!$B$9+'Parametros'!$B$12/2+'Parametros'!$B$12+'Parametros'!$B$10))/S112)</f>
        <v>342.55</v>
      </c>
      <c r="V112" s="10">
        <f>S112*'Parametros'!$B$8</f>
        <v>796</v>
      </c>
      <c r="W112" s="10">
        <f>'Parametros'!$B$5*V112*'Parametros'!$B$3*(U112-(V112*'Parametros'!$B$3/(0.85*'Parametros'!$B$2*H112))/2)/1000000</f>
        <v>96.0248653411765</v>
      </c>
      <c r="X112" s="10" t="str">
        <f>IF(W112&gt;=J112,"CUMPLE","NO CUMPLE")</f>
        <v>CUMPLE</v>
      </c>
      <c r="Y112" s="10">
        <f>MAX(MAX(1.4/'Parametros'!$B$3,0.25*SQRT('Parametros'!$B$2)/'Parametros'!$B$3)*H112*AB112,(0.85*'Parametros'!$B$2/'Parametros'!$B$3)*(1-SQRT(1-2*(L112*1000000/('Parametros'!$B$5*H112*AB112^2))/(0.85*'Parametros'!$B$2)))*H112*AB112)</f>
        <v>490.183292755428</v>
      </c>
      <c r="Z112" s="17" t="n">
        <v>3</v>
      </c>
      <c r="AA112" s="18" t="n">
        <v>1</v>
      </c>
      <c r="AB112" s="10">
        <f>IF(AA112=1,I112-('Parametros'!$B$7+'Parametros'!$B$9+'Parametros'!$B$12/2),I112-(ROUNDUP(Z112/2,0)*('Parametros'!$B$7+'Parametros'!$B$9+'Parametros'!$B$12/2)+ROUNDDOWN(Z112/2,0)*('Parametros'!$B$7+'Parametros'!$B$9+'Parametros'!$B$12/2+'Parametros'!$B$12+'Parametros'!$B$10))/Z112)</f>
        <v>342.55</v>
      </c>
      <c r="AC112" s="10">
        <f>Z112*'Parametros'!$B$8</f>
        <v>597</v>
      </c>
      <c r="AD112" s="10">
        <f>'Parametros'!$B$5*AC112*'Parametros'!$B$3*(AB112-(AC112*'Parametros'!$B$3/(0.85*'Parametros'!$B$2*H112))/2)/1000000</f>
        <v>73.3394588294118</v>
      </c>
      <c r="AE112" s="10" t="str">
        <f>IF(AD112&gt;=L112,"CUMPLE","NO CUMPLE")</f>
        <v>CUMPLE</v>
      </c>
      <c r="AF112" s="10">
        <f>V112*1.25*'Parametros'!$B$3*(U112-(V112*1.25*'Parametros'!$B$3/(0.85*'Parametros'!$B$2*H112))/2)/1000000</f>
        <v>130.921924411765</v>
      </c>
      <c r="AG112" s="10">
        <f>AC112*1.25*'Parametros'!$B$3*(AB112-(AC112*1.25*'Parametros'!$B$3/(0.85*'Parametros'!$B$2*H112))/2)/1000000</f>
        <v>100.484515919118</v>
      </c>
      <c r="AH112" s="10">
        <f>N112+(AF112+AG112)/D112</f>
        <v>106.057568917112</v>
      </c>
      <c r="AI112" s="10">
        <f>MIN(O112,MAX(N112,AH112))</f>
        <v>106.057568917112</v>
      </c>
      <c r="AJ112" s="10">
        <f>0.17*SQRT('Parametros'!$B$2)*H112*MIN(U112,AB112)/1000</f>
        <v>92.4428153837279</v>
      </c>
      <c r="AK112" s="10">
        <f>MAX(AI112/'Parametros'!$B$6-AJ112,0)</f>
        <v>48.9672765057551</v>
      </c>
      <c r="AL112" s="10">
        <f>0.66*SQRT('Parametros'!$B$2)*H112*MIN(U112,AB112)/1000</f>
        <v>358.89563619565</v>
      </c>
      <c r="AM112" s="10" t="str">
        <f>IF(AK112&lt;=AL112,"CUMPLE","NO CUMPLE")</f>
        <v>CUMPLE</v>
      </c>
      <c r="AN112" s="15" t="inlineStr">
        <is>
          <t>Nº3 cerrado</t>
        </is>
      </c>
      <c r="AO112" s="17" t="n">
        <v>2</v>
      </c>
      <c r="AP112" s="10">
        <f>ROUNDDOWN(MIN(IF(AK112=0,1000000000,AO112*'Parametros'!$B$11*'Parametros'!$B$4*MIN(U112,AB112)/(AK112*1000)),IF(AV112=0,1000000000,'Parametros'!$B$11/AV112),MIN(U112,AB112)/4,8*'Parametros'!$B$12,24*'Parametros'!$B$9,300)/10,0)*10</f>
        <v>80</v>
      </c>
      <c r="AQ112" s="10">
        <f>ROUNDDOWN(MIN(IF(AK112=0,1000000000,AO112*'Parametros'!$B$11*'Parametros'!$B$4*MIN(U112,AB112)/(AK112*1000)),IF(AV112=0,1000000000,'Parametros'!$B$11/AV112),MIN(U112,AB112)/2,600)/10,0)*10</f>
        <v>170</v>
      </c>
      <c r="AR112" s="10">
        <f>'Parametros'!$B$6*(AJ112+AO112*'Parametros'!$B$11*'Parametros'!$B$4*MIN(U112,AB112)/AP112/1000)</f>
        <v>260.860380287796</v>
      </c>
      <c r="AS112" s="10" t="str">
        <f>IF(AND(AM112="CUMPLE",AR112&gt;=AI112),"CUMPLE","NO CUMPLE")</f>
        <v>CUMPLE</v>
      </c>
      <c r="AT112" s="10">
        <f>'Parametros'!$B$6*0.083*SQRT('Parametros'!$B$2)*(H112*I112)^2/(2*(H112+I112))/1000000</f>
        <v>3.38807353605471</v>
      </c>
      <c r="AU112" s="10" t="str">
        <f>IF(Q112&lt;=AT112,"DESPRECIABLE","DISEÑAR")</f>
        <v>DISEÑAR</v>
      </c>
      <c r="AV112" s="10">
        <f>IF(Q112&lt;=AT112,0,Q112*1000000/('Parametros'!$B$6*2*0.85*(H112-2*'Parametros'!$B$7)*(I112-2*'Parametros'!$B$7)*'Parametros'!$B$4))</f>
        <v>0.112142963245904</v>
      </c>
      <c r="AW112" s="10">
        <f>AV112*2*((H112-2*'Parametros'!$B$7)+(I112-2*'Parametros'!$B$7))*'Parametros'!$B$4/'Parametros'!$B$3</f>
        <v>121.114400305577</v>
      </c>
      <c r="AX112" s="17" t="n">
        <v>1</v>
      </c>
      <c r="AY112" s="10" t="str">
        <f>IF(AV112=0,"DESPRECIABLE",IF('Parametros'!$B$11/AP112&gt;=AV112,"CUMPLE","NO CUMPLE"))</f>
        <v>CUMPLE</v>
      </c>
      <c r="AZ112" s="10" t="str">
        <f>IF(AND(X112="CUMPLE",AE112="CUMPLE",AS112="CUMPLE",OR(AY112="CUMPLE",AY112="DESPRECIABLE")),IF(OR(F112&lt;&gt;H112,G112&lt;&gt;I112),"CUMPLE - REANALIZAR SAP","CUMPLE"),"NO CUMPLE")</f>
        <v>CUMPLE</v>
      </c>
    </row>
    <row r="113">
      <c r="A113" s="20" t="inlineStr">
        <is>
          <t>VC4</t>
        </is>
      </c>
      <c r="B113" s="20" t="inlineStr">
        <is>
          <t>820</t>
        </is>
      </c>
      <c r="C113" s="10" t="n">
        <v>1</v>
      </c>
      <c r="D113" s="10" t="n">
        <v>3.85</v>
      </c>
      <c r="E113" s="10" t="n">
        <v>3.85</v>
      </c>
      <c r="F113" s="10" t="n">
        <v>300</v>
      </c>
      <c r="G113" s="10" t="n">
        <v>400</v>
      </c>
      <c r="H113" s="15" t="n">
        <v>300</v>
      </c>
      <c r="I113" s="15" t="n">
        <v>400</v>
      </c>
      <c r="J113" s="16" t="n">
        <v>75.8678</v>
      </c>
      <c r="K113" s="10" t="inlineStr">
        <is>
          <t>820</t>
        </is>
      </c>
      <c r="L113" s="16" t="n">
        <v>60.8211</v>
      </c>
      <c r="M113" s="10" t="inlineStr">
        <is>
          <t>820</t>
        </is>
      </c>
      <c r="N113" s="16" t="n">
        <v>45.965</v>
      </c>
      <c r="O113" s="16" t="n">
        <v>184.218</v>
      </c>
      <c r="P113" s="10" t="inlineStr">
        <is>
          <t>820</t>
        </is>
      </c>
      <c r="Q113" s="16" t="n">
        <v>4.2275</v>
      </c>
      <c r="R113" s="10">
        <f>MAX(MAX(1.4/'Parametros'!$B$3,0.25*SQRT('Parametros'!$B$2)/'Parametros'!$B$3)*H113*U113,(0.85*'Parametros'!$B$2/'Parametros'!$B$3)*(1-SQRT(1-2*(J113*1000000/('Parametros'!$B$5*H113*U113^2))/(0.85*'Parametros'!$B$2)))*H113*U113)</f>
        <v>618.802239453252</v>
      </c>
      <c r="S113" s="17" t="n">
        <v>4</v>
      </c>
      <c r="T113" s="18" t="n">
        <v>1</v>
      </c>
      <c r="U113" s="10">
        <f>IF(T113=1,I113-('Parametros'!$B$7+'Parametros'!$B$9+'Parametros'!$B$12/2),I113-(ROUNDUP(S113/2,0)*('Parametros'!$B$7+'Parametros'!$B$9+'Parametros'!$B$12/2)+ROUNDDOWN(S113/2,0)*('Parametros'!$B$7+'Parametros'!$B$9+'Parametros'!$B$12/2+'Parametros'!$B$12+'Parametros'!$B$10))/S113)</f>
        <v>342.55</v>
      </c>
      <c r="V113" s="10">
        <f>S113*'Parametros'!$B$8</f>
        <v>796</v>
      </c>
      <c r="W113" s="10">
        <f>'Parametros'!$B$5*V113*'Parametros'!$B$3*(U113-(V113*'Parametros'!$B$3/(0.85*'Parametros'!$B$2*H113))/2)/1000000</f>
        <v>96.0248653411765</v>
      </c>
      <c r="X113" s="10" t="str">
        <f>IF(W113&gt;=J113,"CUMPLE","NO CUMPLE")</f>
        <v>CUMPLE</v>
      </c>
      <c r="Y113" s="10">
        <f>MAX(MAX(1.4/'Parametros'!$B$3,0.25*SQRT('Parametros'!$B$2)/'Parametros'!$B$3)*H113*AB113,(0.85*'Parametros'!$B$2/'Parametros'!$B$3)*(1-SQRT(1-2*(L113*1000000/('Parametros'!$B$5*H113*AB113^2))/(0.85*'Parametros'!$B$2)))*H113*AB113)</f>
        <v>490.365444413977</v>
      </c>
      <c r="Z113" s="17" t="n">
        <v>3</v>
      </c>
      <c r="AA113" s="18" t="n">
        <v>1</v>
      </c>
      <c r="AB113" s="10">
        <f>IF(AA113=1,I113-('Parametros'!$B$7+'Parametros'!$B$9+'Parametros'!$B$12/2),I113-(ROUNDUP(Z113/2,0)*('Parametros'!$B$7+'Parametros'!$B$9+'Parametros'!$B$12/2)+ROUNDDOWN(Z113/2,0)*('Parametros'!$B$7+'Parametros'!$B$9+'Parametros'!$B$12/2+'Parametros'!$B$12+'Parametros'!$B$10))/Z113)</f>
        <v>342.55</v>
      </c>
      <c r="AC113" s="10">
        <f>Z113*'Parametros'!$B$8</f>
        <v>597</v>
      </c>
      <c r="AD113" s="10">
        <f>'Parametros'!$B$5*AC113*'Parametros'!$B$3*(AB113-(AC113*'Parametros'!$B$3/(0.85*'Parametros'!$B$2*H113))/2)/1000000</f>
        <v>73.3394588294118</v>
      </c>
      <c r="AE113" s="10" t="str">
        <f>IF(AD113&gt;=L113,"CUMPLE","NO CUMPLE")</f>
        <v>CUMPLE</v>
      </c>
      <c r="AF113" s="10">
        <f>V113*1.25*'Parametros'!$B$3*(U113-(V113*1.25*'Parametros'!$B$3/(0.85*'Parametros'!$B$2*H113))/2)/1000000</f>
        <v>130.921924411765</v>
      </c>
      <c r="AG113" s="10">
        <f>AC113*1.25*'Parametros'!$B$3*(AB113-(AC113*1.25*'Parametros'!$B$3/(0.85*'Parametros'!$B$2*H113))/2)/1000000</f>
        <v>100.484515919118</v>
      </c>
      <c r="AH113" s="10">
        <f>N113+(AF113+AG113)/D113</f>
        <v>106.070568917112</v>
      </c>
      <c r="AI113" s="10">
        <f>MIN(O113,MAX(N113,AH113))</f>
        <v>106.070568917112</v>
      </c>
      <c r="AJ113" s="10">
        <f>0.17*SQRT('Parametros'!$B$2)*H113*MIN(U113,AB113)/1000</f>
        <v>92.4428153837279</v>
      </c>
      <c r="AK113" s="10">
        <f>MAX(AI113/'Parametros'!$B$6-AJ113,0)</f>
        <v>48.9846098390885</v>
      </c>
      <c r="AL113" s="10">
        <f>0.66*SQRT('Parametros'!$B$2)*H113*MIN(U113,AB113)/1000</f>
        <v>358.89563619565</v>
      </c>
      <c r="AM113" s="10" t="str">
        <f>IF(AK113&lt;=AL113,"CUMPLE","NO CUMPLE")</f>
        <v>CUMPLE</v>
      </c>
      <c r="AN113" s="15" t="inlineStr">
        <is>
          <t>Nº3 cerrado</t>
        </is>
      </c>
      <c r="AO113" s="17" t="n">
        <v>2</v>
      </c>
      <c r="AP113" s="10">
        <f>ROUNDDOWN(MIN(IF(AK113=0,1000000000,AO113*'Parametros'!$B$11*'Parametros'!$B$4*MIN(U113,AB113)/(AK113*1000)),IF(AV113=0,1000000000,'Parametros'!$B$11/AV113),MIN(U113,AB113)/4,8*'Parametros'!$B$12,24*'Parametros'!$B$9,300)/10,0)*10</f>
        <v>80</v>
      </c>
      <c r="AQ113" s="10">
        <f>ROUNDDOWN(MIN(IF(AK113=0,1000000000,AO113*'Parametros'!$B$11*'Parametros'!$B$4*MIN(U113,AB113)/(AK113*1000)),IF(AV113=0,1000000000,'Parametros'!$B$11/AV113),MIN(U113,AB113)/2,600)/10,0)*10</f>
        <v>170</v>
      </c>
      <c r="AR113" s="10">
        <f>'Parametros'!$B$6*(AJ113+AO113*'Parametros'!$B$11*'Parametros'!$B$4*MIN(U113,AB113)/AP113/1000)</f>
        <v>260.860380287796</v>
      </c>
      <c r="AS113" s="10" t="str">
        <f>IF(AND(AM113="CUMPLE",AR113&gt;=AI113),"CUMPLE","NO CUMPLE")</f>
        <v>CUMPLE</v>
      </c>
      <c r="AT113" s="10">
        <f>'Parametros'!$B$6*0.083*SQRT('Parametros'!$B$2)*(H113*I113)^2/(2*(H113+I113))/1000000</f>
        <v>3.38807353605471</v>
      </c>
      <c r="AU113" s="10" t="str">
        <f>IF(Q113&lt;=AT113,"DESPRECIABLE","DISEÑAR")</f>
        <v>DISEÑAR</v>
      </c>
      <c r="AV113" s="10">
        <f>IF(Q113&lt;=AT113,0,Q113*1000000/('Parametros'!$B$6*2*0.85*(H113-2*'Parametros'!$B$7)*(I113-2*'Parametros'!$B$7)*'Parametros'!$B$4))</f>
        <v>0.11213765809354</v>
      </c>
      <c r="AW113" s="10">
        <f>AV113*2*((H113-2*'Parametros'!$B$7)+(I113-2*'Parametros'!$B$7))*'Parametros'!$B$4/'Parametros'!$B$3</f>
        <v>121.108670741024</v>
      </c>
      <c r="AX113" s="17" t="n">
        <v>1</v>
      </c>
      <c r="AY113" s="10" t="str">
        <f>IF(AV113=0,"DESPRECIABLE",IF('Parametros'!$B$11/AP113&gt;=AV113,"CUMPLE","NO CUMPLE"))</f>
        <v>CUMPLE</v>
      </c>
      <c r="AZ113" s="10" t="str">
        <f>IF(AND(X113="CUMPLE",AE113="CUMPLE",AS113="CUMPLE",OR(AY113="CUMPLE",AY113="DESPRECIABLE")),IF(OR(F113&lt;&gt;H113,G113&lt;&gt;I113),"CUMPLE - REANALIZAR SAP","CUMPLE"),"NO CUMPLE")</f>
        <v>CUMPLE</v>
      </c>
    </row>
    <row r="114">
      <c r="A114" s="20" t="inlineStr">
        <is>
          <t>VC4</t>
        </is>
      </c>
      <c r="B114" s="20" t="inlineStr">
        <is>
          <t>845</t>
        </is>
      </c>
      <c r="C114" s="10" t="n">
        <v>1</v>
      </c>
      <c r="D114" s="10" t="n">
        <v>3.85</v>
      </c>
      <c r="E114" s="10" t="n">
        <v>3.85</v>
      </c>
      <c r="F114" s="10" t="n">
        <v>300</v>
      </c>
      <c r="G114" s="10" t="n">
        <v>400</v>
      </c>
      <c r="H114" s="15" t="n">
        <v>300</v>
      </c>
      <c r="I114" s="15" t="n">
        <v>400</v>
      </c>
      <c r="J114" s="16" t="n">
        <v>75.8918</v>
      </c>
      <c r="K114" s="10" t="inlineStr">
        <is>
          <t>845</t>
        </is>
      </c>
      <c r="L114" s="16" t="n">
        <v>60.8144</v>
      </c>
      <c r="M114" s="10" t="inlineStr">
        <is>
          <t>845</t>
        </is>
      </c>
      <c r="N114" s="16" t="n">
        <v>45.972</v>
      </c>
      <c r="O114" s="16" t="n">
        <v>184.241</v>
      </c>
      <c r="P114" s="10" t="inlineStr">
        <is>
          <t>845</t>
        </is>
      </c>
      <c r="Q114" s="16" t="n">
        <v>4.2308</v>
      </c>
      <c r="R114" s="10">
        <f>MAX(MAX(1.4/'Parametros'!$B$3,0.25*SQRT('Parametros'!$B$2)/'Parametros'!$B$3)*H114*U114,(0.85*'Parametros'!$B$2/'Parametros'!$B$3)*(1-SQRT(1-2*(J114*1000000/('Parametros'!$B$5*H114*U114^2))/(0.85*'Parametros'!$B$2)))*H114*U114)</f>
        <v>619.00963241705</v>
      </c>
      <c r="S114" s="17" t="n">
        <v>4</v>
      </c>
      <c r="T114" s="18" t="n">
        <v>1</v>
      </c>
      <c r="U114" s="10">
        <f>IF(T114=1,I114-('Parametros'!$B$7+'Parametros'!$B$9+'Parametros'!$B$12/2),I114-(ROUNDUP(S114/2,0)*('Parametros'!$B$7+'Parametros'!$B$9+'Parametros'!$B$12/2)+ROUNDDOWN(S114/2,0)*('Parametros'!$B$7+'Parametros'!$B$9+'Parametros'!$B$12/2+'Parametros'!$B$12+'Parametros'!$B$10))/S114)</f>
        <v>342.55</v>
      </c>
      <c r="V114" s="10">
        <f>S114*'Parametros'!$B$8</f>
        <v>796</v>
      </c>
      <c r="W114" s="10">
        <f>'Parametros'!$B$5*V114*'Parametros'!$B$3*(U114-(V114*'Parametros'!$B$3/(0.85*'Parametros'!$B$2*H114))/2)/1000000</f>
        <v>96.0248653411765</v>
      </c>
      <c r="X114" s="10" t="str">
        <f>IF(W114&gt;=J114,"CUMPLE","NO CUMPLE")</f>
        <v>CUMPLE</v>
      </c>
      <c r="Y114" s="10">
        <f>MAX(MAX(1.4/'Parametros'!$B$3,0.25*SQRT('Parametros'!$B$2)/'Parametros'!$B$3)*H114*AB114,(0.85*'Parametros'!$B$2/'Parametros'!$B$3)*(1-SQRT(1-2*(L114*1000000/('Parametros'!$B$5*H114*AB114^2))/(0.85*'Parametros'!$B$2)))*H114*AB114)</f>
        <v>490.308943002436</v>
      </c>
      <c r="Z114" s="17" t="n">
        <v>3</v>
      </c>
      <c r="AA114" s="18" t="n">
        <v>1</v>
      </c>
      <c r="AB114" s="10">
        <f>IF(AA114=1,I114-('Parametros'!$B$7+'Parametros'!$B$9+'Parametros'!$B$12/2),I114-(ROUNDUP(Z114/2,0)*('Parametros'!$B$7+'Parametros'!$B$9+'Parametros'!$B$12/2)+ROUNDDOWN(Z114/2,0)*('Parametros'!$B$7+'Parametros'!$B$9+'Parametros'!$B$12/2+'Parametros'!$B$12+'Parametros'!$B$10))/Z114)</f>
        <v>342.55</v>
      </c>
      <c r="AC114" s="10">
        <f>Z114*'Parametros'!$B$8</f>
        <v>597</v>
      </c>
      <c r="AD114" s="10">
        <f>'Parametros'!$B$5*AC114*'Parametros'!$B$3*(AB114-(AC114*'Parametros'!$B$3/(0.85*'Parametros'!$B$2*H114))/2)/1000000</f>
        <v>73.3394588294118</v>
      </c>
      <c r="AE114" s="10" t="str">
        <f>IF(AD114&gt;=L114,"CUMPLE","NO CUMPLE")</f>
        <v>CUMPLE</v>
      </c>
      <c r="AF114" s="10">
        <f>V114*1.25*'Parametros'!$B$3*(U114-(V114*1.25*'Parametros'!$B$3/(0.85*'Parametros'!$B$2*H114))/2)/1000000</f>
        <v>130.921924411765</v>
      </c>
      <c r="AG114" s="10">
        <f>AC114*1.25*'Parametros'!$B$3*(AB114-(AC114*1.25*'Parametros'!$B$3/(0.85*'Parametros'!$B$2*H114))/2)/1000000</f>
        <v>100.484515919118</v>
      </c>
      <c r="AH114" s="10">
        <f>N114+(AF114+AG114)/D114</f>
        <v>106.077568917112</v>
      </c>
      <c r="AI114" s="10">
        <f>MIN(O114,MAX(N114,AH114))</f>
        <v>106.077568917112</v>
      </c>
      <c r="AJ114" s="10">
        <f>0.17*SQRT('Parametros'!$B$2)*H114*MIN(U114,AB114)/1000</f>
        <v>92.4428153837279</v>
      </c>
      <c r="AK114" s="10">
        <f>MAX(AI114/'Parametros'!$B$6-AJ114,0)</f>
        <v>48.9939431724218</v>
      </c>
      <c r="AL114" s="10">
        <f>0.66*SQRT('Parametros'!$B$2)*H114*MIN(U114,AB114)/1000</f>
        <v>358.89563619565</v>
      </c>
      <c r="AM114" s="10" t="str">
        <f>IF(AK114&lt;=AL114,"CUMPLE","NO CUMPLE")</f>
        <v>CUMPLE</v>
      </c>
      <c r="AN114" s="15" t="inlineStr">
        <is>
          <t>Nº3 cerrado</t>
        </is>
      </c>
      <c r="AO114" s="17" t="n">
        <v>2</v>
      </c>
      <c r="AP114" s="10">
        <f>ROUNDDOWN(MIN(IF(AK114=0,1000000000,AO114*'Parametros'!$B$11*'Parametros'!$B$4*MIN(U114,AB114)/(AK114*1000)),IF(AV114=0,1000000000,'Parametros'!$B$11/AV114),MIN(U114,AB114)/4,8*'Parametros'!$B$12,24*'Parametros'!$B$9,300)/10,0)*10</f>
        <v>80</v>
      </c>
      <c r="AQ114" s="10">
        <f>ROUNDDOWN(MIN(IF(AK114=0,1000000000,AO114*'Parametros'!$B$11*'Parametros'!$B$4*MIN(U114,AB114)/(AK114*1000)),IF(AV114=0,1000000000,'Parametros'!$B$11/AV114),MIN(U114,AB114)/2,600)/10,0)*10</f>
        <v>170</v>
      </c>
      <c r="AR114" s="10">
        <f>'Parametros'!$B$6*(AJ114+AO114*'Parametros'!$B$11*'Parametros'!$B$4*MIN(U114,AB114)/AP114/1000)</f>
        <v>260.860380287796</v>
      </c>
      <c r="AS114" s="10" t="str">
        <f>IF(AND(AM114="CUMPLE",AR114&gt;=AI114),"CUMPLE","NO CUMPLE")</f>
        <v>CUMPLE</v>
      </c>
      <c r="AT114" s="10">
        <f>'Parametros'!$B$6*0.083*SQRT('Parametros'!$B$2)*(H114*I114)^2/(2*(H114+I114))/1000000</f>
        <v>3.38807353605471</v>
      </c>
      <c r="AU114" s="10" t="str">
        <f>IF(Q114&lt;=AT114,"DESPRECIABLE","DISEÑAR")</f>
        <v>DISEÑAR</v>
      </c>
      <c r="AV114" s="10">
        <f>IF(Q114&lt;=AT114,0,Q114*1000000/('Parametros'!$B$6*2*0.85*(H114-2*'Parametros'!$B$7)*(I114-2*'Parametros'!$B$7)*'Parametros'!$B$4))</f>
        <v>0.112225193107546</v>
      </c>
      <c r="AW114" s="10">
        <f>AV114*2*((H114-2*'Parametros'!$B$7)+(I114-2*'Parametros'!$B$7))*'Parametros'!$B$4/'Parametros'!$B$3</f>
        <v>121.20320855615</v>
      </c>
      <c r="AX114" s="17" t="n">
        <v>1</v>
      </c>
      <c r="AY114" s="10" t="str">
        <f>IF(AV114=0,"DESPRECIABLE",IF('Parametros'!$B$11/AP114&gt;=AV114,"CUMPLE","NO CUMPLE"))</f>
        <v>CUMPLE</v>
      </c>
      <c r="AZ114" s="10" t="str">
        <f>IF(AND(X114="CUMPLE",AE114="CUMPLE",AS114="CUMPLE",OR(AY114="CUMPLE",AY114="DESPRECIABLE")),IF(OR(F114&lt;&gt;H114,G114&lt;&gt;I114),"CUMPLE - REANALIZAR SAP","CUMPLE"),"NO CUMPLE")</f>
        <v>CUMPLE</v>
      </c>
    </row>
    <row r="115">
      <c r="A115" s="20" t="inlineStr">
        <is>
          <t>VC4</t>
        </is>
      </c>
      <c r="B115" s="20" t="inlineStr">
        <is>
          <t>846</t>
        </is>
      </c>
      <c r="C115" s="10" t="n">
        <v>1</v>
      </c>
      <c r="D115" s="10" t="n">
        <v>3.85</v>
      </c>
      <c r="E115" s="10" t="n">
        <v>3.85</v>
      </c>
      <c r="F115" s="10" t="n">
        <v>300</v>
      </c>
      <c r="G115" s="10" t="n">
        <v>400</v>
      </c>
      <c r="H115" s="15" t="n">
        <v>300</v>
      </c>
      <c r="I115" s="15" t="n">
        <v>400</v>
      </c>
      <c r="J115" s="16" t="n">
        <v>75.913</v>
      </c>
      <c r="K115" s="10" t="inlineStr">
        <is>
          <t>846</t>
        </is>
      </c>
      <c r="L115" s="16" t="n">
        <v>60.802</v>
      </c>
      <c r="M115" s="10" t="inlineStr">
        <is>
          <t>846</t>
        </is>
      </c>
      <c r="N115" s="16" t="n">
        <v>45.965</v>
      </c>
      <c r="O115" s="16" t="n">
        <v>184.249</v>
      </c>
      <c r="P115" s="10" t="inlineStr">
        <is>
          <t>846</t>
        </is>
      </c>
      <c r="Q115" s="16" t="n">
        <v>4.231</v>
      </c>
      <c r="R115" s="10">
        <f>MAX(MAX(1.4/'Parametros'!$B$3,0.25*SQRT('Parametros'!$B$2)/'Parametros'!$B$3)*H115*U115,(0.85*'Parametros'!$B$2/'Parametros'!$B$3)*(1-SQRT(1-2*(J115*1000000/('Parametros'!$B$5*H115*U115^2))/(0.85*'Parametros'!$B$2)))*H115*U115)</f>
        <v>619.192836409861</v>
      </c>
      <c r="S115" s="17" t="n">
        <v>4</v>
      </c>
      <c r="T115" s="18" t="n">
        <v>1</v>
      </c>
      <c r="U115" s="10">
        <f>IF(T115=1,I115-('Parametros'!$B$7+'Parametros'!$B$9+'Parametros'!$B$12/2),I115-(ROUNDUP(S115/2,0)*('Parametros'!$B$7+'Parametros'!$B$9+'Parametros'!$B$12/2)+ROUNDDOWN(S115/2,0)*('Parametros'!$B$7+'Parametros'!$B$9+'Parametros'!$B$12/2+'Parametros'!$B$12+'Parametros'!$B$10))/S115)</f>
        <v>342.55</v>
      </c>
      <c r="V115" s="10">
        <f>S115*'Parametros'!$B$8</f>
        <v>796</v>
      </c>
      <c r="W115" s="10">
        <f>'Parametros'!$B$5*V115*'Parametros'!$B$3*(U115-(V115*'Parametros'!$B$3/(0.85*'Parametros'!$B$2*H115))/2)/1000000</f>
        <v>96.0248653411765</v>
      </c>
      <c r="X115" s="10" t="str">
        <f>IF(W115&gt;=J115,"CUMPLE","NO CUMPLE")</f>
        <v>CUMPLE</v>
      </c>
      <c r="Y115" s="10">
        <f>MAX(MAX(1.4/'Parametros'!$B$3,0.25*SQRT('Parametros'!$B$2)/'Parametros'!$B$3)*H115*AB115,(0.85*'Parametros'!$B$2/'Parametros'!$B$3)*(1-SQRT(1-2*(L115*1000000/('Parametros'!$B$5*H115*AB115^2))/(0.85*'Parametros'!$B$2)))*H115*AB115)</f>
        <v>490.204374804956</v>
      </c>
      <c r="Z115" s="17" t="n">
        <v>3</v>
      </c>
      <c r="AA115" s="18" t="n">
        <v>1</v>
      </c>
      <c r="AB115" s="10">
        <f>IF(AA115=1,I115-('Parametros'!$B$7+'Parametros'!$B$9+'Parametros'!$B$12/2),I115-(ROUNDUP(Z115/2,0)*('Parametros'!$B$7+'Parametros'!$B$9+'Parametros'!$B$12/2)+ROUNDDOWN(Z115/2,0)*('Parametros'!$B$7+'Parametros'!$B$9+'Parametros'!$B$12/2+'Parametros'!$B$12+'Parametros'!$B$10))/Z115)</f>
        <v>342.55</v>
      </c>
      <c r="AC115" s="10">
        <f>Z115*'Parametros'!$B$8</f>
        <v>597</v>
      </c>
      <c r="AD115" s="10">
        <f>'Parametros'!$B$5*AC115*'Parametros'!$B$3*(AB115-(AC115*'Parametros'!$B$3/(0.85*'Parametros'!$B$2*H115))/2)/1000000</f>
        <v>73.3394588294118</v>
      </c>
      <c r="AE115" s="10" t="str">
        <f>IF(AD115&gt;=L115,"CUMPLE","NO CUMPLE")</f>
        <v>CUMPLE</v>
      </c>
      <c r="AF115" s="10">
        <f>V115*1.25*'Parametros'!$B$3*(U115-(V115*1.25*'Parametros'!$B$3/(0.85*'Parametros'!$B$2*H115))/2)/1000000</f>
        <v>130.921924411765</v>
      </c>
      <c r="AG115" s="10">
        <f>AC115*1.25*'Parametros'!$B$3*(AB115-(AC115*1.25*'Parametros'!$B$3/(0.85*'Parametros'!$B$2*H115))/2)/1000000</f>
        <v>100.484515919118</v>
      </c>
      <c r="AH115" s="10">
        <f>N115+(AF115+AG115)/D115</f>
        <v>106.070568917112</v>
      </c>
      <c r="AI115" s="10">
        <f>MIN(O115,MAX(N115,AH115))</f>
        <v>106.070568917112</v>
      </c>
      <c r="AJ115" s="10">
        <f>0.17*SQRT('Parametros'!$B$2)*H115*MIN(U115,AB115)/1000</f>
        <v>92.4428153837279</v>
      </c>
      <c r="AK115" s="10">
        <f>MAX(AI115/'Parametros'!$B$6-AJ115,0)</f>
        <v>48.9846098390885</v>
      </c>
      <c r="AL115" s="10">
        <f>0.66*SQRT('Parametros'!$B$2)*H115*MIN(U115,AB115)/1000</f>
        <v>358.89563619565</v>
      </c>
      <c r="AM115" s="10" t="str">
        <f>IF(AK115&lt;=AL115,"CUMPLE","NO CUMPLE")</f>
        <v>CUMPLE</v>
      </c>
      <c r="AN115" s="15" t="inlineStr">
        <is>
          <t>Nº3 cerrado</t>
        </is>
      </c>
      <c r="AO115" s="17" t="n">
        <v>2</v>
      </c>
      <c r="AP115" s="10">
        <f>ROUNDDOWN(MIN(IF(AK115=0,1000000000,AO115*'Parametros'!$B$11*'Parametros'!$B$4*MIN(U115,AB115)/(AK115*1000)),IF(AV115=0,1000000000,'Parametros'!$B$11/AV115),MIN(U115,AB115)/4,8*'Parametros'!$B$12,24*'Parametros'!$B$9,300)/10,0)*10</f>
        <v>80</v>
      </c>
      <c r="AQ115" s="10">
        <f>ROUNDDOWN(MIN(IF(AK115=0,1000000000,AO115*'Parametros'!$B$11*'Parametros'!$B$4*MIN(U115,AB115)/(AK115*1000)),IF(AV115=0,1000000000,'Parametros'!$B$11/AV115),MIN(U115,AB115)/2,600)/10,0)*10</f>
        <v>170</v>
      </c>
      <c r="AR115" s="10">
        <f>'Parametros'!$B$6*(AJ115+AO115*'Parametros'!$B$11*'Parametros'!$B$4*MIN(U115,AB115)/AP115/1000)</f>
        <v>260.860380287796</v>
      </c>
      <c r="AS115" s="10" t="str">
        <f>IF(AND(AM115="CUMPLE",AR115&gt;=AI115),"CUMPLE","NO CUMPLE")</f>
        <v>CUMPLE</v>
      </c>
      <c r="AT115" s="10">
        <f>'Parametros'!$B$6*0.083*SQRT('Parametros'!$B$2)*(H115*I115)^2/(2*(H115+I115))/1000000</f>
        <v>3.38807353605471</v>
      </c>
      <c r="AU115" s="10" t="str">
        <f>IF(Q115&lt;=AT115,"DESPRECIABLE","DISEÑAR")</f>
        <v>DISEÑAR</v>
      </c>
      <c r="AV115" s="10">
        <f>IF(Q115&lt;=AT115,0,Q115*1000000/('Parametros'!$B$6*2*0.85*(H115-2*'Parametros'!$B$7)*(I115-2*'Parametros'!$B$7)*'Parametros'!$B$4))</f>
        <v>0.11223049825991</v>
      </c>
      <c r="AW115" s="10">
        <f>AV115*2*((H115-2*'Parametros'!$B$7)+(I115-2*'Parametros'!$B$7))*'Parametros'!$B$4/'Parametros'!$B$3</f>
        <v>121.208938120703</v>
      </c>
      <c r="AX115" s="17" t="n">
        <v>1</v>
      </c>
      <c r="AY115" s="10" t="str">
        <f>IF(AV115=0,"DESPRECIABLE",IF('Parametros'!$B$11/AP115&gt;=AV115,"CUMPLE","NO CUMPLE"))</f>
        <v>CUMPLE</v>
      </c>
      <c r="AZ115" s="10" t="str">
        <f>IF(AND(X115="CUMPLE",AE115="CUMPLE",AS115="CUMPLE",OR(AY115="CUMPLE",AY115="DESPRECIABLE")),IF(OR(F115&lt;&gt;H115,G115&lt;&gt;I115),"CUMPLE - REANALIZAR SAP","CUMPLE"),"NO CUMPLE")</f>
        <v>CUMPLE</v>
      </c>
    </row>
    <row r="116">
      <c r="A116" s="20" t="inlineStr">
        <is>
          <t>VC4</t>
        </is>
      </c>
      <c r="B116" s="20" t="inlineStr">
        <is>
          <t>913</t>
        </is>
      </c>
      <c r="C116" s="10" t="n">
        <v>1</v>
      </c>
      <c r="D116" s="10" t="n">
        <v>3.85</v>
      </c>
      <c r="E116" s="10" t="n">
        <v>3.85</v>
      </c>
      <c r="F116" s="10" t="n">
        <v>300</v>
      </c>
      <c r="G116" s="10" t="n">
        <v>400</v>
      </c>
      <c r="H116" s="15" t="n">
        <v>300</v>
      </c>
      <c r="I116" s="15" t="n">
        <v>400</v>
      </c>
      <c r="J116" s="16" t="n">
        <v>51.2818</v>
      </c>
      <c r="K116" s="10" t="inlineStr">
        <is>
          <t>913</t>
        </is>
      </c>
      <c r="L116" s="16" t="n">
        <v>37.5166</v>
      </c>
      <c r="M116" s="10" t="inlineStr">
        <is>
          <t>913</t>
        </is>
      </c>
      <c r="N116" s="16" t="n">
        <v>34.156</v>
      </c>
      <c r="O116" s="16" t="n">
        <v>122.423</v>
      </c>
      <c r="P116" s="10" t="inlineStr">
        <is>
          <t>913</t>
        </is>
      </c>
      <c r="Q116" s="16" t="n">
        <v>2.6697</v>
      </c>
      <c r="R116" s="10">
        <f>MAX(MAX(1.4/'Parametros'!$B$3,0.25*SQRT('Parametros'!$B$2)/'Parametros'!$B$3)*H116*U116,(0.85*'Parametros'!$B$2/'Parametros'!$B$3)*(1-SQRT(1-2*(J116*1000000/('Parametros'!$B$5*H116*U116^2))/(0.85*'Parametros'!$B$2)))*H116*U116)</f>
        <v>410.517419432657</v>
      </c>
      <c r="S116" s="17" t="n">
        <v>3</v>
      </c>
      <c r="T116" s="18" t="n">
        <v>1</v>
      </c>
      <c r="U116" s="10">
        <f>IF(T116=1,I116-('Parametros'!$B$7+'Parametros'!$B$9+'Parametros'!$B$12/2),I116-(ROUNDUP(S116/2,0)*('Parametros'!$B$7+'Parametros'!$B$9+'Parametros'!$B$12/2)+ROUNDDOWN(S116/2,0)*('Parametros'!$B$7+'Parametros'!$B$9+'Parametros'!$B$12/2+'Parametros'!$B$12+'Parametros'!$B$10))/S116)</f>
        <v>342.55</v>
      </c>
      <c r="V116" s="10">
        <f>S116*'Parametros'!$B$8</f>
        <v>597</v>
      </c>
      <c r="W116" s="10">
        <f>'Parametros'!$B$5*V116*'Parametros'!$B$3*(U116-(V116*'Parametros'!$B$3/(0.85*'Parametros'!$B$2*H116))/2)/1000000</f>
        <v>73.3394588294118</v>
      </c>
      <c r="X116" s="10" t="str">
        <f>IF(W116&gt;=J116,"CUMPLE","NO CUMPLE")</f>
        <v>CUMPLE</v>
      </c>
      <c r="Y116" s="10">
        <f>MAX(MAX(1.4/'Parametros'!$B$3,0.25*SQRT('Parametros'!$B$2)/'Parametros'!$B$3)*H116*AB116,(0.85*'Parametros'!$B$2/'Parametros'!$B$3)*(1-SQRT(1-2*(L116*1000000/('Parametros'!$B$5*H116*AB116^2))/(0.85*'Parametros'!$B$2)))*H116*AB116)</f>
        <v>342.55</v>
      </c>
      <c r="Z116" s="17" t="n">
        <v>2</v>
      </c>
      <c r="AA116" s="18" t="n">
        <v>1</v>
      </c>
      <c r="AB116" s="10">
        <f>IF(AA116=1,I116-('Parametros'!$B$7+'Parametros'!$B$9+'Parametros'!$B$12/2),I116-(ROUNDUP(Z116/2,0)*('Parametros'!$B$7+'Parametros'!$B$9+'Parametros'!$B$12/2)+ROUNDDOWN(Z116/2,0)*('Parametros'!$B$7+'Parametros'!$B$9+'Parametros'!$B$12/2+'Parametros'!$B$12+'Parametros'!$B$10))/Z116)</f>
        <v>342.55</v>
      </c>
      <c r="AC116" s="10">
        <f>Z116*'Parametros'!$B$8</f>
        <v>398</v>
      </c>
      <c r="AD116" s="10">
        <f>'Parametros'!$B$5*AC116*'Parametros'!$B$3*(AB116-(AC116*'Parametros'!$B$3/(0.85*'Parametros'!$B$2*H116))/2)/1000000</f>
        <v>49.7735124352941</v>
      </c>
      <c r="AE116" s="10" t="str">
        <f>IF(AD116&gt;=L116,"CUMPLE","NO CUMPLE")</f>
        <v>CUMPLE</v>
      </c>
      <c r="AF116" s="10">
        <f>V116*1.25*'Parametros'!$B$3*(U116-(V116*1.25*'Parametros'!$B$3/(0.85*'Parametros'!$B$2*H116))/2)/1000000</f>
        <v>100.484515919118</v>
      </c>
      <c r="AG116" s="10">
        <f>AC116*1.25*'Parametros'!$B$3*(AB116-(AC116*1.25*'Parametros'!$B$3/(0.85*'Parametros'!$B$2*H116))/2)/1000000</f>
        <v>68.5183923529412</v>
      </c>
      <c r="AH116" s="10">
        <f>N116+(AF116+AG116)/D116</f>
        <v>78.0528592914439</v>
      </c>
      <c r="AI116" s="10">
        <f>MIN(O116,MAX(N116,AH116))</f>
        <v>78.0528592914439</v>
      </c>
      <c r="AJ116" s="10">
        <f>0.17*SQRT('Parametros'!$B$2)*H116*MIN(U116,AB116)/1000</f>
        <v>92.4428153837279</v>
      </c>
      <c r="AK116" s="10">
        <f>MAX(AI116/'Parametros'!$B$6-AJ116,0)</f>
        <v>11.6276636715306</v>
      </c>
      <c r="AL116" s="10">
        <f>0.66*SQRT('Parametros'!$B$2)*H116*MIN(U116,AB116)/1000</f>
        <v>358.89563619565</v>
      </c>
      <c r="AM116" s="10" t="str">
        <f>IF(AK116&lt;=AL116,"CUMPLE","NO CUMPLE")</f>
        <v>CUMPLE</v>
      </c>
      <c r="AN116" s="15" t="inlineStr">
        <is>
          <t>Nº3 cerrado</t>
        </is>
      </c>
      <c r="AO116" s="17" t="n">
        <v>2</v>
      </c>
      <c r="AP116" s="10">
        <f>ROUNDDOWN(MIN(IF(AK116=0,1000000000,AO116*'Parametros'!$B$11*'Parametros'!$B$4*MIN(U116,AB116)/(AK116*1000)),IF(AV116=0,1000000000,'Parametros'!$B$11/AV116),MIN(U116,AB116)/4,8*'Parametros'!$B$12,24*'Parametros'!$B$9,300)/10,0)*10</f>
        <v>80</v>
      </c>
      <c r="AQ116" s="10">
        <f>ROUNDDOWN(MIN(IF(AK116=0,1000000000,AO116*'Parametros'!$B$11*'Parametros'!$B$4*MIN(U116,AB116)/(AK116*1000)),IF(AV116=0,1000000000,'Parametros'!$B$11/AV116),MIN(U116,AB116)/2,600)/10,0)*10</f>
        <v>170</v>
      </c>
      <c r="AR116" s="10">
        <f>'Parametros'!$B$6*(AJ116+AO116*'Parametros'!$B$11*'Parametros'!$B$4*MIN(U116,AB116)/AP116/1000)</f>
        <v>260.860380287796</v>
      </c>
      <c r="AS116" s="10" t="str">
        <f>IF(AND(AM116="CUMPLE",AR116&gt;=AI116),"CUMPLE","NO CUMPLE")</f>
        <v>CUMPLE</v>
      </c>
      <c r="AT116" s="10">
        <f>'Parametros'!$B$6*0.083*SQRT('Parametros'!$B$2)*(H116*I116)^2/(2*(H116+I116))/1000000</f>
        <v>3.38807353605471</v>
      </c>
      <c r="AU116" s="10" t="str">
        <f>IF(Q116&lt;=AT116,"DESPRECIABLE","DISEÑAR")</f>
        <v>DESPRECIABLE</v>
      </c>
      <c r="AV116" s="10">
        <f>IF(Q116&lt;=AT116,0,Q116*1000000/('Parametros'!$B$6*2*0.85*(H116-2*'Parametros'!$B$7)*(I116-2*'Parametros'!$B$7)*'Parametros'!$B$4))</f>
        <v>0</v>
      </c>
      <c r="AW116" s="10">
        <f>AV116*2*((H116-2*'Parametros'!$B$7)+(I116-2*'Parametros'!$B$7))*'Parametros'!$B$4/'Parametros'!$B$3</f>
        <v>0</v>
      </c>
      <c r="AX116" s="17" t="n">
        <v>0</v>
      </c>
      <c r="AY116" s="10" t="str">
        <f>IF(AV116=0,"DESPRECIABLE",IF('Parametros'!$B$11/AP116&gt;=AV116,"CUMPLE","NO CUMPLE"))</f>
        <v>DESPRECIABLE</v>
      </c>
      <c r="AZ116" s="10" t="str">
        <f>IF(AND(X116="CUMPLE",AE116="CUMPLE",AS116="CUMPLE",OR(AY116="CUMPLE",AY116="DESPRECIABLE")),IF(OR(F116&lt;&gt;H116,G116&lt;&gt;I116),"CUMPLE - REANALIZAR SAP","CUMPLE"),"NO CUMPLE")</f>
        <v>CUMPLE</v>
      </c>
    </row>
    <row r="117">
      <c r="A117" s="20" t="inlineStr">
        <is>
          <t>VC4</t>
        </is>
      </c>
      <c r="B117" s="20" t="inlineStr">
        <is>
          <t>914</t>
        </is>
      </c>
      <c r="C117" s="10" t="n">
        <v>1</v>
      </c>
      <c r="D117" s="10" t="n">
        <v>3.85</v>
      </c>
      <c r="E117" s="10" t="n">
        <v>3.85</v>
      </c>
      <c r="F117" s="10" t="n">
        <v>300</v>
      </c>
      <c r="G117" s="10" t="n">
        <v>400</v>
      </c>
      <c r="H117" s="15" t="n">
        <v>300</v>
      </c>
      <c r="I117" s="15" t="n">
        <v>400</v>
      </c>
      <c r="J117" s="16" t="n">
        <v>51.301</v>
      </c>
      <c r="K117" s="10" t="inlineStr">
        <is>
          <t>914</t>
        </is>
      </c>
      <c r="L117" s="16" t="n">
        <v>37.5334</v>
      </c>
      <c r="M117" s="10" t="inlineStr">
        <is>
          <t>914</t>
        </is>
      </c>
      <c r="N117" s="16" t="n">
        <v>34.167</v>
      </c>
      <c r="O117" s="16" t="n">
        <v>122.435</v>
      </c>
      <c r="P117" s="10" t="inlineStr">
        <is>
          <t>914</t>
        </is>
      </c>
      <c r="Q117" s="16" t="n">
        <v>2.6697</v>
      </c>
      <c r="R117" s="10">
        <f>MAX(MAX(1.4/'Parametros'!$B$3,0.25*SQRT('Parametros'!$B$2)/'Parametros'!$B$3)*H117*U117,(0.85*'Parametros'!$B$2/'Parametros'!$B$3)*(1-SQRT(1-2*(J117*1000000/('Parametros'!$B$5*H117*U117^2))/(0.85*'Parametros'!$B$2)))*H117*U117)</f>
        <v>410.676948621011</v>
      </c>
      <c r="S117" s="17" t="n">
        <v>3</v>
      </c>
      <c r="T117" s="18" t="n">
        <v>1</v>
      </c>
      <c r="U117" s="10">
        <f>IF(T117=1,I117-('Parametros'!$B$7+'Parametros'!$B$9+'Parametros'!$B$12/2),I117-(ROUNDUP(S117/2,0)*('Parametros'!$B$7+'Parametros'!$B$9+'Parametros'!$B$12/2)+ROUNDDOWN(S117/2,0)*('Parametros'!$B$7+'Parametros'!$B$9+'Parametros'!$B$12/2+'Parametros'!$B$12+'Parametros'!$B$10))/S117)</f>
        <v>342.55</v>
      </c>
      <c r="V117" s="10">
        <f>S117*'Parametros'!$B$8</f>
        <v>597</v>
      </c>
      <c r="W117" s="10">
        <f>'Parametros'!$B$5*V117*'Parametros'!$B$3*(U117-(V117*'Parametros'!$B$3/(0.85*'Parametros'!$B$2*H117))/2)/1000000</f>
        <v>73.3394588294118</v>
      </c>
      <c r="X117" s="10" t="str">
        <f>IF(W117&gt;=J117,"CUMPLE","NO CUMPLE")</f>
        <v>CUMPLE</v>
      </c>
      <c r="Y117" s="10">
        <f>MAX(MAX(1.4/'Parametros'!$B$3,0.25*SQRT('Parametros'!$B$2)/'Parametros'!$B$3)*H117*AB117,(0.85*'Parametros'!$B$2/'Parametros'!$B$3)*(1-SQRT(1-2*(L117*1000000/('Parametros'!$B$5*H117*AB117^2))/(0.85*'Parametros'!$B$2)))*H117*AB117)</f>
        <v>342.55</v>
      </c>
      <c r="Z117" s="17" t="n">
        <v>2</v>
      </c>
      <c r="AA117" s="18" t="n">
        <v>1</v>
      </c>
      <c r="AB117" s="10">
        <f>IF(AA117=1,I117-('Parametros'!$B$7+'Parametros'!$B$9+'Parametros'!$B$12/2),I117-(ROUNDUP(Z117/2,0)*('Parametros'!$B$7+'Parametros'!$B$9+'Parametros'!$B$12/2)+ROUNDDOWN(Z117/2,0)*('Parametros'!$B$7+'Parametros'!$B$9+'Parametros'!$B$12/2+'Parametros'!$B$12+'Parametros'!$B$10))/Z117)</f>
        <v>342.55</v>
      </c>
      <c r="AC117" s="10">
        <f>Z117*'Parametros'!$B$8</f>
        <v>398</v>
      </c>
      <c r="AD117" s="10">
        <f>'Parametros'!$B$5*AC117*'Parametros'!$B$3*(AB117-(AC117*'Parametros'!$B$3/(0.85*'Parametros'!$B$2*H117))/2)/1000000</f>
        <v>49.7735124352941</v>
      </c>
      <c r="AE117" s="10" t="str">
        <f>IF(AD117&gt;=L117,"CUMPLE","NO CUMPLE")</f>
        <v>CUMPLE</v>
      </c>
      <c r="AF117" s="10">
        <f>V117*1.25*'Parametros'!$B$3*(U117-(V117*1.25*'Parametros'!$B$3/(0.85*'Parametros'!$B$2*H117))/2)/1000000</f>
        <v>100.484515919118</v>
      </c>
      <c r="AG117" s="10">
        <f>AC117*1.25*'Parametros'!$B$3*(AB117-(AC117*1.25*'Parametros'!$B$3/(0.85*'Parametros'!$B$2*H117))/2)/1000000</f>
        <v>68.5183923529412</v>
      </c>
      <c r="AH117" s="10">
        <f>N117+(AF117+AG117)/D117</f>
        <v>78.0638592914439</v>
      </c>
      <c r="AI117" s="10">
        <f>MIN(O117,MAX(N117,AH117))</f>
        <v>78.0638592914439</v>
      </c>
      <c r="AJ117" s="10">
        <f>0.17*SQRT('Parametros'!$B$2)*H117*MIN(U117,AB117)/1000</f>
        <v>92.4428153837279</v>
      </c>
      <c r="AK117" s="10">
        <f>MAX(AI117/'Parametros'!$B$6-AJ117,0)</f>
        <v>11.6423303381972</v>
      </c>
      <c r="AL117" s="10">
        <f>0.66*SQRT('Parametros'!$B$2)*H117*MIN(U117,AB117)/1000</f>
        <v>358.89563619565</v>
      </c>
      <c r="AM117" s="10" t="str">
        <f>IF(AK117&lt;=AL117,"CUMPLE","NO CUMPLE")</f>
        <v>CUMPLE</v>
      </c>
      <c r="AN117" s="15" t="inlineStr">
        <is>
          <t>Nº3 cerrado</t>
        </is>
      </c>
      <c r="AO117" s="17" t="n">
        <v>2</v>
      </c>
      <c r="AP117" s="10">
        <f>ROUNDDOWN(MIN(IF(AK117=0,1000000000,AO117*'Parametros'!$B$11*'Parametros'!$B$4*MIN(U117,AB117)/(AK117*1000)),IF(AV117=0,1000000000,'Parametros'!$B$11/AV117),MIN(U117,AB117)/4,8*'Parametros'!$B$12,24*'Parametros'!$B$9,300)/10,0)*10</f>
        <v>80</v>
      </c>
      <c r="AQ117" s="10">
        <f>ROUNDDOWN(MIN(IF(AK117=0,1000000000,AO117*'Parametros'!$B$11*'Parametros'!$B$4*MIN(U117,AB117)/(AK117*1000)),IF(AV117=0,1000000000,'Parametros'!$B$11/AV117),MIN(U117,AB117)/2,600)/10,0)*10</f>
        <v>170</v>
      </c>
      <c r="AR117" s="10">
        <f>'Parametros'!$B$6*(AJ117+AO117*'Parametros'!$B$11*'Parametros'!$B$4*MIN(U117,AB117)/AP117/1000)</f>
        <v>260.860380287796</v>
      </c>
      <c r="AS117" s="10" t="str">
        <f>IF(AND(AM117="CUMPLE",AR117&gt;=AI117),"CUMPLE","NO CUMPLE")</f>
        <v>CUMPLE</v>
      </c>
      <c r="AT117" s="10">
        <f>'Parametros'!$B$6*0.083*SQRT('Parametros'!$B$2)*(H117*I117)^2/(2*(H117+I117))/1000000</f>
        <v>3.38807353605471</v>
      </c>
      <c r="AU117" s="10" t="str">
        <f>IF(Q117&lt;=AT117,"DESPRECIABLE","DISEÑAR")</f>
        <v>DESPRECIABLE</v>
      </c>
      <c r="AV117" s="10">
        <f>IF(Q117&lt;=AT117,0,Q117*1000000/('Parametros'!$B$6*2*0.85*(H117-2*'Parametros'!$B$7)*(I117-2*'Parametros'!$B$7)*'Parametros'!$B$4))</f>
        <v>0</v>
      </c>
      <c r="AW117" s="10">
        <f>AV117*2*((H117-2*'Parametros'!$B$7)+(I117-2*'Parametros'!$B$7))*'Parametros'!$B$4/'Parametros'!$B$3</f>
        <v>0</v>
      </c>
      <c r="AX117" s="17" t="n">
        <v>0</v>
      </c>
      <c r="AY117" s="10" t="str">
        <f>IF(AV117=0,"DESPRECIABLE",IF('Parametros'!$B$11/AP117&gt;=AV117,"CUMPLE","NO CUMPLE"))</f>
        <v>DESPRECIABLE</v>
      </c>
      <c r="AZ117" s="10" t="str">
        <f>IF(AND(X117="CUMPLE",AE117="CUMPLE",AS117="CUMPLE",OR(AY117="CUMPLE",AY117="DESPRECIABLE")),IF(OR(F117&lt;&gt;H117,G117&lt;&gt;I117),"CUMPLE - REANALIZAR SAP","CUMPLE"),"NO CUMPLE")</f>
        <v>CUMPLE</v>
      </c>
    </row>
    <row r="118">
      <c r="A118" s="20" t="inlineStr">
        <is>
          <t>VC4</t>
        </is>
      </c>
      <c r="B118" s="20" t="inlineStr">
        <is>
          <t>939</t>
        </is>
      </c>
      <c r="C118" s="10" t="n">
        <v>1</v>
      </c>
      <c r="D118" s="10" t="n">
        <v>3.85</v>
      </c>
      <c r="E118" s="10" t="n">
        <v>3.85</v>
      </c>
      <c r="F118" s="10" t="n">
        <v>300</v>
      </c>
      <c r="G118" s="10" t="n">
        <v>400</v>
      </c>
      <c r="H118" s="15" t="n">
        <v>300</v>
      </c>
      <c r="I118" s="15" t="n">
        <v>400</v>
      </c>
      <c r="J118" s="16" t="n">
        <v>51.3095</v>
      </c>
      <c r="K118" s="10" t="inlineStr">
        <is>
          <t>939</t>
        </is>
      </c>
      <c r="L118" s="16" t="n">
        <v>37.53</v>
      </c>
      <c r="M118" s="10" t="inlineStr">
        <is>
          <t>939</t>
        </is>
      </c>
      <c r="N118" s="16" t="n">
        <v>34.177</v>
      </c>
      <c r="O118" s="16" t="n">
        <v>122.451</v>
      </c>
      <c r="P118" s="10" t="inlineStr">
        <is>
          <t>939</t>
        </is>
      </c>
      <c r="Q118" s="16" t="n">
        <v>2.673</v>
      </c>
      <c r="R118" s="10">
        <f>MAX(MAX(1.4/'Parametros'!$B$3,0.25*SQRT('Parametros'!$B$2)/'Parametros'!$B$3)*H118*U118,(0.85*'Parametros'!$B$2/'Parametros'!$B$3)*(1-SQRT(1-2*(J118*1000000/('Parametros'!$B$5*H118*U118^2))/(0.85*'Parametros'!$B$2)))*H118*U118)</f>
        <v>410.747575023657</v>
      </c>
      <c r="S118" s="17" t="n">
        <v>3</v>
      </c>
      <c r="T118" s="18" t="n">
        <v>1</v>
      </c>
      <c r="U118" s="10">
        <f>IF(T118=1,I118-('Parametros'!$B$7+'Parametros'!$B$9+'Parametros'!$B$12/2),I118-(ROUNDUP(S118/2,0)*('Parametros'!$B$7+'Parametros'!$B$9+'Parametros'!$B$12/2)+ROUNDDOWN(S118/2,0)*('Parametros'!$B$7+'Parametros'!$B$9+'Parametros'!$B$12/2+'Parametros'!$B$12+'Parametros'!$B$10))/S118)</f>
        <v>342.55</v>
      </c>
      <c r="V118" s="10">
        <f>S118*'Parametros'!$B$8</f>
        <v>597</v>
      </c>
      <c r="W118" s="10">
        <f>'Parametros'!$B$5*V118*'Parametros'!$B$3*(U118-(V118*'Parametros'!$B$3/(0.85*'Parametros'!$B$2*H118))/2)/1000000</f>
        <v>73.3394588294118</v>
      </c>
      <c r="X118" s="10" t="str">
        <f>IF(W118&gt;=J118,"CUMPLE","NO CUMPLE")</f>
        <v>CUMPLE</v>
      </c>
      <c r="Y118" s="10">
        <f>MAX(MAX(1.4/'Parametros'!$B$3,0.25*SQRT('Parametros'!$B$2)/'Parametros'!$B$3)*H118*AB118,(0.85*'Parametros'!$B$2/'Parametros'!$B$3)*(1-SQRT(1-2*(L118*1000000/('Parametros'!$B$5*H118*AB118^2))/(0.85*'Parametros'!$B$2)))*H118*AB118)</f>
        <v>342.55</v>
      </c>
      <c r="Z118" s="17" t="n">
        <v>2</v>
      </c>
      <c r="AA118" s="18" t="n">
        <v>1</v>
      </c>
      <c r="AB118" s="10">
        <f>IF(AA118=1,I118-('Parametros'!$B$7+'Parametros'!$B$9+'Parametros'!$B$12/2),I118-(ROUNDUP(Z118/2,0)*('Parametros'!$B$7+'Parametros'!$B$9+'Parametros'!$B$12/2)+ROUNDDOWN(Z118/2,0)*('Parametros'!$B$7+'Parametros'!$B$9+'Parametros'!$B$12/2+'Parametros'!$B$12+'Parametros'!$B$10))/Z118)</f>
        <v>342.55</v>
      </c>
      <c r="AC118" s="10">
        <f>Z118*'Parametros'!$B$8</f>
        <v>398</v>
      </c>
      <c r="AD118" s="10">
        <f>'Parametros'!$B$5*AC118*'Parametros'!$B$3*(AB118-(AC118*'Parametros'!$B$3/(0.85*'Parametros'!$B$2*H118))/2)/1000000</f>
        <v>49.7735124352941</v>
      </c>
      <c r="AE118" s="10" t="str">
        <f>IF(AD118&gt;=L118,"CUMPLE","NO CUMPLE")</f>
        <v>CUMPLE</v>
      </c>
      <c r="AF118" s="10">
        <f>V118*1.25*'Parametros'!$B$3*(U118-(V118*1.25*'Parametros'!$B$3/(0.85*'Parametros'!$B$2*H118))/2)/1000000</f>
        <v>100.484515919118</v>
      </c>
      <c r="AG118" s="10">
        <f>AC118*1.25*'Parametros'!$B$3*(AB118-(AC118*1.25*'Parametros'!$B$3/(0.85*'Parametros'!$B$2*H118))/2)/1000000</f>
        <v>68.5183923529412</v>
      </c>
      <c r="AH118" s="10">
        <f>N118+(AF118+AG118)/D118</f>
        <v>78.0738592914439</v>
      </c>
      <c r="AI118" s="10">
        <f>MIN(O118,MAX(N118,AH118))</f>
        <v>78.0738592914439</v>
      </c>
      <c r="AJ118" s="10">
        <f>0.17*SQRT('Parametros'!$B$2)*H118*MIN(U118,AB118)/1000</f>
        <v>92.4428153837279</v>
      </c>
      <c r="AK118" s="10">
        <f>MAX(AI118/'Parametros'!$B$6-AJ118,0)</f>
        <v>11.6556636715305</v>
      </c>
      <c r="AL118" s="10">
        <f>0.66*SQRT('Parametros'!$B$2)*H118*MIN(U118,AB118)/1000</f>
        <v>358.89563619565</v>
      </c>
      <c r="AM118" s="10" t="str">
        <f>IF(AK118&lt;=AL118,"CUMPLE","NO CUMPLE")</f>
        <v>CUMPLE</v>
      </c>
      <c r="AN118" s="15" t="inlineStr">
        <is>
          <t>Nº3 cerrado</t>
        </is>
      </c>
      <c r="AO118" s="17" t="n">
        <v>2</v>
      </c>
      <c r="AP118" s="10">
        <f>ROUNDDOWN(MIN(IF(AK118=0,1000000000,AO118*'Parametros'!$B$11*'Parametros'!$B$4*MIN(U118,AB118)/(AK118*1000)),IF(AV118=0,1000000000,'Parametros'!$B$11/AV118),MIN(U118,AB118)/4,8*'Parametros'!$B$12,24*'Parametros'!$B$9,300)/10,0)*10</f>
        <v>80</v>
      </c>
      <c r="AQ118" s="10">
        <f>ROUNDDOWN(MIN(IF(AK118=0,1000000000,AO118*'Parametros'!$B$11*'Parametros'!$B$4*MIN(U118,AB118)/(AK118*1000)),IF(AV118=0,1000000000,'Parametros'!$B$11/AV118),MIN(U118,AB118)/2,600)/10,0)*10</f>
        <v>170</v>
      </c>
      <c r="AR118" s="10">
        <f>'Parametros'!$B$6*(AJ118+AO118*'Parametros'!$B$11*'Parametros'!$B$4*MIN(U118,AB118)/AP118/1000)</f>
        <v>260.860380287796</v>
      </c>
      <c r="AS118" s="10" t="str">
        <f>IF(AND(AM118="CUMPLE",AR118&gt;=AI118),"CUMPLE","NO CUMPLE")</f>
        <v>CUMPLE</v>
      </c>
      <c r="AT118" s="10">
        <f>'Parametros'!$B$6*0.083*SQRT('Parametros'!$B$2)*(H118*I118)^2/(2*(H118+I118))/1000000</f>
        <v>3.38807353605471</v>
      </c>
      <c r="AU118" s="10" t="str">
        <f>IF(Q118&lt;=AT118,"DESPRECIABLE","DISEÑAR")</f>
        <v>DESPRECIABLE</v>
      </c>
      <c r="AV118" s="10">
        <f>IF(Q118&lt;=AT118,0,Q118*1000000/('Parametros'!$B$6*2*0.85*(H118-2*'Parametros'!$B$7)*(I118-2*'Parametros'!$B$7)*'Parametros'!$B$4))</f>
        <v>0</v>
      </c>
      <c r="AW118" s="10">
        <f>AV118*2*((H118-2*'Parametros'!$B$7)+(I118-2*'Parametros'!$B$7))*'Parametros'!$B$4/'Parametros'!$B$3</f>
        <v>0</v>
      </c>
      <c r="AX118" s="17" t="n">
        <v>0</v>
      </c>
      <c r="AY118" s="10" t="str">
        <f>IF(AV118=0,"DESPRECIABLE",IF('Parametros'!$B$11/AP118&gt;=AV118,"CUMPLE","NO CUMPLE"))</f>
        <v>DESPRECIABLE</v>
      </c>
      <c r="AZ118" s="10" t="str">
        <f>IF(AND(X118="CUMPLE",AE118="CUMPLE",AS118="CUMPLE",OR(AY118="CUMPLE",AY118="DESPRECIABLE")),IF(OR(F118&lt;&gt;H118,G118&lt;&gt;I118),"CUMPLE - REANALIZAR SAP","CUMPLE"),"NO CUMPLE")</f>
        <v>CUMPLE</v>
      </c>
    </row>
    <row r="119">
      <c r="A119" s="20" t="inlineStr">
        <is>
          <t>VC4</t>
        </is>
      </c>
      <c r="B119" s="20" t="inlineStr">
        <is>
          <t>940</t>
        </is>
      </c>
      <c r="C119" s="10" t="n">
        <v>1</v>
      </c>
      <c r="D119" s="10" t="n">
        <v>3.85</v>
      </c>
      <c r="E119" s="10" t="n">
        <v>3.85</v>
      </c>
      <c r="F119" s="10" t="n">
        <v>300</v>
      </c>
      <c r="G119" s="10" t="n">
        <v>400</v>
      </c>
      <c r="H119" s="15" t="n">
        <v>300</v>
      </c>
      <c r="I119" s="15" t="n">
        <v>400</v>
      </c>
      <c r="J119" s="16" t="n">
        <v>51.3011</v>
      </c>
      <c r="K119" s="10" t="inlineStr">
        <is>
          <t>940</t>
        </is>
      </c>
      <c r="L119" s="16" t="n">
        <v>37.5206</v>
      </c>
      <c r="M119" s="10" t="inlineStr">
        <is>
          <t>940</t>
        </is>
      </c>
      <c r="N119" s="16" t="n">
        <v>34.171</v>
      </c>
      <c r="O119" s="16" t="n">
        <v>122.446</v>
      </c>
      <c r="P119" s="10" t="inlineStr">
        <is>
          <t>940</t>
        </is>
      </c>
      <c r="Q119" s="16" t="n">
        <v>2.6733</v>
      </c>
      <c r="R119" s="10">
        <f>MAX(MAX(1.4/'Parametros'!$B$3,0.25*SQRT('Parametros'!$B$2)/'Parametros'!$B$3)*H119*U119,(0.85*'Parametros'!$B$2/'Parametros'!$B$3)*(1-SQRT(1-2*(J119*1000000/('Parametros'!$B$5*H119*U119^2))/(0.85*'Parametros'!$B$2)))*H119*U119)</f>
        <v>410.677779514508</v>
      </c>
      <c r="S119" s="17" t="n">
        <v>3</v>
      </c>
      <c r="T119" s="18" t="n">
        <v>1</v>
      </c>
      <c r="U119" s="10">
        <f>IF(T119=1,I119-('Parametros'!$B$7+'Parametros'!$B$9+'Parametros'!$B$12/2),I119-(ROUNDUP(S119/2,0)*('Parametros'!$B$7+'Parametros'!$B$9+'Parametros'!$B$12/2)+ROUNDDOWN(S119/2,0)*('Parametros'!$B$7+'Parametros'!$B$9+'Parametros'!$B$12/2+'Parametros'!$B$12+'Parametros'!$B$10))/S119)</f>
        <v>342.55</v>
      </c>
      <c r="V119" s="10">
        <f>S119*'Parametros'!$B$8</f>
        <v>597</v>
      </c>
      <c r="W119" s="10">
        <f>'Parametros'!$B$5*V119*'Parametros'!$B$3*(U119-(V119*'Parametros'!$B$3/(0.85*'Parametros'!$B$2*H119))/2)/1000000</f>
        <v>73.3394588294118</v>
      </c>
      <c r="X119" s="10" t="str">
        <f>IF(W119&gt;=J119,"CUMPLE","NO CUMPLE")</f>
        <v>CUMPLE</v>
      </c>
      <c r="Y119" s="10">
        <f>MAX(MAX(1.4/'Parametros'!$B$3,0.25*SQRT('Parametros'!$B$2)/'Parametros'!$B$3)*H119*AB119,(0.85*'Parametros'!$B$2/'Parametros'!$B$3)*(1-SQRT(1-2*(L119*1000000/('Parametros'!$B$5*H119*AB119^2))/(0.85*'Parametros'!$B$2)))*H119*AB119)</f>
        <v>342.55</v>
      </c>
      <c r="Z119" s="17" t="n">
        <v>2</v>
      </c>
      <c r="AA119" s="18" t="n">
        <v>1</v>
      </c>
      <c r="AB119" s="10">
        <f>IF(AA119=1,I119-('Parametros'!$B$7+'Parametros'!$B$9+'Parametros'!$B$12/2),I119-(ROUNDUP(Z119/2,0)*('Parametros'!$B$7+'Parametros'!$B$9+'Parametros'!$B$12/2)+ROUNDDOWN(Z119/2,0)*('Parametros'!$B$7+'Parametros'!$B$9+'Parametros'!$B$12/2+'Parametros'!$B$12+'Parametros'!$B$10))/Z119)</f>
        <v>342.55</v>
      </c>
      <c r="AC119" s="10">
        <f>Z119*'Parametros'!$B$8</f>
        <v>398</v>
      </c>
      <c r="AD119" s="10">
        <f>'Parametros'!$B$5*AC119*'Parametros'!$B$3*(AB119-(AC119*'Parametros'!$B$3/(0.85*'Parametros'!$B$2*H119))/2)/1000000</f>
        <v>49.7735124352941</v>
      </c>
      <c r="AE119" s="10" t="str">
        <f>IF(AD119&gt;=L119,"CUMPLE","NO CUMPLE")</f>
        <v>CUMPLE</v>
      </c>
      <c r="AF119" s="10">
        <f>V119*1.25*'Parametros'!$B$3*(U119-(V119*1.25*'Parametros'!$B$3/(0.85*'Parametros'!$B$2*H119))/2)/1000000</f>
        <v>100.484515919118</v>
      </c>
      <c r="AG119" s="10">
        <f>AC119*1.25*'Parametros'!$B$3*(AB119-(AC119*1.25*'Parametros'!$B$3/(0.85*'Parametros'!$B$2*H119))/2)/1000000</f>
        <v>68.5183923529412</v>
      </c>
      <c r="AH119" s="10">
        <f>N119+(AF119+AG119)/D119</f>
        <v>78.0678592914439</v>
      </c>
      <c r="AI119" s="10">
        <f>MIN(O119,MAX(N119,AH119))</f>
        <v>78.0678592914439</v>
      </c>
      <c r="AJ119" s="10">
        <f>0.17*SQRT('Parametros'!$B$2)*H119*MIN(U119,AB119)/1000</f>
        <v>92.4428153837279</v>
      </c>
      <c r="AK119" s="10">
        <f>MAX(AI119/'Parametros'!$B$6-AJ119,0)</f>
        <v>11.6476636715306</v>
      </c>
      <c r="AL119" s="10">
        <f>0.66*SQRT('Parametros'!$B$2)*H119*MIN(U119,AB119)/1000</f>
        <v>358.89563619565</v>
      </c>
      <c r="AM119" s="10" t="str">
        <f>IF(AK119&lt;=AL119,"CUMPLE","NO CUMPLE")</f>
        <v>CUMPLE</v>
      </c>
      <c r="AN119" s="15" t="inlineStr">
        <is>
          <t>Nº3 cerrado</t>
        </is>
      </c>
      <c r="AO119" s="17" t="n">
        <v>2</v>
      </c>
      <c r="AP119" s="10">
        <f>ROUNDDOWN(MIN(IF(AK119=0,1000000000,AO119*'Parametros'!$B$11*'Parametros'!$B$4*MIN(U119,AB119)/(AK119*1000)),IF(AV119=0,1000000000,'Parametros'!$B$11/AV119),MIN(U119,AB119)/4,8*'Parametros'!$B$12,24*'Parametros'!$B$9,300)/10,0)*10</f>
        <v>80</v>
      </c>
      <c r="AQ119" s="10">
        <f>ROUNDDOWN(MIN(IF(AK119=0,1000000000,AO119*'Parametros'!$B$11*'Parametros'!$B$4*MIN(U119,AB119)/(AK119*1000)),IF(AV119=0,1000000000,'Parametros'!$B$11/AV119),MIN(U119,AB119)/2,600)/10,0)*10</f>
        <v>170</v>
      </c>
      <c r="AR119" s="10">
        <f>'Parametros'!$B$6*(AJ119+AO119*'Parametros'!$B$11*'Parametros'!$B$4*MIN(U119,AB119)/AP119/1000)</f>
        <v>260.860380287796</v>
      </c>
      <c r="AS119" s="10" t="str">
        <f>IF(AND(AM119="CUMPLE",AR119&gt;=AI119),"CUMPLE","NO CUMPLE")</f>
        <v>CUMPLE</v>
      </c>
      <c r="AT119" s="10">
        <f>'Parametros'!$B$6*0.083*SQRT('Parametros'!$B$2)*(H119*I119)^2/(2*(H119+I119))/1000000</f>
        <v>3.38807353605471</v>
      </c>
      <c r="AU119" s="10" t="str">
        <f>IF(Q119&lt;=AT119,"DESPRECIABLE","DISEÑAR")</f>
        <v>DESPRECIABLE</v>
      </c>
      <c r="AV119" s="10">
        <f>IF(Q119&lt;=AT119,0,Q119*1000000/('Parametros'!$B$6*2*0.85*(H119-2*'Parametros'!$B$7)*(I119-2*'Parametros'!$B$7)*'Parametros'!$B$4))</f>
        <v>0</v>
      </c>
      <c r="AW119" s="10">
        <f>AV119*2*((H119-2*'Parametros'!$B$7)+(I119-2*'Parametros'!$B$7))*'Parametros'!$B$4/'Parametros'!$B$3</f>
        <v>0</v>
      </c>
      <c r="AX119" s="17" t="n">
        <v>0</v>
      </c>
      <c r="AY119" s="10" t="str">
        <f>IF(AV119=0,"DESPRECIABLE",IF('Parametros'!$B$11/AP119&gt;=AV119,"CUMPLE","NO CUMPLE"))</f>
        <v>DESPRECIABLE</v>
      </c>
      <c r="AZ119" s="10" t="str">
        <f>IF(AND(X119="CUMPLE",AE119="CUMPLE",AS119="CUMPLE",OR(AY119="CUMPLE",AY119="DESPRECIABLE")),IF(OR(F119&lt;&gt;H119,G119&lt;&gt;I119),"CUMPLE - REANALIZAR SAP","CUMPLE"),"NO CUMPLE")</f>
        <v>CUMPLE</v>
      </c>
    </row>
    <row r="120">
      <c r="A120" s="20" t="inlineStr">
        <is>
          <t>VC4</t>
        </is>
      </c>
      <c r="B120" s="20" t="inlineStr">
        <is>
          <t>1007</t>
        </is>
      </c>
      <c r="C120" s="10" t="n">
        <v>1</v>
      </c>
      <c r="D120" s="10" t="n">
        <v>3.85</v>
      </c>
      <c r="E120" s="10" t="n">
        <v>3.85</v>
      </c>
      <c r="F120" s="10" t="n">
        <v>300</v>
      </c>
      <c r="G120" s="10" t="n">
        <v>400</v>
      </c>
      <c r="H120" s="15" t="n">
        <v>300</v>
      </c>
      <c r="I120" s="15" t="n">
        <v>400</v>
      </c>
      <c r="J120" s="16" t="n">
        <v>34.5823</v>
      </c>
      <c r="K120" s="10" t="inlineStr">
        <is>
          <t>1007</t>
        </is>
      </c>
      <c r="L120" s="16" t="n">
        <v>18.3724</v>
      </c>
      <c r="M120" s="10" t="inlineStr">
        <is>
          <t>1007</t>
        </is>
      </c>
      <c r="N120" s="16" t="n">
        <v>23.606</v>
      </c>
      <c r="O120" s="16" t="n">
        <v>72.21299999999999</v>
      </c>
      <c r="P120" s="10" t="inlineStr">
        <is>
          <t>1007</t>
        </is>
      </c>
      <c r="Q120" s="16" t="n">
        <v>1.5603</v>
      </c>
      <c r="R120" s="10">
        <f>MAX(MAX(1.4/'Parametros'!$B$3,0.25*SQRT('Parametros'!$B$2)/'Parametros'!$B$3)*H120*U120,(0.85*'Parametros'!$B$2/'Parametros'!$B$3)*(1-SQRT(1-2*(J120*1000000/('Parametros'!$B$5*H120*U120^2))/(0.85*'Parametros'!$B$2)))*H120*U120)</f>
        <v>342.55</v>
      </c>
      <c r="S120" s="17" t="n">
        <v>2</v>
      </c>
      <c r="T120" s="18" t="n">
        <v>1</v>
      </c>
      <c r="U120" s="10">
        <f>IF(T120=1,I120-('Parametros'!$B$7+'Parametros'!$B$9+'Parametros'!$B$12/2),I120-(ROUNDUP(S120/2,0)*('Parametros'!$B$7+'Parametros'!$B$9+'Parametros'!$B$12/2)+ROUNDDOWN(S120/2,0)*('Parametros'!$B$7+'Parametros'!$B$9+'Parametros'!$B$12/2+'Parametros'!$B$12+'Parametros'!$B$10))/S120)</f>
        <v>342.55</v>
      </c>
      <c r="V120" s="10">
        <f>S120*'Parametros'!$B$8</f>
        <v>398</v>
      </c>
      <c r="W120" s="10">
        <f>'Parametros'!$B$5*V120*'Parametros'!$B$3*(U120-(V120*'Parametros'!$B$3/(0.85*'Parametros'!$B$2*H120))/2)/1000000</f>
        <v>49.7735124352941</v>
      </c>
      <c r="X120" s="10" t="str">
        <f>IF(W120&gt;=J120,"CUMPLE","NO CUMPLE")</f>
        <v>CUMPLE</v>
      </c>
      <c r="Y120" s="10">
        <f>MAX(MAX(1.4/'Parametros'!$B$3,0.25*SQRT('Parametros'!$B$2)/'Parametros'!$B$3)*H120*AB120,(0.85*'Parametros'!$B$2/'Parametros'!$B$3)*(1-SQRT(1-2*(L120*1000000/('Parametros'!$B$5*H120*AB120^2))/(0.85*'Parametros'!$B$2)))*H120*AB120)</f>
        <v>342.55</v>
      </c>
      <c r="Z120" s="17" t="n">
        <v>2</v>
      </c>
      <c r="AA120" s="18" t="n">
        <v>1</v>
      </c>
      <c r="AB120" s="10">
        <f>IF(AA120=1,I120-('Parametros'!$B$7+'Parametros'!$B$9+'Parametros'!$B$12/2),I120-(ROUNDUP(Z120/2,0)*('Parametros'!$B$7+'Parametros'!$B$9+'Parametros'!$B$12/2)+ROUNDDOWN(Z120/2,0)*('Parametros'!$B$7+'Parametros'!$B$9+'Parametros'!$B$12/2+'Parametros'!$B$12+'Parametros'!$B$10))/Z120)</f>
        <v>342.55</v>
      </c>
      <c r="AC120" s="10">
        <f>Z120*'Parametros'!$B$8</f>
        <v>398</v>
      </c>
      <c r="AD120" s="10">
        <f>'Parametros'!$B$5*AC120*'Parametros'!$B$3*(AB120-(AC120*'Parametros'!$B$3/(0.85*'Parametros'!$B$2*H120))/2)/1000000</f>
        <v>49.7735124352941</v>
      </c>
      <c r="AE120" s="10" t="str">
        <f>IF(AD120&gt;=L120,"CUMPLE","NO CUMPLE")</f>
        <v>CUMPLE</v>
      </c>
      <c r="AF120" s="10">
        <f>V120*1.25*'Parametros'!$B$3*(U120-(V120*1.25*'Parametros'!$B$3/(0.85*'Parametros'!$B$2*H120))/2)/1000000</f>
        <v>68.5183923529412</v>
      </c>
      <c r="AG120" s="10">
        <f>AC120*1.25*'Parametros'!$B$3*(AB120-(AC120*1.25*'Parametros'!$B$3/(0.85*'Parametros'!$B$2*H120))/2)/1000000</f>
        <v>68.5183923529412</v>
      </c>
      <c r="AH120" s="10">
        <f>N120+(AF120+AG120)/D120</f>
        <v>59.1999700534759</v>
      </c>
      <c r="AI120" s="10">
        <f>MIN(O120,MAX(N120,AH120))</f>
        <v>59.1999700534759</v>
      </c>
      <c r="AJ120" s="10">
        <f>0.17*SQRT('Parametros'!$B$2)*H120*MIN(U120,AB120)/1000</f>
        <v>92.4428153837279</v>
      </c>
      <c r="AK120" s="10">
        <f>MAX(AI120/'Parametros'!$B$6-AJ120,0)</f>
        <v>0</v>
      </c>
      <c r="AL120" s="10">
        <f>0.66*SQRT('Parametros'!$B$2)*H120*MIN(U120,AB120)/1000</f>
        <v>358.89563619565</v>
      </c>
      <c r="AM120" s="10" t="str">
        <f>IF(AK120&lt;=AL120,"CUMPLE","NO CUMPLE")</f>
        <v>CUMPLE</v>
      </c>
      <c r="AN120" s="15" t="inlineStr">
        <is>
          <t>Nº3 cerrado</t>
        </is>
      </c>
      <c r="AO120" s="17" t="n">
        <v>2</v>
      </c>
      <c r="AP120" s="10">
        <f>ROUNDDOWN(MIN(IF(AK120=0,1000000000,AO120*'Parametros'!$B$11*'Parametros'!$B$4*MIN(U120,AB120)/(AK120*1000)),IF(AV120=0,1000000000,'Parametros'!$B$11/AV120),MIN(U120,AB120)/4,8*'Parametros'!$B$12,24*'Parametros'!$B$9,300)/10,0)*10</f>
        <v>80</v>
      </c>
      <c r="AQ120" s="10">
        <f>ROUNDDOWN(MIN(IF(AK120=0,1000000000,AO120*'Parametros'!$B$11*'Parametros'!$B$4*MIN(U120,AB120)/(AK120*1000)),IF(AV120=0,1000000000,'Parametros'!$B$11/AV120),MIN(U120,AB120)/2,600)/10,0)*10</f>
        <v>170</v>
      </c>
      <c r="AR120" s="10">
        <f>'Parametros'!$B$6*(AJ120+AO120*'Parametros'!$B$11*'Parametros'!$B$4*MIN(U120,AB120)/AP120/1000)</f>
        <v>260.860380287796</v>
      </c>
      <c r="AS120" s="10" t="str">
        <f>IF(AND(AM120="CUMPLE",AR120&gt;=AI120),"CUMPLE","NO CUMPLE")</f>
        <v>CUMPLE</v>
      </c>
      <c r="AT120" s="10">
        <f>'Parametros'!$B$6*0.083*SQRT('Parametros'!$B$2)*(H120*I120)^2/(2*(H120+I120))/1000000</f>
        <v>3.38807353605471</v>
      </c>
      <c r="AU120" s="10" t="str">
        <f>IF(Q120&lt;=AT120,"DESPRECIABLE","DISEÑAR")</f>
        <v>DESPRECIABLE</v>
      </c>
      <c r="AV120" s="10">
        <f>IF(Q120&lt;=AT120,0,Q120*1000000/('Parametros'!$B$6*2*0.85*(H120-2*'Parametros'!$B$7)*(I120-2*'Parametros'!$B$7)*'Parametros'!$B$4))</f>
        <v>0</v>
      </c>
      <c r="AW120" s="10">
        <f>AV120*2*((H120-2*'Parametros'!$B$7)+(I120-2*'Parametros'!$B$7))*'Parametros'!$B$4/'Parametros'!$B$3</f>
        <v>0</v>
      </c>
      <c r="AX120" s="17" t="n">
        <v>0</v>
      </c>
      <c r="AY120" s="10" t="str">
        <f>IF(AV120=0,"DESPRECIABLE",IF('Parametros'!$B$11/AP120&gt;=AV120,"CUMPLE","NO CUMPLE"))</f>
        <v>DESPRECIABLE</v>
      </c>
      <c r="AZ120" s="10" t="str">
        <f>IF(AND(X120="CUMPLE",AE120="CUMPLE",AS120="CUMPLE",OR(AY120="CUMPLE",AY120="DESPRECIABLE")),IF(OR(F120&lt;&gt;H120,G120&lt;&gt;I120),"CUMPLE - REANALIZAR SAP","CUMPLE"),"NO CUMPLE")</f>
        <v>CUMPLE</v>
      </c>
    </row>
    <row r="121">
      <c r="A121" s="20" t="inlineStr">
        <is>
          <t>VC4</t>
        </is>
      </c>
      <c r="B121" s="20" t="inlineStr">
        <is>
          <t>1008</t>
        </is>
      </c>
      <c r="C121" s="10" t="n">
        <v>1</v>
      </c>
      <c r="D121" s="10" t="n">
        <v>3.85</v>
      </c>
      <c r="E121" s="10" t="n">
        <v>3.85</v>
      </c>
      <c r="F121" s="10" t="n">
        <v>300</v>
      </c>
      <c r="G121" s="10" t="n">
        <v>400</v>
      </c>
      <c r="H121" s="15" t="n">
        <v>300</v>
      </c>
      <c r="I121" s="15" t="n">
        <v>400</v>
      </c>
      <c r="J121" s="16" t="n">
        <v>34.5305</v>
      </c>
      <c r="K121" s="10" t="inlineStr">
        <is>
          <t>1008</t>
        </is>
      </c>
      <c r="L121" s="16" t="n">
        <v>18.3624</v>
      </c>
      <c r="M121" s="10" t="inlineStr">
        <is>
          <t>1008</t>
        </is>
      </c>
      <c r="N121" s="16" t="n">
        <v>23.587</v>
      </c>
      <c r="O121" s="16" t="n">
        <v>72.193</v>
      </c>
      <c r="P121" s="10" t="inlineStr">
        <is>
          <t>1008</t>
        </is>
      </c>
      <c r="Q121" s="16" t="n">
        <v>1.5593</v>
      </c>
      <c r="R121" s="10">
        <f>MAX(MAX(1.4/'Parametros'!$B$3,0.25*SQRT('Parametros'!$B$2)/'Parametros'!$B$3)*H121*U121,(0.85*'Parametros'!$B$2/'Parametros'!$B$3)*(1-SQRT(1-2*(J121*1000000/('Parametros'!$B$5*H121*U121^2))/(0.85*'Parametros'!$B$2)))*H121*U121)</f>
        <v>342.55</v>
      </c>
      <c r="S121" s="17" t="n">
        <v>2</v>
      </c>
      <c r="T121" s="18" t="n">
        <v>1</v>
      </c>
      <c r="U121" s="10">
        <f>IF(T121=1,I121-('Parametros'!$B$7+'Parametros'!$B$9+'Parametros'!$B$12/2),I121-(ROUNDUP(S121/2,0)*('Parametros'!$B$7+'Parametros'!$B$9+'Parametros'!$B$12/2)+ROUNDDOWN(S121/2,0)*('Parametros'!$B$7+'Parametros'!$B$9+'Parametros'!$B$12/2+'Parametros'!$B$12+'Parametros'!$B$10))/S121)</f>
        <v>342.55</v>
      </c>
      <c r="V121" s="10">
        <f>S121*'Parametros'!$B$8</f>
        <v>398</v>
      </c>
      <c r="W121" s="10">
        <f>'Parametros'!$B$5*V121*'Parametros'!$B$3*(U121-(V121*'Parametros'!$B$3/(0.85*'Parametros'!$B$2*H121))/2)/1000000</f>
        <v>49.7735124352941</v>
      </c>
      <c r="X121" s="10" t="str">
        <f>IF(W121&gt;=J121,"CUMPLE","NO CUMPLE")</f>
        <v>CUMPLE</v>
      </c>
      <c r="Y121" s="10">
        <f>MAX(MAX(1.4/'Parametros'!$B$3,0.25*SQRT('Parametros'!$B$2)/'Parametros'!$B$3)*H121*AB121,(0.85*'Parametros'!$B$2/'Parametros'!$B$3)*(1-SQRT(1-2*(L121*1000000/('Parametros'!$B$5*H121*AB121^2))/(0.85*'Parametros'!$B$2)))*H121*AB121)</f>
        <v>342.55</v>
      </c>
      <c r="Z121" s="17" t="n">
        <v>2</v>
      </c>
      <c r="AA121" s="18" t="n">
        <v>1</v>
      </c>
      <c r="AB121" s="10">
        <f>IF(AA121=1,I121-('Parametros'!$B$7+'Parametros'!$B$9+'Parametros'!$B$12/2),I121-(ROUNDUP(Z121/2,0)*('Parametros'!$B$7+'Parametros'!$B$9+'Parametros'!$B$12/2)+ROUNDDOWN(Z121/2,0)*('Parametros'!$B$7+'Parametros'!$B$9+'Parametros'!$B$12/2+'Parametros'!$B$12+'Parametros'!$B$10))/Z121)</f>
        <v>342.55</v>
      </c>
      <c r="AC121" s="10">
        <f>Z121*'Parametros'!$B$8</f>
        <v>398</v>
      </c>
      <c r="AD121" s="10">
        <f>'Parametros'!$B$5*AC121*'Parametros'!$B$3*(AB121-(AC121*'Parametros'!$B$3/(0.85*'Parametros'!$B$2*H121))/2)/1000000</f>
        <v>49.7735124352941</v>
      </c>
      <c r="AE121" s="10" t="str">
        <f>IF(AD121&gt;=L121,"CUMPLE","NO CUMPLE")</f>
        <v>CUMPLE</v>
      </c>
      <c r="AF121" s="10">
        <f>V121*1.25*'Parametros'!$B$3*(U121-(V121*1.25*'Parametros'!$B$3/(0.85*'Parametros'!$B$2*H121))/2)/1000000</f>
        <v>68.5183923529412</v>
      </c>
      <c r="AG121" s="10">
        <f>AC121*1.25*'Parametros'!$B$3*(AB121-(AC121*1.25*'Parametros'!$B$3/(0.85*'Parametros'!$B$2*H121))/2)/1000000</f>
        <v>68.5183923529412</v>
      </c>
      <c r="AH121" s="10">
        <f>N121+(AF121+AG121)/D121</f>
        <v>59.1809700534759</v>
      </c>
      <c r="AI121" s="10">
        <f>MIN(O121,MAX(N121,AH121))</f>
        <v>59.1809700534759</v>
      </c>
      <c r="AJ121" s="10">
        <f>0.17*SQRT('Parametros'!$B$2)*H121*MIN(U121,AB121)/1000</f>
        <v>92.4428153837279</v>
      </c>
      <c r="AK121" s="10">
        <f>MAX(AI121/'Parametros'!$B$6-AJ121,0)</f>
        <v>0</v>
      </c>
      <c r="AL121" s="10">
        <f>0.66*SQRT('Parametros'!$B$2)*H121*MIN(U121,AB121)/1000</f>
        <v>358.89563619565</v>
      </c>
      <c r="AM121" s="10" t="str">
        <f>IF(AK121&lt;=AL121,"CUMPLE","NO CUMPLE")</f>
        <v>CUMPLE</v>
      </c>
      <c r="AN121" s="15" t="inlineStr">
        <is>
          <t>Nº3 cerrado</t>
        </is>
      </c>
      <c r="AO121" s="17" t="n">
        <v>2</v>
      </c>
      <c r="AP121" s="10">
        <f>ROUNDDOWN(MIN(IF(AK121=0,1000000000,AO121*'Parametros'!$B$11*'Parametros'!$B$4*MIN(U121,AB121)/(AK121*1000)),IF(AV121=0,1000000000,'Parametros'!$B$11/AV121),MIN(U121,AB121)/4,8*'Parametros'!$B$12,24*'Parametros'!$B$9,300)/10,0)*10</f>
        <v>80</v>
      </c>
      <c r="AQ121" s="10">
        <f>ROUNDDOWN(MIN(IF(AK121=0,1000000000,AO121*'Parametros'!$B$11*'Parametros'!$B$4*MIN(U121,AB121)/(AK121*1000)),IF(AV121=0,1000000000,'Parametros'!$B$11/AV121),MIN(U121,AB121)/2,600)/10,0)*10</f>
        <v>170</v>
      </c>
      <c r="AR121" s="10">
        <f>'Parametros'!$B$6*(AJ121+AO121*'Parametros'!$B$11*'Parametros'!$B$4*MIN(U121,AB121)/AP121/1000)</f>
        <v>260.860380287796</v>
      </c>
      <c r="AS121" s="10" t="str">
        <f>IF(AND(AM121="CUMPLE",AR121&gt;=AI121),"CUMPLE","NO CUMPLE")</f>
        <v>CUMPLE</v>
      </c>
      <c r="AT121" s="10">
        <f>'Parametros'!$B$6*0.083*SQRT('Parametros'!$B$2)*(H121*I121)^2/(2*(H121+I121))/1000000</f>
        <v>3.38807353605471</v>
      </c>
      <c r="AU121" s="10" t="str">
        <f>IF(Q121&lt;=AT121,"DESPRECIABLE","DISEÑAR")</f>
        <v>DESPRECIABLE</v>
      </c>
      <c r="AV121" s="10">
        <f>IF(Q121&lt;=AT121,0,Q121*1000000/('Parametros'!$B$6*2*0.85*(H121-2*'Parametros'!$B$7)*(I121-2*'Parametros'!$B$7)*'Parametros'!$B$4))</f>
        <v>0</v>
      </c>
      <c r="AW121" s="10">
        <f>AV121*2*((H121-2*'Parametros'!$B$7)+(I121-2*'Parametros'!$B$7))*'Parametros'!$B$4/'Parametros'!$B$3</f>
        <v>0</v>
      </c>
      <c r="AX121" s="17" t="n">
        <v>0</v>
      </c>
      <c r="AY121" s="10" t="str">
        <f>IF(AV121=0,"DESPRECIABLE",IF('Parametros'!$B$11/AP121&gt;=AV121,"CUMPLE","NO CUMPLE"))</f>
        <v>DESPRECIABLE</v>
      </c>
      <c r="AZ121" s="10" t="str">
        <f>IF(AND(X121="CUMPLE",AE121="CUMPLE",AS121="CUMPLE",OR(AY121="CUMPLE",AY121="DESPRECIABLE")),IF(OR(F121&lt;&gt;H121,G121&lt;&gt;I121),"CUMPLE - REANALIZAR SAP","CUMPLE"),"NO CUMPLE")</f>
        <v>CUMPLE</v>
      </c>
    </row>
    <row r="122">
      <c r="A122" s="20" t="inlineStr">
        <is>
          <t>VC4</t>
        </is>
      </c>
      <c r="B122" s="20" t="inlineStr">
        <is>
          <t>1033</t>
        </is>
      </c>
      <c r="C122" s="10" t="n">
        <v>1</v>
      </c>
      <c r="D122" s="10" t="n">
        <v>3.85</v>
      </c>
      <c r="E122" s="10" t="n">
        <v>3.85</v>
      </c>
      <c r="F122" s="10" t="n">
        <v>300</v>
      </c>
      <c r="G122" s="10" t="n">
        <v>400</v>
      </c>
      <c r="H122" s="15" t="n">
        <v>300</v>
      </c>
      <c r="I122" s="15" t="n">
        <v>400</v>
      </c>
      <c r="J122" s="16" t="n">
        <v>34.5533</v>
      </c>
      <c r="K122" s="10" t="inlineStr">
        <is>
          <t>1033</t>
        </is>
      </c>
      <c r="L122" s="16" t="n">
        <v>18.3649</v>
      </c>
      <c r="M122" s="10" t="inlineStr">
        <is>
          <t>1033</t>
        </is>
      </c>
      <c r="N122" s="16" t="n">
        <v>23.599</v>
      </c>
      <c r="O122" s="16" t="n">
        <v>72.211</v>
      </c>
      <c r="P122" s="10" t="inlineStr">
        <is>
          <t>1033</t>
        </is>
      </c>
      <c r="Q122" s="16" t="n">
        <v>1.5642</v>
      </c>
      <c r="R122" s="10">
        <f>MAX(MAX(1.4/'Parametros'!$B$3,0.25*SQRT('Parametros'!$B$2)/'Parametros'!$B$3)*H122*U122,(0.85*'Parametros'!$B$2/'Parametros'!$B$3)*(1-SQRT(1-2*(J122*1000000/('Parametros'!$B$5*H122*U122^2))/(0.85*'Parametros'!$B$2)))*H122*U122)</f>
        <v>342.55</v>
      </c>
      <c r="S122" s="17" t="n">
        <v>2</v>
      </c>
      <c r="T122" s="18" t="n">
        <v>1</v>
      </c>
      <c r="U122" s="10">
        <f>IF(T122=1,I122-('Parametros'!$B$7+'Parametros'!$B$9+'Parametros'!$B$12/2),I122-(ROUNDUP(S122/2,0)*('Parametros'!$B$7+'Parametros'!$B$9+'Parametros'!$B$12/2)+ROUNDDOWN(S122/2,0)*('Parametros'!$B$7+'Parametros'!$B$9+'Parametros'!$B$12/2+'Parametros'!$B$12+'Parametros'!$B$10))/S122)</f>
        <v>342.55</v>
      </c>
      <c r="V122" s="10">
        <f>S122*'Parametros'!$B$8</f>
        <v>398</v>
      </c>
      <c r="W122" s="10">
        <f>'Parametros'!$B$5*V122*'Parametros'!$B$3*(U122-(V122*'Parametros'!$B$3/(0.85*'Parametros'!$B$2*H122))/2)/1000000</f>
        <v>49.7735124352941</v>
      </c>
      <c r="X122" s="10" t="str">
        <f>IF(W122&gt;=J122,"CUMPLE","NO CUMPLE")</f>
        <v>CUMPLE</v>
      </c>
      <c r="Y122" s="10">
        <f>MAX(MAX(1.4/'Parametros'!$B$3,0.25*SQRT('Parametros'!$B$2)/'Parametros'!$B$3)*H122*AB122,(0.85*'Parametros'!$B$2/'Parametros'!$B$3)*(1-SQRT(1-2*(L122*1000000/('Parametros'!$B$5*H122*AB122^2))/(0.85*'Parametros'!$B$2)))*H122*AB122)</f>
        <v>342.55</v>
      </c>
      <c r="Z122" s="17" t="n">
        <v>2</v>
      </c>
      <c r="AA122" s="18" t="n">
        <v>1</v>
      </c>
      <c r="AB122" s="10">
        <f>IF(AA122=1,I122-('Parametros'!$B$7+'Parametros'!$B$9+'Parametros'!$B$12/2),I122-(ROUNDUP(Z122/2,0)*('Parametros'!$B$7+'Parametros'!$B$9+'Parametros'!$B$12/2)+ROUNDDOWN(Z122/2,0)*('Parametros'!$B$7+'Parametros'!$B$9+'Parametros'!$B$12/2+'Parametros'!$B$12+'Parametros'!$B$10))/Z122)</f>
        <v>342.55</v>
      </c>
      <c r="AC122" s="10">
        <f>Z122*'Parametros'!$B$8</f>
        <v>398</v>
      </c>
      <c r="AD122" s="10">
        <f>'Parametros'!$B$5*AC122*'Parametros'!$B$3*(AB122-(AC122*'Parametros'!$B$3/(0.85*'Parametros'!$B$2*H122))/2)/1000000</f>
        <v>49.7735124352941</v>
      </c>
      <c r="AE122" s="10" t="str">
        <f>IF(AD122&gt;=L122,"CUMPLE","NO CUMPLE")</f>
        <v>CUMPLE</v>
      </c>
      <c r="AF122" s="10">
        <f>V122*1.25*'Parametros'!$B$3*(U122-(V122*1.25*'Parametros'!$B$3/(0.85*'Parametros'!$B$2*H122))/2)/1000000</f>
        <v>68.5183923529412</v>
      </c>
      <c r="AG122" s="10">
        <f>AC122*1.25*'Parametros'!$B$3*(AB122-(AC122*1.25*'Parametros'!$B$3/(0.85*'Parametros'!$B$2*H122))/2)/1000000</f>
        <v>68.5183923529412</v>
      </c>
      <c r="AH122" s="10">
        <f>N122+(AF122+AG122)/D122</f>
        <v>59.1929700534759</v>
      </c>
      <c r="AI122" s="10">
        <f>MIN(O122,MAX(N122,AH122))</f>
        <v>59.1929700534759</v>
      </c>
      <c r="AJ122" s="10">
        <f>0.17*SQRT('Parametros'!$B$2)*H122*MIN(U122,AB122)/1000</f>
        <v>92.4428153837279</v>
      </c>
      <c r="AK122" s="10">
        <f>MAX(AI122/'Parametros'!$B$6-AJ122,0)</f>
        <v>0</v>
      </c>
      <c r="AL122" s="10">
        <f>0.66*SQRT('Parametros'!$B$2)*H122*MIN(U122,AB122)/1000</f>
        <v>358.89563619565</v>
      </c>
      <c r="AM122" s="10" t="str">
        <f>IF(AK122&lt;=AL122,"CUMPLE","NO CUMPLE")</f>
        <v>CUMPLE</v>
      </c>
      <c r="AN122" s="15" t="inlineStr">
        <is>
          <t>Nº3 cerrado</t>
        </is>
      </c>
      <c r="AO122" s="17" t="n">
        <v>2</v>
      </c>
      <c r="AP122" s="10">
        <f>ROUNDDOWN(MIN(IF(AK122=0,1000000000,AO122*'Parametros'!$B$11*'Parametros'!$B$4*MIN(U122,AB122)/(AK122*1000)),IF(AV122=0,1000000000,'Parametros'!$B$11/AV122),MIN(U122,AB122)/4,8*'Parametros'!$B$12,24*'Parametros'!$B$9,300)/10,0)*10</f>
        <v>80</v>
      </c>
      <c r="AQ122" s="10">
        <f>ROUNDDOWN(MIN(IF(AK122=0,1000000000,AO122*'Parametros'!$B$11*'Parametros'!$B$4*MIN(U122,AB122)/(AK122*1000)),IF(AV122=0,1000000000,'Parametros'!$B$11/AV122),MIN(U122,AB122)/2,600)/10,0)*10</f>
        <v>170</v>
      </c>
      <c r="AR122" s="10">
        <f>'Parametros'!$B$6*(AJ122+AO122*'Parametros'!$B$11*'Parametros'!$B$4*MIN(U122,AB122)/AP122/1000)</f>
        <v>260.860380287796</v>
      </c>
      <c r="AS122" s="10" t="str">
        <f>IF(AND(AM122="CUMPLE",AR122&gt;=AI122),"CUMPLE","NO CUMPLE")</f>
        <v>CUMPLE</v>
      </c>
      <c r="AT122" s="10">
        <f>'Parametros'!$B$6*0.083*SQRT('Parametros'!$B$2)*(H122*I122)^2/(2*(H122+I122))/1000000</f>
        <v>3.38807353605471</v>
      </c>
      <c r="AU122" s="10" t="str">
        <f>IF(Q122&lt;=AT122,"DESPRECIABLE","DISEÑAR")</f>
        <v>DESPRECIABLE</v>
      </c>
      <c r="AV122" s="10">
        <f>IF(Q122&lt;=AT122,0,Q122*1000000/('Parametros'!$B$6*2*0.85*(H122-2*'Parametros'!$B$7)*(I122-2*'Parametros'!$B$7)*'Parametros'!$B$4))</f>
        <v>0</v>
      </c>
      <c r="AW122" s="10">
        <f>AV122*2*((H122-2*'Parametros'!$B$7)+(I122-2*'Parametros'!$B$7))*'Parametros'!$B$4/'Parametros'!$B$3</f>
        <v>0</v>
      </c>
      <c r="AX122" s="17" t="n">
        <v>0</v>
      </c>
      <c r="AY122" s="10" t="str">
        <f>IF(AV122=0,"DESPRECIABLE",IF('Parametros'!$B$11/AP122&gt;=AV122,"CUMPLE","NO CUMPLE"))</f>
        <v>DESPRECIABLE</v>
      </c>
      <c r="AZ122" s="10" t="str">
        <f>IF(AND(X122="CUMPLE",AE122="CUMPLE",AS122="CUMPLE",OR(AY122="CUMPLE",AY122="DESPRECIABLE")),IF(OR(F122&lt;&gt;H122,G122&lt;&gt;I122),"CUMPLE - REANALIZAR SAP","CUMPLE"),"NO CUMPLE")</f>
        <v>CUMPLE</v>
      </c>
    </row>
    <row r="123">
      <c r="A123" s="20" t="inlineStr">
        <is>
          <t>VC4</t>
        </is>
      </c>
      <c r="B123" s="20" t="inlineStr">
        <is>
          <t>1034</t>
        </is>
      </c>
      <c r="C123" s="10" t="n">
        <v>1</v>
      </c>
      <c r="D123" s="10" t="n">
        <v>3.85</v>
      </c>
      <c r="E123" s="10" t="n">
        <v>3.85</v>
      </c>
      <c r="F123" s="10" t="n">
        <v>300</v>
      </c>
      <c r="G123" s="10" t="n">
        <v>400</v>
      </c>
      <c r="H123" s="15" t="n">
        <v>300</v>
      </c>
      <c r="I123" s="15" t="n">
        <v>400</v>
      </c>
      <c r="J123" s="16" t="n">
        <v>34.5837</v>
      </c>
      <c r="K123" s="10" t="inlineStr">
        <is>
          <t>1034</t>
        </is>
      </c>
      <c r="L123" s="16" t="n">
        <v>18.3695</v>
      </c>
      <c r="M123" s="10" t="inlineStr">
        <is>
          <t>1034</t>
        </is>
      </c>
      <c r="N123" s="16" t="n">
        <v>23.61</v>
      </c>
      <c r="O123" s="16" t="n">
        <v>72.223</v>
      </c>
      <c r="P123" s="10" t="inlineStr">
        <is>
          <t>1034</t>
        </is>
      </c>
      <c r="Q123" s="16" t="n">
        <v>1.5647</v>
      </c>
      <c r="R123" s="10">
        <f>MAX(MAX(1.4/'Parametros'!$B$3,0.25*SQRT('Parametros'!$B$2)/'Parametros'!$B$3)*H123*U123,(0.85*'Parametros'!$B$2/'Parametros'!$B$3)*(1-SQRT(1-2*(J123*1000000/('Parametros'!$B$5*H123*U123^2))/(0.85*'Parametros'!$B$2)))*H123*U123)</f>
        <v>342.55</v>
      </c>
      <c r="S123" s="17" t="n">
        <v>2</v>
      </c>
      <c r="T123" s="18" t="n">
        <v>1</v>
      </c>
      <c r="U123" s="10">
        <f>IF(T123=1,I123-('Parametros'!$B$7+'Parametros'!$B$9+'Parametros'!$B$12/2),I123-(ROUNDUP(S123/2,0)*('Parametros'!$B$7+'Parametros'!$B$9+'Parametros'!$B$12/2)+ROUNDDOWN(S123/2,0)*('Parametros'!$B$7+'Parametros'!$B$9+'Parametros'!$B$12/2+'Parametros'!$B$12+'Parametros'!$B$10))/S123)</f>
        <v>342.55</v>
      </c>
      <c r="V123" s="10">
        <f>S123*'Parametros'!$B$8</f>
        <v>398</v>
      </c>
      <c r="W123" s="10">
        <f>'Parametros'!$B$5*V123*'Parametros'!$B$3*(U123-(V123*'Parametros'!$B$3/(0.85*'Parametros'!$B$2*H123))/2)/1000000</f>
        <v>49.7735124352941</v>
      </c>
      <c r="X123" s="10" t="str">
        <f>IF(W123&gt;=J123,"CUMPLE","NO CUMPLE")</f>
        <v>CUMPLE</v>
      </c>
      <c r="Y123" s="10">
        <f>MAX(MAX(1.4/'Parametros'!$B$3,0.25*SQRT('Parametros'!$B$2)/'Parametros'!$B$3)*H123*AB123,(0.85*'Parametros'!$B$2/'Parametros'!$B$3)*(1-SQRT(1-2*(L123*1000000/('Parametros'!$B$5*H123*AB123^2))/(0.85*'Parametros'!$B$2)))*H123*AB123)</f>
        <v>342.55</v>
      </c>
      <c r="Z123" s="17" t="n">
        <v>2</v>
      </c>
      <c r="AA123" s="18" t="n">
        <v>1</v>
      </c>
      <c r="AB123" s="10">
        <f>IF(AA123=1,I123-('Parametros'!$B$7+'Parametros'!$B$9+'Parametros'!$B$12/2),I123-(ROUNDUP(Z123/2,0)*('Parametros'!$B$7+'Parametros'!$B$9+'Parametros'!$B$12/2)+ROUNDDOWN(Z123/2,0)*('Parametros'!$B$7+'Parametros'!$B$9+'Parametros'!$B$12/2+'Parametros'!$B$12+'Parametros'!$B$10))/Z123)</f>
        <v>342.55</v>
      </c>
      <c r="AC123" s="10">
        <f>Z123*'Parametros'!$B$8</f>
        <v>398</v>
      </c>
      <c r="AD123" s="10">
        <f>'Parametros'!$B$5*AC123*'Parametros'!$B$3*(AB123-(AC123*'Parametros'!$B$3/(0.85*'Parametros'!$B$2*H123))/2)/1000000</f>
        <v>49.7735124352941</v>
      </c>
      <c r="AE123" s="10" t="str">
        <f>IF(AD123&gt;=L123,"CUMPLE","NO CUMPLE")</f>
        <v>CUMPLE</v>
      </c>
      <c r="AF123" s="10">
        <f>V123*1.25*'Parametros'!$B$3*(U123-(V123*1.25*'Parametros'!$B$3/(0.85*'Parametros'!$B$2*H123))/2)/1000000</f>
        <v>68.5183923529412</v>
      </c>
      <c r="AG123" s="10">
        <f>AC123*1.25*'Parametros'!$B$3*(AB123-(AC123*1.25*'Parametros'!$B$3/(0.85*'Parametros'!$B$2*H123))/2)/1000000</f>
        <v>68.5183923529412</v>
      </c>
      <c r="AH123" s="10">
        <f>N123+(AF123+AG123)/D123</f>
        <v>59.2039700534759</v>
      </c>
      <c r="AI123" s="10">
        <f>MIN(O123,MAX(N123,AH123))</f>
        <v>59.2039700534759</v>
      </c>
      <c r="AJ123" s="10">
        <f>0.17*SQRT('Parametros'!$B$2)*H123*MIN(U123,AB123)/1000</f>
        <v>92.4428153837279</v>
      </c>
      <c r="AK123" s="10">
        <f>MAX(AI123/'Parametros'!$B$6-AJ123,0)</f>
        <v>0</v>
      </c>
      <c r="AL123" s="10">
        <f>0.66*SQRT('Parametros'!$B$2)*H123*MIN(U123,AB123)/1000</f>
        <v>358.89563619565</v>
      </c>
      <c r="AM123" s="10" t="str">
        <f>IF(AK123&lt;=AL123,"CUMPLE","NO CUMPLE")</f>
        <v>CUMPLE</v>
      </c>
      <c r="AN123" s="15" t="inlineStr">
        <is>
          <t>Nº3 cerrado</t>
        </is>
      </c>
      <c r="AO123" s="17" t="n">
        <v>2</v>
      </c>
      <c r="AP123" s="10">
        <f>ROUNDDOWN(MIN(IF(AK123=0,1000000000,AO123*'Parametros'!$B$11*'Parametros'!$B$4*MIN(U123,AB123)/(AK123*1000)),IF(AV123=0,1000000000,'Parametros'!$B$11/AV123),MIN(U123,AB123)/4,8*'Parametros'!$B$12,24*'Parametros'!$B$9,300)/10,0)*10</f>
        <v>80</v>
      </c>
      <c r="AQ123" s="10">
        <f>ROUNDDOWN(MIN(IF(AK123=0,1000000000,AO123*'Parametros'!$B$11*'Parametros'!$B$4*MIN(U123,AB123)/(AK123*1000)),IF(AV123=0,1000000000,'Parametros'!$B$11/AV123),MIN(U123,AB123)/2,600)/10,0)*10</f>
        <v>170</v>
      </c>
      <c r="AR123" s="10">
        <f>'Parametros'!$B$6*(AJ123+AO123*'Parametros'!$B$11*'Parametros'!$B$4*MIN(U123,AB123)/AP123/1000)</f>
        <v>260.860380287796</v>
      </c>
      <c r="AS123" s="10" t="str">
        <f>IF(AND(AM123="CUMPLE",AR123&gt;=AI123),"CUMPLE","NO CUMPLE")</f>
        <v>CUMPLE</v>
      </c>
      <c r="AT123" s="10">
        <f>'Parametros'!$B$6*0.083*SQRT('Parametros'!$B$2)*(H123*I123)^2/(2*(H123+I123))/1000000</f>
        <v>3.38807353605471</v>
      </c>
      <c r="AU123" s="10" t="str">
        <f>IF(Q123&lt;=AT123,"DESPRECIABLE","DISEÑAR")</f>
        <v>DESPRECIABLE</v>
      </c>
      <c r="AV123" s="10">
        <f>IF(Q123&lt;=AT123,0,Q123*1000000/('Parametros'!$B$6*2*0.85*(H123-2*'Parametros'!$B$7)*(I123-2*'Parametros'!$B$7)*'Parametros'!$B$4))</f>
        <v>0</v>
      </c>
      <c r="AW123" s="10">
        <f>AV123*2*((H123-2*'Parametros'!$B$7)+(I123-2*'Parametros'!$B$7))*'Parametros'!$B$4/'Parametros'!$B$3</f>
        <v>0</v>
      </c>
      <c r="AX123" s="17" t="n">
        <v>0</v>
      </c>
      <c r="AY123" s="10" t="str">
        <f>IF(AV123=0,"DESPRECIABLE",IF('Parametros'!$B$11/AP123&gt;=AV123,"CUMPLE","NO CUMPLE"))</f>
        <v>DESPRECIABLE</v>
      </c>
      <c r="AZ123" s="10" t="str">
        <f>IF(AND(X123="CUMPLE",AE123="CUMPLE",AS123="CUMPLE",OR(AY123="CUMPLE",AY123="DESPRECIABLE")),IF(OR(F123&lt;&gt;H123,G123&lt;&gt;I123),"CUMPLE - REANALIZAR SAP","CUMPLE"),"NO CUMPLE")</f>
        <v>CUMPLE</v>
      </c>
    </row>
    <row r="124">
      <c r="A124" s="21" t="inlineStr">
        <is>
          <t>VC5</t>
        </is>
      </c>
      <c r="B124" s="21" t="inlineStr">
        <is>
          <t>63</t>
        </is>
      </c>
      <c r="C124" s="10" t="n">
        <v>1</v>
      </c>
      <c r="D124" s="10" t="n">
        <v>3.85</v>
      </c>
      <c r="E124" s="10" t="n">
        <v>3.85</v>
      </c>
      <c r="F124" s="10" t="n">
        <v>300</v>
      </c>
      <c r="G124" s="10" t="n">
        <v>400</v>
      </c>
      <c r="H124" s="15" t="n">
        <v>300</v>
      </c>
      <c r="I124" s="15" t="n">
        <v>400</v>
      </c>
      <c r="J124" s="16" t="n">
        <v>89.32129999999999</v>
      </c>
      <c r="K124" s="10" t="inlineStr">
        <is>
          <t>63</t>
        </is>
      </c>
      <c r="L124" s="16" t="n">
        <v>75.52419999999999</v>
      </c>
      <c r="M124" s="10" t="inlineStr">
        <is>
          <t>63</t>
        </is>
      </c>
      <c r="N124" s="16" t="n">
        <v>53.246</v>
      </c>
      <c r="O124" s="16" t="n">
        <v>221.746</v>
      </c>
      <c r="P124" s="10" t="inlineStr">
        <is>
          <t>63</t>
        </is>
      </c>
      <c r="Q124" s="16" t="n">
        <v>5.8814</v>
      </c>
      <c r="R124" s="10">
        <f>MAX(MAX(1.4/'Parametros'!$B$3,0.25*SQRT('Parametros'!$B$2)/'Parametros'!$B$3)*H124*U124,(0.85*'Parametros'!$B$2/'Parametros'!$B$3)*(1-SQRT(1-2*(J124*1000000/('Parametros'!$B$5*H124*U124^2))/(0.85*'Parametros'!$B$2)))*H124*U124)</f>
        <v>736.384871634268</v>
      </c>
      <c r="S124" s="17" t="n">
        <v>4</v>
      </c>
      <c r="T124" s="18" t="n">
        <v>1</v>
      </c>
      <c r="U124" s="10">
        <f>IF(T124=1,I124-('Parametros'!$B$7+'Parametros'!$B$9+'Parametros'!$B$12/2),I124-(ROUNDUP(S124/2,0)*('Parametros'!$B$7+'Parametros'!$B$9+'Parametros'!$B$12/2)+ROUNDDOWN(S124/2,0)*('Parametros'!$B$7+'Parametros'!$B$9+'Parametros'!$B$12/2+'Parametros'!$B$12+'Parametros'!$B$10))/S124)</f>
        <v>342.55</v>
      </c>
      <c r="V124" s="10">
        <f>S124*'Parametros'!$B$8</f>
        <v>796</v>
      </c>
      <c r="W124" s="10">
        <f>'Parametros'!$B$5*V124*'Parametros'!$B$3*(U124-(V124*'Parametros'!$B$3/(0.85*'Parametros'!$B$2*H124))/2)/1000000</f>
        <v>96.0248653411765</v>
      </c>
      <c r="X124" s="10" t="str">
        <f>IF(W124&gt;=J124,"CUMPLE","NO CUMPLE")</f>
        <v>CUMPLE</v>
      </c>
      <c r="Y124" s="10">
        <f>MAX(MAX(1.4/'Parametros'!$B$3,0.25*SQRT('Parametros'!$B$2)/'Parametros'!$B$3)*H124*AB124,(0.85*'Parametros'!$B$2/'Parametros'!$B$3)*(1-SQRT(1-2*(L124*1000000/('Parametros'!$B$5*H124*AB124^2))/(0.85*'Parametros'!$B$2)))*H124*AB124)</f>
        <v>615.833969115602</v>
      </c>
      <c r="Z124" s="17" t="n">
        <v>4</v>
      </c>
      <c r="AA124" s="18" t="n">
        <v>1</v>
      </c>
      <c r="AB124" s="10">
        <f>IF(AA124=1,I124-('Parametros'!$B$7+'Parametros'!$B$9+'Parametros'!$B$12/2),I124-(ROUNDUP(Z124/2,0)*('Parametros'!$B$7+'Parametros'!$B$9+'Parametros'!$B$12/2)+ROUNDDOWN(Z124/2,0)*('Parametros'!$B$7+'Parametros'!$B$9+'Parametros'!$B$12/2+'Parametros'!$B$12+'Parametros'!$B$10))/Z124)</f>
        <v>342.55</v>
      </c>
      <c r="AC124" s="10">
        <f>Z124*'Parametros'!$B$8</f>
        <v>796</v>
      </c>
      <c r="AD124" s="10">
        <f>'Parametros'!$B$5*AC124*'Parametros'!$B$3*(AB124-(AC124*'Parametros'!$B$3/(0.85*'Parametros'!$B$2*H124))/2)/1000000</f>
        <v>96.0248653411765</v>
      </c>
      <c r="AE124" s="10" t="str">
        <f>IF(AD124&gt;=L124,"CUMPLE","NO CUMPLE")</f>
        <v>CUMPLE</v>
      </c>
      <c r="AF124" s="10">
        <f>V124*1.25*'Parametros'!$B$3*(U124-(V124*1.25*'Parametros'!$B$3/(0.85*'Parametros'!$B$2*H124))/2)/1000000</f>
        <v>130.921924411765</v>
      </c>
      <c r="AG124" s="10">
        <f>AC124*1.25*'Parametros'!$B$3*(AB124-(AC124*1.25*'Parametros'!$B$3/(0.85*'Parametros'!$B$2*H124))/2)/1000000</f>
        <v>130.921924411765</v>
      </c>
      <c r="AH124" s="10">
        <f>N124+(AF124+AG124)/D124</f>
        <v>121.257389304813</v>
      </c>
      <c r="AI124" s="10">
        <f>MIN(O124,MAX(N124,AH124))</f>
        <v>121.257389304813</v>
      </c>
      <c r="AJ124" s="10">
        <f>0.17*SQRT('Parametros'!$B$2)*H124*MIN(U124,AB124)/1000</f>
        <v>92.4428153837279</v>
      </c>
      <c r="AK124" s="10">
        <f>MAX(AI124/'Parametros'!$B$6-AJ124,0)</f>
        <v>69.2337036893559</v>
      </c>
      <c r="AL124" s="10">
        <f>0.66*SQRT('Parametros'!$B$2)*H124*MIN(U124,AB124)/1000</f>
        <v>358.89563619565</v>
      </c>
      <c r="AM124" s="10" t="str">
        <f>IF(AK124&lt;=AL124,"CUMPLE","NO CUMPLE")</f>
        <v>CUMPLE</v>
      </c>
      <c r="AN124" s="15" t="inlineStr">
        <is>
          <t>Nº3 cerrado</t>
        </is>
      </c>
      <c r="AO124" s="17" t="n">
        <v>2</v>
      </c>
      <c r="AP124" s="10">
        <f>ROUNDDOWN(MIN(IF(AK124=0,1000000000,AO124*'Parametros'!$B$11*'Parametros'!$B$4*MIN(U124,AB124)/(AK124*1000)),IF(AV124=0,1000000000,'Parametros'!$B$11/AV124),MIN(U124,AB124)/4,8*'Parametros'!$B$12,24*'Parametros'!$B$9,300)/10,0)*10</f>
        <v>80</v>
      </c>
      <c r="AQ124" s="10">
        <f>ROUNDDOWN(MIN(IF(AK124=0,1000000000,AO124*'Parametros'!$B$11*'Parametros'!$B$4*MIN(U124,AB124)/(AK124*1000)),IF(AV124=0,1000000000,'Parametros'!$B$11/AV124),MIN(U124,AB124)/2,600)/10,0)*10</f>
        <v>170</v>
      </c>
      <c r="AR124" s="10">
        <f>'Parametros'!$B$6*(AJ124+AO124*'Parametros'!$B$11*'Parametros'!$B$4*MIN(U124,AB124)/AP124/1000)</f>
        <v>260.860380287796</v>
      </c>
      <c r="AS124" s="10" t="str">
        <f>IF(AND(AM124="CUMPLE",AR124&gt;=AI124),"CUMPLE","NO CUMPLE")</f>
        <v>CUMPLE</v>
      </c>
      <c r="AT124" s="10">
        <f>'Parametros'!$B$6*0.083*SQRT('Parametros'!$B$2)*(H124*I124)^2/(2*(H124+I124))/1000000</f>
        <v>3.38807353605471</v>
      </c>
      <c r="AU124" s="10" t="str">
        <f>IF(Q124&lt;=AT124,"DESPRECIABLE","DISEÑAR")</f>
        <v>DISEÑAR</v>
      </c>
      <c r="AV124" s="10">
        <f>IF(Q124&lt;=AT124,0,Q124*1000000/('Parametros'!$B$6*2*0.85*(H124-2*'Parametros'!$B$7)*(I124-2*'Parametros'!$B$7)*'Parametros'!$B$4))</f>
        <v>0.156008615567439</v>
      </c>
      <c r="AW124" s="10">
        <f>AV124*2*((H124-2*'Parametros'!$B$7)+(I124-2*'Parametros'!$B$7))*'Parametros'!$B$4/'Parametros'!$B$3</f>
        <v>168.489304812834</v>
      </c>
      <c r="AX124" s="17" t="n">
        <v>1</v>
      </c>
      <c r="AY124" s="10" t="str">
        <f>IF(AV124=0,"DESPRECIABLE",IF('Parametros'!$B$11/AP124&gt;=AV124,"CUMPLE","NO CUMPLE"))</f>
        <v>CUMPLE</v>
      </c>
      <c r="AZ124" s="10" t="str">
        <f>IF(AND(X124="CUMPLE",AE124="CUMPLE",AS124="CUMPLE",OR(AY124="CUMPLE",AY124="DESPRECIABLE")),IF(OR(F124&lt;&gt;H124,G124&lt;&gt;I124),"CUMPLE - REANALIZAR SAP","CUMPLE"),"NO CUMPLE")</f>
        <v>CUMPLE</v>
      </c>
    </row>
    <row r="125">
      <c r="A125" s="21" t="inlineStr">
        <is>
          <t>VC5</t>
        </is>
      </c>
      <c r="B125" s="21" t="inlineStr">
        <is>
          <t>64</t>
        </is>
      </c>
      <c r="C125" s="10" t="n">
        <v>1</v>
      </c>
      <c r="D125" s="10" t="n">
        <v>3.9</v>
      </c>
      <c r="E125" s="10" t="n">
        <v>3.9</v>
      </c>
      <c r="F125" s="10" t="n">
        <v>300</v>
      </c>
      <c r="G125" s="10" t="n">
        <v>400</v>
      </c>
      <c r="H125" s="15" t="n">
        <v>300</v>
      </c>
      <c r="I125" s="15" t="n">
        <v>400</v>
      </c>
      <c r="J125" s="16" t="n">
        <v>110.0109</v>
      </c>
      <c r="K125" s="10" t="inlineStr">
        <is>
          <t>64</t>
        </is>
      </c>
      <c r="L125" s="16" t="n">
        <v>63.3821</v>
      </c>
      <c r="M125" s="10" t="inlineStr">
        <is>
          <t>64</t>
        </is>
      </c>
      <c r="N125" s="16" t="n">
        <v>84.193</v>
      </c>
      <c r="O125" s="16" t="n">
        <v>260.827</v>
      </c>
      <c r="P125" s="10" t="inlineStr">
        <is>
          <t>64</t>
        </is>
      </c>
      <c r="Q125" s="16" t="n">
        <v>19.9744</v>
      </c>
      <c r="R125" s="10">
        <f>MAX(MAX(1.4/'Parametros'!$B$3,0.25*SQRT('Parametros'!$B$2)/'Parametros'!$B$3)*H125*U125,(0.85*'Parametros'!$B$2/'Parametros'!$B$3)*(1-SQRT(1-2*(J125*1000000/('Parametros'!$B$5*H125*U125^2))/(0.85*'Parametros'!$B$2)))*H125*U125)</f>
        <v>922.712806222064</v>
      </c>
      <c r="S125" s="17" t="n">
        <v>5</v>
      </c>
      <c r="T125" s="18" t="n">
        <v>1</v>
      </c>
      <c r="U125" s="10">
        <f>IF(T125=1,I125-('Parametros'!$B$7+'Parametros'!$B$9+'Parametros'!$B$12/2),I125-(ROUNDUP(S125/2,0)*('Parametros'!$B$7+'Parametros'!$B$9+'Parametros'!$B$12/2)+ROUNDDOWN(S125/2,0)*('Parametros'!$B$7+'Parametros'!$B$9+'Parametros'!$B$12/2+'Parametros'!$B$12+'Parametros'!$B$10))/S125)</f>
        <v>342.55</v>
      </c>
      <c r="V125" s="10">
        <f>S125*'Parametros'!$B$8</f>
        <v>995</v>
      </c>
      <c r="W125" s="10">
        <f>'Parametros'!$B$5*V125*'Parametros'!$B$3*(U125-(V125*'Parametros'!$B$3/(0.85*'Parametros'!$B$2*H125))/2)/1000000</f>
        <v>117.829731970588</v>
      </c>
      <c r="X125" s="10" t="str">
        <f>IF(W125&gt;=J125,"CUMPLE","NO CUMPLE")</f>
        <v>CUMPLE</v>
      </c>
      <c r="Y125" s="10">
        <f>MAX(MAX(1.4/'Parametros'!$B$3,0.25*SQRT('Parametros'!$B$2)/'Parametros'!$B$3)*H125*AB125,(0.85*'Parametros'!$B$2/'Parametros'!$B$3)*(1-SQRT(1-2*(L125*1000000/('Parametros'!$B$5*H125*AB125^2))/(0.85*'Parametros'!$B$2)))*H125*AB125)</f>
        <v>512.006500209712</v>
      </c>
      <c r="Z125" s="17" t="n">
        <v>3</v>
      </c>
      <c r="AA125" s="18" t="n">
        <v>1</v>
      </c>
      <c r="AB125" s="10">
        <f>IF(AA125=1,I125-('Parametros'!$B$7+'Parametros'!$B$9+'Parametros'!$B$12/2),I125-(ROUNDUP(Z125/2,0)*('Parametros'!$B$7+'Parametros'!$B$9+'Parametros'!$B$12/2)+ROUNDDOWN(Z125/2,0)*('Parametros'!$B$7+'Parametros'!$B$9+'Parametros'!$B$12/2+'Parametros'!$B$12+'Parametros'!$B$10))/Z125)</f>
        <v>342.55</v>
      </c>
      <c r="AC125" s="10">
        <f>Z125*'Parametros'!$B$8</f>
        <v>597</v>
      </c>
      <c r="AD125" s="10">
        <f>'Parametros'!$B$5*AC125*'Parametros'!$B$3*(AB125-(AC125*'Parametros'!$B$3/(0.85*'Parametros'!$B$2*H125))/2)/1000000</f>
        <v>73.3394588294118</v>
      </c>
      <c r="AE125" s="10" t="str">
        <f>IF(AD125&gt;=L125,"CUMPLE","NO CUMPLE")</f>
        <v>CUMPLE</v>
      </c>
      <c r="AF125" s="10">
        <f>V125*1.25*'Parametros'!$B$3*(U125-(V125*1.25*'Parametros'!$B$3/(0.85*'Parametros'!$B$2*H125))/2)/1000000</f>
        <v>159.830617830882</v>
      </c>
      <c r="AG125" s="10">
        <f>AC125*1.25*'Parametros'!$B$3*(AB125-(AC125*1.25*'Parametros'!$B$3/(0.85*'Parametros'!$B$2*H125))/2)/1000000</f>
        <v>100.484515919118</v>
      </c>
      <c r="AH125" s="10">
        <f>N125+(AF125+AG125)/D125</f>
        <v>150.940470192308</v>
      </c>
      <c r="AI125" s="10">
        <f>MIN(O125,MAX(N125,AH125))</f>
        <v>150.940470192308</v>
      </c>
      <c r="AJ125" s="10">
        <f>0.17*SQRT('Parametros'!$B$2)*H125*MIN(U125,AB125)/1000</f>
        <v>92.4428153837279</v>
      </c>
      <c r="AK125" s="10">
        <f>MAX(AI125/'Parametros'!$B$6-AJ125,0)</f>
        <v>108.811144872682</v>
      </c>
      <c r="AL125" s="10">
        <f>0.66*SQRT('Parametros'!$B$2)*H125*MIN(U125,AB125)/1000</f>
        <v>358.89563619565</v>
      </c>
      <c r="AM125" s="10" t="str">
        <f>IF(AK125&lt;=AL125,"CUMPLE","NO CUMPLE")</f>
        <v>CUMPLE</v>
      </c>
      <c r="AN125" s="15" t="inlineStr">
        <is>
          <t>Nº3 cerrado</t>
        </is>
      </c>
      <c r="AO125" s="17" t="n">
        <v>2</v>
      </c>
      <c r="AP125" s="10">
        <f>ROUNDDOWN(MIN(IF(AK125=0,1000000000,AO125*'Parametros'!$B$11*'Parametros'!$B$4*MIN(U125,AB125)/(AK125*1000)),IF(AV125=0,1000000000,'Parametros'!$B$11/AV125),MIN(U125,AB125)/4,8*'Parametros'!$B$12,24*'Parametros'!$B$9,300)/10,0)*10</f>
        <v>80</v>
      </c>
      <c r="AQ125" s="10">
        <f>ROUNDDOWN(MIN(IF(AK125=0,1000000000,AO125*'Parametros'!$B$11*'Parametros'!$B$4*MIN(U125,AB125)/(AK125*1000)),IF(AV125=0,1000000000,'Parametros'!$B$11/AV125),MIN(U125,AB125)/2,600)/10,0)*10</f>
        <v>130</v>
      </c>
      <c r="AR125" s="10">
        <f>'Parametros'!$B$6*(AJ125+AO125*'Parametros'!$B$11*'Parametros'!$B$4*MIN(U125,AB125)/AP125/1000)</f>
        <v>260.860380287796</v>
      </c>
      <c r="AS125" s="10" t="str">
        <f>IF(AND(AM125="CUMPLE",AR125&gt;=AI125),"CUMPLE","NO CUMPLE")</f>
        <v>CUMPLE</v>
      </c>
      <c r="AT125" s="10">
        <f>'Parametros'!$B$6*0.083*SQRT('Parametros'!$B$2)*(H125*I125)^2/(2*(H125+I125))/1000000</f>
        <v>3.38807353605471</v>
      </c>
      <c r="AU125" s="10" t="str">
        <f>IF(Q125&lt;=AT125,"DESPRECIABLE","DISEÑAR")</f>
        <v>DISEÑAR</v>
      </c>
      <c r="AV125" s="10">
        <f>IF(Q125&lt;=AT125,0,Q125*1000000/('Parametros'!$B$6*2*0.85*(H125-2*'Parametros'!$B$7)*(I125-2*'Parametros'!$B$7)*'Parametros'!$B$4))</f>
        <v>0.529836176895</v>
      </c>
      <c r="AW125" s="10">
        <f>AV125*2*((H125-2*'Parametros'!$B$7)+(I125-2*'Parametros'!$B$7))*'Parametros'!$B$4/'Parametros'!$B$3</f>
        <v>572.2230710466</v>
      </c>
      <c r="AX125" s="17" t="n">
        <v>3</v>
      </c>
      <c r="AY125" s="10" t="str">
        <f>IF(AV125=0,"DESPRECIABLE",IF('Parametros'!$B$11/AP125&gt;=AV125,"CUMPLE","NO CUMPLE"))</f>
        <v>CUMPLE</v>
      </c>
      <c r="AZ125" s="10" t="str">
        <f>IF(AND(X125="CUMPLE",AE125="CUMPLE",AS125="CUMPLE",OR(AY125="CUMPLE",AY125="DESPRECIABLE")),IF(OR(F125&lt;&gt;H125,G125&lt;&gt;I125),"CUMPLE - REANALIZAR SAP","CUMPLE"),"NO CUMPLE")</f>
        <v>CUMPLE</v>
      </c>
    </row>
    <row r="126">
      <c r="A126" s="21" t="inlineStr">
        <is>
          <t>VC5</t>
        </is>
      </c>
      <c r="B126" s="21" t="inlineStr">
        <is>
          <t>65</t>
        </is>
      </c>
      <c r="C126" s="10" t="n">
        <v>1</v>
      </c>
      <c r="D126" s="10" t="n">
        <v>3.9</v>
      </c>
      <c r="E126" s="10" t="n">
        <v>3.9</v>
      </c>
      <c r="F126" s="10" t="n">
        <v>300</v>
      </c>
      <c r="G126" s="10" t="n">
        <v>400</v>
      </c>
      <c r="H126" s="15" t="n">
        <v>300</v>
      </c>
      <c r="I126" s="15" t="n">
        <v>400</v>
      </c>
      <c r="J126" s="16" t="n">
        <v>110.1004</v>
      </c>
      <c r="K126" s="10" t="inlineStr">
        <is>
          <t>65</t>
        </is>
      </c>
      <c r="L126" s="16" t="n">
        <v>63.3666</v>
      </c>
      <c r="M126" s="10" t="inlineStr">
        <is>
          <t>65</t>
        </is>
      </c>
      <c r="N126" s="16" t="n">
        <v>84.268</v>
      </c>
      <c r="O126" s="16" t="n">
        <v>260.956</v>
      </c>
      <c r="P126" s="10" t="inlineStr">
        <is>
          <t>65</t>
        </is>
      </c>
      <c r="Q126" s="16" t="n">
        <v>20.0139</v>
      </c>
      <c r="R126" s="10">
        <f>MAX(MAX(1.4/'Parametros'!$B$3,0.25*SQRT('Parametros'!$B$2)/'Parametros'!$B$3)*H126*U126,(0.85*'Parametros'!$B$2/'Parametros'!$B$3)*(1-SQRT(1-2*(J126*1000000/('Parametros'!$B$5*H126*U126^2))/(0.85*'Parametros'!$B$2)))*H126*U126)</f>
        <v>923.534223821326</v>
      </c>
      <c r="S126" s="17" t="n">
        <v>5</v>
      </c>
      <c r="T126" s="18" t="n">
        <v>1</v>
      </c>
      <c r="U126" s="10">
        <f>IF(T126=1,I126-('Parametros'!$B$7+'Parametros'!$B$9+'Parametros'!$B$12/2),I126-(ROUNDUP(S126/2,0)*('Parametros'!$B$7+'Parametros'!$B$9+'Parametros'!$B$12/2)+ROUNDDOWN(S126/2,0)*('Parametros'!$B$7+'Parametros'!$B$9+'Parametros'!$B$12/2+'Parametros'!$B$12+'Parametros'!$B$10))/S126)</f>
        <v>342.55</v>
      </c>
      <c r="V126" s="10">
        <f>S126*'Parametros'!$B$8</f>
        <v>995</v>
      </c>
      <c r="W126" s="10">
        <f>'Parametros'!$B$5*V126*'Parametros'!$B$3*(U126-(V126*'Parametros'!$B$3/(0.85*'Parametros'!$B$2*H126))/2)/1000000</f>
        <v>117.829731970588</v>
      </c>
      <c r="X126" s="10" t="str">
        <f>IF(W126&gt;=J126,"CUMPLE","NO CUMPLE")</f>
        <v>CUMPLE</v>
      </c>
      <c r="Y126" s="10">
        <f>MAX(MAX(1.4/'Parametros'!$B$3,0.25*SQRT('Parametros'!$B$2)/'Parametros'!$B$3)*H126*AB126,(0.85*'Parametros'!$B$2/'Parametros'!$B$3)*(1-SQRT(1-2*(L126*1000000/('Parametros'!$B$5*H126*AB126^2))/(0.85*'Parametros'!$B$2)))*H126*AB126)</f>
        <v>511.875256328641</v>
      </c>
      <c r="Z126" s="17" t="n">
        <v>3</v>
      </c>
      <c r="AA126" s="18" t="n">
        <v>1</v>
      </c>
      <c r="AB126" s="10">
        <f>IF(AA126=1,I126-('Parametros'!$B$7+'Parametros'!$B$9+'Parametros'!$B$12/2),I126-(ROUNDUP(Z126/2,0)*('Parametros'!$B$7+'Parametros'!$B$9+'Parametros'!$B$12/2)+ROUNDDOWN(Z126/2,0)*('Parametros'!$B$7+'Parametros'!$B$9+'Parametros'!$B$12/2+'Parametros'!$B$12+'Parametros'!$B$10))/Z126)</f>
        <v>342.55</v>
      </c>
      <c r="AC126" s="10">
        <f>Z126*'Parametros'!$B$8</f>
        <v>597</v>
      </c>
      <c r="AD126" s="10">
        <f>'Parametros'!$B$5*AC126*'Parametros'!$B$3*(AB126-(AC126*'Parametros'!$B$3/(0.85*'Parametros'!$B$2*H126))/2)/1000000</f>
        <v>73.3394588294118</v>
      </c>
      <c r="AE126" s="10" t="str">
        <f>IF(AD126&gt;=L126,"CUMPLE","NO CUMPLE")</f>
        <v>CUMPLE</v>
      </c>
      <c r="AF126" s="10">
        <f>V126*1.25*'Parametros'!$B$3*(U126-(V126*1.25*'Parametros'!$B$3/(0.85*'Parametros'!$B$2*H126))/2)/1000000</f>
        <v>159.830617830882</v>
      </c>
      <c r="AG126" s="10">
        <f>AC126*1.25*'Parametros'!$B$3*(AB126-(AC126*1.25*'Parametros'!$B$3/(0.85*'Parametros'!$B$2*H126))/2)/1000000</f>
        <v>100.484515919118</v>
      </c>
      <c r="AH126" s="10">
        <f>N126+(AF126+AG126)/D126</f>
        <v>151.015470192308</v>
      </c>
      <c r="AI126" s="10">
        <f>MIN(O126,MAX(N126,AH126))</f>
        <v>151.015470192308</v>
      </c>
      <c r="AJ126" s="10">
        <f>0.17*SQRT('Parametros'!$B$2)*H126*MIN(U126,AB126)/1000</f>
        <v>92.4428153837279</v>
      </c>
      <c r="AK126" s="10">
        <f>MAX(AI126/'Parametros'!$B$6-AJ126,0)</f>
        <v>108.911144872682</v>
      </c>
      <c r="AL126" s="10">
        <f>0.66*SQRT('Parametros'!$B$2)*H126*MIN(U126,AB126)/1000</f>
        <v>358.89563619565</v>
      </c>
      <c r="AM126" s="10" t="str">
        <f>IF(AK126&lt;=AL126,"CUMPLE","NO CUMPLE")</f>
        <v>CUMPLE</v>
      </c>
      <c r="AN126" s="15" t="inlineStr">
        <is>
          <t>Nº3 cerrado</t>
        </is>
      </c>
      <c r="AO126" s="17" t="n">
        <v>2</v>
      </c>
      <c r="AP126" s="10">
        <f>ROUNDDOWN(MIN(IF(AK126=0,1000000000,AO126*'Parametros'!$B$11*'Parametros'!$B$4*MIN(U126,AB126)/(AK126*1000)),IF(AV126=0,1000000000,'Parametros'!$B$11/AV126),MIN(U126,AB126)/4,8*'Parametros'!$B$12,24*'Parametros'!$B$9,300)/10,0)*10</f>
        <v>80</v>
      </c>
      <c r="AQ126" s="10">
        <f>ROUNDDOWN(MIN(IF(AK126=0,1000000000,AO126*'Parametros'!$B$11*'Parametros'!$B$4*MIN(U126,AB126)/(AK126*1000)),IF(AV126=0,1000000000,'Parametros'!$B$11/AV126),MIN(U126,AB126)/2,600)/10,0)*10</f>
        <v>130</v>
      </c>
      <c r="AR126" s="10">
        <f>'Parametros'!$B$6*(AJ126+AO126*'Parametros'!$B$11*'Parametros'!$B$4*MIN(U126,AB126)/AP126/1000)</f>
        <v>260.860380287796</v>
      </c>
      <c r="AS126" s="10" t="str">
        <f>IF(AND(AM126="CUMPLE",AR126&gt;=AI126),"CUMPLE","NO CUMPLE")</f>
        <v>CUMPLE</v>
      </c>
      <c r="AT126" s="10">
        <f>'Parametros'!$B$6*0.083*SQRT('Parametros'!$B$2)*(H126*I126)^2/(2*(H126+I126))/1000000</f>
        <v>3.38807353605471</v>
      </c>
      <c r="AU126" s="10" t="str">
        <f>IF(Q126&lt;=AT126,"DESPRECIABLE","DISEÑAR")</f>
        <v>DISEÑAR</v>
      </c>
      <c r="AV126" s="10">
        <f>IF(Q126&lt;=AT126,0,Q126*1000000/('Parametros'!$B$6*2*0.85*(H126-2*'Parametros'!$B$7)*(I126-2*'Parametros'!$B$7)*'Parametros'!$B$4))</f>
        <v>0.530883944486886</v>
      </c>
      <c r="AW126" s="10">
        <f>AV126*2*((H126-2*'Parametros'!$B$7)+(I126-2*'Parametros'!$B$7))*'Parametros'!$B$4/'Parametros'!$B$3</f>
        <v>573.354660045837</v>
      </c>
      <c r="AX126" s="17" t="n">
        <v>3</v>
      </c>
      <c r="AY126" s="10" t="str">
        <f>IF(AV126=0,"DESPRECIABLE",IF('Parametros'!$B$11/AP126&gt;=AV126,"CUMPLE","NO CUMPLE"))</f>
        <v>CUMPLE</v>
      </c>
      <c r="AZ126" s="10" t="str">
        <f>IF(AND(X126="CUMPLE",AE126="CUMPLE",AS126="CUMPLE",OR(AY126="CUMPLE",AY126="DESPRECIABLE")),IF(OR(F126&lt;&gt;H126,G126&lt;&gt;I126),"CUMPLE - REANALIZAR SAP","CUMPLE"),"NO CUMPLE")</f>
        <v>CUMPLE</v>
      </c>
    </row>
    <row r="127">
      <c r="A127" s="21" t="inlineStr">
        <is>
          <t>VC5</t>
        </is>
      </c>
      <c r="B127" s="21" t="inlineStr">
        <is>
          <t>66</t>
        </is>
      </c>
      <c r="C127" s="10" t="n">
        <v>1</v>
      </c>
      <c r="D127" s="10" t="n">
        <v>3.85</v>
      </c>
      <c r="E127" s="10" t="n">
        <v>3.85</v>
      </c>
      <c r="F127" s="10" t="n">
        <v>300</v>
      </c>
      <c r="G127" s="10" t="n">
        <v>400</v>
      </c>
      <c r="H127" s="15" t="n">
        <v>300</v>
      </c>
      <c r="I127" s="15" t="n">
        <v>400</v>
      </c>
      <c r="J127" s="16" t="n">
        <v>89.3108</v>
      </c>
      <c r="K127" s="10" t="inlineStr">
        <is>
          <t>66</t>
        </is>
      </c>
      <c r="L127" s="16" t="n">
        <v>75.51600000000001</v>
      </c>
      <c r="M127" s="10" t="inlineStr">
        <is>
          <t>66</t>
        </is>
      </c>
      <c r="N127" s="16" t="n">
        <v>53.241</v>
      </c>
      <c r="O127" s="16" t="n">
        <v>221.741</v>
      </c>
      <c r="P127" s="10" t="inlineStr">
        <is>
          <t>66</t>
        </is>
      </c>
      <c r="Q127" s="16" t="n">
        <v>5.8824</v>
      </c>
      <c r="R127" s="10">
        <f>MAX(MAX(1.4/'Parametros'!$B$3,0.25*SQRT('Parametros'!$B$2)/'Parametros'!$B$3)*H127*U127,(0.85*'Parametros'!$B$2/'Parametros'!$B$3)*(1-SQRT(1-2*(J127*1000000/('Parametros'!$B$5*H127*U127^2))/(0.85*'Parametros'!$B$2)))*H127*U127)</f>
        <v>736.29204262882</v>
      </c>
      <c r="S127" s="17" t="n">
        <v>4</v>
      </c>
      <c r="T127" s="18" t="n">
        <v>1</v>
      </c>
      <c r="U127" s="10">
        <f>IF(T127=1,I127-('Parametros'!$B$7+'Parametros'!$B$9+'Parametros'!$B$12/2),I127-(ROUNDUP(S127/2,0)*('Parametros'!$B$7+'Parametros'!$B$9+'Parametros'!$B$12/2)+ROUNDDOWN(S127/2,0)*('Parametros'!$B$7+'Parametros'!$B$9+'Parametros'!$B$12/2+'Parametros'!$B$12+'Parametros'!$B$10))/S127)</f>
        <v>342.55</v>
      </c>
      <c r="V127" s="10">
        <f>S127*'Parametros'!$B$8</f>
        <v>796</v>
      </c>
      <c r="W127" s="10">
        <f>'Parametros'!$B$5*V127*'Parametros'!$B$3*(U127-(V127*'Parametros'!$B$3/(0.85*'Parametros'!$B$2*H127))/2)/1000000</f>
        <v>96.0248653411765</v>
      </c>
      <c r="X127" s="10" t="str">
        <f>IF(W127&gt;=J127,"CUMPLE","NO CUMPLE")</f>
        <v>CUMPLE</v>
      </c>
      <c r="Y127" s="10">
        <f>MAX(MAX(1.4/'Parametros'!$B$3,0.25*SQRT('Parametros'!$B$2)/'Parametros'!$B$3)*H127*AB127,(0.85*'Parametros'!$B$2/'Parametros'!$B$3)*(1-SQRT(1-2*(L127*1000000/('Parametros'!$B$5*H127*AB127^2))/(0.85*'Parametros'!$B$2)))*H127*AB127)</f>
        <v>615.763152135093</v>
      </c>
      <c r="Z127" s="17" t="n">
        <v>4</v>
      </c>
      <c r="AA127" s="18" t="n">
        <v>1</v>
      </c>
      <c r="AB127" s="10">
        <f>IF(AA127=1,I127-('Parametros'!$B$7+'Parametros'!$B$9+'Parametros'!$B$12/2),I127-(ROUNDUP(Z127/2,0)*('Parametros'!$B$7+'Parametros'!$B$9+'Parametros'!$B$12/2)+ROUNDDOWN(Z127/2,0)*('Parametros'!$B$7+'Parametros'!$B$9+'Parametros'!$B$12/2+'Parametros'!$B$12+'Parametros'!$B$10))/Z127)</f>
        <v>342.55</v>
      </c>
      <c r="AC127" s="10">
        <f>Z127*'Parametros'!$B$8</f>
        <v>796</v>
      </c>
      <c r="AD127" s="10">
        <f>'Parametros'!$B$5*AC127*'Parametros'!$B$3*(AB127-(AC127*'Parametros'!$B$3/(0.85*'Parametros'!$B$2*H127))/2)/1000000</f>
        <v>96.0248653411765</v>
      </c>
      <c r="AE127" s="10" t="str">
        <f>IF(AD127&gt;=L127,"CUMPLE","NO CUMPLE")</f>
        <v>CUMPLE</v>
      </c>
      <c r="AF127" s="10">
        <f>V127*1.25*'Parametros'!$B$3*(U127-(V127*1.25*'Parametros'!$B$3/(0.85*'Parametros'!$B$2*H127))/2)/1000000</f>
        <v>130.921924411765</v>
      </c>
      <c r="AG127" s="10">
        <f>AC127*1.25*'Parametros'!$B$3*(AB127-(AC127*1.25*'Parametros'!$B$3/(0.85*'Parametros'!$B$2*H127))/2)/1000000</f>
        <v>130.921924411765</v>
      </c>
      <c r="AH127" s="10">
        <f>N127+(AF127+AG127)/D127</f>
        <v>121.252389304813</v>
      </c>
      <c r="AI127" s="10">
        <f>MIN(O127,MAX(N127,AH127))</f>
        <v>121.252389304813</v>
      </c>
      <c r="AJ127" s="10">
        <f>0.17*SQRT('Parametros'!$B$2)*H127*MIN(U127,AB127)/1000</f>
        <v>92.4428153837279</v>
      </c>
      <c r="AK127" s="10">
        <f>MAX(AI127/'Parametros'!$B$6-AJ127,0)</f>
        <v>69.2270370226892</v>
      </c>
      <c r="AL127" s="10">
        <f>0.66*SQRT('Parametros'!$B$2)*H127*MIN(U127,AB127)/1000</f>
        <v>358.89563619565</v>
      </c>
      <c r="AM127" s="10" t="str">
        <f>IF(AK127&lt;=AL127,"CUMPLE","NO CUMPLE")</f>
        <v>CUMPLE</v>
      </c>
      <c r="AN127" s="15" t="inlineStr">
        <is>
          <t>Nº3 cerrado</t>
        </is>
      </c>
      <c r="AO127" s="17" t="n">
        <v>2</v>
      </c>
      <c r="AP127" s="10">
        <f>ROUNDDOWN(MIN(IF(AK127=0,1000000000,AO127*'Parametros'!$B$11*'Parametros'!$B$4*MIN(U127,AB127)/(AK127*1000)),IF(AV127=0,1000000000,'Parametros'!$B$11/AV127),MIN(U127,AB127)/4,8*'Parametros'!$B$12,24*'Parametros'!$B$9,300)/10,0)*10</f>
        <v>80</v>
      </c>
      <c r="AQ127" s="10">
        <f>ROUNDDOWN(MIN(IF(AK127=0,1000000000,AO127*'Parametros'!$B$11*'Parametros'!$B$4*MIN(U127,AB127)/(AK127*1000)),IF(AV127=0,1000000000,'Parametros'!$B$11/AV127),MIN(U127,AB127)/2,600)/10,0)*10</f>
        <v>170</v>
      </c>
      <c r="AR127" s="10">
        <f>'Parametros'!$B$6*(AJ127+AO127*'Parametros'!$B$11*'Parametros'!$B$4*MIN(U127,AB127)/AP127/1000)</f>
        <v>260.860380287796</v>
      </c>
      <c r="AS127" s="10" t="str">
        <f>IF(AND(AM127="CUMPLE",AR127&gt;=AI127),"CUMPLE","NO CUMPLE")</f>
        <v>CUMPLE</v>
      </c>
      <c r="AT127" s="10">
        <f>'Parametros'!$B$6*0.083*SQRT('Parametros'!$B$2)*(H127*I127)^2/(2*(H127+I127))/1000000</f>
        <v>3.38807353605471</v>
      </c>
      <c r="AU127" s="10" t="str">
        <f>IF(Q127&lt;=AT127,"DESPRECIABLE","DISEÑAR")</f>
        <v>DISEÑAR</v>
      </c>
      <c r="AV127" s="10">
        <f>IF(Q127&lt;=AT127,0,Q127*1000000/('Parametros'!$B$6*2*0.85*(H127-2*'Parametros'!$B$7)*(I127-2*'Parametros'!$B$7)*'Parametros'!$B$4))</f>
        <v>0.156035141329259</v>
      </c>
      <c r="AW127" s="10">
        <f>AV127*2*((H127-2*'Parametros'!$B$7)+(I127-2*'Parametros'!$B$7))*'Parametros'!$B$4/'Parametros'!$B$3</f>
        <v>168.5179526356</v>
      </c>
      <c r="AX127" s="17" t="n">
        <v>1</v>
      </c>
      <c r="AY127" s="10" t="str">
        <f>IF(AV127=0,"DESPRECIABLE",IF('Parametros'!$B$11/AP127&gt;=AV127,"CUMPLE","NO CUMPLE"))</f>
        <v>CUMPLE</v>
      </c>
      <c r="AZ127" s="10" t="str">
        <f>IF(AND(X127="CUMPLE",AE127="CUMPLE",AS127="CUMPLE",OR(AY127="CUMPLE",AY127="DESPRECIABLE")),IF(OR(F127&lt;&gt;H127,G127&lt;&gt;I127),"CUMPLE - REANALIZAR SAP","CUMPLE"),"NO CUMPLE")</f>
        <v>CUMPLE</v>
      </c>
    </row>
    <row r="128">
      <c r="A128" s="21" t="inlineStr">
        <is>
          <t>VC5</t>
        </is>
      </c>
      <c r="B128" s="21" t="inlineStr">
        <is>
          <t>83</t>
        </is>
      </c>
      <c r="C128" s="10" t="n">
        <v>1</v>
      </c>
      <c r="D128" s="10" t="n">
        <v>3.85</v>
      </c>
      <c r="E128" s="10" t="n">
        <v>3.85</v>
      </c>
      <c r="F128" s="10" t="n">
        <v>300</v>
      </c>
      <c r="G128" s="10" t="n">
        <v>400</v>
      </c>
      <c r="H128" s="15" t="n">
        <v>300</v>
      </c>
      <c r="I128" s="15" t="n">
        <v>400</v>
      </c>
      <c r="J128" s="16" t="n">
        <v>89.3095</v>
      </c>
      <c r="K128" s="10" t="inlineStr">
        <is>
          <t>83</t>
        </is>
      </c>
      <c r="L128" s="16" t="n">
        <v>75.5205</v>
      </c>
      <c r="M128" s="10" t="inlineStr">
        <is>
          <t>83</t>
        </is>
      </c>
      <c r="N128" s="16" t="n">
        <v>53.238</v>
      </c>
      <c r="O128" s="16" t="n">
        <v>221.741</v>
      </c>
      <c r="P128" s="10" t="inlineStr">
        <is>
          <t>83</t>
        </is>
      </c>
      <c r="Q128" s="16" t="n">
        <v>5.8791</v>
      </c>
      <c r="R128" s="10">
        <f>MAX(MAX(1.4/'Parametros'!$B$3,0.25*SQRT('Parametros'!$B$2)/'Parametros'!$B$3)*H128*U128,(0.85*'Parametros'!$B$2/'Parametros'!$B$3)*(1-SQRT(1-2*(J128*1000000/('Parametros'!$B$5*H128*U128^2))/(0.85*'Parametros'!$B$2)))*H128*U128)</f>
        <v>736.280549631707</v>
      </c>
      <c r="S128" s="17" t="n">
        <v>4</v>
      </c>
      <c r="T128" s="18" t="n">
        <v>1</v>
      </c>
      <c r="U128" s="10">
        <f>IF(T128=1,I128-('Parametros'!$B$7+'Parametros'!$B$9+'Parametros'!$B$12/2),I128-(ROUNDUP(S128/2,0)*('Parametros'!$B$7+'Parametros'!$B$9+'Parametros'!$B$12/2)+ROUNDDOWN(S128/2,0)*('Parametros'!$B$7+'Parametros'!$B$9+'Parametros'!$B$12/2+'Parametros'!$B$12+'Parametros'!$B$10))/S128)</f>
        <v>342.55</v>
      </c>
      <c r="V128" s="10">
        <f>S128*'Parametros'!$B$8</f>
        <v>796</v>
      </c>
      <c r="W128" s="10">
        <f>'Parametros'!$B$5*V128*'Parametros'!$B$3*(U128-(V128*'Parametros'!$B$3/(0.85*'Parametros'!$B$2*H128))/2)/1000000</f>
        <v>96.0248653411765</v>
      </c>
      <c r="X128" s="10" t="str">
        <f>IF(W128&gt;=J128,"CUMPLE","NO CUMPLE")</f>
        <v>CUMPLE</v>
      </c>
      <c r="Y128" s="10">
        <f>MAX(MAX(1.4/'Parametros'!$B$3,0.25*SQRT('Parametros'!$B$2)/'Parametros'!$B$3)*H128*AB128,(0.85*'Parametros'!$B$2/'Parametros'!$B$3)*(1-SQRT(1-2*(L128*1000000/('Parametros'!$B$5*H128*AB128^2))/(0.85*'Parametros'!$B$2)))*H128*AB128)</f>
        <v>615.802014992969</v>
      </c>
      <c r="Z128" s="17" t="n">
        <v>4</v>
      </c>
      <c r="AA128" s="18" t="n">
        <v>1</v>
      </c>
      <c r="AB128" s="10">
        <f>IF(AA128=1,I128-('Parametros'!$B$7+'Parametros'!$B$9+'Parametros'!$B$12/2),I128-(ROUNDUP(Z128/2,0)*('Parametros'!$B$7+'Parametros'!$B$9+'Parametros'!$B$12/2)+ROUNDDOWN(Z128/2,0)*('Parametros'!$B$7+'Parametros'!$B$9+'Parametros'!$B$12/2+'Parametros'!$B$12+'Parametros'!$B$10))/Z128)</f>
        <v>342.55</v>
      </c>
      <c r="AC128" s="10">
        <f>Z128*'Parametros'!$B$8</f>
        <v>796</v>
      </c>
      <c r="AD128" s="10">
        <f>'Parametros'!$B$5*AC128*'Parametros'!$B$3*(AB128-(AC128*'Parametros'!$B$3/(0.85*'Parametros'!$B$2*H128))/2)/1000000</f>
        <v>96.0248653411765</v>
      </c>
      <c r="AE128" s="10" t="str">
        <f>IF(AD128&gt;=L128,"CUMPLE","NO CUMPLE")</f>
        <v>CUMPLE</v>
      </c>
      <c r="AF128" s="10">
        <f>V128*1.25*'Parametros'!$B$3*(U128-(V128*1.25*'Parametros'!$B$3/(0.85*'Parametros'!$B$2*H128))/2)/1000000</f>
        <v>130.921924411765</v>
      </c>
      <c r="AG128" s="10">
        <f>AC128*1.25*'Parametros'!$B$3*(AB128-(AC128*1.25*'Parametros'!$B$3/(0.85*'Parametros'!$B$2*H128))/2)/1000000</f>
        <v>130.921924411765</v>
      </c>
      <c r="AH128" s="10">
        <f>N128+(AF128+AG128)/D128</f>
        <v>121.249389304813</v>
      </c>
      <c r="AI128" s="10">
        <f>MIN(O128,MAX(N128,AH128))</f>
        <v>121.249389304813</v>
      </c>
      <c r="AJ128" s="10">
        <f>0.17*SQRT('Parametros'!$B$2)*H128*MIN(U128,AB128)/1000</f>
        <v>92.4428153837279</v>
      </c>
      <c r="AK128" s="10">
        <f>MAX(AI128/'Parametros'!$B$6-AJ128,0)</f>
        <v>69.2230370226892</v>
      </c>
      <c r="AL128" s="10">
        <f>0.66*SQRT('Parametros'!$B$2)*H128*MIN(U128,AB128)/1000</f>
        <v>358.89563619565</v>
      </c>
      <c r="AM128" s="10" t="str">
        <f>IF(AK128&lt;=AL128,"CUMPLE","NO CUMPLE")</f>
        <v>CUMPLE</v>
      </c>
      <c r="AN128" s="15" t="inlineStr">
        <is>
          <t>Nº3 cerrado</t>
        </is>
      </c>
      <c r="AO128" s="17" t="n">
        <v>2</v>
      </c>
      <c r="AP128" s="10">
        <f>ROUNDDOWN(MIN(IF(AK128=0,1000000000,AO128*'Parametros'!$B$11*'Parametros'!$B$4*MIN(U128,AB128)/(AK128*1000)),IF(AV128=0,1000000000,'Parametros'!$B$11/AV128),MIN(U128,AB128)/4,8*'Parametros'!$B$12,24*'Parametros'!$B$9,300)/10,0)*10</f>
        <v>80</v>
      </c>
      <c r="AQ128" s="10">
        <f>ROUNDDOWN(MIN(IF(AK128=0,1000000000,AO128*'Parametros'!$B$11*'Parametros'!$B$4*MIN(U128,AB128)/(AK128*1000)),IF(AV128=0,1000000000,'Parametros'!$B$11/AV128),MIN(U128,AB128)/2,600)/10,0)*10</f>
        <v>170</v>
      </c>
      <c r="AR128" s="10">
        <f>'Parametros'!$B$6*(AJ128+AO128*'Parametros'!$B$11*'Parametros'!$B$4*MIN(U128,AB128)/AP128/1000)</f>
        <v>260.860380287796</v>
      </c>
      <c r="AS128" s="10" t="str">
        <f>IF(AND(AM128="CUMPLE",AR128&gt;=AI128),"CUMPLE","NO CUMPLE")</f>
        <v>CUMPLE</v>
      </c>
      <c r="AT128" s="10">
        <f>'Parametros'!$B$6*0.083*SQRT('Parametros'!$B$2)*(H128*I128)^2/(2*(H128+I128))/1000000</f>
        <v>3.38807353605471</v>
      </c>
      <c r="AU128" s="10" t="str">
        <f>IF(Q128&lt;=AT128,"DESPRECIABLE","DISEÑAR")</f>
        <v>DISEÑAR</v>
      </c>
      <c r="AV128" s="10">
        <f>IF(Q128&lt;=AT128,0,Q128*1000000/('Parametros'!$B$6*2*0.85*(H128-2*'Parametros'!$B$7)*(I128-2*'Parametros'!$B$7)*'Parametros'!$B$4))</f>
        <v>0.155947606315253</v>
      </c>
      <c r="AW128" s="10">
        <f>AV128*2*((H128-2*'Parametros'!$B$7)+(I128-2*'Parametros'!$B$7))*'Parametros'!$B$4/'Parametros'!$B$3</f>
        <v>168.423414820474</v>
      </c>
      <c r="AX128" s="17" t="n">
        <v>1</v>
      </c>
      <c r="AY128" s="10" t="str">
        <f>IF(AV128=0,"DESPRECIABLE",IF('Parametros'!$B$11/AP128&gt;=AV128,"CUMPLE","NO CUMPLE"))</f>
        <v>CUMPLE</v>
      </c>
      <c r="AZ128" s="10" t="str">
        <f>IF(AND(X128="CUMPLE",AE128="CUMPLE",AS128="CUMPLE",OR(AY128="CUMPLE",AY128="DESPRECIABLE")),IF(OR(F128&lt;&gt;H128,G128&lt;&gt;I128),"CUMPLE - REANALIZAR SAP","CUMPLE"),"NO CUMPLE")</f>
        <v>CUMPLE</v>
      </c>
    </row>
    <row r="129">
      <c r="A129" s="21" t="inlineStr">
        <is>
          <t>VC5</t>
        </is>
      </c>
      <c r="B129" s="21" t="inlineStr">
        <is>
          <t>84</t>
        </is>
      </c>
      <c r="C129" s="10" t="n">
        <v>1</v>
      </c>
      <c r="D129" s="10" t="n">
        <v>3.9</v>
      </c>
      <c r="E129" s="10" t="n">
        <v>3.9</v>
      </c>
      <c r="F129" s="10" t="n">
        <v>300</v>
      </c>
      <c r="G129" s="10" t="n">
        <v>400</v>
      </c>
      <c r="H129" s="15" t="n">
        <v>300</v>
      </c>
      <c r="I129" s="15" t="n">
        <v>400</v>
      </c>
      <c r="J129" s="16" t="n">
        <v>110.1194</v>
      </c>
      <c r="K129" s="10" t="inlineStr">
        <is>
          <t>84</t>
        </is>
      </c>
      <c r="L129" s="16" t="n">
        <v>63.3664</v>
      </c>
      <c r="M129" s="10" t="inlineStr">
        <is>
          <t>84</t>
        </is>
      </c>
      <c r="N129" s="16" t="n">
        <v>84.30200000000001</v>
      </c>
      <c r="O129" s="16" t="n">
        <v>260.987</v>
      </c>
      <c r="P129" s="10" t="inlineStr">
        <is>
          <t>84</t>
        </is>
      </c>
      <c r="Q129" s="16" t="n">
        <v>20.0118</v>
      </c>
      <c r="R129" s="10">
        <f>MAX(MAX(1.4/'Parametros'!$B$3,0.25*SQRT('Parametros'!$B$2)/'Parametros'!$B$3)*H129*U129,(0.85*'Parametros'!$B$2/'Parametros'!$B$3)*(1-SQRT(1-2*(J129*1000000/('Parametros'!$B$5*H129*U129^2))/(0.85*'Parametros'!$B$2)))*H129*U129)</f>
        <v>923.708620696774</v>
      </c>
      <c r="S129" s="17" t="n">
        <v>5</v>
      </c>
      <c r="T129" s="18" t="n">
        <v>1</v>
      </c>
      <c r="U129" s="10">
        <f>IF(T129=1,I129-('Parametros'!$B$7+'Parametros'!$B$9+'Parametros'!$B$12/2),I129-(ROUNDUP(S129/2,0)*('Parametros'!$B$7+'Parametros'!$B$9+'Parametros'!$B$12/2)+ROUNDDOWN(S129/2,0)*('Parametros'!$B$7+'Parametros'!$B$9+'Parametros'!$B$12/2+'Parametros'!$B$12+'Parametros'!$B$10))/S129)</f>
        <v>342.55</v>
      </c>
      <c r="V129" s="10">
        <f>S129*'Parametros'!$B$8</f>
        <v>995</v>
      </c>
      <c r="W129" s="10">
        <f>'Parametros'!$B$5*V129*'Parametros'!$B$3*(U129-(V129*'Parametros'!$B$3/(0.85*'Parametros'!$B$2*H129))/2)/1000000</f>
        <v>117.829731970588</v>
      </c>
      <c r="X129" s="10" t="str">
        <f>IF(W129&gt;=J129,"CUMPLE","NO CUMPLE")</f>
        <v>CUMPLE</v>
      </c>
      <c r="Y129" s="10">
        <f>MAX(MAX(1.4/'Parametros'!$B$3,0.25*SQRT('Parametros'!$B$2)/'Parametros'!$B$3)*H129*AB129,(0.85*'Parametros'!$B$2/'Parametros'!$B$3)*(1-SQRT(1-2*(L129*1000000/('Parametros'!$B$5*H129*AB129^2))/(0.85*'Parametros'!$B$2)))*H129*AB129)</f>
        <v>511.8735628804</v>
      </c>
      <c r="Z129" s="17" t="n">
        <v>3</v>
      </c>
      <c r="AA129" s="18" t="n">
        <v>1</v>
      </c>
      <c r="AB129" s="10">
        <f>IF(AA129=1,I129-('Parametros'!$B$7+'Parametros'!$B$9+'Parametros'!$B$12/2),I129-(ROUNDUP(Z129/2,0)*('Parametros'!$B$7+'Parametros'!$B$9+'Parametros'!$B$12/2)+ROUNDDOWN(Z129/2,0)*('Parametros'!$B$7+'Parametros'!$B$9+'Parametros'!$B$12/2+'Parametros'!$B$12+'Parametros'!$B$10))/Z129)</f>
        <v>342.55</v>
      </c>
      <c r="AC129" s="10">
        <f>Z129*'Parametros'!$B$8</f>
        <v>597</v>
      </c>
      <c r="AD129" s="10">
        <f>'Parametros'!$B$5*AC129*'Parametros'!$B$3*(AB129-(AC129*'Parametros'!$B$3/(0.85*'Parametros'!$B$2*H129))/2)/1000000</f>
        <v>73.3394588294118</v>
      </c>
      <c r="AE129" s="10" t="str">
        <f>IF(AD129&gt;=L129,"CUMPLE","NO CUMPLE")</f>
        <v>CUMPLE</v>
      </c>
      <c r="AF129" s="10">
        <f>V129*1.25*'Parametros'!$B$3*(U129-(V129*1.25*'Parametros'!$B$3/(0.85*'Parametros'!$B$2*H129))/2)/1000000</f>
        <v>159.830617830882</v>
      </c>
      <c r="AG129" s="10">
        <f>AC129*1.25*'Parametros'!$B$3*(AB129-(AC129*1.25*'Parametros'!$B$3/(0.85*'Parametros'!$B$2*H129))/2)/1000000</f>
        <v>100.484515919118</v>
      </c>
      <c r="AH129" s="10">
        <f>N129+(AF129+AG129)/D129</f>
        <v>151.049470192308</v>
      </c>
      <c r="AI129" s="10">
        <f>MIN(O129,MAX(N129,AH129))</f>
        <v>151.049470192308</v>
      </c>
      <c r="AJ129" s="10">
        <f>0.17*SQRT('Parametros'!$B$2)*H129*MIN(U129,AB129)/1000</f>
        <v>92.4428153837279</v>
      </c>
      <c r="AK129" s="10">
        <f>MAX(AI129/'Parametros'!$B$6-AJ129,0)</f>
        <v>108.956478206016</v>
      </c>
      <c r="AL129" s="10">
        <f>0.66*SQRT('Parametros'!$B$2)*H129*MIN(U129,AB129)/1000</f>
        <v>358.89563619565</v>
      </c>
      <c r="AM129" s="10" t="str">
        <f>IF(AK129&lt;=AL129,"CUMPLE","NO CUMPLE")</f>
        <v>CUMPLE</v>
      </c>
      <c r="AN129" s="15" t="inlineStr">
        <is>
          <t>Nº3 cerrado</t>
        </is>
      </c>
      <c r="AO129" s="17" t="n">
        <v>2</v>
      </c>
      <c r="AP129" s="10">
        <f>ROUNDDOWN(MIN(IF(AK129=0,1000000000,AO129*'Parametros'!$B$11*'Parametros'!$B$4*MIN(U129,AB129)/(AK129*1000)),IF(AV129=0,1000000000,'Parametros'!$B$11/AV129),MIN(U129,AB129)/4,8*'Parametros'!$B$12,24*'Parametros'!$B$9,300)/10,0)*10</f>
        <v>80</v>
      </c>
      <c r="AQ129" s="10">
        <f>ROUNDDOWN(MIN(IF(AK129=0,1000000000,AO129*'Parametros'!$B$11*'Parametros'!$B$4*MIN(U129,AB129)/(AK129*1000)),IF(AV129=0,1000000000,'Parametros'!$B$11/AV129),MIN(U129,AB129)/2,600)/10,0)*10</f>
        <v>130</v>
      </c>
      <c r="AR129" s="10">
        <f>'Parametros'!$B$6*(AJ129+AO129*'Parametros'!$B$11*'Parametros'!$B$4*MIN(U129,AB129)/AP129/1000)</f>
        <v>260.860380287796</v>
      </c>
      <c r="AS129" s="10" t="str">
        <f>IF(AND(AM129="CUMPLE",AR129&gt;=AI129),"CUMPLE","NO CUMPLE")</f>
        <v>CUMPLE</v>
      </c>
      <c r="AT129" s="10">
        <f>'Parametros'!$B$6*0.083*SQRT('Parametros'!$B$2)*(H129*I129)^2/(2*(H129+I129))/1000000</f>
        <v>3.38807353605471</v>
      </c>
      <c r="AU129" s="10" t="str">
        <f>IF(Q129&lt;=AT129,"DESPRECIABLE","DISEÑAR")</f>
        <v>DISEÑAR</v>
      </c>
      <c r="AV129" s="10">
        <f>IF(Q129&lt;=AT129,0,Q129*1000000/('Parametros'!$B$6*2*0.85*(H129-2*'Parametros'!$B$7)*(I129-2*'Parametros'!$B$7)*'Parametros'!$B$4))</f>
        <v>0.530828240387064</v>
      </c>
      <c r="AW129" s="10">
        <f>AV129*2*((H129-2*'Parametros'!$B$7)+(I129-2*'Parametros'!$B$7))*'Parametros'!$B$4/'Parametros'!$B$3</f>
        <v>573.294499618029</v>
      </c>
      <c r="AX129" s="17" t="n">
        <v>3</v>
      </c>
      <c r="AY129" s="10" t="str">
        <f>IF(AV129=0,"DESPRECIABLE",IF('Parametros'!$B$11/AP129&gt;=AV129,"CUMPLE","NO CUMPLE"))</f>
        <v>CUMPLE</v>
      </c>
      <c r="AZ129" s="10" t="str">
        <f>IF(AND(X129="CUMPLE",AE129="CUMPLE",AS129="CUMPLE",OR(AY129="CUMPLE",AY129="DESPRECIABLE")),IF(OR(F129&lt;&gt;H129,G129&lt;&gt;I129),"CUMPLE - REANALIZAR SAP","CUMPLE"),"NO CUMPLE")</f>
        <v>CUMPLE</v>
      </c>
    </row>
    <row r="130">
      <c r="A130" s="21" t="inlineStr">
        <is>
          <t>VC5</t>
        </is>
      </c>
      <c r="B130" s="21" t="inlineStr">
        <is>
          <t>85</t>
        </is>
      </c>
      <c r="C130" s="10" t="n">
        <v>1</v>
      </c>
      <c r="D130" s="10" t="n">
        <v>3.9</v>
      </c>
      <c r="E130" s="10" t="n">
        <v>3.9</v>
      </c>
      <c r="F130" s="10" t="n">
        <v>300</v>
      </c>
      <c r="G130" s="10" t="n">
        <v>400</v>
      </c>
      <c r="H130" s="15" t="n">
        <v>300</v>
      </c>
      <c r="I130" s="15" t="n">
        <v>400</v>
      </c>
      <c r="J130" s="16" t="n">
        <v>110.0243</v>
      </c>
      <c r="K130" s="10" t="inlineStr">
        <is>
          <t>85</t>
        </is>
      </c>
      <c r="L130" s="16" t="n">
        <v>63.389</v>
      </c>
      <c r="M130" s="10" t="inlineStr">
        <is>
          <t>85</t>
        </is>
      </c>
      <c r="N130" s="16" t="n">
        <v>84.209</v>
      </c>
      <c r="O130" s="16" t="n">
        <v>260.847</v>
      </c>
      <c r="P130" s="10" t="inlineStr">
        <is>
          <t>85</t>
        </is>
      </c>
      <c r="Q130" s="16" t="n">
        <v>19.9669</v>
      </c>
      <c r="R130" s="10">
        <f>MAX(MAX(1.4/'Parametros'!$B$3,0.25*SQRT('Parametros'!$B$2)/'Parametros'!$B$3)*H130*U130,(0.85*'Parametros'!$B$2/'Parametros'!$B$3)*(1-SQRT(1-2*(J130*1000000/('Parametros'!$B$5*H130*U130^2))/(0.85*'Parametros'!$B$2)))*H130*U130)</f>
        <v>922.83578065175</v>
      </c>
      <c r="S130" s="17" t="n">
        <v>5</v>
      </c>
      <c r="T130" s="18" t="n">
        <v>1</v>
      </c>
      <c r="U130" s="10">
        <f>IF(T130=1,I130-('Parametros'!$B$7+'Parametros'!$B$9+'Parametros'!$B$12/2),I130-(ROUNDUP(S130/2,0)*('Parametros'!$B$7+'Parametros'!$B$9+'Parametros'!$B$12/2)+ROUNDDOWN(S130/2,0)*('Parametros'!$B$7+'Parametros'!$B$9+'Parametros'!$B$12/2+'Parametros'!$B$12+'Parametros'!$B$10))/S130)</f>
        <v>342.55</v>
      </c>
      <c r="V130" s="10">
        <f>S130*'Parametros'!$B$8</f>
        <v>995</v>
      </c>
      <c r="W130" s="10">
        <f>'Parametros'!$B$5*V130*'Parametros'!$B$3*(U130-(V130*'Parametros'!$B$3/(0.85*'Parametros'!$B$2*H130))/2)/1000000</f>
        <v>117.829731970588</v>
      </c>
      <c r="X130" s="10" t="str">
        <f>IF(W130&gt;=J130,"CUMPLE","NO CUMPLE")</f>
        <v>CUMPLE</v>
      </c>
      <c r="Y130" s="10">
        <f>MAX(MAX(1.4/'Parametros'!$B$3,0.25*SQRT('Parametros'!$B$2)/'Parametros'!$B$3)*H130*AB130,(0.85*'Parametros'!$B$2/'Parametros'!$B$3)*(1-SQRT(1-2*(L130*1000000/('Parametros'!$B$5*H130*AB130^2))/(0.85*'Parametros'!$B$2)))*H130*AB130)</f>
        <v>512.064925948343</v>
      </c>
      <c r="Z130" s="17" t="n">
        <v>3</v>
      </c>
      <c r="AA130" s="18" t="n">
        <v>1</v>
      </c>
      <c r="AB130" s="10">
        <f>IF(AA130=1,I130-('Parametros'!$B$7+'Parametros'!$B$9+'Parametros'!$B$12/2),I130-(ROUNDUP(Z130/2,0)*('Parametros'!$B$7+'Parametros'!$B$9+'Parametros'!$B$12/2)+ROUNDDOWN(Z130/2,0)*('Parametros'!$B$7+'Parametros'!$B$9+'Parametros'!$B$12/2+'Parametros'!$B$12+'Parametros'!$B$10))/Z130)</f>
        <v>342.55</v>
      </c>
      <c r="AC130" s="10">
        <f>Z130*'Parametros'!$B$8</f>
        <v>597</v>
      </c>
      <c r="AD130" s="10">
        <f>'Parametros'!$B$5*AC130*'Parametros'!$B$3*(AB130-(AC130*'Parametros'!$B$3/(0.85*'Parametros'!$B$2*H130))/2)/1000000</f>
        <v>73.3394588294118</v>
      </c>
      <c r="AE130" s="10" t="str">
        <f>IF(AD130&gt;=L130,"CUMPLE","NO CUMPLE")</f>
        <v>CUMPLE</v>
      </c>
      <c r="AF130" s="10">
        <f>V130*1.25*'Parametros'!$B$3*(U130-(V130*1.25*'Parametros'!$B$3/(0.85*'Parametros'!$B$2*H130))/2)/1000000</f>
        <v>159.830617830882</v>
      </c>
      <c r="AG130" s="10">
        <f>AC130*1.25*'Parametros'!$B$3*(AB130-(AC130*1.25*'Parametros'!$B$3/(0.85*'Parametros'!$B$2*H130))/2)/1000000</f>
        <v>100.484515919118</v>
      </c>
      <c r="AH130" s="10">
        <f>N130+(AF130+AG130)/D130</f>
        <v>150.956470192308</v>
      </c>
      <c r="AI130" s="10">
        <f>MIN(O130,MAX(N130,AH130))</f>
        <v>150.956470192308</v>
      </c>
      <c r="AJ130" s="10">
        <f>0.17*SQRT('Parametros'!$B$2)*H130*MIN(U130,AB130)/1000</f>
        <v>92.4428153837279</v>
      </c>
      <c r="AK130" s="10">
        <f>MAX(AI130/'Parametros'!$B$6-AJ130,0)</f>
        <v>108.832478206016</v>
      </c>
      <c r="AL130" s="10">
        <f>0.66*SQRT('Parametros'!$B$2)*H130*MIN(U130,AB130)/1000</f>
        <v>358.89563619565</v>
      </c>
      <c r="AM130" s="10" t="str">
        <f>IF(AK130&lt;=AL130,"CUMPLE","NO CUMPLE")</f>
        <v>CUMPLE</v>
      </c>
      <c r="AN130" s="15" t="inlineStr">
        <is>
          <t>Nº3 cerrado</t>
        </is>
      </c>
      <c r="AO130" s="17" t="n">
        <v>2</v>
      </c>
      <c r="AP130" s="10">
        <f>ROUNDDOWN(MIN(IF(AK130=0,1000000000,AO130*'Parametros'!$B$11*'Parametros'!$B$4*MIN(U130,AB130)/(AK130*1000)),IF(AV130=0,1000000000,'Parametros'!$B$11/AV130),MIN(U130,AB130)/4,8*'Parametros'!$B$12,24*'Parametros'!$B$9,300)/10,0)*10</f>
        <v>80</v>
      </c>
      <c r="AQ130" s="10">
        <f>ROUNDDOWN(MIN(IF(AK130=0,1000000000,AO130*'Parametros'!$B$11*'Parametros'!$B$4*MIN(U130,AB130)/(AK130*1000)),IF(AV130=0,1000000000,'Parametros'!$B$11/AV130),MIN(U130,AB130)/2,600)/10,0)*10</f>
        <v>130</v>
      </c>
      <c r="AR130" s="10">
        <f>'Parametros'!$B$6*(AJ130+AO130*'Parametros'!$B$11*'Parametros'!$B$4*MIN(U130,AB130)/AP130/1000)</f>
        <v>260.860380287796</v>
      </c>
      <c r="AS130" s="10" t="str">
        <f>IF(AND(AM130="CUMPLE",AR130&gt;=AI130),"CUMPLE","NO CUMPLE")</f>
        <v>CUMPLE</v>
      </c>
      <c r="AT130" s="10">
        <f>'Parametros'!$B$6*0.083*SQRT('Parametros'!$B$2)*(H130*I130)^2/(2*(H130+I130))/1000000</f>
        <v>3.38807353605471</v>
      </c>
      <c r="AU130" s="10" t="str">
        <f>IF(Q130&lt;=AT130,"DESPRECIABLE","DISEÑAR")</f>
        <v>DISEÑAR</v>
      </c>
      <c r="AV130" s="10">
        <f>IF(Q130&lt;=AT130,0,Q130*1000000/('Parametros'!$B$6*2*0.85*(H130-2*'Parametros'!$B$7)*(I130-2*'Parametros'!$B$7)*'Parametros'!$B$4))</f>
        <v>0.529637233681351</v>
      </c>
      <c r="AW130" s="10">
        <f>AV130*2*((H130-2*'Parametros'!$B$7)+(I130-2*'Parametros'!$B$7))*'Parametros'!$B$4/'Parametros'!$B$3</f>
        <v>572.008212375859</v>
      </c>
      <c r="AX130" s="17" t="n">
        <v>3</v>
      </c>
      <c r="AY130" s="10" t="str">
        <f>IF(AV130=0,"DESPRECIABLE",IF('Parametros'!$B$11/AP130&gt;=AV130,"CUMPLE","NO CUMPLE"))</f>
        <v>CUMPLE</v>
      </c>
      <c r="AZ130" s="10" t="str">
        <f>IF(AND(X130="CUMPLE",AE130="CUMPLE",AS130="CUMPLE",OR(AY130="CUMPLE",AY130="DESPRECIABLE")),IF(OR(F130&lt;&gt;H130,G130&lt;&gt;I130),"CUMPLE - REANALIZAR SAP","CUMPLE"),"NO CUMPLE")</f>
        <v>CUMPLE</v>
      </c>
    </row>
    <row r="131">
      <c r="A131" s="21" t="inlineStr">
        <is>
          <t>VC5</t>
        </is>
      </c>
      <c r="B131" s="21" t="inlineStr">
        <is>
          <t>86</t>
        </is>
      </c>
      <c r="C131" s="10" t="n">
        <v>1</v>
      </c>
      <c r="D131" s="10" t="n">
        <v>3.85</v>
      </c>
      <c r="E131" s="10" t="n">
        <v>3.85</v>
      </c>
      <c r="F131" s="10" t="n">
        <v>300</v>
      </c>
      <c r="G131" s="10" t="n">
        <v>400</v>
      </c>
      <c r="H131" s="15" t="n">
        <v>300</v>
      </c>
      <c r="I131" s="15" t="n">
        <v>400</v>
      </c>
      <c r="J131" s="16" t="n">
        <v>89.3199</v>
      </c>
      <c r="K131" s="10" t="inlineStr">
        <is>
          <t>86</t>
        </is>
      </c>
      <c r="L131" s="16" t="n">
        <v>75.52809999999999</v>
      </c>
      <c r="M131" s="10" t="inlineStr">
        <is>
          <t>86</t>
        </is>
      </c>
      <c r="N131" s="16" t="n">
        <v>53.244</v>
      </c>
      <c r="O131" s="16" t="n">
        <v>221.746</v>
      </c>
      <c r="P131" s="10" t="inlineStr">
        <is>
          <t>86</t>
        </is>
      </c>
      <c r="Q131" s="16" t="n">
        <v>5.8784</v>
      </c>
      <c r="R131" s="10">
        <f>MAX(MAX(1.4/'Parametros'!$B$3,0.25*SQRT('Parametros'!$B$2)/'Parametros'!$B$3)*H131*U131,(0.85*'Parametros'!$B$2/'Parametros'!$B$3)*(1-SQRT(1-2*(J131*1000000/('Parametros'!$B$5*H131*U131^2))/(0.85*'Parametros'!$B$2)))*H131*U131)</f>
        <v>736.372494335667</v>
      </c>
      <c r="S131" s="17" t="n">
        <v>4</v>
      </c>
      <c r="T131" s="18" t="n">
        <v>1</v>
      </c>
      <c r="U131" s="10">
        <f>IF(T131=1,I131-('Parametros'!$B$7+'Parametros'!$B$9+'Parametros'!$B$12/2),I131-(ROUNDUP(S131/2,0)*('Parametros'!$B$7+'Parametros'!$B$9+'Parametros'!$B$12/2)+ROUNDDOWN(S131/2,0)*('Parametros'!$B$7+'Parametros'!$B$9+'Parametros'!$B$12/2+'Parametros'!$B$12+'Parametros'!$B$10))/S131)</f>
        <v>342.55</v>
      </c>
      <c r="V131" s="10">
        <f>S131*'Parametros'!$B$8</f>
        <v>796</v>
      </c>
      <c r="W131" s="10">
        <f>'Parametros'!$B$5*V131*'Parametros'!$B$3*(U131-(V131*'Parametros'!$B$3/(0.85*'Parametros'!$B$2*H131))/2)/1000000</f>
        <v>96.0248653411765</v>
      </c>
      <c r="X131" s="10" t="str">
        <f>IF(W131&gt;=J131,"CUMPLE","NO CUMPLE")</f>
        <v>CUMPLE</v>
      </c>
      <c r="Y131" s="10">
        <f>MAX(MAX(1.4/'Parametros'!$B$3,0.25*SQRT('Parametros'!$B$2)/'Parametros'!$B$3)*H131*AB131,(0.85*'Parametros'!$B$2/'Parametros'!$B$3)*(1-SQRT(1-2*(L131*1000000/('Parametros'!$B$5*H131*AB131^2))/(0.85*'Parametros'!$B$2)))*H131*AB131)</f>
        <v>615.86765070037</v>
      </c>
      <c r="Z131" s="17" t="n">
        <v>4</v>
      </c>
      <c r="AA131" s="18" t="n">
        <v>1</v>
      </c>
      <c r="AB131" s="10">
        <f>IF(AA131=1,I131-('Parametros'!$B$7+'Parametros'!$B$9+'Parametros'!$B$12/2),I131-(ROUNDUP(Z131/2,0)*('Parametros'!$B$7+'Parametros'!$B$9+'Parametros'!$B$12/2)+ROUNDDOWN(Z131/2,0)*('Parametros'!$B$7+'Parametros'!$B$9+'Parametros'!$B$12/2+'Parametros'!$B$12+'Parametros'!$B$10))/Z131)</f>
        <v>342.55</v>
      </c>
      <c r="AC131" s="10">
        <f>Z131*'Parametros'!$B$8</f>
        <v>796</v>
      </c>
      <c r="AD131" s="10">
        <f>'Parametros'!$B$5*AC131*'Parametros'!$B$3*(AB131-(AC131*'Parametros'!$B$3/(0.85*'Parametros'!$B$2*H131))/2)/1000000</f>
        <v>96.0248653411765</v>
      </c>
      <c r="AE131" s="10" t="str">
        <f>IF(AD131&gt;=L131,"CUMPLE","NO CUMPLE")</f>
        <v>CUMPLE</v>
      </c>
      <c r="AF131" s="10">
        <f>V131*1.25*'Parametros'!$B$3*(U131-(V131*1.25*'Parametros'!$B$3/(0.85*'Parametros'!$B$2*H131))/2)/1000000</f>
        <v>130.921924411765</v>
      </c>
      <c r="AG131" s="10">
        <f>AC131*1.25*'Parametros'!$B$3*(AB131-(AC131*1.25*'Parametros'!$B$3/(0.85*'Parametros'!$B$2*H131))/2)/1000000</f>
        <v>130.921924411765</v>
      </c>
      <c r="AH131" s="10">
        <f>N131+(AF131+AG131)/D131</f>
        <v>121.255389304813</v>
      </c>
      <c r="AI131" s="10">
        <f>MIN(O131,MAX(N131,AH131))</f>
        <v>121.255389304813</v>
      </c>
      <c r="AJ131" s="10">
        <f>0.17*SQRT('Parametros'!$B$2)*H131*MIN(U131,AB131)/1000</f>
        <v>92.4428153837279</v>
      </c>
      <c r="AK131" s="10">
        <f>MAX(AI131/'Parametros'!$B$6-AJ131,0)</f>
        <v>69.2310370226892</v>
      </c>
      <c r="AL131" s="10">
        <f>0.66*SQRT('Parametros'!$B$2)*H131*MIN(U131,AB131)/1000</f>
        <v>358.89563619565</v>
      </c>
      <c r="AM131" s="10" t="str">
        <f>IF(AK131&lt;=AL131,"CUMPLE","NO CUMPLE")</f>
        <v>CUMPLE</v>
      </c>
      <c r="AN131" s="15" t="inlineStr">
        <is>
          <t>Nº3 cerrado</t>
        </is>
      </c>
      <c r="AO131" s="17" t="n">
        <v>2</v>
      </c>
      <c r="AP131" s="10">
        <f>ROUNDDOWN(MIN(IF(AK131=0,1000000000,AO131*'Parametros'!$B$11*'Parametros'!$B$4*MIN(U131,AB131)/(AK131*1000)),IF(AV131=0,1000000000,'Parametros'!$B$11/AV131),MIN(U131,AB131)/4,8*'Parametros'!$B$12,24*'Parametros'!$B$9,300)/10,0)*10</f>
        <v>80</v>
      </c>
      <c r="AQ131" s="10">
        <f>ROUNDDOWN(MIN(IF(AK131=0,1000000000,AO131*'Parametros'!$B$11*'Parametros'!$B$4*MIN(U131,AB131)/(AK131*1000)),IF(AV131=0,1000000000,'Parametros'!$B$11/AV131),MIN(U131,AB131)/2,600)/10,0)*10</f>
        <v>170</v>
      </c>
      <c r="AR131" s="10">
        <f>'Parametros'!$B$6*(AJ131+AO131*'Parametros'!$B$11*'Parametros'!$B$4*MIN(U131,AB131)/AP131/1000)</f>
        <v>260.860380287796</v>
      </c>
      <c r="AS131" s="10" t="str">
        <f>IF(AND(AM131="CUMPLE",AR131&gt;=AI131),"CUMPLE","NO CUMPLE")</f>
        <v>CUMPLE</v>
      </c>
      <c r="AT131" s="10">
        <f>'Parametros'!$B$6*0.083*SQRT('Parametros'!$B$2)*(H131*I131)^2/(2*(H131+I131))/1000000</f>
        <v>3.38807353605471</v>
      </c>
      <c r="AU131" s="10" t="str">
        <f>IF(Q131&lt;=AT131,"DESPRECIABLE","DISEÑAR")</f>
        <v>DISEÑAR</v>
      </c>
      <c r="AV131" s="10">
        <f>IF(Q131&lt;=AT131,0,Q131*1000000/('Parametros'!$B$6*2*0.85*(H131-2*'Parametros'!$B$7)*(I131-2*'Parametros'!$B$7)*'Parametros'!$B$4))</f>
        <v>0.155929038281979</v>
      </c>
      <c r="AW131" s="10">
        <f>AV131*2*((H131-2*'Parametros'!$B$7)+(I131-2*'Parametros'!$B$7))*'Parametros'!$B$4/'Parametros'!$B$3</f>
        <v>168.403361344538</v>
      </c>
      <c r="AX131" s="17" t="n">
        <v>1</v>
      </c>
      <c r="AY131" s="10" t="str">
        <f>IF(AV131=0,"DESPRECIABLE",IF('Parametros'!$B$11/AP131&gt;=AV131,"CUMPLE","NO CUMPLE"))</f>
        <v>CUMPLE</v>
      </c>
      <c r="AZ131" s="10" t="str">
        <f>IF(AND(X131="CUMPLE",AE131="CUMPLE",AS131="CUMPLE",OR(AY131="CUMPLE",AY131="DESPRECIABLE")),IF(OR(F131&lt;&gt;H131,G131&lt;&gt;I131),"CUMPLE - REANALIZAR SAP","CUMPLE"),"NO CUMPLE")</f>
        <v>CUMPLE</v>
      </c>
    </row>
    <row r="132">
      <c r="A132" s="21" t="inlineStr">
        <is>
          <t>VC5</t>
        </is>
      </c>
      <c r="B132" s="21" t="inlineStr">
        <is>
          <t>263</t>
        </is>
      </c>
      <c r="C132" s="10" t="n">
        <v>1</v>
      </c>
      <c r="D132" s="10" t="n">
        <v>3.85</v>
      </c>
      <c r="E132" s="10" t="n">
        <v>3.85</v>
      </c>
      <c r="F132" s="10" t="n">
        <v>300</v>
      </c>
      <c r="G132" s="10" t="n">
        <v>400</v>
      </c>
      <c r="H132" s="15" t="n">
        <v>300</v>
      </c>
      <c r="I132" s="15" t="n">
        <v>400</v>
      </c>
      <c r="J132" s="16" t="n">
        <v>89.55329999999999</v>
      </c>
      <c r="K132" s="10" t="inlineStr">
        <is>
          <t>263</t>
        </is>
      </c>
      <c r="L132" s="16" t="n">
        <v>74.4301</v>
      </c>
      <c r="M132" s="10" t="inlineStr">
        <is>
          <t>263</t>
        </is>
      </c>
      <c r="N132" s="16" t="n">
        <v>53.754</v>
      </c>
      <c r="O132" s="16" t="n">
        <v>222.184</v>
      </c>
      <c r="P132" s="10" t="inlineStr">
        <is>
          <t>263</t>
        </is>
      </c>
      <c r="Q132" s="16" t="n">
        <v>5.8014</v>
      </c>
      <c r="R132" s="10">
        <f>MAX(MAX(1.4/'Parametros'!$B$3,0.25*SQRT('Parametros'!$B$2)/'Parametros'!$B$3)*H132*U132,(0.85*'Parametros'!$B$2/'Parametros'!$B$3)*(1-SQRT(1-2*(J132*1000000/('Parametros'!$B$5*H132*U132^2))/(0.85*'Parametros'!$B$2)))*H132*U132)</f>
        <v>738.436383001057</v>
      </c>
      <c r="S132" s="17" t="n">
        <v>4</v>
      </c>
      <c r="T132" s="18" t="n">
        <v>1</v>
      </c>
      <c r="U132" s="10">
        <f>IF(T132=1,I132-('Parametros'!$B$7+'Parametros'!$B$9+'Parametros'!$B$12/2),I132-(ROUNDUP(S132/2,0)*('Parametros'!$B$7+'Parametros'!$B$9+'Parametros'!$B$12/2)+ROUNDDOWN(S132/2,0)*('Parametros'!$B$7+'Parametros'!$B$9+'Parametros'!$B$12/2+'Parametros'!$B$12+'Parametros'!$B$10))/S132)</f>
        <v>342.55</v>
      </c>
      <c r="V132" s="10">
        <f>S132*'Parametros'!$B$8</f>
        <v>796</v>
      </c>
      <c r="W132" s="10">
        <f>'Parametros'!$B$5*V132*'Parametros'!$B$3*(U132-(V132*'Parametros'!$B$3/(0.85*'Parametros'!$B$2*H132))/2)/1000000</f>
        <v>96.0248653411765</v>
      </c>
      <c r="X132" s="10" t="str">
        <f>IF(W132&gt;=J132,"CUMPLE","NO CUMPLE")</f>
        <v>CUMPLE</v>
      </c>
      <c r="Y132" s="10">
        <f>MAX(MAX(1.4/'Parametros'!$B$3,0.25*SQRT('Parametros'!$B$2)/'Parametros'!$B$3)*H132*AB132,(0.85*'Parametros'!$B$2/'Parametros'!$B$3)*(1-SQRT(1-2*(L132*1000000/('Parametros'!$B$5*H132*AB132^2))/(0.85*'Parametros'!$B$2)))*H132*AB132)</f>
        <v>606.393576659941</v>
      </c>
      <c r="Z132" s="17" t="n">
        <v>4</v>
      </c>
      <c r="AA132" s="18" t="n">
        <v>1</v>
      </c>
      <c r="AB132" s="10">
        <f>IF(AA132=1,I132-('Parametros'!$B$7+'Parametros'!$B$9+'Parametros'!$B$12/2),I132-(ROUNDUP(Z132/2,0)*('Parametros'!$B$7+'Parametros'!$B$9+'Parametros'!$B$12/2)+ROUNDDOWN(Z132/2,0)*('Parametros'!$B$7+'Parametros'!$B$9+'Parametros'!$B$12/2+'Parametros'!$B$12+'Parametros'!$B$10))/Z132)</f>
        <v>342.55</v>
      </c>
      <c r="AC132" s="10">
        <f>Z132*'Parametros'!$B$8</f>
        <v>796</v>
      </c>
      <c r="AD132" s="10">
        <f>'Parametros'!$B$5*AC132*'Parametros'!$B$3*(AB132-(AC132*'Parametros'!$B$3/(0.85*'Parametros'!$B$2*H132))/2)/1000000</f>
        <v>96.0248653411765</v>
      </c>
      <c r="AE132" s="10" t="str">
        <f>IF(AD132&gt;=L132,"CUMPLE","NO CUMPLE")</f>
        <v>CUMPLE</v>
      </c>
      <c r="AF132" s="10">
        <f>V132*1.25*'Parametros'!$B$3*(U132-(V132*1.25*'Parametros'!$B$3/(0.85*'Parametros'!$B$2*H132))/2)/1000000</f>
        <v>130.921924411765</v>
      </c>
      <c r="AG132" s="10">
        <f>AC132*1.25*'Parametros'!$B$3*(AB132-(AC132*1.25*'Parametros'!$B$3/(0.85*'Parametros'!$B$2*H132))/2)/1000000</f>
        <v>130.921924411765</v>
      </c>
      <c r="AH132" s="10">
        <f>N132+(AF132+AG132)/D132</f>
        <v>121.765389304813</v>
      </c>
      <c r="AI132" s="10">
        <f>MIN(O132,MAX(N132,AH132))</f>
        <v>121.765389304813</v>
      </c>
      <c r="AJ132" s="10">
        <f>0.17*SQRT('Parametros'!$B$2)*H132*MIN(U132,AB132)/1000</f>
        <v>92.4428153837279</v>
      </c>
      <c r="AK132" s="10">
        <f>MAX(AI132/'Parametros'!$B$6-AJ132,0)</f>
        <v>69.9110370226892</v>
      </c>
      <c r="AL132" s="10">
        <f>0.66*SQRT('Parametros'!$B$2)*H132*MIN(U132,AB132)/1000</f>
        <v>358.89563619565</v>
      </c>
      <c r="AM132" s="10" t="str">
        <f>IF(AK132&lt;=AL132,"CUMPLE","NO CUMPLE")</f>
        <v>CUMPLE</v>
      </c>
      <c r="AN132" s="15" t="inlineStr">
        <is>
          <t>Nº3 cerrado</t>
        </is>
      </c>
      <c r="AO132" s="17" t="n">
        <v>2</v>
      </c>
      <c r="AP132" s="10">
        <f>ROUNDDOWN(MIN(IF(AK132=0,1000000000,AO132*'Parametros'!$B$11*'Parametros'!$B$4*MIN(U132,AB132)/(AK132*1000)),IF(AV132=0,1000000000,'Parametros'!$B$11/AV132),MIN(U132,AB132)/4,8*'Parametros'!$B$12,24*'Parametros'!$B$9,300)/10,0)*10</f>
        <v>80</v>
      </c>
      <c r="AQ132" s="10">
        <f>ROUNDDOWN(MIN(IF(AK132=0,1000000000,AO132*'Parametros'!$B$11*'Parametros'!$B$4*MIN(U132,AB132)/(AK132*1000)),IF(AV132=0,1000000000,'Parametros'!$B$11/AV132),MIN(U132,AB132)/2,600)/10,0)*10</f>
        <v>170</v>
      </c>
      <c r="AR132" s="10">
        <f>'Parametros'!$B$6*(AJ132+AO132*'Parametros'!$B$11*'Parametros'!$B$4*MIN(U132,AB132)/AP132/1000)</f>
        <v>260.860380287796</v>
      </c>
      <c r="AS132" s="10" t="str">
        <f>IF(AND(AM132="CUMPLE",AR132&gt;=AI132),"CUMPLE","NO CUMPLE")</f>
        <v>CUMPLE</v>
      </c>
      <c r="AT132" s="10">
        <f>'Parametros'!$B$6*0.083*SQRT('Parametros'!$B$2)*(H132*I132)^2/(2*(H132+I132))/1000000</f>
        <v>3.38807353605471</v>
      </c>
      <c r="AU132" s="10" t="str">
        <f>IF(Q132&lt;=AT132,"DESPRECIABLE","DISEÑAR")</f>
        <v>DISEÑAR</v>
      </c>
      <c r="AV132" s="10">
        <f>IF(Q132&lt;=AT132,0,Q132*1000000/('Parametros'!$B$6*2*0.85*(H132-2*'Parametros'!$B$7)*(I132-2*'Parametros'!$B$7)*'Parametros'!$B$4))</f>
        <v>0.153886554621849</v>
      </c>
      <c r="AW132" s="10">
        <f>AV132*2*((H132-2*'Parametros'!$B$7)+(I132-2*'Parametros'!$B$7))*'Parametros'!$B$4/'Parametros'!$B$3</f>
        <v>166.197478991597</v>
      </c>
      <c r="AX132" s="17" t="n">
        <v>1</v>
      </c>
      <c r="AY132" s="10" t="str">
        <f>IF(AV132=0,"DESPRECIABLE",IF('Parametros'!$B$11/AP132&gt;=AV132,"CUMPLE","NO CUMPLE"))</f>
        <v>CUMPLE</v>
      </c>
      <c r="AZ132" s="10" t="str">
        <f>IF(AND(X132="CUMPLE",AE132="CUMPLE",AS132="CUMPLE",OR(AY132="CUMPLE",AY132="DESPRECIABLE")),IF(OR(F132&lt;&gt;H132,G132&lt;&gt;I132),"CUMPLE - REANALIZAR SAP","CUMPLE"),"NO CUMPLE")</f>
        <v>CUMPLE</v>
      </c>
    </row>
    <row r="133">
      <c r="A133" s="21" t="inlineStr">
        <is>
          <t>VC5</t>
        </is>
      </c>
      <c r="B133" s="21" t="inlineStr">
        <is>
          <t>264</t>
        </is>
      </c>
      <c r="C133" s="10" t="n">
        <v>1</v>
      </c>
      <c r="D133" s="10" t="n">
        <v>3.9</v>
      </c>
      <c r="E133" s="10" t="n">
        <v>3.9</v>
      </c>
      <c r="F133" s="10" t="n">
        <v>300</v>
      </c>
      <c r="G133" s="10" t="n">
        <v>400</v>
      </c>
      <c r="H133" s="15" t="n">
        <v>300</v>
      </c>
      <c r="I133" s="15" t="n">
        <v>400</v>
      </c>
      <c r="J133" s="16" t="n">
        <v>116.142</v>
      </c>
      <c r="K133" s="10" t="inlineStr">
        <is>
          <t>264</t>
        </is>
      </c>
      <c r="L133" s="16" t="n">
        <v>65.884</v>
      </c>
      <c r="M133" s="10" t="inlineStr">
        <is>
          <t>264</t>
        </is>
      </c>
      <c r="N133" s="16" t="n">
        <v>88.99299999999999</v>
      </c>
      <c r="O133" s="16" t="n">
        <v>266.911</v>
      </c>
      <c r="P133" s="10" t="inlineStr">
        <is>
          <t>264</t>
        </is>
      </c>
      <c r="Q133" s="16" t="n">
        <v>18.6007</v>
      </c>
      <c r="R133" s="10">
        <f>MAX(MAX(1.4/'Parametros'!$B$3,0.25*SQRT('Parametros'!$B$2)/'Parametros'!$B$3)*H133*U133,(0.85*'Parametros'!$B$2/'Parametros'!$B$3)*(1-SQRT(1-2*(J133*1000000/('Parametros'!$B$5*H133*U133^2))/(0.85*'Parametros'!$B$2)))*H133*U133)</f>
        <v>979.305171360913</v>
      </c>
      <c r="S133" s="17" t="n">
        <v>5</v>
      </c>
      <c r="T133" s="18" t="n">
        <v>1</v>
      </c>
      <c r="U133" s="10">
        <f>IF(T133=1,I133-('Parametros'!$B$7+'Parametros'!$B$9+'Parametros'!$B$12/2),I133-(ROUNDUP(S133/2,0)*('Parametros'!$B$7+'Parametros'!$B$9+'Parametros'!$B$12/2)+ROUNDDOWN(S133/2,0)*('Parametros'!$B$7+'Parametros'!$B$9+'Parametros'!$B$12/2+'Parametros'!$B$12+'Parametros'!$B$10))/S133)</f>
        <v>342.55</v>
      </c>
      <c r="V133" s="10">
        <f>S133*'Parametros'!$B$8</f>
        <v>995</v>
      </c>
      <c r="W133" s="10">
        <f>'Parametros'!$B$5*V133*'Parametros'!$B$3*(U133-(V133*'Parametros'!$B$3/(0.85*'Parametros'!$B$2*H133))/2)/1000000</f>
        <v>117.829731970588</v>
      </c>
      <c r="X133" s="10" t="str">
        <f>IF(W133&gt;=J133,"CUMPLE","NO CUMPLE")</f>
        <v>CUMPLE</v>
      </c>
      <c r="Y133" s="10">
        <f>MAX(MAX(1.4/'Parametros'!$B$3,0.25*SQRT('Parametros'!$B$2)/'Parametros'!$B$3)*H133*AB133,(0.85*'Parametros'!$B$2/'Parametros'!$B$3)*(1-SQRT(1-2*(L133*1000000/('Parametros'!$B$5*H133*AB133^2))/(0.85*'Parametros'!$B$2)))*H133*AB133)</f>
        <v>533.233635644115</v>
      </c>
      <c r="Z133" s="17" t="n">
        <v>3</v>
      </c>
      <c r="AA133" s="18" t="n">
        <v>1</v>
      </c>
      <c r="AB133" s="10">
        <f>IF(AA133=1,I133-('Parametros'!$B$7+'Parametros'!$B$9+'Parametros'!$B$12/2),I133-(ROUNDUP(Z133/2,0)*('Parametros'!$B$7+'Parametros'!$B$9+'Parametros'!$B$12/2)+ROUNDDOWN(Z133/2,0)*('Parametros'!$B$7+'Parametros'!$B$9+'Parametros'!$B$12/2+'Parametros'!$B$12+'Parametros'!$B$10))/Z133)</f>
        <v>342.55</v>
      </c>
      <c r="AC133" s="10">
        <f>Z133*'Parametros'!$B$8</f>
        <v>597</v>
      </c>
      <c r="AD133" s="10">
        <f>'Parametros'!$B$5*AC133*'Parametros'!$B$3*(AB133-(AC133*'Parametros'!$B$3/(0.85*'Parametros'!$B$2*H133))/2)/1000000</f>
        <v>73.3394588294118</v>
      </c>
      <c r="AE133" s="10" t="str">
        <f>IF(AD133&gt;=L133,"CUMPLE","NO CUMPLE")</f>
        <v>CUMPLE</v>
      </c>
      <c r="AF133" s="10">
        <f>V133*1.25*'Parametros'!$B$3*(U133-(V133*1.25*'Parametros'!$B$3/(0.85*'Parametros'!$B$2*H133))/2)/1000000</f>
        <v>159.830617830882</v>
      </c>
      <c r="AG133" s="10">
        <f>AC133*1.25*'Parametros'!$B$3*(AB133-(AC133*1.25*'Parametros'!$B$3/(0.85*'Parametros'!$B$2*H133))/2)/1000000</f>
        <v>100.484515919118</v>
      </c>
      <c r="AH133" s="10">
        <f>N133+(AF133+AG133)/D133</f>
        <v>155.740470192308</v>
      </c>
      <c r="AI133" s="10">
        <f>MIN(O133,MAX(N133,AH133))</f>
        <v>155.740470192308</v>
      </c>
      <c r="AJ133" s="10">
        <f>0.17*SQRT('Parametros'!$B$2)*H133*MIN(U133,AB133)/1000</f>
        <v>92.4428153837279</v>
      </c>
      <c r="AK133" s="10">
        <f>MAX(AI133/'Parametros'!$B$6-AJ133,0)</f>
        <v>115.211144872682</v>
      </c>
      <c r="AL133" s="10">
        <f>0.66*SQRT('Parametros'!$B$2)*H133*MIN(U133,AB133)/1000</f>
        <v>358.89563619565</v>
      </c>
      <c r="AM133" s="10" t="str">
        <f>IF(AK133&lt;=AL133,"CUMPLE","NO CUMPLE")</f>
        <v>CUMPLE</v>
      </c>
      <c r="AN133" s="15" t="inlineStr">
        <is>
          <t>Nº3 cerrado</t>
        </is>
      </c>
      <c r="AO133" s="17" t="n">
        <v>2</v>
      </c>
      <c r="AP133" s="10">
        <f>ROUNDDOWN(MIN(IF(AK133=0,1000000000,AO133*'Parametros'!$B$11*'Parametros'!$B$4*MIN(U133,AB133)/(AK133*1000)),IF(AV133=0,1000000000,'Parametros'!$B$11/AV133),MIN(U133,AB133)/4,8*'Parametros'!$B$12,24*'Parametros'!$B$9,300)/10,0)*10</f>
        <v>80</v>
      </c>
      <c r="AQ133" s="10">
        <f>ROUNDDOWN(MIN(IF(AK133=0,1000000000,AO133*'Parametros'!$B$11*'Parametros'!$B$4*MIN(U133,AB133)/(AK133*1000)),IF(AV133=0,1000000000,'Parametros'!$B$11/AV133),MIN(U133,AB133)/2,600)/10,0)*10</f>
        <v>140</v>
      </c>
      <c r="AR133" s="10">
        <f>'Parametros'!$B$6*(AJ133+AO133*'Parametros'!$B$11*'Parametros'!$B$4*MIN(U133,AB133)/AP133/1000)</f>
        <v>260.860380287796</v>
      </c>
      <c r="AS133" s="10" t="str">
        <f>IF(AND(AM133="CUMPLE",AR133&gt;=AI133),"CUMPLE","NO CUMPLE")</f>
        <v>CUMPLE</v>
      </c>
      <c r="AT133" s="10">
        <f>'Parametros'!$B$6*0.083*SQRT('Parametros'!$B$2)*(H133*I133)^2/(2*(H133+I133))/1000000</f>
        <v>3.38807353605471</v>
      </c>
      <c r="AU133" s="10" t="str">
        <f>IF(Q133&lt;=AT133,"DESPRECIABLE","DISEÑAR")</f>
        <v>DISEÑAR</v>
      </c>
      <c r="AV133" s="10">
        <f>IF(Q133&lt;=AT133,0,Q133*1000000/('Parametros'!$B$6*2*0.85*(H133-2*'Parametros'!$B$7)*(I133-2*'Parametros'!$B$7)*'Parametros'!$B$4))</f>
        <v>0.493397737883032</v>
      </c>
      <c r="AW133" s="10">
        <f>AV133*2*((H133-2*'Parametros'!$B$7)+(I133-2*'Parametros'!$B$7))*'Parametros'!$B$4/'Parametros'!$B$3</f>
        <v>532.869556913675</v>
      </c>
      <c r="AX133" s="17" t="n">
        <v>3</v>
      </c>
      <c r="AY133" s="10" t="str">
        <f>IF(AV133=0,"DESPRECIABLE",IF('Parametros'!$B$11/AP133&gt;=AV133,"CUMPLE","NO CUMPLE"))</f>
        <v>CUMPLE</v>
      </c>
      <c r="AZ133" s="10" t="str">
        <f>IF(AND(X133="CUMPLE",AE133="CUMPLE",AS133="CUMPLE",OR(AY133="CUMPLE",AY133="DESPRECIABLE")),IF(OR(F133&lt;&gt;H133,G133&lt;&gt;I133),"CUMPLE - REANALIZAR SAP","CUMPLE"),"NO CUMPLE")</f>
        <v>CUMPLE</v>
      </c>
    </row>
    <row r="134">
      <c r="A134" s="21" t="inlineStr">
        <is>
          <t>VC5</t>
        </is>
      </c>
      <c r="B134" s="21" t="inlineStr">
        <is>
          <t>265</t>
        </is>
      </c>
      <c r="C134" s="10" t="n">
        <v>1</v>
      </c>
      <c r="D134" s="10" t="n">
        <v>3.9</v>
      </c>
      <c r="E134" s="10" t="n">
        <v>3.9</v>
      </c>
      <c r="F134" s="10" t="n">
        <v>300</v>
      </c>
      <c r="G134" s="10" t="n">
        <v>400</v>
      </c>
      <c r="H134" s="15" t="n">
        <v>300</v>
      </c>
      <c r="I134" s="15" t="n">
        <v>400</v>
      </c>
      <c r="J134" s="16" t="n">
        <v>116.1417</v>
      </c>
      <c r="K134" s="10" t="inlineStr">
        <is>
          <t>265</t>
        </is>
      </c>
      <c r="L134" s="16" t="n">
        <v>65.878</v>
      </c>
      <c r="M134" s="10" t="inlineStr">
        <is>
          <t>265</t>
        </is>
      </c>
      <c r="N134" s="16" t="n">
        <v>88.988</v>
      </c>
      <c r="O134" s="16" t="n">
        <v>266.906</v>
      </c>
      <c r="P134" s="10" t="inlineStr">
        <is>
          <t>265</t>
        </is>
      </c>
      <c r="Q134" s="16" t="n">
        <v>18.6036</v>
      </c>
      <c r="R134" s="10">
        <f>MAX(MAX(1.4/'Parametros'!$B$3,0.25*SQRT('Parametros'!$B$2)/'Parametros'!$B$3)*H134*U134,(0.85*'Parametros'!$B$2/'Parametros'!$B$3)*(1-SQRT(1-2*(J134*1000000/('Parametros'!$B$5*H134*U134^2))/(0.85*'Parametros'!$B$2)))*H134*U134)</f>
        <v>979.302386072979</v>
      </c>
      <c r="S134" s="17" t="n">
        <v>5</v>
      </c>
      <c r="T134" s="18" t="n">
        <v>1</v>
      </c>
      <c r="U134" s="10">
        <f>IF(T134=1,I134-('Parametros'!$B$7+'Parametros'!$B$9+'Parametros'!$B$12/2),I134-(ROUNDUP(S134/2,0)*('Parametros'!$B$7+'Parametros'!$B$9+'Parametros'!$B$12/2)+ROUNDDOWN(S134/2,0)*('Parametros'!$B$7+'Parametros'!$B$9+'Parametros'!$B$12/2+'Parametros'!$B$12+'Parametros'!$B$10))/S134)</f>
        <v>342.55</v>
      </c>
      <c r="V134" s="10">
        <f>S134*'Parametros'!$B$8</f>
        <v>995</v>
      </c>
      <c r="W134" s="10">
        <f>'Parametros'!$B$5*V134*'Parametros'!$B$3*(U134-(V134*'Parametros'!$B$3/(0.85*'Parametros'!$B$2*H134))/2)/1000000</f>
        <v>117.829731970588</v>
      </c>
      <c r="X134" s="10" t="str">
        <f>IF(W134&gt;=J134,"CUMPLE","NO CUMPLE")</f>
        <v>CUMPLE</v>
      </c>
      <c r="Y134" s="10">
        <f>MAX(MAX(1.4/'Parametros'!$B$3,0.25*SQRT('Parametros'!$B$2)/'Parametros'!$B$3)*H134*AB134,(0.85*'Parametros'!$B$2/'Parametros'!$B$3)*(1-SQRT(1-2*(L134*1000000/('Parametros'!$B$5*H134*AB134^2))/(0.85*'Parametros'!$B$2)))*H134*AB134)</f>
        <v>533.182627320227</v>
      </c>
      <c r="Z134" s="17" t="n">
        <v>3</v>
      </c>
      <c r="AA134" s="18" t="n">
        <v>1</v>
      </c>
      <c r="AB134" s="10">
        <f>IF(AA134=1,I134-('Parametros'!$B$7+'Parametros'!$B$9+'Parametros'!$B$12/2),I134-(ROUNDUP(Z134/2,0)*('Parametros'!$B$7+'Parametros'!$B$9+'Parametros'!$B$12/2)+ROUNDDOWN(Z134/2,0)*('Parametros'!$B$7+'Parametros'!$B$9+'Parametros'!$B$12/2+'Parametros'!$B$12+'Parametros'!$B$10))/Z134)</f>
        <v>342.55</v>
      </c>
      <c r="AC134" s="10">
        <f>Z134*'Parametros'!$B$8</f>
        <v>597</v>
      </c>
      <c r="AD134" s="10">
        <f>'Parametros'!$B$5*AC134*'Parametros'!$B$3*(AB134-(AC134*'Parametros'!$B$3/(0.85*'Parametros'!$B$2*H134))/2)/1000000</f>
        <v>73.3394588294118</v>
      </c>
      <c r="AE134" s="10" t="str">
        <f>IF(AD134&gt;=L134,"CUMPLE","NO CUMPLE")</f>
        <v>CUMPLE</v>
      </c>
      <c r="AF134" s="10">
        <f>V134*1.25*'Parametros'!$B$3*(U134-(V134*1.25*'Parametros'!$B$3/(0.85*'Parametros'!$B$2*H134))/2)/1000000</f>
        <v>159.830617830882</v>
      </c>
      <c r="AG134" s="10">
        <f>AC134*1.25*'Parametros'!$B$3*(AB134-(AC134*1.25*'Parametros'!$B$3/(0.85*'Parametros'!$B$2*H134))/2)/1000000</f>
        <v>100.484515919118</v>
      </c>
      <c r="AH134" s="10">
        <f>N134+(AF134+AG134)/D134</f>
        <v>155.735470192308</v>
      </c>
      <c r="AI134" s="10">
        <f>MIN(O134,MAX(N134,AH134))</f>
        <v>155.735470192308</v>
      </c>
      <c r="AJ134" s="10">
        <f>0.17*SQRT('Parametros'!$B$2)*H134*MIN(U134,AB134)/1000</f>
        <v>92.4428153837279</v>
      </c>
      <c r="AK134" s="10">
        <f>MAX(AI134/'Parametros'!$B$6-AJ134,0)</f>
        <v>115.204478206016</v>
      </c>
      <c r="AL134" s="10">
        <f>0.66*SQRT('Parametros'!$B$2)*H134*MIN(U134,AB134)/1000</f>
        <v>358.89563619565</v>
      </c>
      <c r="AM134" s="10" t="str">
        <f>IF(AK134&lt;=AL134,"CUMPLE","NO CUMPLE")</f>
        <v>CUMPLE</v>
      </c>
      <c r="AN134" s="15" t="inlineStr">
        <is>
          <t>Nº3 cerrado</t>
        </is>
      </c>
      <c r="AO134" s="17" t="n">
        <v>2</v>
      </c>
      <c r="AP134" s="10">
        <f>ROUNDDOWN(MIN(IF(AK134=0,1000000000,AO134*'Parametros'!$B$11*'Parametros'!$B$4*MIN(U134,AB134)/(AK134*1000)),IF(AV134=0,1000000000,'Parametros'!$B$11/AV134),MIN(U134,AB134)/4,8*'Parametros'!$B$12,24*'Parametros'!$B$9,300)/10,0)*10</f>
        <v>80</v>
      </c>
      <c r="AQ134" s="10">
        <f>ROUNDDOWN(MIN(IF(AK134=0,1000000000,AO134*'Parametros'!$B$11*'Parametros'!$B$4*MIN(U134,AB134)/(AK134*1000)),IF(AV134=0,1000000000,'Parametros'!$B$11/AV134),MIN(U134,AB134)/2,600)/10,0)*10</f>
        <v>140</v>
      </c>
      <c r="AR134" s="10">
        <f>'Parametros'!$B$6*(AJ134+AO134*'Parametros'!$B$11*'Parametros'!$B$4*MIN(U134,AB134)/AP134/1000)</f>
        <v>260.860380287796</v>
      </c>
      <c r="AS134" s="10" t="str">
        <f>IF(AND(AM134="CUMPLE",AR134&gt;=AI134),"CUMPLE","NO CUMPLE")</f>
        <v>CUMPLE</v>
      </c>
      <c r="AT134" s="10">
        <f>'Parametros'!$B$6*0.083*SQRT('Parametros'!$B$2)*(H134*I134)^2/(2*(H134+I134))/1000000</f>
        <v>3.38807353605471</v>
      </c>
      <c r="AU134" s="10" t="str">
        <f>IF(Q134&lt;=AT134,"DESPRECIABLE","DISEÑAR")</f>
        <v>DISEÑAR</v>
      </c>
      <c r="AV134" s="10">
        <f>IF(Q134&lt;=AT134,0,Q134*1000000/('Parametros'!$B$6*2*0.85*(H134-2*'Parametros'!$B$7)*(I134-2*'Parametros'!$B$7)*'Parametros'!$B$4))</f>
        <v>0.49347466259231</v>
      </c>
      <c r="AW134" s="10">
        <f>AV134*2*((H134-2*'Parametros'!$B$7)+(I134-2*'Parametros'!$B$7))*'Parametros'!$B$4/'Parametros'!$B$3</f>
        <v>532.952635599694</v>
      </c>
      <c r="AX134" s="17" t="n">
        <v>3</v>
      </c>
      <c r="AY134" s="10" t="str">
        <f>IF(AV134=0,"DESPRECIABLE",IF('Parametros'!$B$11/AP134&gt;=AV134,"CUMPLE","NO CUMPLE"))</f>
        <v>CUMPLE</v>
      </c>
      <c r="AZ134" s="10" t="str">
        <f>IF(AND(X134="CUMPLE",AE134="CUMPLE",AS134="CUMPLE",OR(AY134="CUMPLE",AY134="DESPRECIABLE")),IF(OR(F134&lt;&gt;H134,G134&lt;&gt;I134),"CUMPLE - REANALIZAR SAP","CUMPLE"),"NO CUMPLE")</f>
        <v>CUMPLE</v>
      </c>
    </row>
    <row r="135">
      <c r="A135" s="21" t="inlineStr">
        <is>
          <t>VC5</t>
        </is>
      </c>
      <c r="B135" s="21" t="inlineStr">
        <is>
          <t>266</t>
        </is>
      </c>
      <c r="C135" s="10" t="n">
        <v>1</v>
      </c>
      <c r="D135" s="10" t="n">
        <v>3.85</v>
      </c>
      <c r="E135" s="10" t="n">
        <v>3.85</v>
      </c>
      <c r="F135" s="10" t="n">
        <v>300</v>
      </c>
      <c r="G135" s="10" t="n">
        <v>400</v>
      </c>
      <c r="H135" s="15" t="n">
        <v>300</v>
      </c>
      <c r="I135" s="15" t="n">
        <v>400</v>
      </c>
      <c r="J135" s="16" t="n">
        <v>89.5355</v>
      </c>
      <c r="K135" s="10" t="inlineStr">
        <is>
          <t>266</t>
        </is>
      </c>
      <c r="L135" s="16" t="n">
        <v>74.4212</v>
      </c>
      <c r="M135" s="10" t="inlineStr">
        <is>
          <t>266</t>
        </is>
      </c>
      <c r="N135" s="16" t="n">
        <v>53.762</v>
      </c>
      <c r="O135" s="16" t="n">
        <v>222.174</v>
      </c>
      <c r="P135" s="10" t="inlineStr">
        <is>
          <t>266</t>
        </is>
      </c>
      <c r="Q135" s="16" t="n">
        <v>5.8007</v>
      </c>
      <c r="R135" s="10">
        <f>MAX(MAX(1.4/'Parametros'!$B$3,0.25*SQRT('Parametros'!$B$2)/'Parametros'!$B$3)*H135*U135,(0.85*'Parametros'!$B$2/'Parametros'!$B$3)*(1-SQRT(1-2*(J135*1000000/('Parametros'!$B$5*H135*U135^2))/(0.85*'Parametros'!$B$2)))*H135*U135)</f>
        <v>738.27895324536</v>
      </c>
      <c r="S135" s="17" t="n">
        <v>4</v>
      </c>
      <c r="T135" s="18" t="n">
        <v>1</v>
      </c>
      <c r="U135" s="10">
        <f>IF(T135=1,I135-('Parametros'!$B$7+'Parametros'!$B$9+'Parametros'!$B$12/2),I135-(ROUNDUP(S135/2,0)*('Parametros'!$B$7+'Parametros'!$B$9+'Parametros'!$B$12/2)+ROUNDDOWN(S135/2,0)*('Parametros'!$B$7+'Parametros'!$B$9+'Parametros'!$B$12/2+'Parametros'!$B$12+'Parametros'!$B$10))/S135)</f>
        <v>342.55</v>
      </c>
      <c r="V135" s="10">
        <f>S135*'Parametros'!$B$8</f>
        <v>796</v>
      </c>
      <c r="W135" s="10">
        <f>'Parametros'!$B$5*V135*'Parametros'!$B$3*(U135-(V135*'Parametros'!$B$3/(0.85*'Parametros'!$B$2*H135))/2)/1000000</f>
        <v>96.0248653411765</v>
      </c>
      <c r="X135" s="10" t="str">
        <f>IF(W135&gt;=J135,"CUMPLE","NO CUMPLE")</f>
        <v>CUMPLE</v>
      </c>
      <c r="Y135" s="10">
        <f>MAX(MAX(1.4/'Parametros'!$B$3,0.25*SQRT('Parametros'!$B$2)/'Parametros'!$B$3)*H135*AB135,(0.85*'Parametros'!$B$2/'Parametros'!$B$3)*(1-SQRT(1-2*(L135*1000000/('Parametros'!$B$5*H135*AB135^2))/(0.85*'Parametros'!$B$2)))*H135*AB135)</f>
        <v>606.316853456878</v>
      </c>
      <c r="Z135" s="17" t="n">
        <v>4</v>
      </c>
      <c r="AA135" s="18" t="n">
        <v>1</v>
      </c>
      <c r="AB135" s="10">
        <f>IF(AA135=1,I135-('Parametros'!$B$7+'Parametros'!$B$9+'Parametros'!$B$12/2),I135-(ROUNDUP(Z135/2,0)*('Parametros'!$B$7+'Parametros'!$B$9+'Parametros'!$B$12/2)+ROUNDDOWN(Z135/2,0)*('Parametros'!$B$7+'Parametros'!$B$9+'Parametros'!$B$12/2+'Parametros'!$B$12+'Parametros'!$B$10))/Z135)</f>
        <v>342.55</v>
      </c>
      <c r="AC135" s="10">
        <f>Z135*'Parametros'!$B$8</f>
        <v>796</v>
      </c>
      <c r="AD135" s="10">
        <f>'Parametros'!$B$5*AC135*'Parametros'!$B$3*(AB135-(AC135*'Parametros'!$B$3/(0.85*'Parametros'!$B$2*H135))/2)/1000000</f>
        <v>96.0248653411765</v>
      </c>
      <c r="AE135" s="10" t="str">
        <f>IF(AD135&gt;=L135,"CUMPLE","NO CUMPLE")</f>
        <v>CUMPLE</v>
      </c>
      <c r="AF135" s="10">
        <f>V135*1.25*'Parametros'!$B$3*(U135-(V135*1.25*'Parametros'!$B$3/(0.85*'Parametros'!$B$2*H135))/2)/1000000</f>
        <v>130.921924411765</v>
      </c>
      <c r="AG135" s="10">
        <f>AC135*1.25*'Parametros'!$B$3*(AB135-(AC135*1.25*'Parametros'!$B$3/(0.85*'Parametros'!$B$2*H135))/2)/1000000</f>
        <v>130.921924411765</v>
      </c>
      <c r="AH135" s="10">
        <f>N135+(AF135+AG135)/D135</f>
        <v>121.773389304813</v>
      </c>
      <c r="AI135" s="10">
        <f>MIN(O135,MAX(N135,AH135))</f>
        <v>121.773389304813</v>
      </c>
      <c r="AJ135" s="10">
        <f>0.17*SQRT('Parametros'!$B$2)*H135*MIN(U135,AB135)/1000</f>
        <v>92.4428153837279</v>
      </c>
      <c r="AK135" s="10">
        <f>MAX(AI135/'Parametros'!$B$6-AJ135,0)</f>
        <v>69.9217036893559</v>
      </c>
      <c r="AL135" s="10">
        <f>0.66*SQRT('Parametros'!$B$2)*H135*MIN(U135,AB135)/1000</f>
        <v>358.89563619565</v>
      </c>
      <c r="AM135" s="10" t="str">
        <f>IF(AK135&lt;=AL135,"CUMPLE","NO CUMPLE")</f>
        <v>CUMPLE</v>
      </c>
      <c r="AN135" s="15" t="inlineStr">
        <is>
          <t>Nº3 cerrado</t>
        </is>
      </c>
      <c r="AO135" s="17" t="n">
        <v>2</v>
      </c>
      <c r="AP135" s="10">
        <f>ROUNDDOWN(MIN(IF(AK135=0,1000000000,AO135*'Parametros'!$B$11*'Parametros'!$B$4*MIN(U135,AB135)/(AK135*1000)),IF(AV135=0,1000000000,'Parametros'!$B$11/AV135),MIN(U135,AB135)/4,8*'Parametros'!$B$12,24*'Parametros'!$B$9,300)/10,0)*10</f>
        <v>80</v>
      </c>
      <c r="AQ135" s="10">
        <f>ROUNDDOWN(MIN(IF(AK135=0,1000000000,AO135*'Parametros'!$B$11*'Parametros'!$B$4*MIN(U135,AB135)/(AK135*1000)),IF(AV135=0,1000000000,'Parametros'!$B$11/AV135),MIN(U135,AB135)/2,600)/10,0)*10</f>
        <v>170</v>
      </c>
      <c r="AR135" s="10">
        <f>'Parametros'!$B$6*(AJ135+AO135*'Parametros'!$B$11*'Parametros'!$B$4*MIN(U135,AB135)/AP135/1000)</f>
        <v>260.860380287796</v>
      </c>
      <c r="AS135" s="10" t="str">
        <f>IF(AND(AM135="CUMPLE",AR135&gt;=AI135),"CUMPLE","NO CUMPLE")</f>
        <v>CUMPLE</v>
      </c>
      <c r="AT135" s="10">
        <f>'Parametros'!$B$6*0.083*SQRT('Parametros'!$B$2)*(H135*I135)^2/(2*(H135+I135))/1000000</f>
        <v>3.38807353605471</v>
      </c>
      <c r="AU135" s="10" t="str">
        <f>IF(Q135&lt;=AT135,"DESPRECIABLE","DISEÑAR")</f>
        <v>DISEÑAR</v>
      </c>
      <c r="AV135" s="10">
        <f>IF(Q135&lt;=AT135,0,Q135*1000000/('Parametros'!$B$6*2*0.85*(H135-2*'Parametros'!$B$7)*(I135-2*'Parametros'!$B$7)*'Parametros'!$B$4))</f>
        <v>0.153867986588575</v>
      </c>
      <c r="AW135" s="10">
        <f>AV135*2*((H135-2*'Parametros'!$B$7)+(I135-2*'Parametros'!$B$7))*'Parametros'!$B$4/'Parametros'!$B$3</f>
        <v>166.177425515661</v>
      </c>
      <c r="AX135" s="17" t="n">
        <v>1</v>
      </c>
      <c r="AY135" s="10" t="str">
        <f>IF(AV135=0,"DESPRECIABLE",IF('Parametros'!$B$11/AP135&gt;=AV135,"CUMPLE","NO CUMPLE"))</f>
        <v>CUMPLE</v>
      </c>
      <c r="AZ135" s="10" t="str">
        <f>IF(AND(X135="CUMPLE",AE135="CUMPLE",AS135="CUMPLE",OR(AY135="CUMPLE",AY135="DESPRECIABLE")),IF(OR(F135&lt;&gt;H135,G135&lt;&gt;I135),"CUMPLE - REANALIZAR SAP","CUMPLE"),"NO CUMPLE")</f>
        <v>CUMPLE</v>
      </c>
    </row>
    <row r="136">
      <c r="A136" s="21" t="inlineStr">
        <is>
          <t>VC5</t>
        </is>
      </c>
      <c r="B136" s="21" t="inlineStr">
        <is>
          <t>283</t>
        </is>
      </c>
      <c r="C136" s="10" t="n">
        <v>1</v>
      </c>
      <c r="D136" s="10" t="n">
        <v>3.85</v>
      </c>
      <c r="E136" s="10" t="n">
        <v>3.85</v>
      </c>
      <c r="F136" s="10" t="n">
        <v>300</v>
      </c>
      <c r="G136" s="10" t="n">
        <v>400</v>
      </c>
      <c r="H136" s="15" t="n">
        <v>300</v>
      </c>
      <c r="I136" s="15" t="n">
        <v>400</v>
      </c>
      <c r="J136" s="16" t="n">
        <v>89.53400000000001</v>
      </c>
      <c r="K136" s="10" t="inlineStr">
        <is>
          <t>283</t>
        </is>
      </c>
      <c r="L136" s="16" t="n">
        <v>74.4271</v>
      </c>
      <c r="M136" s="10" t="inlineStr">
        <is>
          <t>283</t>
        </is>
      </c>
      <c r="N136" s="16" t="n">
        <v>53.758</v>
      </c>
      <c r="O136" s="16" t="n">
        <v>222.178</v>
      </c>
      <c r="P136" s="10" t="inlineStr">
        <is>
          <t>283</t>
        </is>
      </c>
      <c r="Q136" s="16" t="n">
        <v>5.797</v>
      </c>
      <c r="R136" s="10">
        <f>MAX(MAX(1.4/'Parametros'!$B$3,0.25*SQRT('Parametros'!$B$2)/'Parametros'!$B$3)*H136*U136,(0.85*'Parametros'!$B$2/'Parametros'!$B$3)*(1-SQRT(1-2*(J136*1000000/('Parametros'!$B$5*H136*U136^2))/(0.85*'Parametros'!$B$2)))*H136*U136)</f>
        <v>738.26568691558</v>
      </c>
      <c r="S136" s="17" t="n">
        <v>4</v>
      </c>
      <c r="T136" s="18" t="n">
        <v>1</v>
      </c>
      <c r="U136" s="10">
        <f>IF(T136=1,I136-('Parametros'!$B$7+'Parametros'!$B$9+'Parametros'!$B$12/2),I136-(ROUNDUP(S136/2,0)*('Parametros'!$B$7+'Parametros'!$B$9+'Parametros'!$B$12/2)+ROUNDDOWN(S136/2,0)*('Parametros'!$B$7+'Parametros'!$B$9+'Parametros'!$B$12/2+'Parametros'!$B$12+'Parametros'!$B$10))/S136)</f>
        <v>342.55</v>
      </c>
      <c r="V136" s="10">
        <f>S136*'Parametros'!$B$8</f>
        <v>796</v>
      </c>
      <c r="W136" s="10">
        <f>'Parametros'!$B$5*V136*'Parametros'!$B$3*(U136-(V136*'Parametros'!$B$3/(0.85*'Parametros'!$B$2*H136))/2)/1000000</f>
        <v>96.0248653411765</v>
      </c>
      <c r="X136" s="10" t="str">
        <f>IF(W136&gt;=J136,"CUMPLE","NO CUMPLE")</f>
        <v>CUMPLE</v>
      </c>
      <c r="Y136" s="10">
        <f>MAX(MAX(1.4/'Parametros'!$B$3,0.25*SQRT('Parametros'!$B$2)/'Parametros'!$B$3)*H136*AB136,(0.85*'Parametros'!$B$2/'Parametros'!$B$3)*(1-SQRT(1-2*(L136*1000000/('Parametros'!$B$5*H136*AB136^2))/(0.85*'Parametros'!$B$2)))*H136*AB136)</f>
        <v>606.367714780034</v>
      </c>
      <c r="Z136" s="17" t="n">
        <v>4</v>
      </c>
      <c r="AA136" s="18" t="n">
        <v>1</v>
      </c>
      <c r="AB136" s="10">
        <f>IF(AA136=1,I136-('Parametros'!$B$7+'Parametros'!$B$9+'Parametros'!$B$12/2),I136-(ROUNDUP(Z136/2,0)*('Parametros'!$B$7+'Parametros'!$B$9+'Parametros'!$B$12/2)+ROUNDDOWN(Z136/2,0)*('Parametros'!$B$7+'Parametros'!$B$9+'Parametros'!$B$12/2+'Parametros'!$B$12+'Parametros'!$B$10))/Z136)</f>
        <v>342.55</v>
      </c>
      <c r="AC136" s="10">
        <f>Z136*'Parametros'!$B$8</f>
        <v>796</v>
      </c>
      <c r="AD136" s="10">
        <f>'Parametros'!$B$5*AC136*'Parametros'!$B$3*(AB136-(AC136*'Parametros'!$B$3/(0.85*'Parametros'!$B$2*H136))/2)/1000000</f>
        <v>96.0248653411765</v>
      </c>
      <c r="AE136" s="10" t="str">
        <f>IF(AD136&gt;=L136,"CUMPLE","NO CUMPLE")</f>
        <v>CUMPLE</v>
      </c>
      <c r="AF136" s="10">
        <f>V136*1.25*'Parametros'!$B$3*(U136-(V136*1.25*'Parametros'!$B$3/(0.85*'Parametros'!$B$2*H136))/2)/1000000</f>
        <v>130.921924411765</v>
      </c>
      <c r="AG136" s="10">
        <f>AC136*1.25*'Parametros'!$B$3*(AB136-(AC136*1.25*'Parametros'!$B$3/(0.85*'Parametros'!$B$2*H136))/2)/1000000</f>
        <v>130.921924411765</v>
      </c>
      <c r="AH136" s="10">
        <f>N136+(AF136+AG136)/D136</f>
        <v>121.769389304813</v>
      </c>
      <c r="AI136" s="10">
        <f>MIN(O136,MAX(N136,AH136))</f>
        <v>121.769389304813</v>
      </c>
      <c r="AJ136" s="10">
        <f>0.17*SQRT('Parametros'!$B$2)*H136*MIN(U136,AB136)/1000</f>
        <v>92.4428153837279</v>
      </c>
      <c r="AK136" s="10">
        <f>MAX(AI136/'Parametros'!$B$6-AJ136,0)</f>
        <v>69.9163703560226</v>
      </c>
      <c r="AL136" s="10">
        <f>0.66*SQRT('Parametros'!$B$2)*H136*MIN(U136,AB136)/1000</f>
        <v>358.89563619565</v>
      </c>
      <c r="AM136" s="10" t="str">
        <f>IF(AK136&lt;=AL136,"CUMPLE","NO CUMPLE")</f>
        <v>CUMPLE</v>
      </c>
      <c r="AN136" s="15" t="inlineStr">
        <is>
          <t>Nº3 cerrado</t>
        </is>
      </c>
      <c r="AO136" s="17" t="n">
        <v>2</v>
      </c>
      <c r="AP136" s="10">
        <f>ROUNDDOWN(MIN(IF(AK136=0,1000000000,AO136*'Parametros'!$B$11*'Parametros'!$B$4*MIN(U136,AB136)/(AK136*1000)),IF(AV136=0,1000000000,'Parametros'!$B$11/AV136),MIN(U136,AB136)/4,8*'Parametros'!$B$12,24*'Parametros'!$B$9,300)/10,0)*10</f>
        <v>80</v>
      </c>
      <c r="AQ136" s="10">
        <f>ROUNDDOWN(MIN(IF(AK136=0,1000000000,AO136*'Parametros'!$B$11*'Parametros'!$B$4*MIN(U136,AB136)/(AK136*1000)),IF(AV136=0,1000000000,'Parametros'!$B$11/AV136),MIN(U136,AB136)/2,600)/10,0)*10</f>
        <v>170</v>
      </c>
      <c r="AR136" s="10">
        <f>'Parametros'!$B$6*(AJ136+AO136*'Parametros'!$B$11*'Parametros'!$B$4*MIN(U136,AB136)/AP136/1000)</f>
        <v>260.860380287796</v>
      </c>
      <c r="AS136" s="10" t="str">
        <f>IF(AND(AM136="CUMPLE",AR136&gt;=AI136),"CUMPLE","NO CUMPLE")</f>
        <v>CUMPLE</v>
      </c>
      <c r="AT136" s="10">
        <f>'Parametros'!$B$6*0.083*SQRT('Parametros'!$B$2)*(H136*I136)^2/(2*(H136+I136))/1000000</f>
        <v>3.38807353605471</v>
      </c>
      <c r="AU136" s="10" t="str">
        <f>IF(Q136&lt;=AT136,"DESPRECIABLE","DISEÑAR")</f>
        <v>DISEÑAR</v>
      </c>
      <c r="AV136" s="10">
        <f>IF(Q136&lt;=AT136,0,Q136*1000000/('Parametros'!$B$6*2*0.85*(H136-2*'Parametros'!$B$7)*(I136-2*'Parametros'!$B$7)*'Parametros'!$B$4))</f>
        <v>0.153769841269841</v>
      </c>
      <c r="AW136" s="10">
        <f>AV136*2*((H136-2*'Parametros'!$B$7)+(I136-2*'Parametros'!$B$7))*'Parametros'!$B$4/'Parametros'!$B$3</f>
        <v>166.071428571429</v>
      </c>
      <c r="AX136" s="17" t="n">
        <v>1</v>
      </c>
      <c r="AY136" s="10" t="str">
        <f>IF(AV136=0,"DESPRECIABLE",IF('Parametros'!$B$11/AP136&gt;=AV136,"CUMPLE","NO CUMPLE"))</f>
        <v>CUMPLE</v>
      </c>
      <c r="AZ136" s="10" t="str">
        <f>IF(AND(X136="CUMPLE",AE136="CUMPLE",AS136="CUMPLE",OR(AY136="CUMPLE",AY136="DESPRECIABLE")),IF(OR(F136&lt;&gt;H136,G136&lt;&gt;I136),"CUMPLE - REANALIZAR SAP","CUMPLE"),"NO CUMPLE")</f>
        <v>CUMPLE</v>
      </c>
    </row>
    <row r="137">
      <c r="A137" s="21" t="inlineStr">
        <is>
          <t>VC5</t>
        </is>
      </c>
      <c r="B137" s="21" t="inlineStr">
        <is>
          <t>284</t>
        </is>
      </c>
      <c r="C137" s="10" t="n">
        <v>1</v>
      </c>
      <c r="D137" s="10" t="n">
        <v>3.9</v>
      </c>
      <c r="E137" s="10" t="n">
        <v>3.9</v>
      </c>
      <c r="F137" s="10" t="n">
        <v>300</v>
      </c>
      <c r="G137" s="10" t="n">
        <v>400</v>
      </c>
      <c r="H137" s="15" t="n">
        <v>300</v>
      </c>
      <c r="I137" s="15" t="n">
        <v>400</v>
      </c>
      <c r="J137" s="16" t="n">
        <v>116.2475</v>
      </c>
      <c r="K137" s="10" t="inlineStr">
        <is>
          <t>284</t>
        </is>
      </c>
      <c r="L137" s="16" t="n">
        <v>65.8489</v>
      </c>
      <c r="M137" s="10" t="inlineStr">
        <is>
          <t>284</t>
        </is>
      </c>
      <c r="N137" s="16" t="n">
        <v>89.09999999999999</v>
      </c>
      <c r="O137" s="16" t="n">
        <v>267.071</v>
      </c>
      <c r="P137" s="10" t="inlineStr">
        <is>
          <t>284</t>
        </is>
      </c>
      <c r="Q137" s="16" t="n">
        <v>18.6409</v>
      </c>
      <c r="R137" s="10">
        <f>MAX(MAX(1.4/'Parametros'!$B$3,0.25*SQRT('Parametros'!$B$2)/'Parametros'!$B$3)*H137*U137,(0.85*'Parametros'!$B$2/'Parametros'!$B$3)*(1-SQRT(1-2*(J137*1000000/('Parametros'!$B$5*H137*U137^2))/(0.85*'Parametros'!$B$2)))*H137*U137)</f>
        <v>980.284763615541</v>
      </c>
      <c r="S137" s="17" t="n">
        <v>5</v>
      </c>
      <c r="T137" s="18" t="n">
        <v>1</v>
      </c>
      <c r="U137" s="10">
        <f>IF(T137=1,I137-('Parametros'!$B$7+'Parametros'!$B$9+'Parametros'!$B$12/2),I137-(ROUNDUP(S137/2,0)*('Parametros'!$B$7+'Parametros'!$B$9+'Parametros'!$B$12/2)+ROUNDDOWN(S137/2,0)*('Parametros'!$B$7+'Parametros'!$B$9+'Parametros'!$B$12/2+'Parametros'!$B$12+'Parametros'!$B$10))/S137)</f>
        <v>342.55</v>
      </c>
      <c r="V137" s="10">
        <f>S137*'Parametros'!$B$8</f>
        <v>995</v>
      </c>
      <c r="W137" s="10">
        <f>'Parametros'!$B$5*V137*'Parametros'!$B$3*(U137-(V137*'Parametros'!$B$3/(0.85*'Parametros'!$B$2*H137))/2)/1000000</f>
        <v>117.829731970588</v>
      </c>
      <c r="X137" s="10" t="str">
        <f>IF(W137&gt;=J137,"CUMPLE","NO CUMPLE")</f>
        <v>CUMPLE</v>
      </c>
      <c r="Y137" s="10">
        <f>MAX(MAX(1.4/'Parametros'!$B$3,0.25*SQRT('Parametros'!$B$2)/'Parametros'!$B$3)*H137*AB137,(0.85*'Parametros'!$B$2/'Parametros'!$B$3)*(1-SQRT(1-2*(L137*1000000/('Parametros'!$B$5*H137*AB137^2))/(0.85*'Parametros'!$B$2)))*H137*AB137)</f>
        <v>532.935243926232</v>
      </c>
      <c r="Z137" s="17" t="n">
        <v>3</v>
      </c>
      <c r="AA137" s="18" t="n">
        <v>1</v>
      </c>
      <c r="AB137" s="10">
        <f>IF(AA137=1,I137-('Parametros'!$B$7+'Parametros'!$B$9+'Parametros'!$B$12/2),I137-(ROUNDUP(Z137/2,0)*('Parametros'!$B$7+'Parametros'!$B$9+'Parametros'!$B$12/2)+ROUNDDOWN(Z137/2,0)*('Parametros'!$B$7+'Parametros'!$B$9+'Parametros'!$B$12/2+'Parametros'!$B$12+'Parametros'!$B$10))/Z137)</f>
        <v>342.55</v>
      </c>
      <c r="AC137" s="10">
        <f>Z137*'Parametros'!$B$8</f>
        <v>597</v>
      </c>
      <c r="AD137" s="10">
        <f>'Parametros'!$B$5*AC137*'Parametros'!$B$3*(AB137-(AC137*'Parametros'!$B$3/(0.85*'Parametros'!$B$2*H137))/2)/1000000</f>
        <v>73.3394588294118</v>
      </c>
      <c r="AE137" s="10" t="str">
        <f>IF(AD137&gt;=L137,"CUMPLE","NO CUMPLE")</f>
        <v>CUMPLE</v>
      </c>
      <c r="AF137" s="10">
        <f>V137*1.25*'Parametros'!$B$3*(U137-(V137*1.25*'Parametros'!$B$3/(0.85*'Parametros'!$B$2*H137))/2)/1000000</f>
        <v>159.830617830882</v>
      </c>
      <c r="AG137" s="10">
        <f>AC137*1.25*'Parametros'!$B$3*(AB137-(AC137*1.25*'Parametros'!$B$3/(0.85*'Parametros'!$B$2*H137))/2)/1000000</f>
        <v>100.484515919118</v>
      </c>
      <c r="AH137" s="10">
        <f>N137+(AF137+AG137)/D137</f>
        <v>155.847470192308</v>
      </c>
      <c r="AI137" s="10">
        <f>MIN(O137,MAX(N137,AH137))</f>
        <v>155.847470192308</v>
      </c>
      <c r="AJ137" s="10">
        <f>0.17*SQRT('Parametros'!$B$2)*H137*MIN(U137,AB137)/1000</f>
        <v>92.4428153837279</v>
      </c>
      <c r="AK137" s="10">
        <f>MAX(AI137/'Parametros'!$B$6-AJ137,0)</f>
        <v>115.353811539349</v>
      </c>
      <c r="AL137" s="10">
        <f>0.66*SQRT('Parametros'!$B$2)*H137*MIN(U137,AB137)/1000</f>
        <v>358.89563619565</v>
      </c>
      <c r="AM137" s="10" t="str">
        <f>IF(AK137&lt;=AL137,"CUMPLE","NO CUMPLE")</f>
        <v>CUMPLE</v>
      </c>
      <c r="AN137" s="15" t="inlineStr">
        <is>
          <t>Nº3 cerrado</t>
        </is>
      </c>
      <c r="AO137" s="17" t="n">
        <v>2</v>
      </c>
      <c r="AP137" s="10">
        <f>ROUNDDOWN(MIN(IF(AK137=0,1000000000,AO137*'Parametros'!$B$11*'Parametros'!$B$4*MIN(U137,AB137)/(AK137*1000)),IF(AV137=0,1000000000,'Parametros'!$B$11/AV137),MIN(U137,AB137)/4,8*'Parametros'!$B$12,24*'Parametros'!$B$9,300)/10,0)*10</f>
        <v>80</v>
      </c>
      <c r="AQ137" s="10">
        <f>ROUNDDOWN(MIN(IF(AK137=0,1000000000,AO137*'Parametros'!$B$11*'Parametros'!$B$4*MIN(U137,AB137)/(AK137*1000)),IF(AV137=0,1000000000,'Parametros'!$B$11/AV137),MIN(U137,AB137)/2,600)/10,0)*10</f>
        <v>140</v>
      </c>
      <c r="AR137" s="10">
        <f>'Parametros'!$B$6*(AJ137+AO137*'Parametros'!$B$11*'Parametros'!$B$4*MIN(U137,AB137)/AP137/1000)</f>
        <v>260.860380287796</v>
      </c>
      <c r="AS137" s="10" t="str">
        <f>IF(AND(AM137="CUMPLE",AR137&gt;=AI137),"CUMPLE","NO CUMPLE")</f>
        <v>CUMPLE</v>
      </c>
      <c r="AT137" s="10">
        <f>'Parametros'!$B$6*0.083*SQRT('Parametros'!$B$2)*(H137*I137)^2/(2*(H137+I137))/1000000</f>
        <v>3.38807353605471</v>
      </c>
      <c r="AU137" s="10" t="str">
        <f>IF(Q137&lt;=AT137,"DESPRECIABLE","DISEÑAR")</f>
        <v>DISEÑAR</v>
      </c>
      <c r="AV137" s="10">
        <f>IF(Q137&lt;=AT137,0,Q137*1000000/('Parametros'!$B$6*2*0.85*(H137-2*'Parametros'!$B$7)*(I137-2*'Parametros'!$B$7)*'Parametros'!$B$4))</f>
        <v>0.494464073508191</v>
      </c>
      <c r="AW137" s="10">
        <f>AV137*2*((H137-2*'Parametros'!$B$7)+(I137-2*'Parametros'!$B$7))*'Parametros'!$B$4/'Parametros'!$B$3</f>
        <v>534.021199388846</v>
      </c>
      <c r="AX137" s="17" t="n">
        <v>3</v>
      </c>
      <c r="AY137" s="10" t="str">
        <f>IF(AV137=0,"DESPRECIABLE",IF('Parametros'!$B$11/AP137&gt;=AV137,"CUMPLE","NO CUMPLE"))</f>
        <v>CUMPLE</v>
      </c>
      <c r="AZ137" s="10" t="str">
        <f>IF(AND(X137="CUMPLE",AE137="CUMPLE",AS137="CUMPLE",OR(AY137="CUMPLE",AY137="DESPRECIABLE")),IF(OR(F137&lt;&gt;H137,G137&lt;&gt;I137),"CUMPLE - REANALIZAR SAP","CUMPLE"),"NO CUMPLE")</f>
        <v>CUMPLE</v>
      </c>
    </row>
    <row r="138">
      <c r="A138" s="21" t="inlineStr">
        <is>
          <t>VC5</t>
        </is>
      </c>
      <c r="B138" s="21" t="inlineStr">
        <is>
          <t>285</t>
        </is>
      </c>
      <c r="C138" s="10" t="n">
        <v>1</v>
      </c>
      <c r="D138" s="10" t="n">
        <v>3.9</v>
      </c>
      <c r="E138" s="10" t="n">
        <v>3.9</v>
      </c>
      <c r="F138" s="10" t="n">
        <v>300</v>
      </c>
      <c r="G138" s="10" t="n">
        <v>400</v>
      </c>
      <c r="H138" s="15" t="n">
        <v>300</v>
      </c>
      <c r="I138" s="15" t="n">
        <v>400</v>
      </c>
      <c r="J138" s="16" t="n">
        <v>116.144</v>
      </c>
      <c r="K138" s="10" t="inlineStr">
        <is>
          <t>285</t>
        </is>
      </c>
      <c r="L138" s="16" t="n">
        <v>65.8746</v>
      </c>
      <c r="M138" s="10" t="inlineStr">
        <is>
          <t>285</t>
        </is>
      </c>
      <c r="N138" s="16" t="n">
        <v>89.001</v>
      </c>
      <c r="O138" s="16" t="n">
        <v>266.926</v>
      </c>
      <c r="P138" s="10" t="inlineStr">
        <is>
          <t>285</t>
        </is>
      </c>
      <c r="Q138" s="16" t="n">
        <v>18.5884</v>
      </c>
      <c r="R138" s="10">
        <f>MAX(MAX(1.4/'Parametros'!$B$3,0.25*SQRT('Parametros'!$B$2)/'Parametros'!$B$3)*H138*U138,(0.85*'Parametros'!$B$2/'Parametros'!$B$3)*(1-SQRT(1-2*(J138*1000000/('Parametros'!$B$5*H138*U138^2))/(0.85*'Parametros'!$B$2)))*H138*U138)</f>
        <v>979.323739988068</v>
      </c>
      <c r="S138" s="17" t="n">
        <v>5</v>
      </c>
      <c r="T138" s="18" t="n">
        <v>1</v>
      </c>
      <c r="U138" s="10">
        <f>IF(T138=1,I138-('Parametros'!$B$7+'Parametros'!$B$9+'Parametros'!$B$12/2),I138-(ROUNDUP(S138/2,0)*('Parametros'!$B$7+'Parametros'!$B$9+'Parametros'!$B$12/2)+ROUNDDOWN(S138/2,0)*('Parametros'!$B$7+'Parametros'!$B$9+'Parametros'!$B$12/2+'Parametros'!$B$12+'Parametros'!$B$10))/S138)</f>
        <v>342.55</v>
      </c>
      <c r="V138" s="10">
        <f>S138*'Parametros'!$B$8</f>
        <v>995</v>
      </c>
      <c r="W138" s="10">
        <f>'Parametros'!$B$5*V138*'Parametros'!$B$3*(U138-(V138*'Parametros'!$B$3/(0.85*'Parametros'!$B$2*H138))/2)/1000000</f>
        <v>117.829731970588</v>
      </c>
      <c r="X138" s="10" t="str">
        <f>IF(W138&gt;=J138,"CUMPLE","NO CUMPLE")</f>
        <v>CUMPLE</v>
      </c>
      <c r="Y138" s="10">
        <f>MAX(MAX(1.4/'Parametros'!$B$3,0.25*SQRT('Parametros'!$B$2)/'Parametros'!$B$3)*H138*AB138,(0.85*'Parametros'!$B$2/'Parametros'!$B$3)*(1-SQRT(1-2*(L138*1000000/('Parametros'!$B$5*H138*AB138^2))/(0.85*'Parametros'!$B$2)))*H138*AB138)</f>
        <v>533.153722821674</v>
      </c>
      <c r="Z138" s="17" t="n">
        <v>3</v>
      </c>
      <c r="AA138" s="18" t="n">
        <v>1</v>
      </c>
      <c r="AB138" s="10">
        <f>IF(AA138=1,I138-('Parametros'!$B$7+'Parametros'!$B$9+'Parametros'!$B$12/2),I138-(ROUNDUP(Z138/2,0)*('Parametros'!$B$7+'Parametros'!$B$9+'Parametros'!$B$12/2)+ROUNDDOWN(Z138/2,0)*('Parametros'!$B$7+'Parametros'!$B$9+'Parametros'!$B$12/2+'Parametros'!$B$12+'Parametros'!$B$10))/Z138)</f>
        <v>342.55</v>
      </c>
      <c r="AC138" s="10">
        <f>Z138*'Parametros'!$B$8</f>
        <v>597</v>
      </c>
      <c r="AD138" s="10">
        <f>'Parametros'!$B$5*AC138*'Parametros'!$B$3*(AB138-(AC138*'Parametros'!$B$3/(0.85*'Parametros'!$B$2*H138))/2)/1000000</f>
        <v>73.3394588294118</v>
      </c>
      <c r="AE138" s="10" t="str">
        <f>IF(AD138&gt;=L138,"CUMPLE","NO CUMPLE")</f>
        <v>CUMPLE</v>
      </c>
      <c r="AF138" s="10">
        <f>V138*1.25*'Parametros'!$B$3*(U138-(V138*1.25*'Parametros'!$B$3/(0.85*'Parametros'!$B$2*H138))/2)/1000000</f>
        <v>159.830617830882</v>
      </c>
      <c r="AG138" s="10">
        <f>AC138*1.25*'Parametros'!$B$3*(AB138-(AC138*1.25*'Parametros'!$B$3/(0.85*'Parametros'!$B$2*H138))/2)/1000000</f>
        <v>100.484515919118</v>
      </c>
      <c r="AH138" s="10">
        <f>N138+(AF138+AG138)/D138</f>
        <v>155.748470192308</v>
      </c>
      <c r="AI138" s="10">
        <f>MIN(O138,MAX(N138,AH138))</f>
        <v>155.748470192308</v>
      </c>
      <c r="AJ138" s="10">
        <f>0.17*SQRT('Parametros'!$B$2)*H138*MIN(U138,AB138)/1000</f>
        <v>92.4428153837279</v>
      </c>
      <c r="AK138" s="10">
        <f>MAX(AI138/'Parametros'!$B$6-AJ138,0)</f>
        <v>115.221811539349</v>
      </c>
      <c r="AL138" s="10">
        <f>0.66*SQRT('Parametros'!$B$2)*H138*MIN(U138,AB138)/1000</f>
        <v>358.89563619565</v>
      </c>
      <c r="AM138" s="10" t="str">
        <f>IF(AK138&lt;=AL138,"CUMPLE","NO CUMPLE")</f>
        <v>CUMPLE</v>
      </c>
      <c r="AN138" s="15" t="inlineStr">
        <is>
          <t>Nº3 cerrado</t>
        </is>
      </c>
      <c r="AO138" s="17" t="n">
        <v>2</v>
      </c>
      <c r="AP138" s="10">
        <f>ROUNDDOWN(MIN(IF(AK138=0,1000000000,AO138*'Parametros'!$B$11*'Parametros'!$B$4*MIN(U138,AB138)/(AK138*1000)),IF(AV138=0,1000000000,'Parametros'!$B$11/AV138),MIN(U138,AB138)/4,8*'Parametros'!$B$12,24*'Parametros'!$B$9,300)/10,0)*10</f>
        <v>80</v>
      </c>
      <c r="AQ138" s="10">
        <f>ROUNDDOWN(MIN(IF(AK138=0,1000000000,AO138*'Parametros'!$B$11*'Parametros'!$B$4*MIN(U138,AB138)/(AK138*1000)),IF(AV138=0,1000000000,'Parametros'!$B$11/AV138),MIN(U138,AB138)/2,600)/10,0)*10</f>
        <v>140</v>
      </c>
      <c r="AR138" s="10">
        <f>'Parametros'!$B$6*(AJ138+AO138*'Parametros'!$B$11*'Parametros'!$B$4*MIN(U138,AB138)/AP138/1000)</f>
        <v>260.860380287796</v>
      </c>
      <c r="AS138" s="10" t="str">
        <f>IF(AND(AM138="CUMPLE",AR138&gt;=AI138),"CUMPLE","NO CUMPLE")</f>
        <v>CUMPLE</v>
      </c>
      <c r="AT138" s="10">
        <f>'Parametros'!$B$6*0.083*SQRT('Parametros'!$B$2)*(H138*I138)^2/(2*(H138+I138))/1000000</f>
        <v>3.38807353605471</v>
      </c>
      <c r="AU138" s="10" t="str">
        <f>IF(Q138&lt;=AT138,"DESPRECIABLE","DISEÑAR")</f>
        <v>DISEÑAR</v>
      </c>
      <c r="AV138" s="10">
        <f>IF(Q138&lt;=AT138,0,Q138*1000000/('Parametros'!$B$6*2*0.85*(H138-2*'Parametros'!$B$7)*(I138-2*'Parametros'!$B$7)*'Parametros'!$B$4))</f>
        <v>0.493071471012647</v>
      </c>
      <c r="AW138" s="10">
        <f>AV138*2*((H138-2*'Parametros'!$B$7)+(I138-2*'Parametros'!$B$7))*'Parametros'!$B$4/'Parametros'!$B$3</f>
        <v>532.517188693659</v>
      </c>
      <c r="AX138" s="17" t="n">
        <v>3</v>
      </c>
      <c r="AY138" s="10" t="str">
        <f>IF(AV138=0,"DESPRECIABLE",IF('Parametros'!$B$11/AP138&gt;=AV138,"CUMPLE","NO CUMPLE"))</f>
        <v>CUMPLE</v>
      </c>
      <c r="AZ138" s="10" t="str">
        <f>IF(AND(X138="CUMPLE",AE138="CUMPLE",AS138="CUMPLE",OR(AY138="CUMPLE",AY138="DESPRECIABLE")),IF(OR(F138&lt;&gt;H138,G138&lt;&gt;I138),"CUMPLE - REANALIZAR SAP","CUMPLE"),"NO CUMPLE")</f>
        <v>CUMPLE</v>
      </c>
    </row>
    <row r="139">
      <c r="A139" s="21" t="inlineStr">
        <is>
          <t>VC5</t>
        </is>
      </c>
      <c r="B139" s="21" t="inlineStr">
        <is>
          <t>286</t>
        </is>
      </c>
      <c r="C139" s="10" t="n">
        <v>1</v>
      </c>
      <c r="D139" s="10" t="n">
        <v>3.85</v>
      </c>
      <c r="E139" s="10" t="n">
        <v>3.85</v>
      </c>
      <c r="F139" s="10" t="n">
        <v>300</v>
      </c>
      <c r="G139" s="10" t="n">
        <v>400</v>
      </c>
      <c r="H139" s="15" t="n">
        <v>300</v>
      </c>
      <c r="I139" s="15" t="n">
        <v>400</v>
      </c>
      <c r="J139" s="16" t="n">
        <v>89.5519</v>
      </c>
      <c r="K139" s="10" t="inlineStr">
        <is>
          <t>286</t>
        </is>
      </c>
      <c r="L139" s="16" t="n">
        <v>74.43819999999999</v>
      </c>
      <c r="M139" s="10" t="inlineStr">
        <is>
          <t>286</t>
        </is>
      </c>
      <c r="N139" s="16" t="n">
        <v>53.748</v>
      </c>
      <c r="O139" s="16" t="n">
        <v>222.187</v>
      </c>
      <c r="P139" s="10" t="inlineStr">
        <is>
          <t>286</t>
        </is>
      </c>
      <c r="Q139" s="16" t="n">
        <v>5.7966</v>
      </c>
      <c r="R139" s="10">
        <f>MAX(MAX(1.4/'Parametros'!$B$3,0.25*SQRT('Parametros'!$B$2)/'Parametros'!$B$3)*H139*U139,(0.85*'Parametros'!$B$2/'Parametros'!$B$3)*(1-SQRT(1-2*(J139*1000000/('Parametros'!$B$5*H139*U139^2))/(0.85*'Parametros'!$B$2)))*H139*U139)</f>
        <v>738.424000708841</v>
      </c>
      <c r="S139" s="17" t="n">
        <v>4</v>
      </c>
      <c r="T139" s="18" t="n">
        <v>1</v>
      </c>
      <c r="U139" s="10">
        <f>IF(T139=1,I139-('Parametros'!$B$7+'Parametros'!$B$9+'Parametros'!$B$12/2),I139-(ROUNDUP(S139/2,0)*('Parametros'!$B$7+'Parametros'!$B$9+'Parametros'!$B$12/2)+ROUNDDOWN(S139/2,0)*('Parametros'!$B$7+'Parametros'!$B$9+'Parametros'!$B$12/2+'Parametros'!$B$12+'Parametros'!$B$10))/S139)</f>
        <v>342.55</v>
      </c>
      <c r="V139" s="10">
        <f>S139*'Parametros'!$B$8</f>
        <v>796</v>
      </c>
      <c r="W139" s="10">
        <f>'Parametros'!$B$5*V139*'Parametros'!$B$3*(U139-(V139*'Parametros'!$B$3/(0.85*'Parametros'!$B$2*H139))/2)/1000000</f>
        <v>96.0248653411765</v>
      </c>
      <c r="X139" s="10" t="str">
        <f>IF(W139&gt;=J139,"CUMPLE","NO CUMPLE")</f>
        <v>CUMPLE</v>
      </c>
      <c r="Y139" s="10">
        <f>MAX(MAX(1.4/'Parametros'!$B$3,0.25*SQRT('Parametros'!$B$2)/'Parametros'!$B$3)*H139*AB139,(0.85*'Parametros'!$B$2/'Parametros'!$B$3)*(1-SQRT(1-2*(L139*1000000/('Parametros'!$B$5*H139*AB139^2))/(0.85*'Parametros'!$B$2)))*H139*AB139)</f>
        <v>606.46340437608</v>
      </c>
      <c r="Z139" s="17" t="n">
        <v>4</v>
      </c>
      <c r="AA139" s="18" t="n">
        <v>1</v>
      </c>
      <c r="AB139" s="10">
        <f>IF(AA139=1,I139-('Parametros'!$B$7+'Parametros'!$B$9+'Parametros'!$B$12/2),I139-(ROUNDUP(Z139/2,0)*('Parametros'!$B$7+'Parametros'!$B$9+'Parametros'!$B$12/2)+ROUNDDOWN(Z139/2,0)*('Parametros'!$B$7+'Parametros'!$B$9+'Parametros'!$B$12/2+'Parametros'!$B$12+'Parametros'!$B$10))/Z139)</f>
        <v>342.55</v>
      </c>
      <c r="AC139" s="10">
        <f>Z139*'Parametros'!$B$8</f>
        <v>796</v>
      </c>
      <c r="AD139" s="10">
        <f>'Parametros'!$B$5*AC139*'Parametros'!$B$3*(AB139-(AC139*'Parametros'!$B$3/(0.85*'Parametros'!$B$2*H139))/2)/1000000</f>
        <v>96.0248653411765</v>
      </c>
      <c r="AE139" s="10" t="str">
        <f>IF(AD139&gt;=L139,"CUMPLE","NO CUMPLE")</f>
        <v>CUMPLE</v>
      </c>
      <c r="AF139" s="10">
        <f>V139*1.25*'Parametros'!$B$3*(U139-(V139*1.25*'Parametros'!$B$3/(0.85*'Parametros'!$B$2*H139))/2)/1000000</f>
        <v>130.921924411765</v>
      </c>
      <c r="AG139" s="10">
        <f>AC139*1.25*'Parametros'!$B$3*(AB139-(AC139*1.25*'Parametros'!$B$3/(0.85*'Parametros'!$B$2*H139))/2)/1000000</f>
        <v>130.921924411765</v>
      </c>
      <c r="AH139" s="10">
        <f>N139+(AF139+AG139)/D139</f>
        <v>121.759389304813</v>
      </c>
      <c r="AI139" s="10">
        <f>MIN(O139,MAX(N139,AH139))</f>
        <v>121.759389304813</v>
      </c>
      <c r="AJ139" s="10">
        <f>0.17*SQRT('Parametros'!$B$2)*H139*MIN(U139,AB139)/1000</f>
        <v>92.4428153837279</v>
      </c>
      <c r="AK139" s="10">
        <f>MAX(AI139/'Parametros'!$B$6-AJ139,0)</f>
        <v>69.9030370226892</v>
      </c>
      <c r="AL139" s="10">
        <f>0.66*SQRT('Parametros'!$B$2)*H139*MIN(U139,AB139)/1000</f>
        <v>358.89563619565</v>
      </c>
      <c r="AM139" s="10" t="str">
        <f>IF(AK139&lt;=AL139,"CUMPLE","NO CUMPLE")</f>
        <v>CUMPLE</v>
      </c>
      <c r="AN139" s="15" t="inlineStr">
        <is>
          <t>Nº3 cerrado</t>
        </is>
      </c>
      <c r="AO139" s="17" t="n">
        <v>2</v>
      </c>
      <c r="AP139" s="10">
        <f>ROUNDDOWN(MIN(IF(AK139=0,1000000000,AO139*'Parametros'!$B$11*'Parametros'!$B$4*MIN(U139,AB139)/(AK139*1000)),IF(AV139=0,1000000000,'Parametros'!$B$11/AV139),MIN(U139,AB139)/4,8*'Parametros'!$B$12,24*'Parametros'!$B$9,300)/10,0)*10</f>
        <v>80</v>
      </c>
      <c r="AQ139" s="10">
        <f>ROUNDDOWN(MIN(IF(AK139=0,1000000000,AO139*'Parametros'!$B$11*'Parametros'!$B$4*MIN(U139,AB139)/(AK139*1000)),IF(AV139=0,1000000000,'Parametros'!$B$11/AV139),MIN(U139,AB139)/2,600)/10,0)*10</f>
        <v>170</v>
      </c>
      <c r="AR139" s="10">
        <f>'Parametros'!$B$6*(AJ139+AO139*'Parametros'!$B$11*'Parametros'!$B$4*MIN(U139,AB139)/AP139/1000)</f>
        <v>260.860380287796</v>
      </c>
      <c r="AS139" s="10" t="str">
        <f>IF(AND(AM139="CUMPLE",AR139&gt;=AI139),"CUMPLE","NO CUMPLE")</f>
        <v>CUMPLE</v>
      </c>
      <c r="AT139" s="10">
        <f>'Parametros'!$B$6*0.083*SQRT('Parametros'!$B$2)*(H139*I139)^2/(2*(H139+I139))/1000000</f>
        <v>3.38807353605471</v>
      </c>
      <c r="AU139" s="10" t="str">
        <f>IF(Q139&lt;=AT139,"DESPRECIABLE","DISEÑAR")</f>
        <v>DISEÑAR</v>
      </c>
      <c r="AV139" s="10">
        <f>IF(Q139&lt;=AT139,0,Q139*1000000/('Parametros'!$B$6*2*0.85*(H139-2*'Parametros'!$B$7)*(I139-2*'Parametros'!$B$7)*'Parametros'!$B$4))</f>
        <v>0.153759230965113</v>
      </c>
      <c r="AW139" s="10">
        <f>AV139*2*((H139-2*'Parametros'!$B$7)+(I139-2*'Parametros'!$B$7))*'Parametros'!$B$4/'Parametros'!$B$3</f>
        <v>166.059969442322</v>
      </c>
      <c r="AX139" s="17" t="n">
        <v>1</v>
      </c>
      <c r="AY139" s="10" t="str">
        <f>IF(AV139=0,"DESPRECIABLE",IF('Parametros'!$B$11/AP139&gt;=AV139,"CUMPLE","NO CUMPLE"))</f>
        <v>CUMPLE</v>
      </c>
      <c r="AZ139" s="10" t="str">
        <f>IF(AND(X139="CUMPLE",AE139="CUMPLE",AS139="CUMPLE",OR(AY139="CUMPLE",AY139="DESPRECIABLE")),IF(OR(F139&lt;&gt;H139,G139&lt;&gt;I139),"CUMPLE - REANALIZAR SAP","CUMPLE"),"NO CUMPLE")</f>
        <v>CUMPLE</v>
      </c>
    </row>
    <row r="140">
      <c r="A140" s="21" t="inlineStr">
        <is>
          <t>VC5</t>
        </is>
      </c>
      <c r="B140" s="21" t="inlineStr">
        <is>
          <t>821</t>
        </is>
      </c>
      <c r="C140" s="10" t="n">
        <v>1</v>
      </c>
      <c r="D140" s="10" t="n">
        <v>3.85</v>
      </c>
      <c r="E140" s="10" t="n">
        <v>3.85</v>
      </c>
      <c r="F140" s="10" t="n">
        <v>300</v>
      </c>
      <c r="G140" s="10" t="n">
        <v>400</v>
      </c>
      <c r="H140" s="15" t="n">
        <v>300</v>
      </c>
      <c r="I140" s="15" t="n">
        <v>400</v>
      </c>
      <c r="J140" s="16" t="n">
        <v>74.41849999999999</v>
      </c>
      <c r="K140" s="10" t="inlineStr">
        <is>
          <t>821</t>
        </is>
      </c>
      <c r="L140" s="16" t="n">
        <v>58.8438</v>
      </c>
      <c r="M140" s="10" t="inlineStr">
        <is>
          <t>821</t>
        </is>
      </c>
      <c r="N140" s="16" t="n">
        <v>45.79</v>
      </c>
      <c r="O140" s="16" t="n">
        <v>182.134</v>
      </c>
      <c r="P140" s="10" t="inlineStr">
        <is>
          <t>821</t>
        </is>
      </c>
      <c r="Q140" s="16" t="n">
        <v>4.6952</v>
      </c>
      <c r="R140" s="10">
        <f>MAX(MAX(1.4/'Parametros'!$B$3,0.25*SQRT('Parametros'!$B$2)/'Parametros'!$B$3)*H140*U140,(0.85*'Parametros'!$B$2/'Parametros'!$B$3)*(1-SQRT(1-2*(J140*1000000/('Parametros'!$B$5*H140*U140^2))/(0.85*'Parametros'!$B$2)))*H140*U140)</f>
        <v>606.293578101489</v>
      </c>
      <c r="S140" s="17" t="n">
        <v>4</v>
      </c>
      <c r="T140" s="18" t="n">
        <v>1</v>
      </c>
      <c r="U140" s="10">
        <f>IF(T140=1,I140-('Parametros'!$B$7+'Parametros'!$B$9+'Parametros'!$B$12/2),I140-(ROUNDUP(S140/2,0)*('Parametros'!$B$7+'Parametros'!$B$9+'Parametros'!$B$12/2)+ROUNDDOWN(S140/2,0)*('Parametros'!$B$7+'Parametros'!$B$9+'Parametros'!$B$12/2+'Parametros'!$B$12+'Parametros'!$B$10))/S140)</f>
        <v>342.55</v>
      </c>
      <c r="V140" s="10">
        <f>S140*'Parametros'!$B$8</f>
        <v>796</v>
      </c>
      <c r="W140" s="10">
        <f>'Parametros'!$B$5*V140*'Parametros'!$B$3*(U140-(V140*'Parametros'!$B$3/(0.85*'Parametros'!$B$2*H140))/2)/1000000</f>
        <v>96.0248653411765</v>
      </c>
      <c r="X140" s="10" t="str">
        <f>IF(W140&gt;=J140,"CUMPLE","NO CUMPLE")</f>
        <v>CUMPLE</v>
      </c>
      <c r="Y140" s="10">
        <f>MAX(MAX(1.4/'Parametros'!$B$3,0.25*SQRT('Parametros'!$B$2)/'Parametros'!$B$3)*H140*AB140,(0.85*'Parametros'!$B$2/'Parametros'!$B$3)*(1-SQRT(1-2*(L140*1000000/('Parametros'!$B$5*H140*AB140^2))/(0.85*'Parametros'!$B$2)))*H140*AB140)</f>
        <v>473.716680690028</v>
      </c>
      <c r="Z140" s="17" t="n">
        <v>3</v>
      </c>
      <c r="AA140" s="18" t="n">
        <v>1</v>
      </c>
      <c r="AB140" s="10">
        <f>IF(AA140=1,I140-('Parametros'!$B$7+'Parametros'!$B$9+'Parametros'!$B$12/2),I140-(ROUNDUP(Z140/2,0)*('Parametros'!$B$7+'Parametros'!$B$9+'Parametros'!$B$12/2)+ROUNDDOWN(Z140/2,0)*('Parametros'!$B$7+'Parametros'!$B$9+'Parametros'!$B$12/2+'Parametros'!$B$12+'Parametros'!$B$10))/Z140)</f>
        <v>342.55</v>
      </c>
      <c r="AC140" s="10">
        <f>Z140*'Parametros'!$B$8</f>
        <v>597</v>
      </c>
      <c r="AD140" s="10">
        <f>'Parametros'!$B$5*AC140*'Parametros'!$B$3*(AB140-(AC140*'Parametros'!$B$3/(0.85*'Parametros'!$B$2*H140))/2)/1000000</f>
        <v>73.3394588294118</v>
      </c>
      <c r="AE140" s="10" t="str">
        <f>IF(AD140&gt;=L140,"CUMPLE","NO CUMPLE")</f>
        <v>CUMPLE</v>
      </c>
      <c r="AF140" s="10">
        <f>V140*1.25*'Parametros'!$B$3*(U140-(V140*1.25*'Parametros'!$B$3/(0.85*'Parametros'!$B$2*H140))/2)/1000000</f>
        <v>130.921924411765</v>
      </c>
      <c r="AG140" s="10">
        <f>AC140*1.25*'Parametros'!$B$3*(AB140-(AC140*1.25*'Parametros'!$B$3/(0.85*'Parametros'!$B$2*H140))/2)/1000000</f>
        <v>100.484515919118</v>
      </c>
      <c r="AH140" s="10">
        <f>N140+(AF140+AG140)/D140</f>
        <v>105.895568917112</v>
      </c>
      <c r="AI140" s="10">
        <f>MIN(O140,MAX(N140,AH140))</f>
        <v>105.895568917112</v>
      </c>
      <c r="AJ140" s="10">
        <f>0.17*SQRT('Parametros'!$B$2)*H140*MIN(U140,AB140)/1000</f>
        <v>92.4428153837279</v>
      </c>
      <c r="AK140" s="10">
        <f>MAX(AI140/'Parametros'!$B$6-AJ140,0)</f>
        <v>48.7512765057552</v>
      </c>
      <c r="AL140" s="10">
        <f>0.66*SQRT('Parametros'!$B$2)*H140*MIN(U140,AB140)/1000</f>
        <v>358.89563619565</v>
      </c>
      <c r="AM140" s="10" t="str">
        <f>IF(AK140&lt;=AL140,"CUMPLE","NO CUMPLE")</f>
        <v>CUMPLE</v>
      </c>
      <c r="AN140" s="15" t="inlineStr">
        <is>
          <t>Nº3 cerrado</t>
        </is>
      </c>
      <c r="AO140" s="17" t="n">
        <v>2</v>
      </c>
      <c r="AP140" s="10">
        <f>ROUNDDOWN(MIN(IF(AK140=0,1000000000,AO140*'Parametros'!$B$11*'Parametros'!$B$4*MIN(U140,AB140)/(AK140*1000)),IF(AV140=0,1000000000,'Parametros'!$B$11/AV140),MIN(U140,AB140)/4,8*'Parametros'!$B$12,24*'Parametros'!$B$9,300)/10,0)*10</f>
        <v>80</v>
      </c>
      <c r="AQ140" s="10">
        <f>ROUNDDOWN(MIN(IF(AK140=0,1000000000,AO140*'Parametros'!$B$11*'Parametros'!$B$4*MIN(U140,AB140)/(AK140*1000)),IF(AV140=0,1000000000,'Parametros'!$B$11/AV140),MIN(U140,AB140)/2,600)/10,0)*10</f>
        <v>170</v>
      </c>
      <c r="AR140" s="10">
        <f>'Parametros'!$B$6*(AJ140+AO140*'Parametros'!$B$11*'Parametros'!$B$4*MIN(U140,AB140)/AP140/1000)</f>
        <v>260.860380287796</v>
      </c>
      <c r="AS140" s="10" t="str">
        <f>IF(AND(AM140="CUMPLE",AR140&gt;=AI140),"CUMPLE","NO CUMPLE")</f>
        <v>CUMPLE</v>
      </c>
      <c r="AT140" s="10">
        <f>'Parametros'!$B$6*0.083*SQRT('Parametros'!$B$2)*(H140*I140)^2/(2*(H140+I140))/1000000</f>
        <v>3.38807353605471</v>
      </c>
      <c r="AU140" s="10" t="str">
        <f>IF(Q140&lt;=AT140,"DESPRECIABLE","DISEÑAR")</f>
        <v>DISEÑAR</v>
      </c>
      <c r="AV140" s="10">
        <f>IF(Q140&lt;=AT140,0,Q140*1000000/('Parametros'!$B$6*2*0.85*(H140-2*'Parametros'!$B$7)*(I140-2*'Parametros'!$B$7)*'Parametros'!$B$4))</f>
        <v>0.124543756896698</v>
      </c>
      <c r="AW140" s="10">
        <f>AV140*2*((H140-2*'Parametros'!$B$7)+(I140-2*'Parametros'!$B$7))*'Parametros'!$B$4/'Parametros'!$B$3</f>
        <v>134.507257448434</v>
      </c>
      <c r="AX140" s="17" t="n">
        <v>1</v>
      </c>
      <c r="AY140" s="10" t="str">
        <f>IF(AV140=0,"DESPRECIABLE",IF('Parametros'!$B$11/AP140&gt;=AV140,"CUMPLE","NO CUMPLE"))</f>
        <v>CUMPLE</v>
      </c>
      <c r="AZ140" s="10" t="str">
        <f>IF(AND(X140="CUMPLE",AE140="CUMPLE",AS140="CUMPLE",OR(AY140="CUMPLE",AY140="DESPRECIABLE")),IF(OR(F140&lt;&gt;H140,G140&lt;&gt;I140),"CUMPLE - REANALIZAR SAP","CUMPLE"),"NO CUMPLE")</f>
        <v>CUMPLE</v>
      </c>
    </row>
    <row r="141">
      <c r="A141" s="21" t="inlineStr">
        <is>
          <t>VC5</t>
        </is>
      </c>
      <c r="B141" s="21" t="inlineStr">
        <is>
          <t>822</t>
        </is>
      </c>
      <c r="C141" s="10" t="n">
        <v>1</v>
      </c>
      <c r="D141" s="10" t="n">
        <v>3.9</v>
      </c>
      <c r="E141" s="10" t="n">
        <v>3.9</v>
      </c>
      <c r="F141" s="10" t="n">
        <v>300</v>
      </c>
      <c r="G141" s="10" t="n">
        <v>400</v>
      </c>
      <c r="H141" s="15" t="n">
        <v>300</v>
      </c>
      <c r="I141" s="15" t="n">
        <v>400</v>
      </c>
      <c r="J141" s="16" t="n">
        <v>102.9376</v>
      </c>
      <c r="K141" s="10" t="inlineStr">
        <is>
          <t>822</t>
        </is>
      </c>
      <c r="L141" s="16" t="n">
        <v>52.1559</v>
      </c>
      <c r="M141" s="10" t="inlineStr">
        <is>
          <t>822</t>
        </is>
      </c>
      <c r="N141" s="16" t="n">
        <v>81.752</v>
      </c>
      <c r="O141" s="16" t="n">
        <v>226.946</v>
      </c>
      <c r="P141" s="10" t="inlineStr">
        <is>
          <t>822</t>
        </is>
      </c>
      <c r="Q141" s="16" t="n">
        <v>14.8924</v>
      </c>
      <c r="R141" s="10">
        <f>MAX(MAX(1.4/'Parametros'!$B$3,0.25*SQRT('Parametros'!$B$2)/'Parametros'!$B$3)*H141*U141,(0.85*'Parametros'!$B$2/'Parametros'!$B$3)*(1-SQRT(1-2*(J141*1000000/('Parametros'!$B$5*H141*U141^2))/(0.85*'Parametros'!$B$2)))*H141*U141)</f>
        <v>858.224859949406</v>
      </c>
      <c r="S141" s="17" t="n">
        <v>5</v>
      </c>
      <c r="T141" s="18" t="n">
        <v>1</v>
      </c>
      <c r="U141" s="10">
        <f>IF(T141=1,I141-('Parametros'!$B$7+'Parametros'!$B$9+'Parametros'!$B$12/2),I141-(ROUNDUP(S141/2,0)*('Parametros'!$B$7+'Parametros'!$B$9+'Parametros'!$B$12/2)+ROUNDDOWN(S141/2,0)*('Parametros'!$B$7+'Parametros'!$B$9+'Parametros'!$B$12/2+'Parametros'!$B$12+'Parametros'!$B$10))/S141)</f>
        <v>342.55</v>
      </c>
      <c r="V141" s="10">
        <f>S141*'Parametros'!$B$8</f>
        <v>995</v>
      </c>
      <c r="W141" s="10">
        <f>'Parametros'!$B$5*V141*'Parametros'!$B$3*(U141-(V141*'Parametros'!$B$3/(0.85*'Parametros'!$B$2*H141))/2)/1000000</f>
        <v>117.829731970588</v>
      </c>
      <c r="X141" s="10" t="str">
        <f>IF(W141&gt;=J141,"CUMPLE","NO CUMPLE")</f>
        <v>CUMPLE</v>
      </c>
      <c r="Y141" s="10">
        <f>MAX(MAX(1.4/'Parametros'!$B$3,0.25*SQRT('Parametros'!$B$2)/'Parametros'!$B$3)*H141*AB141,(0.85*'Parametros'!$B$2/'Parametros'!$B$3)*(1-SQRT(1-2*(L141*1000000/('Parametros'!$B$5*H141*AB141^2))/(0.85*'Parametros'!$B$2)))*H141*AB141)</f>
        <v>417.784923717173</v>
      </c>
      <c r="Z141" s="17" t="n">
        <v>3</v>
      </c>
      <c r="AA141" s="18" t="n">
        <v>1</v>
      </c>
      <c r="AB141" s="10">
        <f>IF(AA141=1,I141-('Parametros'!$B$7+'Parametros'!$B$9+'Parametros'!$B$12/2),I141-(ROUNDUP(Z141/2,0)*('Parametros'!$B$7+'Parametros'!$B$9+'Parametros'!$B$12/2)+ROUNDDOWN(Z141/2,0)*('Parametros'!$B$7+'Parametros'!$B$9+'Parametros'!$B$12/2+'Parametros'!$B$12+'Parametros'!$B$10))/Z141)</f>
        <v>342.55</v>
      </c>
      <c r="AC141" s="10">
        <f>Z141*'Parametros'!$B$8</f>
        <v>597</v>
      </c>
      <c r="AD141" s="10">
        <f>'Parametros'!$B$5*AC141*'Parametros'!$B$3*(AB141-(AC141*'Parametros'!$B$3/(0.85*'Parametros'!$B$2*H141))/2)/1000000</f>
        <v>73.3394588294118</v>
      </c>
      <c r="AE141" s="10" t="str">
        <f>IF(AD141&gt;=L141,"CUMPLE","NO CUMPLE")</f>
        <v>CUMPLE</v>
      </c>
      <c r="AF141" s="10">
        <f>V141*1.25*'Parametros'!$B$3*(U141-(V141*1.25*'Parametros'!$B$3/(0.85*'Parametros'!$B$2*H141))/2)/1000000</f>
        <v>159.830617830882</v>
      </c>
      <c r="AG141" s="10">
        <f>AC141*1.25*'Parametros'!$B$3*(AB141-(AC141*1.25*'Parametros'!$B$3/(0.85*'Parametros'!$B$2*H141))/2)/1000000</f>
        <v>100.484515919118</v>
      </c>
      <c r="AH141" s="10">
        <f>N141+(AF141+AG141)/D141</f>
        <v>148.499470192308</v>
      </c>
      <c r="AI141" s="10">
        <f>MIN(O141,MAX(N141,AH141))</f>
        <v>148.499470192308</v>
      </c>
      <c r="AJ141" s="10">
        <f>0.17*SQRT('Parametros'!$B$2)*H141*MIN(U141,AB141)/1000</f>
        <v>92.4428153837279</v>
      </c>
      <c r="AK141" s="10">
        <f>MAX(AI141/'Parametros'!$B$6-AJ141,0)</f>
        <v>105.556478206016</v>
      </c>
      <c r="AL141" s="10">
        <f>0.66*SQRT('Parametros'!$B$2)*H141*MIN(U141,AB141)/1000</f>
        <v>358.89563619565</v>
      </c>
      <c r="AM141" s="10" t="str">
        <f>IF(AK141&lt;=AL141,"CUMPLE","NO CUMPLE")</f>
        <v>CUMPLE</v>
      </c>
      <c r="AN141" s="15" t="inlineStr">
        <is>
          <t>Nº3 cerrado</t>
        </is>
      </c>
      <c r="AO141" s="17" t="n">
        <v>2</v>
      </c>
      <c r="AP141" s="10">
        <f>ROUNDDOWN(MIN(IF(AK141=0,1000000000,AO141*'Parametros'!$B$11*'Parametros'!$B$4*MIN(U141,AB141)/(AK141*1000)),IF(AV141=0,1000000000,'Parametros'!$B$11/AV141),MIN(U141,AB141)/4,8*'Parametros'!$B$12,24*'Parametros'!$B$9,300)/10,0)*10</f>
        <v>80</v>
      </c>
      <c r="AQ141" s="10">
        <f>ROUNDDOWN(MIN(IF(AK141=0,1000000000,AO141*'Parametros'!$B$11*'Parametros'!$B$4*MIN(U141,AB141)/(AK141*1000)),IF(AV141=0,1000000000,'Parametros'!$B$11/AV141),MIN(U141,AB141)/2,600)/10,0)*10</f>
        <v>170</v>
      </c>
      <c r="AR141" s="10">
        <f>'Parametros'!$B$6*(AJ141+AO141*'Parametros'!$B$11*'Parametros'!$B$4*MIN(U141,AB141)/AP141/1000)</f>
        <v>260.860380287796</v>
      </c>
      <c r="AS141" s="10" t="str">
        <f>IF(AND(AM141="CUMPLE",AR141&gt;=AI141),"CUMPLE","NO CUMPLE")</f>
        <v>CUMPLE</v>
      </c>
      <c r="AT141" s="10">
        <f>'Parametros'!$B$6*0.083*SQRT('Parametros'!$B$2)*(H141*I141)^2/(2*(H141+I141))/1000000</f>
        <v>3.38807353605471</v>
      </c>
      <c r="AU141" s="10" t="str">
        <f>IF(Q141&lt;=AT141,"DESPRECIABLE","DISEÑAR")</f>
        <v>DISEÑAR</v>
      </c>
      <c r="AV141" s="10">
        <f>IF(Q141&lt;=AT141,0,Q141*1000000/('Parametros'!$B$6*2*0.85*(H141-2*'Parametros'!$B$7)*(I141-2*'Parametros'!$B$7)*'Parametros'!$B$4))</f>
        <v>0.395032255326373</v>
      </c>
      <c r="AW141" s="10">
        <f>AV141*2*((H141-2*'Parametros'!$B$7)+(I141-2*'Parametros'!$B$7))*'Parametros'!$B$4/'Parametros'!$B$3</f>
        <v>426.634835752483</v>
      </c>
      <c r="AX141" s="17" t="n">
        <v>3</v>
      </c>
      <c r="AY141" s="10" t="str">
        <f>IF(AV141=0,"DESPRECIABLE",IF('Parametros'!$B$11/AP141&gt;=AV141,"CUMPLE","NO CUMPLE"))</f>
        <v>CUMPLE</v>
      </c>
      <c r="AZ141" s="10" t="str">
        <f>IF(AND(X141="CUMPLE",AE141="CUMPLE",AS141="CUMPLE",OR(AY141="CUMPLE",AY141="DESPRECIABLE")),IF(OR(F141&lt;&gt;H141,G141&lt;&gt;I141),"CUMPLE - REANALIZAR SAP","CUMPLE"),"NO CUMPLE")</f>
        <v>CUMPLE</v>
      </c>
    </row>
    <row r="142">
      <c r="A142" s="21" t="inlineStr">
        <is>
          <t>VC5</t>
        </is>
      </c>
      <c r="B142" s="21" t="inlineStr">
        <is>
          <t>823</t>
        </is>
      </c>
      <c r="C142" s="10" t="n">
        <v>1</v>
      </c>
      <c r="D142" s="10" t="n">
        <v>3.9</v>
      </c>
      <c r="E142" s="10" t="n">
        <v>3.9</v>
      </c>
      <c r="F142" s="10" t="n">
        <v>300</v>
      </c>
      <c r="G142" s="10" t="n">
        <v>400</v>
      </c>
      <c r="H142" s="15" t="n">
        <v>300</v>
      </c>
      <c r="I142" s="15" t="n">
        <v>400</v>
      </c>
      <c r="J142" s="16" t="n">
        <v>103.035</v>
      </c>
      <c r="K142" s="10" t="inlineStr">
        <is>
          <t>823</t>
        </is>
      </c>
      <c r="L142" s="16" t="n">
        <v>52.1398</v>
      </c>
      <c r="M142" s="10" t="inlineStr">
        <is>
          <t>823</t>
        </is>
      </c>
      <c r="N142" s="16" t="n">
        <v>81.828</v>
      </c>
      <c r="O142" s="16" t="n">
        <v>227.066</v>
      </c>
      <c r="P142" s="10" t="inlineStr">
        <is>
          <t>823</t>
        </is>
      </c>
      <c r="Q142" s="16" t="n">
        <v>14.9401</v>
      </c>
      <c r="R142" s="10">
        <f>MAX(MAX(1.4/'Parametros'!$B$3,0.25*SQRT('Parametros'!$B$2)/'Parametros'!$B$3)*H142*U142,(0.85*'Parametros'!$B$2/'Parametros'!$B$3)*(1-SQRT(1-2*(J142*1000000/('Parametros'!$B$5*H142*U142^2))/(0.85*'Parametros'!$B$2)))*H142*U142)</f>
        <v>859.107176587593</v>
      </c>
      <c r="S142" s="17" t="n">
        <v>5</v>
      </c>
      <c r="T142" s="18" t="n">
        <v>1</v>
      </c>
      <c r="U142" s="10">
        <f>IF(T142=1,I142-('Parametros'!$B$7+'Parametros'!$B$9+'Parametros'!$B$12/2),I142-(ROUNDUP(S142/2,0)*('Parametros'!$B$7+'Parametros'!$B$9+'Parametros'!$B$12/2)+ROUNDDOWN(S142/2,0)*('Parametros'!$B$7+'Parametros'!$B$9+'Parametros'!$B$12/2+'Parametros'!$B$12+'Parametros'!$B$10))/S142)</f>
        <v>342.55</v>
      </c>
      <c r="V142" s="10">
        <f>S142*'Parametros'!$B$8</f>
        <v>995</v>
      </c>
      <c r="W142" s="10">
        <f>'Parametros'!$B$5*V142*'Parametros'!$B$3*(U142-(V142*'Parametros'!$B$3/(0.85*'Parametros'!$B$2*H142))/2)/1000000</f>
        <v>117.829731970588</v>
      </c>
      <c r="X142" s="10" t="str">
        <f>IF(W142&gt;=J142,"CUMPLE","NO CUMPLE")</f>
        <v>CUMPLE</v>
      </c>
      <c r="Y142" s="10">
        <f>MAX(MAX(1.4/'Parametros'!$B$3,0.25*SQRT('Parametros'!$B$2)/'Parametros'!$B$3)*H142*AB142,(0.85*'Parametros'!$B$2/'Parametros'!$B$3)*(1-SQRT(1-2*(L142*1000000/('Parametros'!$B$5*H142*AB142^2))/(0.85*'Parametros'!$B$2)))*H142*AB142)</f>
        <v>417.65097562982</v>
      </c>
      <c r="Z142" s="17" t="n">
        <v>3</v>
      </c>
      <c r="AA142" s="18" t="n">
        <v>1</v>
      </c>
      <c r="AB142" s="10">
        <f>IF(AA142=1,I142-('Parametros'!$B$7+'Parametros'!$B$9+'Parametros'!$B$12/2),I142-(ROUNDUP(Z142/2,0)*('Parametros'!$B$7+'Parametros'!$B$9+'Parametros'!$B$12/2)+ROUNDDOWN(Z142/2,0)*('Parametros'!$B$7+'Parametros'!$B$9+'Parametros'!$B$12/2+'Parametros'!$B$12+'Parametros'!$B$10))/Z142)</f>
        <v>342.55</v>
      </c>
      <c r="AC142" s="10">
        <f>Z142*'Parametros'!$B$8</f>
        <v>597</v>
      </c>
      <c r="AD142" s="10">
        <f>'Parametros'!$B$5*AC142*'Parametros'!$B$3*(AB142-(AC142*'Parametros'!$B$3/(0.85*'Parametros'!$B$2*H142))/2)/1000000</f>
        <v>73.3394588294118</v>
      </c>
      <c r="AE142" s="10" t="str">
        <f>IF(AD142&gt;=L142,"CUMPLE","NO CUMPLE")</f>
        <v>CUMPLE</v>
      </c>
      <c r="AF142" s="10">
        <f>V142*1.25*'Parametros'!$B$3*(U142-(V142*1.25*'Parametros'!$B$3/(0.85*'Parametros'!$B$2*H142))/2)/1000000</f>
        <v>159.830617830882</v>
      </c>
      <c r="AG142" s="10">
        <f>AC142*1.25*'Parametros'!$B$3*(AB142-(AC142*1.25*'Parametros'!$B$3/(0.85*'Parametros'!$B$2*H142))/2)/1000000</f>
        <v>100.484515919118</v>
      </c>
      <c r="AH142" s="10">
        <f>N142+(AF142+AG142)/D142</f>
        <v>148.575470192308</v>
      </c>
      <c r="AI142" s="10">
        <f>MIN(O142,MAX(N142,AH142))</f>
        <v>148.575470192308</v>
      </c>
      <c r="AJ142" s="10">
        <f>0.17*SQRT('Parametros'!$B$2)*H142*MIN(U142,AB142)/1000</f>
        <v>92.4428153837279</v>
      </c>
      <c r="AK142" s="10">
        <f>MAX(AI142/'Parametros'!$B$6-AJ142,0)</f>
        <v>105.657811539349</v>
      </c>
      <c r="AL142" s="10">
        <f>0.66*SQRT('Parametros'!$B$2)*H142*MIN(U142,AB142)/1000</f>
        <v>358.89563619565</v>
      </c>
      <c r="AM142" s="10" t="str">
        <f>IF(AK142&lt;=AL142,"CUMPLE","NO CUMPLE")</f>
        <v>CUMPLE</v>
      </c>
      <c r="AN142" s="15" t="inlineStr">
        <is>
          <t>Nº3 cerrado</t>
        </is>
      </c>
      <c r="AO142" s="17" t="n">
        <v>2</v>
      </c>
      <c r="AP142" s="10">
        <f>ROUNDDOWN(MIN(IF(AK142=0,1000000000,AO142*'Parametros'!$B$11*'Parametros'!$B$4*MIN(U142,AB142)/(AK142*1000)),IF(AV142=0,1000000000,'Parametros'!$B$11/AV142),MIN(U142,AB142)/4,8*'Parametros'!$B$12,24*'Parametros'!$B$9,300)/10,0)*10</f>
        <v>80</v>
      </c>
      <c r="AQ142" s="10">
        <f>ROUNDDOWN(MIN(IF(AK142=0,1000000000,AO142*'Parametros'!$B$11*'Parametros'!$B$4*MIN(U142,AB142)/(AK142*1000)),IF(AV142=0,1000000000,'Parametros'!$B$11/AV142),MIN(U142,AB142)/2,600)/10,0)*10</f>
        <v>170</v>
      </c>
      <c r="AR142" s="10">
        <f>'Parametros'!$B$6*(AJ142+AO142*'Parametros'!$B$11*'Parametros'!$B$4*MIN(U142,AB142)/AP142/1000)</f>
        <v>260.860380287796</v>
      </c>
      <c r="AS142" s="10" t="str">
        <f>IF(AND(AM142="CUMPLE",AR142&gt;=AI142),"CUMPLE","NO CUMPLE")</f>
        <v>CUMPLE</v>
      </c>
      <c r="AT142" s="10">
        <f>'Parametros'!$B$6*0.083*SQRT('Parametros'!$B$2)*(H142*I142)^2/(2*(H142+I142))/1000000</f>
        <v>3.38807353605471</v>
      </c>
      <c r="AU142" s="10" t="str">
        <f>IF(Q142&lt;=AT142,"DESPRECIABLE","DISEÑAR")</f>
        <v>DISEÑAR</v>
      </c>
      <c r="AV142" s="10">
        <f>IF(Q142&lt;=AT142,0,Q142*1000000/('Parametros'!$B$6*2*0.85*(H142-2*'Parametros'!$B$7)*(I142-2*'Parametros'!$B$7)*'Parametros'!$B$4))</f>
        <v>0.396297534165181</v>
      </c>
      <c r="AW142" s="10">
        <f>AV142*2*((H142-2*'Parametros'!$B$7)+(I142-2*'Parametros'!$B$7))*'Parametros'!$B$4/'Parametros'!$B$3</f>
        <v>428.001336898396</v>
      </c>
      <c r="AX142" s="17" t="n">
        <v>3</v>
      </c>
      <c r="AY142" s="10" t="str">
        <f>IF(AV142=0,"DESPRECIABLE",IF('Parametros'!$B$11/AP142&gt;=AV142,"CUMPLE","NO CUMPLE"))</f>
        <v>CUMPLE</v>
      </c>
      <c r="AZ142" s="10" t="str">
        <f>IF(AND(X142="CUMPLE",AE142="CUMPLE",AS142="CUMPLE",OR(AY142="CUMPLE",AY142="DESPRECIABLE")),IF(OR(F142&lt;&gt;H142,G142&lt;&gt;I142),"CUMPLE - REANALIZAR SAP","CUMPLE"),"NO CUMPLE")</f>
        <v>CUMPLE</v>
      </c>
    </row>
    <row r="143">
      <c r="A143" s="21" t="inlineStr">
        <is>
          <t>VC5</t>
        </is>
      </c>
      <c r="B143" s="21" t="inlineStr">
        <is>
          <t>824</t>
        </is>
      </c>
      <c r="C143" s="10" t="n">
        <v>1</v>
      </c>
      <c r="D143" s="10" t="n">
        <v>3.85</v>
      </c>
      <c r="E143" s="10" t="n">
        <v>3.85</v>
      </c>
      <c r="F143" s="10" t="n">
        <v>300</v>
      </c>
      <c r="G143" s="10" t="n">
        <v>400</v>
      </c>
      <c r="H143" s="15" t="n">
        <v>300</v>
      </c>
      <c r="I143" s="15" t="n">
        <v>400</v>
      </c>
      <c r="J143" s="16" t="n">
        <v>74.3954</v>
      </c>
      <c r="K143" s="10" t="inlineStr">
        <is>
          <t>824</t>
        </is>
      </c>
      <c r="L143" s="16" t="n">
        <v>58.8301</v>
      </c>
      <c r="M143" s="10" t="inlineStr">
        <is>
          <t>824</t>
        </is>
      </c>
      <c r="N143" s="16" t="n">
        <v>45.803</v>
      </c>
      <c r="O143" s="16" t="n">
        <v>182.121</v>
      </c>
      <c r="P143" s="10" t="inlineStr">
        <is>
          <t>824</t>
        </is>
      </c>
      <c r="Q143" s="16" t="n">
        <v>4.6956</v>
      </c>
      <c r="R143" s="10">
        <f>MAX(MAX(1.4/'Parametros'!$B$3,0.25*SQRT('Parametros'!$B$2)/'Parametros'!$B$3)*H143*U143,(0.85*'Parametros'!$B$2/'Parametros'!$B$3)*(1-SQRT(1-2*(J143*1000000/('Parametros'!$B$5*H143*U143^2))/(0.85*'Parametros'!$B$2)))*H143*U143)</f>
        <v>606.094448749873</v>
      </c>
      <c r="S143" s="17" t="n">
        <v>4</v>
      </c>
      <c r="T143" s="18" t="n">
        <v>1</v>
      </c>
      <c r="U143" s="10">
        <f>IF(T143=1,I143-('Parametros'!$B$7+'Parametros'!$B$9+'Parametros'!$B$12/2),I143-(ROUNDUP(S143/2,0)*('Parametros'!$B$7+'Parametros'!$B$9+'Parametros'!$B$12/2)+ROUNDDOWN(S143/2,0)*('Parametros'!$B$7+'Parametros'!$B$9+'Parametros'!$B$12/2+'Parametros'!$B$12+'Parametros'!$B$10))/S143)</f>
        <v>342.55</v>
      </c>
      <c r="V143" s="10">
        <f>S143*'Parametros'!$B$8</f>
        <v>796</v>
      </c>
      <c r="W143" s="10">
        <f>'Parametros'!$B$5*V143*'Parametros'!$B$3*(U143-(V143*'Parametros'!$B$3/(0.85*'Parametros'!$B$2*H143))/2)/1000000</f>
        <v>96.0248653411765</v>
      </c>
      <c r="X143" s="10" t="str">
        <f>IF(W143&gt;=J143,"CUMPLE","NO CUMPLE")</f>
        <v>CUMPLE</v>
      </c>
      <c r="Y143" s="10">
        <f>MAX(MAX(1.4/'Parametros'!$B$3,0.25*SQRT('Parametros'!$B$2)/'Parametros'!$B$3)*H143*AB143,(0.85*'Parametros'!$B$2/'Parametros'!$B$3)*(1-SQRT(1-2*(L143*1000000/('Parametros'!$B$5*H143*AB143^2))/(0.85*'Parametros'!$B$2)))*H143*AB143)</f>
        <v>473.601508135761</v>
      </c>
      <c r="Z143" s="17" t="n">
        <v>3</v>
      </c>
      <c r="AA143" s="18" t="n">
        <v>1</v>
      </c>
      <c r="AB143" s="10">
        <f>IF(AA143=1,I143-('Parametros'!$B$7+'Parametros'!$B$9+'Parametros'!$B$12/2),I143-(ROUNDUP(Z143/2,0)*('Parametros'!$B$7+'Parametros'!$B$9+'Parametros'!$B$12/2)+ROUNDDOWN(Z143/2,0)*('Parametros'!$B$7+'Parametros'!$B$9+'Parametros'!$B$12/2+'Parametros'!$B$12+'Parametros'!$B$10))/Z143)</f>
        <v>342.55</v>
      </c>
      <c r="AC143" s="10">
        <f>Z143*'Parametros'!$B$8</f>
        <v>597</v>
      </c>
      <c r="AD143" s="10">
        <f>'Parametros'!$B$5*AC143*'Parametros'!$B$3*(AB143-(AC143*'Parametros'!$B$3/(0.85*'Parametros'!$B$2*H143))/2)/1000000</f>
        <v>73.3394588294118</v>
      </c>
      <c r="AE143" s="10" t="str">
        <f>IF(AD143&gt;=L143,"CUMPLE","NO CUMPLE")</f>
        <v>CUMPLE</v>
      </c>
      <c r="AF143" s="10">
        <f>V143*1.25*'Parametros'!$B$3*(U143-(V143*1.25*'Parametros'!$B$3/(0.85*'Parametros'!$B$2*H143))/2)/1000000</f>
        <v>130.921924411765</v>
      </c>
      <c r="AG143" s="10">
        <f>AC143*1.25*'Parametros'!$B$3*(AB143-(AC143*1.25*'Parametros'!$B$3/(0.85*'Parametros'!$B$2*H143))/2)/1000000</f>
        <v>100.484515919118</v>
      </c>
      <c r="AH143" s="10">
        <f>N143+(AF143+AG143)/D143</f>
        <v>105.908568917112</v>
      </c>
      <c r="AI143" s="10">
        <f>MIN(O143,MAX(N143,AH143))</f>
        <v>105.908568917112</v>
      </c>
      <c r="AJ143" s="10">
        <f>0.17*SQRT('Parametros'!$B$2)*H143*MIN(U143,AB143)/1000</f>
        <v>92.4428153837279</v>
      </c>
      <c r="AK143" s="10">
        <f>MAX(AI143/'Parametros'!$B$6-AJ143,0)</f>
        <v>48.7686098390885</v>
      </c>
      <c r="AL143" s="10">
        <f>0.66*SQRT('Parametros'!$B$2)*H143*MIN(U143,AB143)/1000</f>
        <v>358.89563619565</v>
      </c>
      <c r="AM143" s="10" t="str">
        <f>IF(AK143&lt;=AL143,"CUMPLE","NO CUMPLE")</f>
        <v>CUMPLE</v>
      </c>
      <c r="AN143" s="15" t="inlineStr">
        <is>
          <t>Nº3 cerrado</t>
        </is>
      </c>
      <c r="AO143" s="17" t="n">
        <v>2</v>
      </c>
      <c r="AP143" s="10">
        <f>ROUNDDOWN(MIN(IF(AK143=0,1000000000,AO143*'Parametros'!$B$11*'Parametros'!$B$4*MIN(U143,AB143)/(AK143*1000)),IF(AV143=0,1000000000,'Parametros'!$B$11/AV143),MIN(U143,AB143)/4,8*'Parametros'!$B$12,24*'Parametros'!$B$9,300)/10,0)*10</f>
        <v>80</v>
      </c>
      <c r="AQ143" s="10">
        <f>ROUNDDOWN(MIN(IF(AK143=0,1000000000,AO143*'Parametros'!$B$11*'Parametros'!$B$4*MIN(U143,AB143)/(AK143*1000)),IF(AV143=0,1000000000,'Parametros'!$B$11/AV143),MIN(U143,AB143)/2,600)/10,0)*10</f>
        <v>170</v>
      </c>
      <c r="AR143" s="10">
        <f>'Parametros'!$B$6*(AJ143+AO143*'Parametros'!$B$11*'Parametros'!$B$4*MIN(U143,AB143)/AP143/1000)</f>
        <v>260.860380287796</v>
      </c>
      <c r="AS143" s="10" t="str">
        <f>IF(AND(AM143="CUMPLE",AR143&gt;=AI143),"CUMPLE","NO CUMPLE")</f>
        <v>CUMPLE</v>
      </c>
      <c r="AT143" s="10">
        <f>'Parametros'!$B$6*0.083*SQRT('Parametros'!$B$2)*(H143*I143)^2/(2*(H143+I143))/1000000</f>
        <v>3.38807353605471</v>
      </c>
      <c r="AU143" s="10" t="str">
        <f>IF(Q143&lt;=AT143,"DESPRECIABLE","DISEÑAR")</f>
        <v>DISEÑAR</v>
      </c>
      <c r="AV143" s="10">
        <f>IF(Q143&lt;=AT143,0,Q143*1000000/('Parametros'!$B$6*2*0.85*(H143-2*'Parametros'!$B$7)*(I143-2*'Parametros'!$B$7)*'Parametros'!$B$4))</f>
        <v>0.124554367201426</v>
      </c>
      <c r="AW143" s="10">
        <f>AV143*2*((H143-2*'Parametros'!$B$7)+(I143-2*'Parametros'!$B$7))*'Parametros'!$B$4/'Parametros'!$B$3</f>
        <v>134.51871657754</v>
      </c>
      <c r="AX143" s="17" t="n">
        <v>1</v>
      </c>
      <c r="AY143" s="10" t="str">
        <f>IF(AV143=0,"DESPRECIABLE",IF('Parametros'!$B$11/AP143&gt;=AV143,"CUMPLE","NO CUMPLE"))</f>
        <v>CUMPLE</v>
      </c>
      <c r="AZ143" s="10" t="str">
        <f>IF(AND(X143="CUMPLE",AE143="CUMPLE",AS143="CUMPLE",OR(AY143="CUMPLE",AY143="DESPRECIABLE")),IF(OR(F143&lt;&gt;H143,G143&lt;&gt;I143),"CUMPLE - REANALIZAR SAP","CUMPLE"),"NO CUMPLE")</f>
        <v>CUMPLE</v>
      </c>
    </row>
    <row r="144">
      <c r="A144" s="21" t="inlineStr">
        <is>
          <t>VC5</t>
        </is>
      </c>
      <c r="B144" s="21" t="inlineStr">
        <is>
          <t>841</t>
        </is>
      </c>
      <c r="C144" s="10" t="n">
        <v>1</v>
      </c>
      <c r="D144" s="10" t="n">
        <v>3.85</v>
      </c>
      <c r="E144" s="10" t="n">
        <v>3.85</v>
      </c>
      <c r="F144" s="10" t="n">
        <v>300</v>
      </c>
      <c r="G144" s="10" t="n">
        <v>400</v>
      </c>
      <c r="H144" s="15" t="n">
        <v>300</v>
      </c>
      <c r="I144" s="15" t="n">
        <v>400</v>
      </c>
      <c r="J144" s="16" t="n">
        <v>74.3952</v>
      </c>
      <c r="K144" s="10" t="inlineStr">
        <is>
          <t>841</t>
        </is>
      </c>
      <c r="L144" s="16" t="n">
        <v>58.839</v>
      </c>
      <c r="M144" s="10" t="inlineStr">
        <is>
          <t>841</t>
        </is>
      </c>
      <c r="N144" s="16" t="n">
        <v>45.794</v>
      </c>
      <c r="O144" s="16" t="n">
        <v>182.124</v>
      </c>
      <c r="P144" s="10" t="inlineStr">
        <is>
          <t>841</t>
        </is>
      </c>
      <c r="Q144" s="16" t="n">
        <v>4.6899</v>
      </c>
      <c r="R144" s="10">
        <f>MAX(MAX(1.4/'Parametros'!$B$3,0.25*SQRT('Parametros'!$B$2)/'Parametros'!$B$3)*H144*U144,(0.85*'Parametros'!$B$2/'Parametros'!$B$3)*(1-SQRT(1-2*(J144*1000000/('Parametros'!$B$5*H144*U144^2))/(0.85*'Parametros'!$B$2)))*H144*U144)</f>
        <v>606.092724719409</v>
      </c>
      <c r="S144" s="17" t="n">
        <v>4</v>
      </c>
      <c r="T144" s="18" t="n">
        <v>1</v>
      </c>
      <c r="U144" s="10">
        <f>IF(T144=1,I144-('Parametros'!$B$7+'Parametros'!$B$9+'Parametros'!$B$12/2),I144-(ROUNDUP(S144/2,0)*('Parametros'!$B$7+'Parametros'!$B$9+'Parametros'!$B$12/2)+ROUNDDOWN(S144/2,0)*('Parametros'!$B$7+'Parametros'!$B$9+'Parametros'!$B$12/2+'Parametros'!$B$12+'Parametros'!$B$10))/S144)</f>
        <v>342.55</v>
      </c>
      <c r="V144" s="10">
        <f>S144*'Parametros'!$B$8</f>
        <v>796</v>
      </c>
      <c r="W144" s="10">
        <f>'Parametros'!$B$5*V144*'Parametros'!$B$3*(U144-(V144*'Parametros'!$B$3/(0.85*'Parametros'!$B$2*H144))/2)/1000000</f>
        <v>96.0248653411765</v>
      </c>
      <c r="X144" s="10" t="str">
        <f>IF(W144&gt;=J144,"CUMPLE","NO CUMPLE")</f>
        <v>CUMPLE</v>
      </c>
      <c r="Y144" s="10">
        <f>MAX(MAX(1.4/'Parametros'!$B$3,0.25*SQRT('Parametros'!$B$2)/'Parametros'!$B$3)*H144*AB144,(0.85*'Parametros'!$B$2/'Parametros'!$B$3)*(1-SQRT(1-2*(L144*1000000/('Parametros'!$B$5*H144*AB144^2))/(0.85*'Parametros'!$B$2)))*H144*AB144)</f>
        <v>473.676327980073</v>
      </c>
      <c r="Z144" s="17" t="n">
        <v>3</v>
      </c>
      <c r="AA144" s="18" t="n">
        <v>1</v>
      </c>
      <c r="AB144" s="10">
        <f>IF(AA144=1,I144-('Parametros'!$B$7+'Parametros'!$B$9+'Parametros'!$B$12/2),I144-(ROUNDUP(Z144/2,0)*('Parametros'!$B$7+'Parametros'!$B$9+'Parametros'!$B$12/2)+ROUNDDOWN(Z144/2,0)*('Parametros'!$B$7+'Parametros'!$B$9+'Parametros'!$B$12/2+'Parametros'!$B$12+'Parametros'!$B$10))/Z144)</f>
        <v>342.55</v>
      </c>
      <c r="AC144" s="10">
        <f>Z144*'Parametros'!$B$8</f>
        <v>597</v>
      </c>
      <c r="AD144" s="10">
        <f>'Parametros'!$B$5*AC144*'Parametros'!$B$3*(AB144-(AC144*'Parametros'!$B$3/(0.85*'Parametros'!$B$2*H144))/2)/1000000</f>
        <v>73.3394588294118</v>
      </c>
      <c r="AE144" s="10" t="str">
        <f>IF(AD144&gt;=L144,"CUMPLE","NO CUMPLE")</f>
        <v>CUMPLE</v>
      </c>
      <c r="AF144" s="10">
        <f>V144*1.25*'Parametros'!$B$3*(U144-(V144*1.25*'Parametros'!$B$3/(0.85*'Parametros'!$B$2*H144))/2)/1000000</f>
        <v>130.921924411765</v>
      </c>
      <c r="AG144" s="10">
        <f>AC144*1.25*'Parametros'!$B$3*(AB144-(AC144*1.25*'Parametros'!$B$3/(0.85*'Parametros'!$B$2*H144))/2)/1000000</f>
        <v>100.484515919118</v>
      </c>
      <c r="AH144" s="10">
        <f>N144+(AF144+AG144)/D144</f>
        <v>105.899568917112</v>
      </c>
      <c r="AI144" s="10">
        <f>MIN(O144,MAX(N144,AH144))</f>
        <v>105.899568917112</v>
      </c>
      <c r="AJ144" s="10">
        <f>0.17*SQRT('Parametros'!$B$2)*H144*MIN(U144,AB144)/1000</f>
        <v>92.4428153837279</v>
      </c>
      <c r="AK144" s="10">
        <f>MAX(AI144/'Parametros'!$B$6-AJ144,0)</f>
        <v>48.7566098390885</v>
      </c>
      <c r="AL144" s="10">
        <f>0.66*SQRT('Parametros'!$B$2)*H144*MIN(U144,AB144)/1000</f>
        <v>358.89563619565</v>
      </c>
      <c r="AM144" s="10" t="str">
        <f>IF(AK144&lt;=AL144,"CUMPLE","NO CUMPLE")</f>
        <v>CUMPLE</v>
      </c>
      <c r="AN144" s="15" t="inlineStr">
        <is>
          <t>Nº3 cerrado</t>
        </is>
      </c>
      <c r="AO144" s="17" t="n">
        <v>2</v>
      </c>
      <c r="AP144" s="10">
        <f>ROUNDDOWN(MIN(IF(AK144=0,1000000000,AO144*'Parametros'!$B$11*'Parametros'!$B$4*MIN(U144,AB144)/(AK144*1000)),IF(AV144=0,1000000000,'Parametros'!$B$11/AV144),MIN(U144,AB144)/4,8*'Parametros'!$B$12,24*'Parametros'!$B$9,300)/10,0)*10</f>
        <v>80</v>
      </c>
      <c r="AQ144" s="10">
        <f>ROUNDDOWN(MIN(IF(AK144=0,1000000000,AO144*'Parametros'!$B$11*'Parametros'!$B$4*MIN(U144,AB144)/(AK144*1000)),IF(AV144=0,1000000000,'Parametros'!$B$11/AV144),MIN(U144,AB144)/2,600)/10,0)*10</f>
        <v>170</v>
      </c>
      <c r="AR144" s="10">
        <f>'Parametros'!$B$6*(AJ144+AO144*'Parametros'!$B$11*'Parametros'!$B$4*MIN(U144,AB144)/AP144/1000)</f>
        <v>260.860380287796</v>
      </c>
      <c r="AS144" s="10" t="str">
        <f>IF(AND(AM144="CUMPLE",AR144&gt;=AI144),"CUMPLE","NO CUMPLE")</f>
        <v>CUMPLE</v>
      </c>
      <c r="AT144" s="10">
        <f>'Parametros'!$B$6*0.083*SQRT('Parametros'!$B$2)*(H144*I144)^2/(2*(H144+I144))/1000000</f>
        <v>3.38807353605471</v>
      </c>
      <c r="AU144" s="10" t="str">
        <f>IF(Q144&lt;=AT144,"DESPRECIABLE","DISEÑAR")</f>
        <v>DISEÑAR</v>
      </c>
      <c r="AV144" s="10">
        <f>IF(Q144&lt;=AT144,0,Q144*1000000/('Parametros'!$B$6*2*0.85*(H144-2*'Parametros'!$B$7)*(I144-2*'Parametros'!$B$7)*'Parametros'!$B$4))</f>
        <v>0.124403170359053</v>
      </c>
      <c r="AW144" s="10">
        <f>AV144*2*((H144-2*'Parametros'!$B$7)+(I144-2*'Parametros'!$B$7))*'Parametros'!$B$4/'Parametros'!$B$3</f>
        <v>134.355423987777</v>
      </c>
      <c r="AX144" s="17" t="n">
        <v>1</v>
      </c>
      <c r="AY144" s="10" t="str">
        <f>IF(AV144=0,"DESPRECIABLE",IF('Parametros'!$B$11/AP144&gt;=AV144,"CUMPLE","NO CUMPLE"))</f>
        <v>CUMPLE</v>
      </c>
      <c r="AZ144" s="10" t="str">
        <f>IF(AND(X144="CUMPLE",AE144="CUMPLE",AS144="CUMPLE",OR(AY144="CUMPLE",AY144="DESPRECIABLE")),IF(OR(F144&lt;&gt;H144,G144&lt;&gt;I144),"CUMPLE - REANALIZAR SAP","CUMPLE"),"NO CUMPLE")</f>
        <v>CUMPLE</v>
      </c>
    </row>
    <row r="145">
      <c r="A145" s="21" t="inlineStr">
        <is>
          <t>VC5</t>
        </is>
      </c>
      <c r="B145" s="21" t="inlineStr">
        <is>
          <t>842</t>
        </is>
      </c>
      <c r="C145" s="10" t="n">
        <v>1</v>
      </c>
      <c r="D145" s="10" t="n">
        <v>3.9</v>
      </c>
      <c r="E145" s="10" t="n">
        <v>3.9</v>
      </c>
      <c r="F145" s="10" t="n">
        <v>300</v>
      </c>
      <c r="G145" s="10" t="n">
        <v>400</v>
      </c>
      <c r="H145" s="15" t="n">
        <v>300</v>
      </c>
      <c r="I145" s="15" t="n">
        <v>400</v>
      </c>
      <c r="J145" s="16" t="n">
        <v>103.0615</v>
      </c>
      <c r="K145" s="10" t="inlineStr">
        <is>
          <t>842</t>
        </is>
      </c>
      <c r="L145" s="16" t="n">
        <v>52.1399</v>
      </c>
      <c r="M145" s="10" t="inlineStr">
        <is>
          <t>842</t>
        </is>
      </c>
      <c r="N145" s="16" t="n">
        <v>81.874</v>
      </c>
      <c r="O145" s="16" t="n">
        <v>227.112</v>
      </c>
      <c r="P145" s="10" t="inlineStr">
        <is>
          <t>842</t>
        </is>
      </c>
      <c r="Q145" s="16" t="n">
        <v>14.9319</v>
      </c>
      <c r="R145" s="10">
        <f>MAX(MAX(1.4/'Parametros'!$B$3,0.25*SQRT('Parametros'!$B$2)/'Parametros'!$B$3)*H145*U145,(0.85*'Parametros'!$B$2/'Parametros'!$B$3)*(1-SQRT(1-2*(J145*1000000/('Parametros'!$B$5*H145*U145^2))/(0.85*'Parametros'!$B$2)))*H145*U145)</f>
        <v>859.347259074288</v>
      </c>
      <c r="S145" s="17" t="n">
        <v>5</v>
      </c>
      <c r="T145" s="18" t="n">
        <v>1</v>
      </c>
      <c r="U145" s="10">
        <f>IF(T145=1,I145-('Parametros'!$B$7+'Parametros'!$B$9+'Parametros'!$B$12/2),I145-(ROUNDUP(S145/2,0)*('Parametros'!$B$7+'Parametros'!$B$9+'Parametros'!$B$12/2)+ROUNDDOWN(S145/2,0)*('Parametros'!$B$7+'Parametros'!$B$9+'Parametros'!$B$12/2+'Parametros'!$B$12+'Parametros'!$B$10))/S145)</f>
        <v>342.55</v>
      </c>
      <c r="V145" s="10">
        <f>S145*'Parametros'!$B$8</f>
        <v>995</v>
      </c>
      <c r="W145" s="10">
        <f>'Parametros'!$B$5*V145*'Parametros'!$B$3*(U145-(V145*'Parametros'!$B$3/(0.85*'Parametros'!$B$2*H145))/2)/1000000</f>
        <v>117.829731970588</v>
      </c>
      <c r="X145" s="10" t="str">
        <f>IF(W145&gt;=J145,"CUMPLE","NO CUMPLE")</f>
        <v>CUMPLE</v>
      </c>
      <c r="Y145" s="10">
        <f>MAX(MAX(1.4/'Parametros'!$B$3,0.25*SQRT('Parametros'!$B$2)/'Parametros'!$B$3)*H145*AB145,(0.85*'Parametros'!$B$2/'Parametros'!$B$3)*(1-SQRT(1-2*(L145*1000000/('Parametros'!$B$5*H145*AB145^2))/(0.85*'Parametros'!$B$2)))*H145*AB145)</f>
        <v>417.651807595274</v>
      </c>
      <c r="Z145" s="17" t="n">
        <v>3</v>
      </c>
      <c r="AA145" s="18" t="n">
        <v>1</v>
      </c>
      <c r="AB145" s="10">
        <f>IF(AA145=1,I145-('Parametros'!$B$7+'Parametros'!$B$9+'Parametros'!$B$12/2),I145-(ROUNDUP(Z145/2,0)*('Parametros'!$B$7+'Parametros'!$B$9+'Parametros'!$B$12/2)+ROUNDDOWN(Z145/2,0)*('Parametros'!$B$7+'Parametros'!$B$9+'Parametros'!$B$12/2+'Parametros'!$B$12+'Parametros'!$B$10))/Z145)</f>
        <v>342.55</v>
      </c>
      <c r="AC145" s="10">
        <f>Z145*'Parametros'!$B$8</f>
        <v>597</v>
      </c>
      <c r="AD145" s="10">
        <f>'Parametros'!$B$5*AC145*'Parametros'!$B$3*(AB145-(AC145*'Parametros'!$B$3/(0.85*'Parametros'!$B$2*H145))/2)/1000000</f>
        <v>73.3394588294118</v>
      </c>
      <c r="AE145" s="10" t="str">
        <f>IF(AD145&gt;=L145,"CUMPLE","NO CUMPLE")</f>
        <v>CUMPLE</v>
      </c>
      <c r="AF145" s="10">
        <f>V145*1.25*'Parametros'!$B$3*(U145-(V145*1.25*'Parametros'!$B$3/(0.85*'Parametros'!$B$2*H145))/2)/1000000</f>
        <v>159.830617830882</v>
      </c>
      <c r="AG145" s="10">
        <f>AC145*1.25*'Parametros'!$B$3*(AB145-(AC145*1.25*'Parametros'!$B$3/(0.85*'Parametros'!$B$2*H145))/2)/1000000</f>
        <v>100.484515919118</v>
      </c>
      <c r="AH145" s="10">
        <f>N145+(AF145+AG145)/D145</f>
        <v>148.621470192308</v>
      </c>
      <c r="AI145" s="10">
        <f>MIN(O145,MAX(N145,AH145))</f>
        <v>148.621470192308</v>
      </c>
      <c r="AJ145" s="10">
        <f>0.17*SQRT('Parametros'!$B$2)*H145*MIN(U145,AB145)/1000</f>
        <v>92.4428153837279</v>
      </c>
      <c r="AK145" s="10">
        <f>MAX(AI145/'Parametros'!$B$6-AJ145,0)</f>
        <v>105.719144872682</v>
      </c>
      <c r="AL145" s="10">
        <f>0.66*SQRT('Parametros'!$B$2)*H145*MIN(U145,AB145)/1000</f>
        <v>358.89563619565</v>
      </c>
      <c r="AM145" s="10" t="str">
        <f>IF(AK145&lt;=AL145,"CUMPLE","NO CUMPLE")</f>
        <v>CUMPLE</v>
      </c>
      <c r="AN145" s="15" t="inlineStr">
        <is>
          <t>Nº3 cerrado</t>
        </is>
      </c>
      <c r="AO145" s="17" t="n">
        <v>2</v>
      </c>
      <c r="AP145" s="10">
        <f>ROUNDDOWN(MIN(IF(AK145=0,1000000000,AO145*'Parametros'!$B$11*'Parametros'!$B$4*MIN(U145,AB145)/(AK145*1000)),IF(AV145=0,1000000000,'Parametros'!$B$11/AV145),MIN(U145,AB145)/4,8*'Parametros'!$B$12,24*'Parametros'!$B$9,300)/10,0)*10</f>
        <v>80</v>
      </c>
      <c r="AQ145" s="10">
        <f>ROUNDDOWN(MIN(IF(AK145=0,1000000000,AO145*'Parametros'!$B$11*'Parametros'!$B$4*MIN(U145,AB145)/(AK145*1000)),IF(AV145=0,1000000000,'Parametros'!$B$11/AV145),MIN(U145,AB145)/2,600)/10,0)*10</f>
        <v>170</v>
      </c>
      <c r="AR145" s="10">
        <f>'Parametros'!$B$6*(AJ145+AO145*'Parametros'!$B$11*'Parametros'!$B$4*MIN(U145,AB145)/AP145/1000)</f>
        <v>260.860380287796</v>
      </c>
      <c r="AS145" s="10" t="str">
        <f>IF(AND(AM145="CUMPLE",AR145&gt;=AI145),"CUMPLE","NO CUMPLE")</f>
        <v>CUMPLE</v>
      </c>
      <c r="AT145" s="10">
        <f>'Parametros'!$B$6*0.083*SQRT('Parametros'!$B$2)*(H145*I145)^2/(2*(H145+I145))/1000000</f>
        <v>3.38807353605471</v>
      </c>
      <c r="AU145" s="10" t="str">
        <f>IF(Q145&lt;=AT145,"DESPRECIABLE","DISEÑAR")</f>
        <v>DISEÑAR</v>
      </c>
      <c r="AV145" s="10">
        <f>IF(Q145&lt;=AT145,0,Q145*1000000/('Parametros'!$B$6*2*0.85*(H145-2*'Parametros'!$B$7)*(I145-2*'Parametros'!$B$7)*'Parametros'!$B$4))</f>
        <v>0.396080022918258</v>
      </c>
      <c r="AW145" s="10">
        <f>AV145*2*((H145-2*'Parametros'!$B$7)+(I145-2*'Parametros'!$B$7))*'Parametros'!$B$4/'Parametros'!$B$3</f>
        <v>427.766424751719</v>
      </c>
      <c r="AX145" s="17" t="n">
        <v>3</v>
      </c>
      <c r="AY145" s="10" t="str">
        <f>IF(AV145=0,"DESPRECIABLE",IF('Parametros'!$B$11/AP145&gt;=AV145,"CUMPLE","NO CUMPLE"))</f>
        <v>CUMPLE</v>
      </c>
      <c r="AZ145" s="10" t="str">
        <f>IF(AND(X145="CUMPLE",AE145="CUMPLE",AS145="CUMPLE",OR(AY145="CUMPLE",AY145="DESPRECIABLE")),IF(OR(F145&lt;&gt;H145,G145&lt;&gt;I145),"CUMPLE - REANALIZAR SAP","CUMPLE"),"NO CUMPLE")</f>
        <v>CUMPLE</v>
      </c>
    </row>
    <row r="146">
      <c r="A146" s="21" t="inlineStr">
        <is>
          <t>VC5</t>
        </is>
      </c>
      <c r="B146" s="21" t="inlineStr">
        <is>
          <t>843</t>
        </is>
      </c>
      <c r="C146" s="10" t="n">
        <v>1</v>
      </c>
      <c r="D146" s="10" t="n">
        <v>3.9</v>
      </c>
      <c r="E146" s="10" t="n">
        <v>3.9</v>
      </c>
      <c r="F146" s="10" t="n">
        <v>300</v>
      </c>
      <c r="G146" s="10" t="n">
        <v>400</v>
      </c>
      <c r="H146" s="15" t="n">
        <v>300</v>
      </c>
      <c r="I146" s="15" t="n">
        <v>400</v>
      </c>
      <c r="J146" s="16" t="n">
        <v>102.9607</v>
      </c>
      <c r="K146" s="10" t="inlineStr">
        <is>
          <t>843</t>
        </is>
      </c>
      <c r="L146" s="16" t="n">
        <v>52.1646</v>
      </c>
      <c r="M146" s="10" t="inlineStr">
        <is>
          <t>843</t>
        </is>
      </c>
      <c r="N146" s="16" t="n">
        <v>81.777</v>
      </c>
      <c r="O146" s="16" t="n">
        <v>226.977</v>
      </c>
      <c r="P146" s="10" t="inlineStr">
        <is>
          <t>843</t>
        </is>
      </c>
      <c r="Q146" s="16" t="n">
        <v>14.8784</v>
      </c>
      <c r="R146" s="10">
        <f>MAX(MAX(1.4/'Parametros'!$B$3,0.25*SQRT('Parametros'!$B$2)/'Parametros'!$B$3)*H146*U146,(0.85*'Parametros'!$B$2/'Parametros'!$B$3)*(1-SQRT(1-2*(J146*1000000/('Parametros'!$B$5*H146*U146^2))/(0.85*'Parametros'!$B$2)))*H146*U146)</f>
        <v>858.43410155976</v>
      </c>
      <c r="S146" s="17" t="n">
        <v>5</v>
      </c>
      <c r="T146" s="18" t="n">
        <v>1</v>
      </c>
      <c r="U146" s="10">
        <f>IF(T146=1,I146-('Parametros'!$B$7+'Parametros'!$B$9+'Parametros'!$B$12/2),I146-(ROUNDUP(S146/2,0)*('Parametros'!$B$7+'Parametros'!$B$9+'Parametros'!$B$12/2)+ROUNDDOWN(S146/2,0)*('Parametros'!$B$7+'Parametros'!$B$9+'Parametros'!$B$12/2+'Parametros'!$B$12+'Parametros'!$B$10))/S146)</f>
        <v>342.55</v>
      </c>
      <c r="V146" s="10">
        <f>S146*'Parametros'!$B$8</f>
        <v>995</v>
      </c>
      <c r="W146" s="10">
        <f>'Parametros'!$B$5*V146*'Parametros'!$B$3*(U146-(V146*'Parametros'!$B$3/(0.85*'Parametros'!$B$2*H146))/2)/1000000</f>
        <v>117.829731970588</v>
      </c>
      <c r="X146" s="10" t="str">
        <f>IF(W146&gt;=J146,"CUMPLE","NO CUMPLE")</f>
        <v>CUMPLE</v>
      </c>
      <c r="Y146" s="10">
        <f>MAX(MAX(1.4/'Parametros'!$B$3,0.25*SQRT('Parametros'!$B$2)/'Parametros'!$B$3)*H146*AB146,(0.85*'Parametros'!$B$2/'Parametros'!$B$3)*(1-SQRT(1-2*(L146*1000000/('Parametros'!$B$5*H146*AB146^2))/(0.85*'Parametros'!$B$2)))*H146*AB146)</f>
        <v>417.857306984309</v>
      </c>
      <c r="Z146" s="17" t="n">
        <v>3</v>
      </c>
      <c r="AA146" s="18" t="n">
        <v>1</v>
      </c>
      <c r="AB146" s="10">
        <f>IF(AA146=1,I146-('Parametros'!$B$7+'Parametros'!$B$9+'Parametros'!$B$12/2),I146-(ROUNDUP(Z146/2,0)*('Parametros'!$B$7+'Parametros'!$B$9+'Parametros'!$B$12/2)+ROUNDDOWN(Z146/2,0)*('Parametros'!$B$7+'Parametros'!$B$9+'Parametros'!$B$12/2+'Parametros'!$B$12+'Parametros'!$B$10))/Z146)</f>
        <v>342.55</v>
      </c>
      <c r="AC146" s="10">
        <f>Z146*'Parametros'!$B$8</f>
        <v>597</v>
      </c>
      <c r="AD146" s="10">
        <f>'Parametros'!$B$5*AC146*'Parametros'!$B$3*(AB146-(AC146*'Parametros'!$B$3/(0.85*'Parametros'!$B$2*H146))/2)/1000000</f>
        <v>73.3394588294118</v>
      </c>
      <c r="AE146" s="10" t="str">
        <f>IF(AD146&gt;=L146,"CUMPLE","NO CUMPLE")</f>
        <v>CUMPLE</v>
      </c>
      <c r="AF146" s="10">
        <f>V146*1.25*'Parametros'!$B$3*(U146-(V146*1.25*'Parametros'!$B$3/(0.85*'Parametros'!$B$2*H146))/2)/1000000</f>
        <v>159.830617830882</v>
      </c>
      <c r="AG146" s="10">
        <f>AC146*1.25*'Parametros'!$B$3*(AB146-(AC146*1.25*'Parametros'!$B$3/(0.85*'Parametros'!$B$2*H146))/2)/1000000</f>
        <v>100.484515919118</v>
      </c>
      <c r="AH146" s="10">
        <f>N146+(AF146+AG146)/D146</f>
        <v>148.524470192308</v>
      </c>
      <c r="AI146" s="10">
        <f>MIN(O146,MAX(N146,AH146))</f>
        <v>148.524470192308</v>
      </c>
      <c r="AJ146" s="10">
        <f>0.17*SQRT('Parametros'!$B$2)*H146*MIN(U146,AB146)/1000</f>
        <v>92.4428153837279</v>
      </c>
      <c r="AK146" s="10">
        <f>MAX(AI146/'Parametros'!$B$6-AJ146,0)</f>
        <v>105.589811539349</v>
      </c>
      <c r="AL146" s="10">
        <f>0.66*SQRT('Parametros'!$B$2)*H146*MIN(U146,AB146)/1000</f>
        <v>358.89563619565</v>
      </c>
      <c r="AM146" s="10" t="str">
        <f>IF(AK146&lt;=AL146,"CUMPLE","NO CUMPLE")</f>
        <v>CUMPLE</v>
      </c>
      <c r="AN146" s="15" t="inlineStr">
        <is>
          <t>Nº3 cerrado</t>
        </is>
      </c>
      <c r="AO146" s="17" t="n">
        <v>2</v>
      </c>
      <c r="AP146" s="10">
        <f>ROUNDDOWN(MIN(IF(AK146=0,1000000000,AO146*'Parametros'!$B$11*'Parametros'!$B$4*MIN(U146,AB146)/(AK146*1000)),IF(AV146=0,1000000000,'Parametros'!$B$11/AV146),MIN(U146,AB146)/4,8*'Parametros'!$B$12,24*'Parametros'!$B$9,300)/10,0)*10</f>
        <v>80</v>
      </c>
      <c r="AQ146" s="10">
        <f>ROUNDDOWN(MIN(IF(AK146=0,1000000000,AO146*'Parametros'!$B$11*'Parametros'!$B$4*MIN(U146,AB146)/(AK146*1000)),IF(AV146=0,1000000000,'Parametros'!$B$11/AV146),MIN(U146,AB146)/2,600)/10,0)*10</f>
        <v>170</v>
      </c>
      <c r="AR146" s="10">
        <f>'Parametros'!$B$6*(AJ146+AO146*'Parametros'!$B$11*'Parametros'!$B$4*MIN(U146,AB146)/AP146/1000)</f>
        <v>260.860380287796</v>
      </c>
      <c r="AS146" s="10" t="str">
        <f>IF(AND(AM146="CUMPLE",AR146&gt;=AI146),"CUMPLE","NO CUMPLE")</f>
        <v>CUMPLE</v>
      </c>
      <c r="AT146" s="10">
        <f>'Parametros'!$B$6*0.083*SQRT('Parametros'!$B$2)*(H146*I146)^2/(2*(H146+I146))/1000000</f>
        <v>3.38807353605471</v>
      </c>
      <c r="AU146" s="10" t="str">
        <f>IF(Q146&lt;=AT146,"DESPRECIABLE","DISEÑAR")</f>
        <v>DISEÑAR</v>
      </c>
      <c r="AV146" s="10">
        <f>IF(Q146&lt;=AT146,0,Q146*1000000/('Parametros'!$B$6*2*0.85*(H146-2*'Parametros'!$B$7)*(I146-2*'Parametros'!$B$7)*'Parametros'!$B$4))</f>
        <v>0.394660894660895</v>
      </c>
      <c r="AW146" s="10">
        <f>AV146*2*((H146-2*'Parametros'!$B$7)+(I146-2*'Parametros'!$B$7))*'Parametros'!$B$4/'Parametros'!$B$3</f>
        <v>426.233766233766</v>
      </c>
      <c r="AX146" s="17" t="n">
        <v>3</v>
      </c>
      <c r="AY146" s="10" t="str">
        <f>IF(AV146=0,"DESPRECIABLE",IF('Parametros'!$B$11/AP146&gt;=AV146,"CUMPLE","NO CUMPLE"))</f>
        <v>CUMPLE</v>
      </c>
      <c r="AZ146" s="10" t="str">
        <f>IF(AND(X146="CUMPLE",AE146="CUMPLE",AS146="CUMPLE",OR(AY146="CUMPLE",AY146="DESPRECIABLE")),IF(OR(F146&lt;&gt;H146,G146&lt;&gt;I146),"CUMPLE - REANALIZAR SAP","CUMPLE"),"NO CUMPLE")</f>
        <v>CUMPLE</v>
      </c>
    </row>
    <row r="147">
      <c r="A147" s="21" t="inlineStr">
        <is>
          <t>VC5</t>
        </is>
      </c>
      <c r="B147" s="21" t="inlineStr">
        <is>
          <t>844</t>
        </is>
      </c>
      <c r="C147" s="10" t="n">
        <v>1</v>
      </c>
      <c r="D147" s="10" t="n">
        <v>3.85</v>
      </c>
      <c r="E147" s="10" t="n">
        <v>3.85</v>
      </c>
      <c r="F147" s="10" t="n">
        <v>300</v>
      </c>
      <c r="G147" s="10" t="n">
        <v>400</v>
      </c>
      <c r="H147" s="15" t="n">
        <v>300</v>
      </c>
      <c r="I147" s="15" t="n">
        <v>400</v>
      </c>
      <c r="J147" s="16" t="n">
        <v>74.4132</v>
      </c>
      <c r="K147" s="10" t="inlineStr">
        <is>
          <t>844</t>
        </is>
      </c>
      <c r="L147" s="16" t="n">
        <v>58.8499</v>
      </c>
      <c r="M147" s="10" t="inlineStr">
        <is>
          <t>844</t>
        </is>
      </c>
      <c r="N147" s="16" t="n">
        <v>45.784</v>
      </c>
      <c r="O147" s="16" t="n">
        <v>182.134</v>
      </c>
      <c r="P147" s="10" t="inlineStr">
        <is>
          <t>844</t>
        </is>
      </c>
      <c r="Q147" s="16" t="n">
        <v>4.6895</v>
      </c>
      <c r="R147" s="10">
        <f>MAX(MAX(1.4/'Parametros'!$B$3,0.25*SQRT('Parametros'!$B$2)/'Parametros'!$B$3)*H147*U147,(0.85*'Parametros'!$B$2/'Parametros'!$B$3)*(1-SQRT(1-2*(J147*1000000/('Parametros'!$B$5*H147*U147^2))/(0.85*'Parametros'!$B$2)))*H147*U147)</f>
        <v>606.247889742889</v>
      </c>
      <c r="S147" s="17" t="n">
        <v>4</v>
      </c>
      <c r="T147" s="18" t="n">
        <v>1</v>
      </c>
      <c r="U147" s="10">
        <f>IF(T147=1,I147-('Parametros'!$B$7+'Parametros'!$B$9+'Parametros'!$B$12/2),I147-(ROUNDUP(S147/2,0)*('Parametros'!$B$7+'Parametros'!$B$9+'Parametros'!$B$12/2)+ROUNDDOWN(S147/2,0)*('Parametros'!$B$7+'Parametros'!$B$9+'Parametros'!$B$12/2+'Parametros'!$B$12+'Parametros'!$B$10))/S147)</f>
        <v>342.55</v>
      </c>
      <c r="V147" s="10">
        <f>S147*'Parametros'!$B$8</f>
        <v>796</v>
      </c>
      <c r="W147" s="10">
        <f>'Parametros'!$B$5*V147*'Parametros'!$B$3*(U147-(V147*'Parametros'!$B$3/(0.85*'Parametros'!$B$2*H147))/2)/1000000</f>
        <v>96.0248653411765</v>
      </c>
      <c r="X147" s="10" t="str">
        <f>IF(W147&gt;=J147,"CUMPLE","NO CUMPLE")</f>
        <v>CUMPLE</v>
      </c>
      <c r="Y147" s="10">
        <f>MAX(MAX(1.4/'Parametros'!$B$3,0.25*SQRT('Parametros'!$B$2)/'Parametros'!$B$3)*H147*AB147,(0.85*'Parametros'!$B$2/'Parametros'!$B$3)*(1-SQRT(1-2*(L147*1000000/('Parametros'!$B$5*H147*AB147^2))/(0.85*'Parametros'!$B$2)))*H147*AB147)</f>
        <v>473.767962698137</v>
      </c>
      <c r="Z147" s="17" t="n">
        <v>3</v>
      </c>
      <c r="AA147" s="18" t="n">
        <v>1</v>
      </c>
      <c r="AB147" s="10">
        <f>IF(AA147=1,I147-('Parametros'!$B$7+'Parametros'!$B$9+'Parametros'!$B$12/2),I147-(ROUNDUP(Z147/2,0)*('Parametros'!$B$7+'Parametros'!$B$9+'Parametros'!$B$12/2)+ROUNDDOWN(Z147/2,0)*('Parametros'!$B$7+'Parametros'!$B$9+'Parametros'!$B$12/2+'Parametros'!$B$12+'Parametros'!$B$10))/Z147)</f>
        <v>342.55</v>
      </c>
      <c r="AC147" s="10">
        <f>Z147*'Parametros'!$B$8</f>
        <v>597</v>
      </c>
      <c r="AD147" s="10">
        <f>'Parametros'!$B$5*AC147*'Parametros'!$B$3*(AB147-(AC147*'Parametros'!$B$3/(0.85*'Parametros'!$B$2*H147))/2)/1000000</f>
        <v>73.3394588294118</v>
      </c>
      <c r="AE147" s="10" t="str">
        <f>IF(AD147&gt;=L147,"CUMPLE","NO CUMPLE")</f>
        <v>CUMPLE</v>
      </c>
      <c r="AF147" s="10">
        <f>V147*1.25*'Parametros'!$B$3*(U147-(V147*1.25*'Parametros'!$B$3/(0.85*'Parametros'!$B$2*H147))/2)/1000000</f>
        <v>130.921924411765</v>
      </c>
      <c r="AG147" s="10">
        <f>AC147*1.25*'Parametros'!$B$3*(AB147-(AC147*1.25*'Parametros'!$B$3/(0.85*'Parametros'!$B$2*H147))/2)/1000000</f>
        <v>100.484515919118</v>
      </c>
      <c r="AH147" s="10">
        <f>N147+(AF147+AG147)/D147</f>
        <v>105.889568917112</v>
      </c>
      <c r="AI147" s="10">
        <f>MIN(O147,MAX(N147,AH147))</f>
        <v>105.889568917112</v>
      </c>
      <c r="AJ147" s="10">
        <f>0.17*SQRT('Parametros'!$B$2)*H147*MIN(U147,AB147)/1000</f>
        <v>92.4428153837279</v>
      </c>
      <c r="AK147" s="10">
        <f>MAX(AI147/'Parametros'!$B$6-AJ147,0)</f>
        <v>48.7432765057551</v>
      </c>
      <c r="AL147" s="10">
        <f>0.66*SQRT('Parametros'!$B$2)*H147*MIN(U147,AB147)/1000</f>
        <v>358.89563619565</v>
      </c>
      <c r="AM147" s="10" t="str">
        <f>IF(AK147&lt;=AL147,"CUMPLE","NO CUMPLE")</f>
        <v>CUMPLE</v>
      </c>
      <c r="AN147" s="15" t="inlineStr">
        <is>
          <t>Nº3 cerrado</t>
        </is>
      </c>
      <c r="AO147" s="17" t="n">
        <v>2</v>
      </c>
      <c r="AP147" s="10">
        <f>ROUNDDOWN(MIN(IF(AK147=0,1000000000,AO147*'Parametros'!$B$11*'Parametros'!$B$4*MIN(U147,AB147)/(AK147*1000)),IF(AV147=0,1000000000,'Parametros'!$B$11/AV147),MIN(U147,AB147)/4,8*'Parametros'!$B$12,24*'Parametros'!$B$9,300)/10,0)*10</f>
        <v>80</v>
      </c>
      <c r="AQ147" s="10">
        <f>ROUNDDOWN(MIN(IF(AK147=0,1000000000,AO147*'Parametros'!$B$11*'Parametros'!$B$4*MIN(U147,AB147)/(AK147*1000)),IF(AV147=0,1000000000,'Parametros'!$B$11/AV147),MIN(U147,AB147)/2,600)/10,0)*10</f>
        <v>170</v>
      </c>
      <c r="AR147" s="10">
        <f>'Parametros'!$B$6*(AJ147+AO147*'Parametros'!$B$11*'Parametros'!$B$4*MIN(U147,AB147)/AP147/1000)</f>
        <v>260.860380287796</v>
      </c>
      <c r="AS147" s="10" t="str">
        <f>IF(AND(AM147="CUMPLE",AR147&gt;=AI147),"CUMPLE","NO CUMPLE")</f>
        <v>CUMPLE</v>
      </c>
      <c r="AT147" s="10">
        <f>'Parametros'!$B$6*0.083*SQRT('Parametros'!$B$2)*(H147*I147)^2/(2*(H147+I147))/1000000</f>
        <v>3.38807353605471</v>
      </c>
      <c r="AU147" s="10" t="str">
        <f>IF(Q147&lt;=AT147,"DESPRECIABLE","DISEÑAR")</f>
        <v>DISEÑAR</v>
      </c>
      <c r="AV147" s="10">
        <f>IF(Q147&lt;=AT147,0,Q147*1000000/('Parametros'!$B$6*2*0.85*(H147-2*'Parametros'!$B$7)*(I147-2*'Parametros'!$B$7)*'Parametros'!$B$4))</f>
        <v>0.124392560054325</v>
      </c>
      <c r="AW147" s="10">
        <f>AV147*2*((H147-2*'Parametros'!$B$7)+(I147-2*'Parametros'!$B$7))*'Parametros'!$B$4/'Parametros'!$B$3</f>
        <v>134.343964858671</v>
      </c>
      <c r="AX147" s="17" t="n">
        <v>1</v>
      </c>
      <c r="AY147" s="10" t="str">
        <f>IF(AV147=0,"DESPRECIABLE",IF('Parametros'!$B$11/AP147&gt;=AV147,"CUMPLE","NO CUMPLE"))</f>
        <v>CUMPLE</v>
      </c>
      <c r="AZ147" s="10" t="str">
        <f>IF(AND(X147="CUMPLE",AE147="CUMPLE",AS147="CUMPLE",OR(AY147="CUMPLE",AY147="DESPRECIABLE")),IF(OR(F147&lt;&gt;H147,G147&lt;&gt;I147),"CUMPLE - REANALIZAR SAP","CUMPLE"),"NO CUMPLE")</f>
        <v>CUMPLE</v>
      </c>
    </row>
    <row r="148">
      <c r="A148" s="21" t="inlineStr">
        <is>
          <t>VC5</t>
        </is>
      </c>
      <c r="B148" s="21" t="inlineStr">
        <is>
          <t>915</t>
        </is>
      </c>
      <c r="C148" s="10" t="n">
        <v>1</v>
      </c>
      <c r="D148" s="10" t="n">
        <v>3.85</v>
      </c>
      <c r="E148" s="10" t="n">
        <v>3.85</v>
      </c>
      <c r="F148" s="10" t="n">
        <v>300</v>
      </c>
      <c r="G148" s="10" t="n">
        <v>400</v>
      </c>
      <c r="H148" s="15" t="n">
        <v>300</v>
      </c>
      <c r="I148" s="15" t="n">
        <v>400</v>
      </c>
      <c r="J148" s="16" t="n">
        <v>51.9873</v>
      </c>
      <c r="K148" s="10" t="inlineStr">
        <is>
          <t>915</t>
        </is>
      </c>
      <c r="L148" s="16" t="n">
        <v>36.8897</v>
      </c>
      <c r="M148" s="10" t="inlineStr">
        <is>
          <t>915</t>
        </is>
      </c>
      <c r="N148" s="16" t="n">
        <v>34.627</v>
      </c>
      <c r="O148" s="16" t="n">
        <v>123.981</v>
      </c>
      <c r="P148" s="10" t="inlineStr">
        <is>
          <t>915</t>
        </is>
      </c>
      <c r="Q148" s="16" t="n">
        <v>3.264</v>
      </c>
      <c r="R148" s="10">
        <f>MAX(MAX(1.4/'Parametros'!$B$3,0.25*SQRT('Parametros'!$B$2)/'Parametros'!$B$3)*H148*U148,(0.85*'Parametros'!$B$2/'Parametros'!$B$3)*(1-SQRT(1-2*(J148*1000000/('Parametros'!$B$5*H148*U148^2))/(0.85*'Parametros'!$B$2)))*H148*U148)</f>
        <v>416.38237726601</v>
      </c>
      <c r="S148" s="17" t="n">
        <v>3</v>
      </c>
      <c r="T148" s="18" t="n">
        <v>1</v>
      </c>
      <c r="U148" s="10">
        <f>IF(T148=1,I148-('Parametros'!$B$7+'Parametros'!$B$9+'Parametros'!$B$12/2),I148-(ROUNDUP(S148/2,0)*('Parametros'!$B$7+'Parametros'!$B$9+'Parametros'!$B$12/2)+ROUNDDOWN(S148/2,0)*('Parametros'!$B$7+'Parametros'!$B$9+'Parametros'!$B$12/2+'Parametros'!$B$12+'Parametros'!$B$10))/S148)</f>
        <v>342.55</v>
      </c>
      <c r="V148" s="10">
        <f>S148*'Parametros'!$B$8</f>
        <v>597</v>
      </c>
      <c r="W148" s="10">
        <f>'Parametros'!$B$5*V148*'Parametros'!$B$3*(U148-(V148*'Parametros'!$B$3/(0.85*'Parametros'!$B$2*H148))/2)/1000000</f>
        <v>73.3394588294118</v>
      </c>
      <c r="X148" s="10" t="str">
        <f>IF(W148&gt;=J148,"CUMPLE","NO CUMPLE")</f>
        <v>CUMPLE</v>
      </c>
      <c r="Y148" s="10">
        <f>MAX(MAX(1.4/'Parametros'!$B$3,0.25*SQRT('Parametros'!$B$2)/'Parametros'!$B$3)*H148*AB148,(0.85*'Parametros'!$B$2/'Parametros'!$B$3)*(1-SQRT(1-2*(L148*1000000/('Parametros'!$B$5*H148*AB148^2))/(0.85*'Parametros'!$B$2)))*H148*AB148)</f>
        <v>342.55</v>
      </c>
      <c r="Z148" s="17" t="n">
        <v>2</v>
      </c>
      <c r="AA148" s="18" t="n">
        <v>1</v>
      </c>
      <c r="AB148" s="10">
        <f>IF(AA148=1,I148-('Parametros'!$B$7+'Parametros'!$B$9+'Parametros'!$B$12/2),I148-(ROUNDUP(Z148/2,0)*('Parametros'!$B$7+'Parametros'!$B$9+'Parametros'!$B$12/2)+ROUNDDOWN(Z148/2,0)*('Parametros'!$B$7+'Parametros'!$B$9+'Parametros'!$B$12/2+'Parametros'!$B$12+'Parametros'!$B$10))/Z148)</f>
        <v>342.55</v>
      </c>
      <c r="AC148" s="10">
        <f>Z148*'Parametros'!$B$8</f>
        <v>398</v>
      </c>
      <c r="AD148" s="10">
        <f>'Parametros'!$B$5*AC148*'Parametros'!$B$3*(AB148-(AC148*'Parametros'!$B$3/(0.85*'Parametros'!$B$2*H148))/2)/1000000</f>
        <v>49.7735124352941</v>
      </c>
      <c r="AE148" s="10" t="str">
        <f>IF(AD148&gt;=L148,"CUMPLE","NO CUMPLE")</f>
        <v>CUMPLE</v>
      </c>
      <c r="AF148" s="10">
        <f>V148*1.25*'Parametros'!$B$3*(U148-(V148*1.25*'Parametros'!$B$3/(0.85*'Parametros'!$B$2*H148))/2)/1000000</f>
        <v>100.484515919118</v>
      </c>
      <c r="AG148" s="10">
        <f>AC148*1.25*'Parametros'!$B$3*(AB148-(AC148*1.25*'Parametros'!$B$3/(0.85*'Parametros'!$B$2*H148))/2)/1000000</f>
        <v>68.5183923529412</v>
      </c>
      <c r="AH148" s="10">
        <f>N148+(AF148+AG148)/D148</f>
        <v>78.5238592914439</v>
      </c>
      <c r="AI148" s="10">
        <f>MIN(O148,MAX(N148,AH148))</f>
        <v>78.5238592914439</v>
      </c>
      <c r="AJ148" s="10">
        <f>0.17*SQRT('Parametros'!$B$2)*H148*MIN(U148,AB148)/1000</f>
        <v>92.4428153837279</v>
      </c>
      <c r="AK148" s="10">
        <f>MAX(AI148/'Parametros'!$B$6-AJ148,0)</f>
        <v>12.2556636715306</v>
      </c>
      <c r="AL148" s="10">
        <f>0.66*SQRT('Parametros'!$B$2)*H148*MIN(U148,AB148)/1000</f>
        <v>358.89563619565</v>
      </c>
      <c r="AM148" s="10" t="str">
        <f>IF(AK148&lt;=AL148,"CUMPLE","NO CUMPLE")</f>
        <v>CUMPLE</v>
      </c>
      <c r="AN148" s="15" t="inlineStr">
        <is>
          <t>Nº3 cerrado</t>
        </is>
      </c>
      <c r="AO148" s="17" t="n">
        <v>2</v>
      </c>
      <c r="AP148" s="10">
        <f>ROUNDDOWN(MIN(IF(AK148=0,1000000000,AO148*'Parametros'!$B$11*'Parametros'!$B$4*MIN(U148,AB148)/(AK148*1000)),IF(AV148=0,1000000000,'Parametros'!$B$11/AV148),MIN(U148,AB148)/4,8*'Parametros'!$B$12,24*'Parametros'!$B$9,300)/10,0)*10</f>
        <v>80</v>
      </c>
      <c r="AQ148" s="10">
        <f>ROUNDDOWN(MIN(IF(AK148=0,1000000000,AO148*'Parametros'!$B$11*'Parametros'!$B$4*MIN(U148,AB148)/(AK148*1000)),IF(AV148=0,1000000000,'Parametros'!$B$11/AV148),MIN(U148,AB148)/2,600)/10,0)*10</f>
        <v>170</v>
      </c>
      <c r="AR148" s="10">
        <f>'Parametros'!$B$6*(AJ148+AO148*'Parametros'!$B$11*'Parametros'!$B$4*MIN(U148,AB148)/AP148/1000)</f>
        <v>260.860380287796</v>
      </c>
      <c r="AS148" s="10" t="str">
        <f>IF(AND(AM148="CUMPLE",AR148&gt;=AI148),"CUMPLE","NO CUMPLE")</f>
        <v>CUMPLE</v>
      </c>
      <c r="AT148" s="10">
        <f>'Parametros'!$B$6*0.083*SQRT('Parametros'!$B$2)*(H148*I148)^2/(2*(H148+I148))/1000000</f>
        <v>3.38807353605471</v>
      </c>
      <c r="AU148" s="10" t="str">
        <f>IF(Q148&lt;=AT148,"DESPRECIABLE","DISEÑAR")</f>
        <v>DESPRECIABLE</v>
      </c>
      <c r="AV148" s="10">
        <f>IF(Q148&lt;=AT148,0,Q148*1000000/('Parametros'!$B$6*2*0.85*(H148-2*'Parametros'!$B$7)*(I148-2*'Parametros'!$B$7)*'Parametros'!$B$4))</f>
        <v>0</v>
      </c>
      <c r="AW148" s="10">
        <f>AV148*2*((H148-2*'Parametros'!$B$7)+(I148-2*'Parametros'!$B$7))*'Parametros'!$B$4/'Parametros'!$B$3</f>
        <v>0</v>
      </c>
      <c r="AX148" s="17" t="n">
        <v>0</v>
      </c>
      <c r="AY148" s="10" t="str">
        <f>IF(AV148=0,"DESPRECIABLE",IF('Parametros'!$B$11/AP148&gt;=AV148,"CUMPLE","NO CUMPLE"))</f>
        <v>DESPRECIABLE</v>
      </c>
      <c r="AZ148" s="10" t="str">
        <f>IF(AND(X148="CUMPLE",AE148="CUMPLE",AS148="CUMPLE",OR(AY148="CUMPLE",AY148="DESPRECIABLE")),IF(OR(F148&lt;&gt;H148,G148&lt;&gt;I148),"CUMPLE - REANALIZAR SAP","CUMPLE"),"NO CUMPLE")</f>
        <v>CUMPLE</v>
      </c>
    </row>
    <row r="149">
      <c r="A149" s="21" t="inlineStr">
        <is>
          <t>VC5</t>
        </is>
      </c>
      <c r="B149" s="21" t="inlineStr">
        <is>
          <t>916</t>
        </is>
      </c>
      <c r="C149" s="10" t="n">
        <v>1</v>
      </c>
      <c r="D149" s="10" t="n">
        <v>3.9</v>
      </c>
      <c r="E149" s="10" t="n">
        <v>3.9</v>
      </c>
      <c r="F149" s="10" t="n">
        <v>300</v>
      </c>
      <c r="G149" s="10" t="n">
        <v>400</v>
      </c>
      <c r="H149" s="15" t="n">
        <v>300</v>
      </c>
      <c r="I149" s="15" t="n">
        <v>400</v>
      </c>
      <c r="J149" s="16" t="n">
        <v>83.1645</v>
      </c>
      <c r="K149" s="10" t="inlineStr">
        <is>
          <t>916</t>
        </is>
      </c>
      <c r="L149" s="16" t="n">
        <v>32.2713</v>
      </c>
      <c r="M149" s="10" t="inlineStr">
        <is>
          <t>916</t>
        </is>
      </c>
      <c r="N149" s="16" t="n">
        <v>70.84999999999999</v>
      </c>
      <c r="O149" s="16" t="n">
        <v>168.87</v>
      </c>
      <c r="P149" s="10" t="inlineStr">
        <is>
          <t>916</t>
        </is>
      </c>
      <c r="Q149" s="16" t="n">
        <v>10.5726</v>
      </c>
      <c r="R149" s="10">
        <f>MAX(MAX(1.4/'Parametros'!$B$3,0.25*SQRT('Parametros'!$B$2)/'Parametros'!$B$3)*H149*U149,(0.85*'Parametros'!$B$2/'Parametros'!$B$3)*(1-SQRT(1-2*(J149*1000000/('Parametros'!$B$5*H149*U149^2))/(0.85*'Parametros'!$B$2)))*H149*U149)</f>
        <v>682.241125389851</v>
      </c>
      <c r="S149" s="17" t="n">
        <v>4</v>
      </c>
      <c r="T149" s="18" t="n">
        <v>1</v>
      </c>
      <c r="U149" s="10">
        <f>IF(T149=1,I149-('Parametros'!$B$7+'Parametros'!$B$9+'Parametros'!$B$12/2),I149-(ROUNDUP(S149/2,0)*('Parametros'!$B$7+'Parametros'!$B$9+'Parametros'!$B$12/2)+ROUNDDOWN(S149/2,0)*('Parametros'!$B$7+'Parametros'!$B$9+'Parametros'!$B$12/2+'Parametros'!$B$12+'Parametros'!$B$10))/S149)</f>
        <v>342.55</v>
      </c>
      <c r="V149" s="10">
        <f>S149*'Parametros'!$B$8</f>
        <v>796</v>
      </c>
      <c r="W149" s="10">
        <f>'Parametros'!$B$5*V149*'Parametros'!$B$3*(U149-(V149*'Parametros'!$B$3/(0.85*'Parametros'!$B$2*H149))/2)/1000000</f>
        <v>96.0248653411765</v>
      </c>
      <c r="X149" s="10" t="str">
        <f>IF(W149&gt;=J149,"CUMPLE","NO CUMPLE")</f>
        <v>CUMPLE</v>
      </c>
      <c r="Y149" s="10">
        <f>MAX(MAX(1.4/'Parametros'!$B$3,0.25*SQRT('Parametros'!$B$2)/'Parametros'!$B$3)*H149*AB149,(0.85*'Parametros'!$B$2/'Parametros'!$B$3)*(1-SQRT(1-2*(L149*1000000/('Parametros'!$B$5*H149*AB149^2))/(0.85*'Parametros'!$B$2)))*H149*AB149)</f>
        <v>342.55</v>
      </c>
      <c r="Z149" s="17" t="n">
        <v>2</v>
      </c>
      <c r="AA149" s="18" t="n">
        <v>1</v>
      </c>
      <c r="AB149" s="10">
        <f>IF(AA149=1,I149-('Parametros'!$B$7+'Parametros'!$B$9+'Parametros'!$B$12/2),I149-(ROUNDUP(Z149/2,0)*('Parametros'!$B$7+'Parametros'!$B$9+'Parametros'!$B$12/2)+ROUNDDOWN(Z149/2,0)*('Parametros'!$B$7+'Parametros'!$B$9+'Parametros'!$B$12/2+'Parametros'!$B$12+'Parametros'!$B$10))/Z149)</f>
        <v>342.55</v>
      </c>
      <c r="AC149" s="10">
        <f>Z149*'Parametros'!$B$8</f>
        <v>398</v>
      </c>
      <c r="AD149" s="10">
        <f>'Parametros'!$B$5*AC149*'Parametros'!$B$3*(AB149-(AC149*'Parametros'!$B$3/(0.85*'Parametros'!$B$2*H149))/2)/1000000</f>
        <v>49.7735124352941</v>
      </c>
      <c r="AE149" s="10" t="str">
        <f>IF(AD149&gt;=L149,"CUMPLE","NO CUMPLE")</f>
        <v>CUMPLE</v>
      </c>
      <c r="AF149" s="10">
        <f>V149*1.25*'Parametros'!$B$3*(U149-(V149*1.25*'Parametros'!$B$3/(0.85*'Parametros'!$B$2*H149))/2)/1000000</f>
        <v>130.921924411765</v>
      </c>
      <c r="AG149" s="10">
        <f>AC149*1.25*'Parametros'!$B$3*(AB149-(AC149*1.25*'Parametros'!$B$3/(0.85*'Parametros'!$B$2*H149))/2)/1000000</f>
        <v>68.5183923529412</v>
      </c>
      <c r="AH149" s="10">
        <f>N149+(AF149+AG149)/D149</f>
        <v>121.988542760181</v>
      </c>
      <c r="AI149" s="10">
        <f>MIN(O149,MAX(N149,AH149))</f>
        <v>121.988542760181</v>
      </c>
      <c r="AJ149" s="10">
        <f>0.17*SQRT('Parametros'!$B$2)*H149*MIN(U149,AB149)/1000</f>
        <v>92.4428153837279</v>
      </c>
      <c r="AK149" s="10">
        <f>MAX(AI149/'Parametros'!$B$6-AJ149,0)</f>
        <v>70.2085749631801</v>
      </c>
      <c r="AL149" s="10">
        <f>0.66*SQRT('Parametros'!$B$2)*H149*MIN(U149,AB149)/1000</f>
        <v>358.89563619565</v>
      </c>
      <c r="AM149" s="10" t="str">
        <f>IF(AK149&lt;=AL149,"CUMPLE","NO CUMPLE")</f>
        <v>CUMPLE</v>
      </c>
      <c r="AN149" s="15" t="inlineStr">
        <is>
          <t>Nº3 cerrado</t>
        </is>
      </c>
      <c r="AO149" s="17" t="n">
        <v>2</v>
      </c>
      <c r="AP149" s="10">
        <f>ROUNDDOWN(MIN(IF(AK149=0,1000000000,AO149*'Parametros'!$B$11*'Parametros'!$B$4*MIN(U149,AB149)/(AK149*1000)),IF(AV149=0,1000000000,'Parametros'!$B$11/AV149),MIN(U149,AB149)/4,8*'Parametros'!$B$12,24*'Parametros'!$B$9,300)/10,0)*10</f>
        <v>80</v>
      </c>
      <c r="AQ149" s="10">
        <f>ROUNDDOWN(MIN(IF(AK149=0,1000000000,AO149*'Parametros'!$B$11*'Parametros'!$B$4*MIN(U149,AB149)/(AK149*1000)),IF(AV149=0,1000000000,'Parametros'!$B$11/AV149),MIN(U149,AB149)/2,600)/10,0)*10</f>
        <v>170</v>
      </c>
      <c r="AR149" s="10">
        <f>'Parametros'!$B$6*(AJ149+AO149*'Parametros'!$B$11*'Parametros'!$B$4*MIN(U149,AB149)/AP149/1000)</f>
        <v>260.860380287796</v>
      </c>
      <c r="AS149" s="10" t="str">
        <f>IF(AND(AM149="CUMPLE",AR149&gt;=AI149),"CUMPLE","NO CUMPLE")</f>
        <v>CUMPLE</v>
      </c>
      <c r="AT149" s="10">
        <f>'Parametros'!$B$6*0.083*SQRT('Parametros'!$B$2)*(H149*I149)^2/(2*(H149+I149))/1000000</f>
        <v>3.38807353605471</v>
      </c>
      <c r="AU149" s="10" t="str">
        <f>IF(Q149&lt;=AT149,"DESPRECIABLE","DISEÑAR")</f>
        <v>DISEÑAR</v>
      </c>
      <c r="AV149" s="10">
        <f>IF(Q149&lt;=AT149,0,Q149*1000000/('Parametros'!$B$6*2*0.85*(H149-2*'Parametros'!$B$7)*(I149-2*'Parametros'!$B$7)*'Parametros'!$B$4))</f>
        <v>0.280446269416858</v>
      </c>
      <c r="AW149" s="10">
        <f>AV149*2*((H149-2*'Parametros'!$B$7)+(I149-2*'Parametros'!$B$7))*'Parametros'!$B$4/'Parametros'!$B$3</f>
        <v>302.881970970206</v>
      </c>
      <c r="AX149" s="17" t="n">
        <v>2</v>
      </c>
      <c r="AY149" s="10" t="str">
        <f>IF(AV149=0,"DESPRECIABLE",IF('Parametros'!$B$11/AP149&gt;=AV149,"CUMPLE","NO CUMPLE"))</f>
        <v>CUMPLE</v>
      </c>
      <c r="AZ149" s="10" t="str">
        <f>IF(AND(X149="CUMPLE",AE149="CUMPLE",AS149="CUMPLE",OR(AY149="CUMPLE",AY149="DESPRECIABLE")),IF(OR(F149&lt;&gt;H149,G149&lt;&gt;I149),"CUMPLE - REANALIZAR SAP","CUMPLE"),"NO CUMPLE")</f>
        <v>CUMPLE</v>
      </c>
    </row>
    <row r="150">
      <c r="A150" s="21" t="inlineStr">
        <is>
          <t>VC5</t>
        </is>
      </c>
      <c r="B150" s="21" t="inlineStr">
        <is>
          <t>917</t>
        </is>
      </c>
      <c r="C150" s="10" t="n">
        <v>1</v>
      </c>
      <c r="D150" s="10" t="n">
        <v>3.9</v>
      </c>
      <c r="E150" s="10" t="n">
        <v>3.9</v>
      </c>
      <c r="F150" s="10" t="n">
        <v>300</v>
      </c>
      <c r="G150" s="10" t="n">
        <v>400</v>
      </c>
      <c r="H150" s="15" t="n">
        <v>300</v>
      </c>
      <c r="I150" s="15" t="n">
        <v>400</v>
      </c>
      <c r="J150" s="16" t="n">
        <v>83.25830000000001</v>
      </c>
      <c r="K150" s="10" t="inlineStr">
        <is>
          <t>917</t>
        </is>
      </c>
      <c r="L150" s="16" t="n">
        <v>32.2503</v>
      </c>
      <c r="M150" s="10" t="inlineStr">
        <is>
          <t>917</t>
        </is>
      </c>
      <c r="N150" s="16" t="n">
        <v>70.919</v>
      </c>
      <c r="O150" s="16" t="n">
        <v>168.968</v>
      </c>
      <c r="P150" s="10" t="inlineStr">
        <is>
          <t>917</t>
        </is>
      </c>
      <c r="Q150" s="16" t="n">
        <v>10.5855</v>
      </c>
      <c r="R150" s="10">
        <f>MAX(MAX(1.4/'Parametros'!$B$3,0.25*SQRT('Parametros'!$B$2)/'Parametros'!$B$3)*H150*U150,(0.85*'Parametros'!$B$2/'Parametros'!$B$3)*(1-SQRT(1-2*(J150*1000000/('Parametros'!$B$5*H150*U150^2))/(0.85*'Parametros'!$B$2)))*H150*U150)</f>
        <v>683.061737309064</v>
      </c>
      <c r="S150" s="17" t="n">
        <v>4</v>
      </c>
      <c r="T150" s="18" t="n">
        <v>1</v>
      </c>
      <c r="U150" s="10">
        <f>IF(T150=1,I150-('Parametros'!$B$7+'Parametros'!$B$9+'Parametros'!$B$12/2),I150-(ROUNDUP(S150/2,0)*('Parametros'!$B$7+'Parametros'!$B$9+'Parametros'!$B$12/2)+ROUNDDOWN(S150/2,0)*('Parametros'!$B$7+'Parametros'!$B$9+'Parametros'!$B$12/2+'Parametros'!$B$12+'Parametros'!$B$10))/S150)</f>
        <v>342.55</v>
      </c>
      <c r="V150" s="10">
        <f>S150*'Parametros'!$B$8</f>
        <v>796</v>
      </c>
      <c r="W150" s="10">
        <f>'Parametros'!$B$5*V150*'Parametros'!$B$3*(U150-(V150*'Parametros'!$B$3/(0.85*'Parametros'!$B$2*H150))/2)/1000000</f>
        <v>96.0248653411765</v>
      </c>
      <c r="X150" s="10" t="str">
        <f>IF(W150&gt;=J150,"CUMPLE","NO CUMPLE")</f>
        <v>CUMPLE</v>
      </c>
      <c r="Y150" s="10">
        <f>MAX(MAX(1.4/'Parametros'!$B$3,0.25*SQRT('Parametros'!$B$2)/'Parametros'!$B$3)*H150*AB150,(0.85*'Parametros'!$B$2/'Parametros'!$B$3)*(1-SQRT(1-2*(L150*1000000/('Parametros'!$B$5*H150*AB150^2))/(0.85*'Parametros'!$B$2)))*H150*AB150)</f>
        <v>342.55</v>
      </c>
      <c r="Z150" s="17" t="n">
        <v>2</v>
      </c>
      <c r="AA150" s="18" t="n">
        <v>1</v>
      </c>
      <c r="AB150" s="10">
        <f>IF(AA150=1,I150-('Parametros'!$B$7+'Parametros'!$B$9+'Parametros'!$B$12/2),I150-(ROUNDUP(Z150/2,0)*('Parametros'!$B$7+'Parametros'!$B$9+'Parametros'!$B$12/2)+ROUNDDOWN(Z150/2,0)*('Parametros'!$B$7+'Parametros'!$B$9+'Parametros'!$B$12/2+'Parametros'!$B$12+'Parametros'!$B$10))/Z150)</f>
        <v>342.55</v>
      </c>
      <c r="AC150" s="10">
        <f>Z150*'Parametros'!$B$8</f>
        <v>398</v>
      </c>
      <c r="AD150" s="10">
        <f>'Parametros'!$B$5*AC150*'Parametros'!$B$3*(AB150-(AC150*'Parametros'!$B$3/(0.85*'Parametros'!$B$2*H150))/2)/1000000</f>
        <v>49.7735124352941</v>
      </c>
      <c r="AE150" s="10" t="str">
        <f>IF(AD150&gt;=L150,"CUMPLE","NO CUMPLE")</f>
        <v>CUMPLE</v>
      </c>
      <c r="AF150" s="10">
        <f>V150*1.25*'Parametros'!$B$3*(U150-(V150*1.25*'Parametros'!$B$3/(0.85*'Parametros'!$B$2*H150))/2)/1000000</f>
        <v>130.921924411765</v>
      </c>
      <c r="AG150" s="10">
        <f>AC150*1.25*'Parametros'!$B$3*(AB150-(AC150*1.25*'Parametros'!$B$3/(0.85*'Parametros'!$B$2*H150))/2)/1000000</f>
        <v>68.5183923529412</v>
      </c>
      <c r="AH150" s="10">
        <f>N150+(AF150+AG150)/D150</f>
        <v>122.057542760181</v>
      </c>
      <c r="AI150" s="10">
        <f>MIN(O150,MAX(N150,AH150))</f>
        <v>122.057542760181</v>
      </c>
      <c r="AJ150" s="10">
        <f>0.17*SQRT('Parametros'!$B$2)*H150*MIN(U150,AB150)/1000</f>
        <v>92.4428153837279</v>
      </c>
      <c r="AK150" s="10">
        <f>MAX(AI150/'Parametros'!$B$6-AJ150,0)</f>
        <v>70.3005749631801</v>
      </c>
      <c r="AL150" s="10">
        <f>0.66*SQRT('Parametros'!$B$2)*H150*MIN(U150,AB150)/1000</f>
        <v>358.89563619565</v>
      </c>
      <c r="AM150" s="10" t="str">
        <f>IF(AK150&lt;=AL150,"CUMPLE","NO CUMPLE")</f>
        <v>CUMPLE</v>
      </c>
      <c r="AN150" s="15" t="inlineStr">
        <is>
          <t>Nº3 cerrado</t>
        </is>
      </c>
      <c r="AO150" s="17" t="n">
        <v>2</v>
      </c>
      <c r="AP150" s="10">
        <f>ROUNDDOWN(MIN(IF(AK150=0,1000000000,AO150*'Parametros'!$B$11*'Parametros'!$B$4*MIN(U150,AB150)/(AK150*1000)),IF(AV150=0,1000000000,'Parametros'!$B$11/AV150),MIN(U150,AB150)/4,8*'Parametros'!$B$12,24*'Parametros'!$B$9,300)/10,0)*10</f>
        <v>80</v>
      </c>
      <c r="AQ150" s="10">
        <f>ROUNDDOWN(MIN(IF(AK150=0,1000000000,AO150*'Parametros'!$B$11*'Parametros'!$B$4*MIN(U150,AB150)/(AK150*1000)),IF(AV150=0,1000000000,'Parametros'!$B$11/AV150),MIN(U150,AB150)/2,600)/10,0)*10</f>
        <v>170</v>
      </c>
      <c r="AR150" s="10">
        <f>'Parametros'!$B$6*(AJ150+AO150*'Parametros'!$B$11*'Parametros'!$B$4*MIN(U150,AB150)/AP150/1000)</f>
        <v>260.860380287796</v>
      </c>
      <c r="AS150" s="10" t="str">
        <f>IF(AND(AM150="CUMPLE",AR150&gt;=AI150),"CUMPLE","NO CUMPLE")</f>
        <v>CUMPLE</v>
      </c>
      <c r="AT150" s="10">
        <f>'Parametros'!$B$6*0.083*SQRT('Parametros'!$B$2)*(H150*I150)^2/(2*(H150+I150))/1000000</f>
        <v>3.38807353605471</v>
      </c>
      <c r="AU150" s="10" t="str">
        <f>IF(Q150&lt;=AT150,"DESPRECIABLE","DISEÑAR")</f>
        <v>DISEÑAR</v>
      </c>
      <c r="AV150" s="10">
        <f>IF(Q150&lt;=AT150,0,Q150*1000000/('Parametros'!$B$6*2*0.85*(H150-2*'Parametros'!$B$7)*(I150-2*'Parametros'!$B$7)*'Parametros'!$B$4))</f>
        <v>0.280788451744334</v>
      </c>
      <c r="AW150" s="10">
        <f>AV150*2*((H150-2*'Parametros'!$B$7)+(I150-2*'Parametros'!$B$7))*'Parametros'!$B$4/'Parametros'!$B$3</f>
        <v>303.251527883881</v>
      </c>
      <c r="AX150" s="17" t="n">
        <v>2</v>
      </c>
      <c r="AY150" s="10" t="str">
        <f>IF(AV150=0,"DESPRECIABLE",IF('Parametros'!$B$11/AP150&gt;=AV150,"CUMPLE","NO CUMPLE"))</f>
        <v>CUMPLE</v>
      </c>
      <c r="AZ150" s="10" t="str">
        <f>IF(AND(X150="CUMPLE",AE150="CUMPLE",AS150="CUMPLE",OR(AY150="CUMPLE",AY150="DESPRECIABLE")),IF(OR(F150&lt;&gt;H150,G150&lt;&gt;I150),"CUMPLE - REANALIZAR SAP","CUMPLE"),"NO CUMPLE")</f>
        <v>CUMPLE</v>
      </c>
    </row>
    <row r="151">
      <c r="A151" s="21" t="inlineStr">
        <is>
          <t>VC5</t>
        </is>
      </c>
      <c r="B151" s="21" t="inlineStr">
        <is>
          <t>918</t>
        </is>
      </c>
      <c r="C151" s="10" t="n">
        <v>1</v>
      </c>
      <c r="D151" s="10" t="n">
        <v>3.85</v>
      </c>
      <c r="E151" s="10" t="n">
        <v>3.85</v>
      </c>
      <c r="F151" s="10" t="n">
        <v>300</v>
      </c>
      <c r="G151" s="10" t="n">
        <v>400</v>
      </c>
      <c r="H151" s="15" t="n">
        <v>300</v>
      </c>
      <c r="I151" s="15" t="n">
        <v>400</v>
      </c>
      <c r="J151" s="16" t="n">
        <v>52.0213</v>
      </c>
      <c r="K151" s="10" t="inlineStr">
        <is>
          <t>918</t>
        </is>
      </c>
      <c r="L151" s="16" t="n">
        <v>36.9081</v>
      </c>
      <c r="M151" s="10" t="inlineStr">
        <is>
          <t>918</t>
        </is>
      </c>
      <c r="N151" s="16" t="n">
        <v>34.644</v>
      </c>
      <c r="O151" s="16" t="n">
        <v>123.963</v>
      </c>
      <c r="P151" s="10" t="inlineStr">
        <is>
          <t>918</t>
        </is>
      </c>
      <c r="Q151" s="16" t="n">
        <v>3.2639</v>
      </c>
      <c r="R151" s="10">
        <f>MAX(MAX(1.4/'Parametros'!$B$3,0.25*SQRT('Parametros'!$B$2)/'Parametros'!$B$3)*H151*U151,(0.85*'Parametros'!$B$2/'Parametros'!$B$3)*(1-SQRT(1-2*(J151*1000000/('Parametros'!$B$5*H151*U151^2))/(0.85*'Parametros'!$B$2)))*H151*U151)</f>
        <v>416.665186527381</v>
      </c>
      <c r="S151" s="17" t="n">
        <v>3</v>
      </c>
      <c r="T151" s="18" t="n">
        <v>1</v>
      </c>
      <c r="U151" s="10">
        <f>IF(T151=1,I151-('Parametros'!$B$7+'Parametros'!$B$9+'Parametros'!$B$12/2),I151-(ROUNDUP(S151/2,0)*('Parametros'!$B$7+'Parametros'!$B$9+'Parametros'!$B$12/2)+ROUNDDOWN(S151/2,0)*('Parametros'!$B$7+'Parametros'!$B$9+'Parametros'!$B$12/2+'Parametros'!$B$12+'Parametros'!$B$10))/S151)</f>
        <v>342.55</v>
      </c>
      <c r="V151" s="10">
        <f>S151*'Parametros'!$B$8</f>
        <v>597</v>
      </c>
      <c r="W151" s="10">
        <f>'Parametros'!$B$5*V151*'Parametros'!$B$3*(U151-(V151*'Parametros'!$B$3/(0.85*'Parametros'!$B$2*H151))/2)/1000000</f>
        <v>73.3394588294118</v>
      </c>
      <c r="X151" s="10" t="str">
        <f>IF(W151&gt;=J151,"CUMPLE","NO CUMPLE")</f>
        <v>CUMPLE</v>
      </c>
      <c r="Y151" s="10">
        <f>MAX(MAX(1.4/'Parametros'!$B$3,0.25*SQRT('Parametros'!$B$2)/'Parametros'!$B$3)*H151*AB151,(0.85*'Parametros'!$B$2/'Parametros'!$B$3)*(1-SQRT(1-2*(L151*1000000/('Parametros'!$B$5*H151*AB151^2))/(0.85*'Parametros'!$B$2)))*H151*AB151)</f>
        <v>342.55</v>
      </c>
      <c r="Z151" s="17" t="n">
        <v>2</v>
      </c>
      <c r="AA151" s="18" t="n">
        <v>1</v>
      </c>
      <c r="AB151" s="10">
        <f>IF(AA151=1,I151-('Parametros'!$B$7+'Parametros'!$B$9+'Parametros'!$B$12/2),I151-(ROUNDUP(Z151/2,0)*('Parametros'!$B$7+'Parametros'!$B$9+'Parametros'!$B$12/2)+ROUNDDOWN(Z151/2,0)*('Parametros'!$B$7+'Parametros'!$B$9+'Parametros'!$B$12/2+'Parametros'!$B$12+'Parametros'!$B$10))/Z151)</f>
        <v>342.55</v>
      </c>
      <c r="AC151" s="10">
        <f>Z151*'Parametros'!$B$8</f>
        <v>398</v>
      </c>
      <c r="AD151" s="10">
        <f>'Parametros'!$B$5*AC151*'Parametros'!$B$3*(AB151-(AC151*'Parametros'!$B$3/(0.85*'Parametros'!$B$2*H151))/2)/1000000</f>
        <v>49.7735124352941</v>
      </c>
      <c r="AE151" s="10" t="str">
        <f>IF(AD151&gt;=L151,"CUMPLE","NO CUMPLE")</f>
        <v>CUMPLE</v>
      </c>
      <c r="AF151" s="10">
        <f>V151*1.25*'Parametros'!$B$3*(U151-(V151*1.25*'Parametros'!$B$3/(0.85*'Parametros'!$B$2*H151))/2)/1000000</f>
        <v>100.484515919118</v>
      </c>
      <c r="AG151" s="10">
        <f>AC151*1.25*'Parametros'!$B$3*(AB151-(AC151*1.25*'Parametros'!$B$3/(0.85*'Parametros'!$B$2*H151))/2)/1000000</f>
        <v>68.5183923529412</v>
      </c>
      <c r="AH151" s="10">
        <f>N151+(AF151+AG151)/D151</f>
        <v>78.5408592914439</v>
      </c>
      <c r="AI151" s="10">
        <f>MIN(O151,MAX(N151,AH151))</f>
        <v>78.5408592914439</v>
      </c>
      <c r="AJ151" s="10">
        <f>0.17*SQRT('Parametros'!$B$2)*H151*MIN(U151,AB151)/1000</f>
        <v>92.4428153837279</v>
      </c>
      <c r="AK151" s="10">
        <f>MAX(AI151/'Parametros'!$B$6-AJ151,0)</f>
        <v>12.2783303381972</v>
      </c>
      <c r="AL151" s="10">
        <f>0.66*SQRT('Parametros'!$B$2)*H151*MIN(U151,AB151)/1000</f>
        <v>358.89563619565</v>
      </c>
      <c r="AM151" s="10" t="str">
        <f>IF(AK151&lt;=AL151,"CUMPLE","NO CUMPLE")</f>
        <v>CUMPLE</v>
      </c>
      <c r="AN151" s="15" t="inlineStr">
        <is>
          <t>Nº3 cerrado</t>
        </is>
      </c>
      <c r="AO151" s="17" t="n">
        <v>2</v>
      </c>
      <c r="AP151" s="10">
        <f>ROUNDDOWN(MIN(IF(AK151=0,1000000000,AO151*'Parametros'!$B$11*'Parametros'!$B$4*MIN(U151,AB151)/(AK151*1000)),IF(AV151=0,1000000000,'Parametros'!$B$11/AV151),MIN(U151,AB151)/4,8*'Parametros'!$B$12,24*'Parametros'!$B$9,300)/10,0)*10</f>
        <v>80</v>
      </c>
      <c r="AQ151" s="10">
        <f>ROUNDDOWN(MIN(IF(AK151=0,1000000000,AO151*'Parametros'!$B$11*'Parametros'!$B$4*MIN(U151,AB151)/(AK151*1000)),IF(AV151=0,1000000000,'Parametros'!$B$11/AV151),MIN(U151,AB151)/2,600)/10,0)*10</f>
        <v>170</v>
      </c>
      <c r="AR151" s="10">
        <f>'Parametros'!$B$6*(AJ151+AO151*'Parametros'!$B$11*'Parametros'!$B$4*MIN(U151,AB151)/AP151/1000)</f>
        <v>260.860380287796</v>
      </c>
      <c r="AS151" s="10" t="str">
        <f>IF(AND(AM151="CUMPLE",AR151&gt;=AI151),"CUMPLE","NO CUMPLE")</f>
        <v>CUMPLE</v>
      </c>
      <c r="AT151" s="10">
        <f>'Parametros'!$B$6*0.083*SQRT('Parametros'!$B$2)*(H151*I151)^2/(2*(H151+I151))/1000000</f>
        <v>3.38807353605471</v>
      </c>
      <c r="AU151" s="10" t="str">
        <f>IF(Q151&lt;=AT151,"DESPRECIABLE","DISEÑAR")</f>
        <v>DESPRECIABLE</v>
      </c>
      <c r="AV151" s="10">
        <f>IF(Q151&lt;=AT151,0,Q151*1000000/('Parametros'!$B$6*2*0.85*(H151-2*'Parametros'!$B$7)*(I151-2*'Parametros'!$B$7)*'Parametros'!$B$4))</f>
        <v>0</v>
      </c>
      <c r="AW151" s="10">
        <f>AV151*2*((H151-2*'Parametros'!$B$7)+(I151-2*'Parametros'!$B$7))*'Parametros'!$B$4/'Parametros'!$B$3</f>
        <v>0</v>
      </c>
      <c r="AX151" s="17" t="n">
        <v>0</v>
      </c>
      <c r="AY151" s="10" t="str">
        <f>IF(AV151=0,"DESPRECIABLE",IF('Parametros'!$B$11/AP151&gt;=AV151,"CUMPLE","NO CUMPLE"))</f>
        <v>DESPRECIABLE</v>
      </c>
      <c r="AZ151" s="10" t="str">
        <f>IF(AND(X151="CUMPLE",AE151="CUMPLE",AS151="CUMPLE",OR(AY151="CUMPLE",AY151="DESPRECIABLE")),IF(OR(F151&lt;&gt;H151,G151&lt;&gt;I151),"CUMPLE - REANALIZAR SAP","CUMPLE"),"NO CUMPLE")</f>
        <v>CUMPLE</v>
      </c>
    </row>
    <row r="152">
      <c r="A152" s="21" t="inlineStr">
        <is>
          <t>VC5</t>
        </is>
      </c>
      <c r="B152" s="21" t="inlineStr">
        <is>
          <t>935</t>
        </is>
      </c>
      <c r="C152" s="10" t="n">
        <v>1</v>
      </c>
      <c r="D152" s="10" t="n">
        <v>3.85</v>
      </c>
      <c r="E152" s="10" t="n">
        <v>3.85</v>
      </c>
      <c r="F152" s="10" t="n">
        <v>300</v>
      </c>
      <c r="G152" s="10" t="n">
        <v>400</v>
      </c>
      <c r="H152" s="15" t="n">
        <v>300</v>
      </c>
      <c r="I152" s="15" t="n">
        <v>400</v>
      </c>
      <c r="J152" s="16" t="n">
        <v>52.0099</v>
      </c>
      <c r="K152" s="10" t="inlineStr">
        <is>
          <t>935</t>
        </is>
      </c>
      <c r="L152" s="16" t="n">
        <v>36.9106</v>
      </c>
      <c r="M152" s="10" t="inlineStr">
        <is>
          <t>935</t>
        </is>
      </c>
      <c r="N152" s="16" t="n">
        <v>34.632</v>
      </c>
      <c r="O152" s="16" t="n">
        <v>123.966</v>
      </c>
      <c r="P152" s="10" t="inlineStr">
        <is>
          <t>935</t>
        </is>
      </c>
      <c r="Q152" s="16" t="n">
        <v>3.2578</v>
      </c>
      <c r="R152" s="10">
        <f>MAX(MAX(1.4/'Parametros'!$B$3,0.25*SQRT('Parametros'!$B$2)/'Parametros'!$B$3)*H152*U152,(0.85*'Parametros'!$B$2/'Parametros'!$B$3)*(1-SQRT(1-2*(J152*1000000/('Parametros'!$B$5*H152*U152^2))/(0.85*'Parametros'!$B$2)))*H152*U152)</f>
        <v>416.570360597184</v>
      </c>
      <c r="S152" s="17" t="n">
        <v>3</v>
      </c>
      <c r="T152" s="18" t="n">
        <v>1</v>
      </c>
      <c r="U152" s="10">
        <f>IF(T152=1,I152-('Parametros'!$B$7+'Parametros'!$B$9+'Parametros'!$B$12/2),I152-(ROUNDUP(S152/2,0)*('Parametros'!$B$7+'Parametros'!$B$9+'Parametros'!$B$12/2)+ROUNDDOWN(S152/2,0)*('Parametros'!$B$7+'Parametros'!$B$9+'Parametros'!$B$12/2+'Parametros'!$B$12+'Parametros'!$B$10))/S152)</f>
        <v>342.55</v>
      </c>
      <c r="V152" s="10">
        <f>S152*'Parametros'!$B$8</f>
        <v>597</v>
      </c>
      <c r="W152" s="10">
        <f>'Parametros'!$B$5*V152*'Parametros'!$B$3*(U152-(V152*'Parametros'!$B$3/(0.85*'Parametros'!$B$2*H152))/2)/1000000</f>
        <v>73.3394588294118</v>
      </c>
      <c r="X152" s="10" t="str">
        <f>IF(W152&gt;=J152,"CUMPLE","NO CUMPLE")</f>
        <v>CUMPLE</v>
      </c>
      <c r="Y152" s="10">
        <f>MAX(MAX(1.4/'Parametros'!$B$3,0.25*SQRT('Parametros'!$B$2)/'Parametros'!$B$3)*H152*AB152,(0.85*'Parametros'!$B$2/'Parametros'!$B$3)*(1-SQRT(1-2*(L152*1000000/('Parametros'!$B$5*H152*AB152^2))/(0.85*'Parametros'!$B$2)))*H152*AB152)</f>
        <v>342.55</v>
      </c>
      <c r="Z152" s="17" t="n">
        <v>2</v>
      </c>
      <c r="AA152" s="18" t="n">
        <v>1</v>
      </c>
      <c r="AB152" s="10">
        <f>IF(AA152=1,I152-('Parametros'!$B$7+'Parametros'!$B$9+'Parametros'!$B$12/2),I152-(ROUNDUP(Z152/2,0)*('Parametros'!$B$7+'Parametros'!$B$9+'Parametros'!$B$12/2)+ROUNDDOWN(Z152/2,0)*('Parametros'!$B$7+'Parametros'!$B$9+'Parametros'!$B$12/2+'Parametros'!$B$12+'Parametros'!$B$10))/Z152)</f>
        <v>342.55</v>
      </c>
      <c r="AC152" s="10">
        <f>Z152*'Parametros'!$B$8</f>
        <v>398</v>
      </c>
      <c r="AD152" s="10">
        <f>'Parametros'!$B$5*AC152*'Parametros'!$B$3*(AB152-(AC152*'Parametros'!$B$3/(0.85*'Parametros'!$B$2*H152))/2)/1000000</f>
        <v>49.7735124352941</v>
      </c>
      <c r="AE152" s="10" t="str">
        <f>IF(AD152&gt;=L152,"CUMPLE","NO CUMPLE")</f>
        <v>CUMPLE</v>
      </c>
      <c r="AF152" s="10">
        <f>V152*1.25*'Parametros'!$B$3*(U152-(V152*1.25*'Parametros'!$B$3/(0.85*'Parametros'!$B$2*H152))/2)/1000000</f>
        <v>100.484515919118</v>
      </c>
      <c r="AG152" s="10">
        <f>AC152*1.25*'Parametros'!$B$3*(AB152-(AC152*1.25*'Parametros'!$B$3/(0.85*'Parametros'!$B$2*H152))/2)/1000000</f>
        <v>68.5183923529412</v>
      </c>
      <c r="AH152" s="10">
        <f>N152+(AF152+AG152)/D152</f>
        <v>78.5288592914439</v>
      </c>
      <c r="AI152" s="10">
        <f>MIN(O152,MAX(N152,AH152))</f>
        <v>78.5288592914439</v>
      </c>
      <c r="AJ152" s="10">
        <f>0.17*SQRT('Parametros'!$B$2)*H152*MIN(U152,AB152)/1000</f>
        <v>92.4428153837279</v>
      </c>
      <c r="AK152" s="10">
        <f>MAX(AI152/'Parametros'!$B$6-AJ152,0)</f>
        <v>12.2623303381972</v>
      </c>
      <c r="AL152" s="10">
        <f>0.66*SQRT('Parametros'!$B$2)*H152*MIN(U152,AB152)/1000</f>
        <v>358.89563619565</v>
      </c>
      <c r="AM152" s="10" t="str">
        <f>IF(AK152&lt;=AL152,"CUMPLE","NO CUMPLE")</f>
        <v>CUMPLE</v>
      </c>
      <c r="AN152" s="15" t="inlineStr">
        <is>
          <t>Nº3 cerrado</t>
        </is>
      </c>
      <c r="AO152" s="17" t="n">
        <v>2</v>
      </c>
      <c r="AP152" s="10">
        <f>ROUNDDOWN(MIN(IF(AK152=0,1000000000,AO152*'Parametros'!$B$11*'Parametros'!$B$4*MIN(U152,AB152)/(AK152*1000)),IF(AV152=0,1000000000,'Parametros'!$B$11/AV152),MIN(U152,AB152)/4,8*'Parametros'!$B$12,24*'Parametros'!$B$9,300)/10,0)*10</f>
        <v>80</v>
      </c>
      <c r="AQ152" s="10">
        <f>ROUNDDOWN(MIN(IF(AK152=0,1000000000,AO152*'Parametros'!$B$11*'Parametros'!$B$4*MIN(U152,AB152)/(AK152*1000)),IF(AV152=0,1000000000,'Parametros'!$B$11/AV152),MIN(U152,AB152)/2,600)/10,0)*10</f>
        <v>170</v>
      </c>
      <c r="AR152" s="10">
        <f>'Parametros'!$B$6*(AJ152+AO152*'Parametros'!$B$11*'Parametros'!$B$4*MIN(U152,AB152)/AP152/1000)</f>
        <v>260.860380287796</v>
      </c>
      <c r="AS152" s="10" t="str">
        <f>IF(AND(AM152="CUMPLE",AR152&gt;=AI152),"CUMPLE","NO CUMPLE")</f>
        <v>CUMPLE</v>
      </c>
      <c r="AT152" s="10">
        <f>'Parametros'!$B$6*0.083*SQRT('Parametros'!$B$2)*(H152*I152)^2/(2*(H152+I152))/1000000</f>
        <v>3.38807353605471</v>
      </c>
      <c r="AU152" s="10" t="str">
        <f>IF(Q152&lt;=AT152,"DESPRECIABLE","DISEÑAR")</f>
        <v>DESPRECIABLE</v>
      </c>
      <c r="AV152" s="10">
        <f>IF(Q152&lt;=AT152,0,Q152*1000000/('Parametros'!$B$6*2*0.85*(H152-2*'Parametros'!$B$7)*(I152-2*'Parametros'!$B$7)*'Parametros'!$B$4))</f>
        <v>0</v>
      </c>
      <c r="AW152" s="10">
        <f>AV152*2*((H152-2*'Parametros'!$B$7)+(I152-2*'Parametros'!$B$7))*'Parametros'!$B$4/'Parametros'!$B$3</f>
        <v>0</v>
      </c>
      <c r="AX152" s="17" t="n">
        <v>0</v>
      </c>
      <c r="AY152" s="10" t="str">
        <f>IF(AV152=0,"DESPRECIABLE",IF('Parametros'!$B$11/AP152&gt;=AV152,"CUMPLE","NO CUMPLE"))</f>
        <v>DESPRECIABLE</v>
      </c>
      <c r="AZ152" s="10" t="str">
        <f>IF(AND(X152="CUMPLE",AE152="CUMPLE",AS152="CUMPLE",OR(AY152="CUMPLE",AY152="DESPRECIABLE")),IF(OR(F152&lt;&gt;H152,G152&lt;&gt;I152),"CUMPLE - REANALIZAR SAP","CUMPLE"),"NO CUMPLE")</f>
        <v>CUMPLE</v>
      </c>
    </row>
    <row r="153">
      <c r="A153" s="21" t="inlineStr">
        <is>
          <t>VC5</t>
        </is>
      </c>
      <c r="B153" s="21" t="inlineStr">
        <is>
          <t>936</t>
        </is>
      </c>
      <c r="C153" s="10" t="n">
        <v>1</v>
      </c>
      <c r="D153" s="10" t="n">
        <v>3.9</v>
      </c>
      <c r="E153" s="10" t="n">
        <v>3.9</v>
      </c>
      <c r="F153" s="10" t="n">
        <v>300</v>
      </c>
      <c r="G153" s="10" t="n">
        <v>400</v>
      </c>
      <c r="H153" s="15" t="n">
        <v>300</v>
      </c>
      <c r="I153" s="15" t="n">
        <v>400</v>
      </c>
      <c r="J153" s="16" t="n">
        <v>83.2863</v>
      </c>
      <c r="K153" s="10" t="inlineStr">
        <is>
          <t>936</t>
        </is>
      </c>
      <c r="L153" s="16" t="n">
        <v>32.2519</v>
      </c>
      <c r="M153" s="10" t="inlineStr">
        <is>
          <t>936</t>
        </is>
      </c>
      <c r="N153" s="16" t="n">
        <v>70.968</v>
      </c>
      <c r="O153" s="16" t="n">
        <v>169.021</v>
      </c>
      <c r="P153" s="10" t="inlineStr">
        <is>
          <t>936</t>
        </is>
      </c>
      <c r="Q153" s="16" t="n">
        <v>10.6079</v>
      </c>
      <c r="R153" s="10">
        <f>MAX(MAX(1.4/'Parametros'!$B$3,0.25*SQRT('Parametros'!$B$2)/'Parametros'!$B$3)*H153*U153,(0.85*'Parametros'!$B$2/'Parametros'!$B$3)*(1-SQRT(1-2*(J153*1000000/('Parametros'!$B$5*H153*U153^2))/(0.85*'Parametros'!$B$2)))*H153*U153)</f>
        <v>683.306721481843</v>
      </c>
      <c r="S153" s="17" t="n">
        <v>4</v>
      </c>
      <c r="T153" s="18" t="n">
        <v>1</v>
      </c>
      <c r="U153" s="10">
        <f>IF(T153=1,I153-('Parametros'!$B$7+'Parametros'!$B$9+'Parametros'!$B$12/2),I153-(ROUNDUP(S153/2,0)*('Parametros'!$B$7+'Parametros'!$B$9+'Parametros'!$B$12/2)+ROUNDDOWN(S153/2,0)*('Parametros'!$B$7+'Parametros'!$B$9+'Parametros'!$B$12/2+'Parametros'!$B$12+'Parametros'!$B$10))/S153)</f>
        <v>342.55</v>
      </c>
      <c r="V153" s="10">
        <f>S153*'Parametros'!$B$8</f>
        <v>796</v>
      </c>
      <c r="W153" s="10">
        <f>'Parametros'!$B$5*V153*'Parametros'!$B$3*(U153-(V153*'Parametros'!$B$3/(0.85*'Parametros'!$B$2*H153))/2)/1000000</f>
        <v>96.0248653411765</v>
      </c>
      <c r="X153" s="10" t="str">
        <f>IF(W153&gt;=J153,"CUMPLE","NO CUMPLE")</f>
        <v>CUMPLE</v>
      </c>
      <c r="Y153" s="10">
        <f>MAX(MAX(1.4/'Parametros'!$B$3,0.25*SQRT('Parametros'!$B$2)/'Parametros'!$B$3)*H153*AB153,(0.85*'Parametros'!$B$2/'Parametros'!$B$3)*(1-SQRT(1-2*(L153*1000000/('Parametros'!$B$5*H153*AB153^2))/(0.85*'Parametros'!$B$2)))*H153*AB153)</f>
        <v>342.55</v>
      </c>
      <c r="Z153" s="17" t="n">
        <v>2</v>
      </c>
      <c r="AA153" s="18" t="n">
        <v>1</v>
      </c>
      <c r="AB153" s="10">
        <f>IF(AA153=1,I153-('Parametros'!$B$7+'Parametros'!$B$9+'Parametros'!$B$12/2),I153-(ROUNDUP(Z153/2,0)*('Parametros'!$B$7+'Parametros'!$B$9+'Parametros'!$B$12/2)+ROUNDDOWN(Z153/2,0)*('Parametros'!$B$7+'Parametros'!$B$9+'Parametros'!$B$12/2+'Parametros'!$B$12+'Parametros'!$B$10))/Z153)</f>
        <v>342.55</v>
      </c>
      <c r="AC153" s="10">
        <f>Z153*'Parametros'!$B$8</f>
        <v>398</v>
      </c>
      <c r="AD153" s="10">
        <f>'Parametros'!$B$5*AC153*'Parametros'!$B$3*(AB153-(AC153*'Parametros'!$B$3/(0.85*'Parametros'!$B$2*H153))/2)/1000000</f>
        <v>49.7735124352941</v>
      </c>
      <c r="AE153" s="10" t="str">
        <f>IF(AD153&gt;=L153,"CUMPLE","NO CUMPLE")</f>
        <v>CUMPLE</v>
      </c>
      <c r="AF153" s="10">
        <f>V153*1.25*'Parametros'!$B$3*(U153-(V153*1.25*'Parametros'!$B$3/(0.85*'Parametros'!$B$2*H153))/2)/1000000</f>
        <v>130.921924411765</v>
      </c>
      <c r="AG153" s="10">
        <f>AC153*1.25*'Parametros'!$B$3*(AB153-(AC153*1.25*'Parametros'!$B$3/(0.85*'Parametros'!$B$2*H153))/2)/1000000</f>
        <v>68.5183923529412</v>
      </c>
      <c r="AH153" s="10">
        <f>N153+(AF153+AG153)/D153</f>
        <v>122.106542760181</v>
      </c>
      <c r="AI153" s="10">
        <f>MIN(O153,MAX(N153,AH153))</f>
        <v>122.106542760181</v>
      </c>
      <c r="AJ153" s="10">
        <f>0.17*SQRT('Parametros'!$B$2)*H153*MIN(U153,AB153)/1000</f>
        <v>92.4428153837279</v>
      </c>
      <c r="AK153" s="10">
        <f>MAX(AI153/'Parametros'!$B$6-AJ153,0)</f>
        <v>70.3659082965134</v>
      </c>
      <c r="AL153" s="10">
        <f>0.66*SQRT('Parametros'!$B$2)*H153*MIN(U153,AB153)/1000</f>
        <v>358.89563619565</v>
      </c>
      <c r="AM153" s="10" t="str">
        <f>IF(AK153&lt;=AL153,"CUMPLE","NO CUMPLE")</f>
        <v>CUMPLE</v>
      </c>
      <c r="AN153" s="15" t="inlineStr">
        <is>
          <t>Nº3 cerrado</t>
        </is>
      </c>
      <c r="AO153" s="17" t="n">
        <v>2</v>
      </c>
      <c r="AP153" s="10">
        <f>ROUNDDOWN(MIN(IF(AK153=0,1000000000,AO153*'Parametros'!$B$11*'Parametros'!$B$4*MIN(U153,AB153)/(AK153*1000)),IF(AV153=0,1000000000,'Parametros'!$B$11/AV153),MIN(U153,AB153)/4,8*'Parametros'!$B$12,24*'Parametros'!$B$9,300)/10,0)*10</f>
        <v>80</v>
      </c>
      <c r="AQ153" s="10">
        <f>ROUNDDOWN(MIN(IF(AK153=0,1000000000,AO153*'Parametros'!$B$11*'Parametros'!$B$4*MIN(U153,AB153)/(AK153*1000)),IF(AV153=0,1000000000,'Parametros'!$B$11/AV153),MIN(U153,AB153)/2,600)/10,0)*10</f>
        <v>170</v>
      </c>
      <c r="AR153" s="10">
        <f>'Parametros'!$B$6*(AJ153+AO153*'Parametros'!$B$11*'Parametros'!$B$4*MIN(U153,AB153)/AP153/1000)</f>
        <v>260.860380287796</v>
      </c>
      <c r="AS153" s="10" t="str">
        <f>IF(AND(AM153="CUMPLE",AR153&gt;=AI153),"CUMPLE","NO CUMPLE")</f>
        <v>CUMPLE</v>
      </c>
      <c r="AT153" s="10">
        <f>'Parametros'!$B$6*0.083*SQRT('Parametros'!$B$2)*(H153*I153)^2/(2*(H153+I153))/1000000</f>
        <v>3.38807353605471</v>
      </c>
      <c r="AU153" s="10" t="str">
        <f>IF(Q153&lt;=AT153,"DESPRECIABLE","DISEÑAR")</f>
        <v>DISEÑAR</v>
      </c>
      <c r="AV153" s="10">
        <f>IF(Q153&lt;=AT153,0,Q153*1000000/('Parametros'!$B$6*2*0.85*(H153-2*'Parametros'!$B$7)*(I153-2*'Parametros'!$B$7)*'Parametros'!$B$4))</f>
        <v>0.281382628809099</v>
      </c>
      <c r="AW153" s="10">
        <f>AV153*2*((H153-2*'Parametros'!$B$7)+(I153-2*'Parametros'!$B$7))*'Parametros'!$B$4/'Parametros'!$B$3</f>
        <v>303.893239113827</v>
      </c>
      <c r="AX153" s="17" t="n">
        <v>2</v>
      </c>
      <c r="AY153" s="10" t="str">
        <f>IF(AV153=0,"DESPRECIABLE",IF('Parametros'!$B$11/AP153&gt;=AV153,"CUMPLE","NO CUMPLE"))</f>
        <v>CUMPLE</v>
      </c>
      <c r="AZ153" s="10" t="str">
        <f>IF(AND(X153="CUMPLE",AE153="CUMPLE",AS153="CUMPLE",OR(AY153="CUMPLE",AY153="DESPRECIABLE")),IF(OR(F153&lt;&gt;H153,G153&lt;&gt;I153),"CUMPLE - REANALIZAR SAP","CUMPLE"),"NO CUMPLE")</f>
        <v>CUMPLE</v>
      </c>
    </row>
    <row r="154">
      <c r="A154" s="21" t="inlineStr">
        <is>
          <t>VC5</t>
        </is>
      </c>
      <c r="B154" s="21" t="inlineStr">
        <is>
          <t>937</t>
        </is>
      </c>
      <c r="C154" s="10" t="n">
        <v>1</v>
      </c>
      <c r="D154" s="10" t="n">
        <v>3.9</v>
      </c>
      <c r="E154" s="10" t="n">
        <v>3.9</v>
      </c>
      <c r="F154" s="10" t="n">
        <v>300</v>
      </c>
      <c r="G154" s="10" t="n">
        <v>400</v>
      </c>
      <c r="H154" s="15" t="n">
        <v>300</v>
      </c>
      <c r="I154" s="15" t="n">
        <v>400</v>
      </c>
      <c r="J154" s="16" t="n">
        <v>83.1915</v>
      </c>
      <c r="K154" s="10" t="inlineStr">
        <is>
          <t>937</t>
        </is>
      </c>
      <c r="L154" s="16" t="n">
        <v>32.2776</v>
      </c>
      <c r="M154" s="10" t="inlineStr">
        <is>
          <t>937</t>
        </is>
      </c>
      <c r="N154" s="16" t="n">
        <v>70.879</v>
      </c>
      <c r="O154" s="16" t="n">
        <v>168.91</v>
      </c>
      <c r="P154" s="10" t="inlineStr">
        <is>
          <t>937</t>
        </is>
      </c>
      <c r="Q154" s="16" t="n">
        <v>10.5793</v>
      </c>
      <c r="R154" s="10">
        <f>MAX(MAX(1.4/'Parametros'!$B$3,0.25*SQRT('Parametros'!$B$2)/'Parametros'!$B$3)*H154*U154,(0.85*'Parametros'!$B$2/'Parametros'!$B$3)*(1-SQRT(1-2*(J154*1000000/('Parametros'!$B$5*H154*U154^2))/(0.85*'Parametros'!$B$2)))*H154*U154)</f>
        <v>682.477322217884</v>
      </c>
      <c r="S154" s="17" t="n">
        <v>4</v>
      </c>
      <c r="T154" s="18" t="n">
        <v>1</v>
      </c>
      <c r="U154" s="10">
        <f>IF(T154=1,I154-('Parametros'!$B$7+'Parametros'!$B$9+'Parametros'!$B$12/2),I154-(ROUNDUP(S154/2,0)*('Parametros'!$B$7+'Parametros'!$B$9+'Parametros'!$B$12/2)+ROUNDDOWN(S154/2,0)*('Parametros'!$B$7+'Parametros'!$B$9+'Parametros'!$B$12/2+'Parametros'!$B$12+'Parametros'!$B$10))/S154)</f>
        <v>342.55</v>
      </c>
      <c r="V154" s="10">
        <f>S154*'Parametros'!$B$8</f>
        <v>796</v>
      </c>
      <c r="W154" s="10">
        <f>'Parametros'!$B$5*V154*'Parametros'!$B$3*(U154-(V154*'Parametros'!$B$3/(0.85*'Parametros'!$B$2*H154))/2)/1000000</f>
        <v>96.0248653411765</v>
      </c>
      <c r="X154" s="10" t="str">
        <f>IF(W154&gt;=J154,"CUMPLE","NO CUMPLE")</f>
        <v>CUMPLE</v>
      </c>
      <c r="Y154" s="10">
        <f>MAX(MAX(1.4/'Parametros'!$B$3,0.25*SQRT('Parametros'!$B$2)/'Parametros'!$B$3)*H154*AB154,(0.85*'Parametros'!$B$2/'Parametros'!$B$3)*(1-SQRT(1-2*(L154*1000000/('Parametros'!$B$5*H154*AB154^2))/(0.85*'Parametros'!$B$2)))*H154*AB154)</f>
        <v>342.55</v>
      </c>
      <c r="Z154" s="17" t="n">
        <v>2</v>
      </c>
      <c r="AA154" s="18" t="n">
        <v>1</v>
      </c>
      <c r="AB154" s="10">
        <f>IF(AA154=1,I154-('Parametros'!$B$7+'Parametros'!$B$9+'Parametros'!$B$12/2),I154-(ROUNDUP(Z154/2,0)*('Parametros'!$B$7+'Parametros'!$B$9+'Parametros'!$B$12/2)+ROUNDDOWN(Z154/2,0)*('Parametros'!$B$7+'Parametros'!$B$9+'Parametros'!$B$12/2+'Parametros'!$B$12+'Parametros'!$B$10))/Z154)</f>
        <v>342.55</v>
      </c>
      <c r="AC154" s="10">
        <f>Z154*'Parametros'!$B$8</f>
        <v>398</v>
      </c>
      <c r="AD154" s="10">
        <f>'Parametros'!$B$5*AC154*'Parametros'!$B$3*(AB154-(AC154*'Parametros'!$B$3/(0.85*'Parametros'!$B$2*H154))/2)/1000000</f>
        <v>49.7735124352941</v>
      </c>
      <c r="AE154" s="10" t="str">
        <f>IF(AD154&gt;=L154,"CUMPLE","NO CUMPLE")</f>
        <v>CUMPLE</v>
      </c>
      <c r="AF154" s="10">
        <f>V154*1.25*'Parametros'!$B$3*(U154-(V154*1.25*'Parametros'!$B$3/(0.85*'Parametros'!$B$2*H154))/2)/1000000</f>
        <v>130.921924411765</v>
      </c>
      <c r="AG154" s="10">
        <f>AC154*1.25*'Parametros'!$B$3*(AB154-(AC154*1.25*'Parametros'!$B$3/(0.85*'Parametros'!$B$2*H154))/2)/1000000</f>
        <v>68.5183923529412</v>
      </c>
      <c r="AH154" s="10">
        <f>N154+(AF154+AG154)/D154</f>
        <v>122.017542760181</v>
      </c>
      <c r="AI154" s="10">
        <f>MIN(O154,MAX(N154,AH154))</f>
        <v>122.017542760181</v>
      </c>
      <c r="AJ154" s="10">
        <f>0.17*SQRT('Parametros'!$B$2)*H154*MIN(U154,AB154)/1000</f>
        <v>92.4428153837279</v>
      </c>
      <c r="AK154" s="10">
        <f>MAX(AI154/'Parametros'!$B$6-AJ154,0)</f>
        <v>70.2472416298468</v>
      </c>
      <c r="AL154" s="10">
        <f>0.66*SQRT('Parametros'!$B$2)*H154*MIN(U154,AB154)/1000</f>
        <v>358.89563619565</v>
      </c>
      <c r="AM154" s="10" t="str">
        <f>IF(AK154&lt;=AL154,"CUMPLE","NO CUMPLE")</f>
        <v>CUMPLE</v>
      </c>
      <c r="AN154" s="15" t="inlineStr">
        <is>
          <t>Nº3 cerrado</t>
        </is>
      </c>
      <c r="AO154" s="17" t="n">
        <v>2</v>
      </c>
      <c r="AP154" s="10">
        <f>ROUNDDOWN(MIN(IF(AK154=0,1000000000,AO154*'Parametros'!$B$11*'Parametros'!$B$4*MIN(U154,AB154)/(AK154*1000)),IF(AV154=0,1000000000,'Parametros'!$B$11/AV154),MIN(U154,AB154)/4,8*'Parametros'!$B$12,24*'Parametros'!$B$9,300)/10,0)*10</f>
        <v>80</v>
      </c>
      <c r="AQ154" s="10">
        <f>ROUNDDOWN(MIN(IF(AK154=0,1000000000,AO154*'Parametros'!$B$11*'Parametros'!$B$4*MIN(U154,AB154)/(AK154*1000)),IF(AV154=0,1000000000,'Parametros'!$B$11/AV154),MIN(U154,AB154)/2,600)/10,0)*10</f>
        <v>170</v>
      </c>
      <c r="AR154" s="10">
        <f>'Parametros'!$B$6*(AJ154+AO154*'Parametros'!$B$11*'Parametros'!$B$4*MIN(U154,AB154)/AP154/1000)</f>
        <v>260.860380287796</v>
      </c>
      <c r="AS154" s="10" t="str">
        <f>IF(AND(AM154="CUMPLE",AR154&gt;=AI154),"CUMPLE","NO CUMPLE")</f>
        <v>CUMPLE</v>
      </c>
      <c r="AT154" s="10">
        <f>'Parametros'!$B$6*0.083*SQRT('Parametros'!$B$2)*(H154*I154)^2/(2*(H154+I154))/1000000</f>
        <v>3.38807353605471</v>
      </c>
      <c r="AU154" s="10" t="str">
        <f>IF(Q154&lt;=AT154,"DESPRECIABLE","DISEÑAR")</f>
        <v>DISEÑAR</v>
      </c>
      <c r="AV154" s="10">
        <f>IF(Q154&lt;=AT154,0,Q154*1000000/('Parametros'!$B$6*2*0.85*(H154-2*'Parametros'!$B$7)*(I154-2*'Parametros'!$B$7)*'Parametros'!$B$4))</f>
        <v>0.280623992021051</v>
      </c>
      <c r="AW154" s="10">
        <f>AV154*2*((H154-2*'Parametros'!$B$7)+(I154-2*'Parametros'!$B$7))*'Parametros'!$B$4/'Parametros'!$B$3</f>
        <v>303.073911382735</v>
      </c>
      <c r="AX154" s="17" t="n">
        <v>2</v>
      </c>
      <c r="AY154" s="10" t="str">
        <f>IF(AV154=0,"DESPRECIABLE",IF('Parametros'!$B$11/AP154&gt;=AV154,"CUMPLE","NO CUMPLE"))</f>
        <v>CUMPLE</v>
      </c>
      <c r="AZ154" s="10" t="str">
        <f>IF(AND(X154="CUMPLE",AE154="CUMPLE",AS154="CUMPLE",OR(AY154="CUMPLE",AY154="DESPRECIABLE")),IF(OR(F154&lt;&gt;H154,G154&lt;&gt;I154),"CUMPLE - REANALIZAR SAP","CUMPLE"),"NO CUMPLE")</f>
        <v>CUMPLE</v>
      </c>
    </row>
    <row r="155">
      <c r="A155" s="21" t="inlineStr">
        <is>
          <t>VC5</t>
        </is>
      </c>
      <c r="B155" s="21" t="inlineStr">
        <is>
          <t>938</t>
        </is>
      </c>
      <c r="C155" s="10" t="n">
        <v>1</v>
      </c>
      <c r="D155" s="10" t="n">
        <v>3.85</v>
      </c>
      <c r="E155" s="10" t="n">
        <v>3.85</v>
      </c>
      <c r="F155" s="10" t="n">
        <v>300</v>
      </c>
      <c r="G155" s="10" t="n">
        <v>400</v>
      </c>
      <c r="H155" s="15" t="n">
        <v>300</v>
      </c>
      <c r="I155" s="15" t="n">
        <v>400</v>
      </c>
      <c r="J155" s="16" t="n">
        <v>51.9902</v>
      </c>
      <c r="K155" s="10" t="inlineStr">
        <is>
          <t>938</t>
        </is>
      </c>
      <c r="L155" s="16" t="n">
        <v>36.9004</v>
      </c>
      <c r="M155" s="10" t="inlineStr">
        <is>
          <t>938</t>
        </is>
      </c>
      <c r="N155" s="16" t="n">
        <v>34.622</v>
      </c>
      <c r="O155" s="16" t="n">
        <v>123.976</v>
      </c>
      <c r="P155" s="10" t="inlineStr">
        <is>
          <t>938</t>
        </is>
      </c>
      <c r="Q155" s="16" t="n">
        <v>3.2575</v>
      </c>
      <c r="R155" s="10">
        <f>MAX(MAX(1.4/'Parametros'!$B$3,0.25*SQRT('Parametros'!$B$2)/'Parametros'!$B$3)*H155*U155,(0.85*'Parametros'!$B$2/'Parametros'!$B$3)*(1-SQRT(1-2*(J155*1000000/('Parametros'!$B$5*H155*U155^2))/(0.85*'Parametros'!$B$2)))*H155*U155)</f>
        <v>416.406498655382</v>
      </c>
      <c r="S155" s="17" t="n">
        <v>3</v>
      </c>
      <c r="T155" s="18" t="n">
        <v>1</v>
      </c>
      <c r="U155" s="10">
        <f>IF(T155=1,I155-('Parametros'!$B$7+'Parametros'!$B$9+'Parametros'!$B$12/2),I155-(ROUNDUP(S155/2,0)*('Parametros'!$B$7+'Parametros'!$B$9+'Parametros'!$B$12/2)+ROUNDDOWN(S155/2,0)*('Parametros'!$B$7+'Parametros'!$B$9+'Parametros'!$B$12/2+'Parametros'!$B$12+'Parametros'!$B$10))/S155)</f>
        <v>342.55</v>
      </c>
      <c r="V155" s="10">
        <f>S155*'Parametros'!$B$8</f>
        <v>597</v>
      </c>
      <c r="W155" s="10">
        <f>'Parametros'!$B$5*V155*'Parametros'!$B$3*(U155-(V155*'Parametros'!$B$3/(0.85*'Parametros'!$B$2*H155))/2)/1000000</f>
        <v>73.3394588294118</v>
      </c>
      <c r="X155" s="10" t="str">
        <f>IF(W155&gt;=J155,"CUMPLE","NO CUMPLE")</f>
        <v>CUMPLE</v>
      </c>
      <c r="Y155" s="10">
        <f>MAX(MAX(1.4/'Parametros'!$B$3,0.25*SQRT('Parametros'!$B$2)/'Parametros'!$B$3)*H155*AB155,(0.85*'Parametros'!$B$2/'Parametros'!$B$3)*(1-SQRT(1-2*(L155*1000000/('Parametros'!$B$5*H155*AB155^2))/(0.85*'Parametros'!$B$2)))*H155*AB155)</f>
        <v>342.55</v>
      </c>
      <c r="Z155" s="17" t="n">
        <v>2</v>
      </c>
      <c r="AA155" s="18" t="n">
        <v>1</v>
      </c>
      <c r="AB155" s="10">
        <f>IF(AA155=1,I155-('Parametros'!$B$7+'Parametros'!$B$9+'Parametros'!$B$12/2),I155-(ROUNDUP(Z155/2,0)*('Parametros'!$B$7+'Parametros'!$B$9+'Parametros'!$B$12/2)+ROUNDDOWN(Z155/2,0)*('Parametros'!$B$7+'Parametros'!$B$9+'Parametros'!$B$12/2+'Parametros'!$B$12+'Parametros'!$B$10))/Z155)</f>
        <v>342.55</v>
      </c>
      <c r="AC155" s="10">
        <f>Z155*'Parametros'!$B$8</f>
        <v>398</v>
      </c>
      <c r="AD155" s="10">
        <f>'Parametros'!$B$5*AC155*'Parametros'!$B$3*(AB155-(AC155*'Parametros'!$B$3/(0.85*'Parametros'!$B$2*H155))/2)/1000000</f>
        <v>49.7735124352941</v>
      </c>
      <c r="AE155" s="10" t="str">
        <f>IF(AD155&gt;=L155,"CUMPLE","NO CUMPLE")</f>
        <v>CUMPLE</v>
      </c>
      <c r="AF155" s="10">
        <f>V155*1.25*'Parametros'!$B$3*(U155-(V155*1.25*'Parametros'!$B$3/(0.85*'Parametros'!$B$2*H155))/2)/1000000</f>
        <v>100.484515919118</v>
      </c>
      <c r="AG155" s="10">
        <f>AC155*1.25*'Parametros'!$B$3*(AB155-(AC155*1.25*'Parametros'!$B$3/(0.85*'Parametros'!$B$2*H155))/2)/1000000</f>
        <v>68.5183923529412</v>
      </c>
      <c r="AH155" s="10">
        <f>N155+(AF155+AG155)/D155</f>
        <v>78.5188592914438</v>
      </c>
      <c r="AI155" s="10">
        <f>MIN(O155,MAX(N155,AH155))</f>
        <v>78.5188592914438</v>
      </c>
      <c r="AJ155" s="10">
        <f>0.17*SQRT('Parametros'!$B$2)*H155*MIN(U155,AB155)/1000</f>
        <v>92.4428153837279</v>
      </c>
      <c r="AK155" s="10">
        <f>MAX(AI155/'Parametros'!$B$6-AJ155,0)</f>
        <v>12.2489970048639</v>
      </c>
      <c r="AL155" s="10">
        <f>0.66*SQRT('Parametros'!$B$2)*H155*MIN(U155,AB155)/1000</f>
        <v>358.89563619565</v>
      </c>
      <c r="AM155" s="10" t="str">
        <f>IF(AK155&lt;=AL155,"CUMPLE","NO CUMPLE")</f>
        <v>CUMPLE</v>
      </c>
      <c r="AN155" s="15" t="inlineStr">
        <is>
          <t>Nº3 cerrado</t>
        </is>
      </c>
      <c r="AO155" s="17" t="n">
        <v>2</v>
      </c>
      <c r="AP155" s="10">
        <f>ROUNDDOWN(MIN(IF(AK155=0,1000000000,AO155*'Parametros'!$B$11*'Parametros'!$B$4*MIN(U155,AB155)/(AK155*1000)),IF(AV155=0,1000000000,'Parametros'!$B$11/AV155),MIN(U155,AB155)/4,8*'Parametros'!$B$12,24*'Parametros'!$B$9,300)/10,0)*10</f>
        <v>80</v>
      </c>
      <c r="AQ155" s="10">
        <f>ROUNDDOWN(MIN(IF(AK155=0,1000000000,AO155*'Parametros'!$B$11*'Parametros'!$B$4*MIN(U155,AB155)/(AK155*1000)),IF(AV155=0,1000000000,'Parametros'!$B$11/AV155),MIN(U155,AB155)/2,600)/10,0)*10</f>
        <v>170</v>
      </c>
      <c r="AR155" s="10">
        <f>'Parametros'!$B$6*(AJ155+AO155*'Parametros'!$B$11*'Parametros'!$B$4*MIN(U155,AB155)/AP155/1000)</f>
        <v>260.860380287796</v>
      </c>
      <c r="AS155" s="10" t="str">
        <f>IF(AND(AM155="CUMPLE",AR155&gt;=AI155),"CUMPLE","NO CUMPLE")</f>
        <v>CUMPLE</v>
      </c>
      <c r="AT155" s="10">
        <f>'Parametros'!$B$6*0.083*SQRT('Parametros'!$B$2)*(H155*I155)^2/(2*(H155+I155))/1000000</f>
        <v>3.38807353605471</v>
      </c>
      <c r="AU155" s="10" t="str">
        <f>IF(Q155&lt;=AT155,"DESPRECIABLE","DISEÑAR")</f>
        <v>DESPRECIABLE</v>
      </c>
      <c r="AV155" s="10">
        <f>IF(Q155&lt;=AT155,0,Q155*1000000/('Parametros'!$B$6*2*0.85*(H155-2*'Parametros'!$B$7)*(I155-2*'Parametros'!$B$7)*'Parametros'!$B$4))</f>
        <v>0</v>
      </c>
      <c r="AW155" s="10">
        <f>AV155*2*((H155-2*'Parametros'!$B$7)+(I155-2*'Parametros'!$B$7))*'Parametros'!$B$4/'Parametros'!$B$3</f>
        <v>0</v>
      </c>
      <c r="AX155" s="17" t="n">
        <v>0</v>
      </c>
      <c r="AY155" s="10" t="str">
        <f>IF(AV155=0,"DESPRECIABLE",IF('Parametros'!$B$11/AP155&gt;=AV155,"CUMPLE","NO CUMPLE"))</f>
        <v>DESPRECIABLE</v>
      </c>
      <c r="AZ155" s="10" t="str">
        <f>IF(AND(X155="CUMPLE",AE155="CUMPLE",AS155="CUMPLE",OR(AY155="CUMPLE",AY155="DESPRECIABLE")),IF(OR(F155&lt;&gt;H155,G155&lt;&gt;I155),"CUMPLE - REANALIZAR SAP","CUMPLE"),"NO CUMPLE")</f>
        <v>CUMPLE</v>
      </c>
    </row>
    <row r="156">
      <c r="A156" s="21" t="inlineStr">
        <is>
          <t>VC5</t>
        </is>
      </c>
      <c r="B156" s="21" t="inlineStr">
        <is>
          <t>1009</t>
        </is>
      </c>
      <c r="C156" s="10" t="n">
        <v>1</v>
      </c>
      <c r="D156" s="10" t="n">
        <v>3.85</v>
      </c>
      <c r="E156" s="10" t="n">
        <v>3.85</v>
      </c>
      <c r="F156" s="10" t="n">
        <v>300</v>
      </c>
      <c r="G156" s="10" t="n">
        <v>400</v>
      </c>
      <c r="H156" s="15" t="n">
        <v>300</v>
      </c>
      <c r="I156" s="15" t="n">
        <v>400</v>
      </c>
      <c r="J156" s="16" t="n">
        <v>34.283</v>
      </c>
      <c r="K156" s="10" t="inlineStr">
        <is>
          <t>1009</t>
        </is>
      </c>
      <c r="L156" s="16" t="n">
        <v>18.5221</v>
      </c>
      <c r="M156" s="10" t="inlineStr">
        <is>
          <t>1009</t>
        </is>
      </c>
      <c r="N156" s="16" t="n">
        <v>24.016</v>
      </c>
      <c r="O156" s="16" t="n">
        <v>72.566</v>
      </c>
      <c r="P156" s="10" t="inlineStr">
        <is>
          <t>1009</t>
        </is>
      </c>
      <c r="Q156" s="16" t="n">
        <v>1.7224</v>
      </c>
      <c r="R156" s="10">
        <f>MAX(MAX(1.4/'Parametros'!$B$3,0.25*SQRT('Parametros'!$B$2)/'Parametros'!$B$3)*H156*U156,(0.85*'Parametros'!$B$2/'Parametros'!$B$3)*(1-SQRT(1-2*(J156*1000000/('Parametros'!$B$5*H156*U156^2))/(0.85*'Parametros'!$B$2)))*H156*U156)</f>
        <v>342.55</v>
      </c>
      <c r="S156" s="17" t="n">
        <v>2</v>
      </c>
      <c r="T156" s="18" t="n">
        <v>1</v>
      </c>
      <c r="U156" s="10">
        <f>IF(T156=1,I156-('Parametros'!$B$7+'Parametros'!$B$9+'Parametros'!$B$12/2),I156-(ROUNDUP(S156/2,0)*('Parametros'!$B$7+'Parametros'!$B$9+'Parametros'!$B$12/2)+ROUNDDOWN(S156/2,0)*('Parametros'!$B$7+'Parametros'!$B$9+'Parametros'!$B$12/2+'Parametros'!$B$12+'Parametros'!$B$10))/S156)</f>
        <v>342.55</v>
      </c>
      <c r="V156" s="10">
        <f>S156*'Parametros'!$B$8</f>
        <v>398</v>
      </c>
      <c r="W156" s="10">
        <f>'Parametros'!$B$5*V156*'Parametros'!$B$3*(U156-(V156*'Parametros'!$B$3/(0.85*'Parametros'!$B$2*H156))/2)/1000000</f>
        <v>49.7735124352941</v>
      </c>
      <c r="X156" s="10" t="str">
        <f>IF(W156&gt;=J156,"CUMPLE","NO CUMPLE")</f>
        <v>CUMPLE</v>
      </c>
      <c r="Y156" s="10">
        <f>MAX(MAX(1.4/'Parametros'!$B$3,0.25*SQRT('Parametros'!$B$2)/'Parametros'!$B$3)*H156*AB156,(0.85*'Parametros'!$B$2/'Parametros'!$B$3)*(1-SQRT(1-2*(L156*1000000/('Parametros'!$B$5*H156*AB156^2))/(0.85*'Parametros'!$B$2)))*H156*AB156)</f>
        <v>342.55</v>
      </c>
      <c r="Z156" s="17" t="n">
        <v>2</v>
      </c>
      <c r="AA156" s="18" t="n">
        <v>1</v>
      </c>
      <c r="AB156" s="10">
        <f>IF(AA156=1,I156-('Parametros'!$B$7+'Parametros'!$B$9+'Parametros'!$B$12/2),I156-(ROUNDUP(Z156/2,0)*('Parametros'!$B$7+'Parametros'!$B$9+'Parametros'!$B$12/2)+ROUNDDOWN(Z156/2,0)*('Parametros'!$B$7+'Parametros'!$B$9+'Parametros'!$B$12/2+'Parametros'!$B$12+'Parametros'!$B$10))/Z156)</f>
        <v>342.55</v>
      </c>
      <c r="AC156" s="10">
        <f>Z156*'Parametros'!$B$8</f>
        <v>398</v>
      </c>
      <c r="AD156" s="10">
        <f>'Parametros'!$B$5*AC156*'Parametros'!$B$3*(AB156-(AC156*'Parametros'!$B$3/(0.85*'Parametros'!$B$2*H156))/2)/1000000</f>
        <v>49.7735124352941</v>
      </c>
      <c r="AE156" s="10" t="str">
        <f>IF(AD156&gt;=L156,"CUMPLE","NO CUMPLE")</f>
        <v>CUMPLE</v>
      </c>
      <c r="AF156" s="10">
        <f>V156*1.25*'Parametros'!$B$3*(U156-(V156*1.25*'Parametros'!$B$3/(0.85*'Parametros'!$B$2*H156))/2)/1000000</f>
        <v>68.5183923529412</v>
      </c>
      <c r="AG156" s="10">
        <f>AC156*1.25*'Parametros'!$B$3*(AB156-(AC156*1.25*'Parametros'!$B$3/(0.85*'Parametros'!$B$2*H156))/2)/1000000</f>
        <v>68.5183923529412</v>
      </c>
      <c r="AH156" s="10">
        <f>N156+(AF156+AG156)/D156</f>
        <v>59.6099700534759</v>
      </c>
      <c r="AI156" s="10">
        <f>MIN(O156,MAX(N156,AH156))</f>
        <v>59.6099700534759</v>
      </c>
      <c r="AJ156" s="10">
        <f>0.17*SQRT('Parametros'!$B$2)*H156*MIN(U156,AB156)/1000</f>
        <v>92.4428153837279</v>
      </c>
      <c r="AK156" s="10">
        <f>MAX(AI156/'Parametros'!$B$6-AJ156,0)</f>
        <v>0</v>
      </c>
      <c r="AL156" s="10">
        <f>0.66*SQRT('Parametros'!$B$2)*H156*MIN(U156,AB156)/1000</f>
        <v>358.89563619565</v>
      </c>
      <c r="AM156" s="10" t="str">
        <f>IF(AK156&lt;=AL156,"CUMPLE","NO CUMPLE")</f>
        <v>CUMPLE</v>
      </c>
      <c r="AN156" s="15" t="inlineStr">
        <is>
          <t>Nº3 cerrado</t>
        </is>
      </c>
      <c r="AO156" s="17" t="n">
        <v>2</v>
      </c>
      <c r="AP156" s="10">
        <f>ROUNDDOWN(MIN(IF(AK156=0,1000000000,AO156*'Parametros'!$B$11*'Parametros'!$B$4*MIN(U156,AB156)/(AK156*1000)),IF(AV156=0,1000000000,'Parametros'!$B$11/AV156),MIN(U156,AB156)/4,8*'Parametros'!$B$12,24*'Parametros'!$B$9,300)/10,0)*10</f>
        <v>80</v>
      </c>
      <c r="AQ156" s="10">
        <f>ROUNDDOWN(MIN(IF(AK156=0,1000000000,AO156*'Parametros'!$B$11*'Parametros'!$B$4*MIN(U156,AB156)/(AK156*1000)),IF(AV156=0,1000000000,'Parametros'!$B$11/AV156),MIN(U156,AB156)/2,600)/10,0)*10</f>
        <v>170</v>
      </c>
      <c r="AR156" s="10">
        <f>'Parametros'!$B$6*(AJ156+AO156*'Parametros'!$B$11*'Parametros'!$B$4*MIN(U156,AB156)/AP156/1000)</f>
        <v>260.860380287796</v>
      </c>
      <c r="AS156" s="10" t="str">
        <f>IF(AND(AM156="CUMPLE",AR156&gt;=AI156),"CUMPLE","NO CUMPLE")</f>
        <v>CUMPLE</v>
      </c>
      <c r="AT156" s="10">
        <f>'Parametros'!$B$6*0.083*SQRT('Parametros'!$B$2)*(H156*I156)^2/(2*(H156+I156))/1000000</f>
        <v>3.38807353605471</v>
      </c>
      <c r="AU156" s="10" t="str">
        <f>IF(Q156&lt;=AT156,"DESPRECIABLE","DISEÑAR")</f>
        <v>DESPRECIABLE</v>
      </c>
      <c r="AV156" s="10">
        <f>IF(Q156&lt;=AT156,0,Q156*1000000/('Parametros'!$B$6*2*0.85*(H156-2*'Parametros'!$B$7)*(I156-2*'Parametros'!$B$7)*'Parametros'!$B$4))</f>
        <v>0</v>
      </c>
      <c r="AW156" s="10">
        <f>AV156*2*((H156-2*'Parametros'!$B$7)+(I156-2*'Parametros'!$B$7))*'Parametros'!$B$4/'Parametros'!$B$3</f>
        <v>0</v>
      </c>
      <c r="AX156" s="17" t="n">
        <v>0</v>
      </c>
      <c r="AY156" s="10" t="str">
        <f>IF(AV156=0,"DESPRECIABLE",IF('Parametros'!$B$11/AP156&gt;=AV156,"CUMPLE","NO CUMPLE"))</f>
        <v>DESPRECIABLE</v>
      </c>
      <c r="AZ156" s="10" t="str">
        <f>IF(AND(X156="CUMPLE",AE156="CUMPLE",AS156="CUMPLE",OR(AY156="CUMPLE",AY156="DESPRECIABLE")),IF(OR(F156&lt;&gt;H156,G156&lt;&gt;I156),"CUMPLE - REANALIZAR SAP","CUMPLE"),"NO CUMPLE")</f>
        <v>CUMPLE</v>
      </c>
    </row>
    <row r="157">
      <c r="A157" s="21" t="inlineStr">
        <is>
          <t>VC5</t>
        </is>
      </c>
      <c r="B157" s="21" t="inlineStr">
        <is>
          <t>1010</t>
        </is>
      </c>
      <c r="C157" s="10" t="n">
        <v>1</v>
      </c>
      <c r="D157" s="10" t="n">
        <v>3.9</v>
      </c>
      <c r="E157" s="10" t="n">
        <v>3.9</v>
      </c>
      <c r="F157" s="10" t="n">
        <v>300</v>
      </c>
      <c r="G157" s="10" t="n">
        <v>400</v>
      </c>
      <c r="H157" s="15" t="n">
        <v>300</v>
      </c>
      <c r="I157" s="15" t="n">
        <v>400</v>
      </c>
      <c r="J157" s="16" t="n">
        <v>58.7099</v>
      </c>
      <c r="K157" s="10" t="inlineStr">
        <is>
          <t>1010</t>
        </is>
      </c>
      <c r="L157" s="16" t="n">
        <v>19.8644</v>
      </c>
      <c r="M157" s="10" t="inlineStr">
        <is>
          <t>1010</t>
        </is>
      </c>
      <c r="N157" s="16" t="n">
        <v>55.9</v>
      </c>
      <c r="O157" s="16" t="n">
        <v>109.164</v>
      </c>
      <c r="P157" s="10" t="inlineStr">
        <is>
          <t>1010</t>
        </is>
      </c>
      <c r="Q157" s="16" t="n">
        <v>11.7465</v>
      </c>
      <c r="R157" s="10">
        <f>MAX(MAX(1.4/'Parametros'!$B$3,0.25*SQRT('Parametros'!$B$2)/'Parametros'!$B$3)*H157*U157,(0.85*'Parametros'!$B$2/'Parametros'!$B$3)*(1-SQRT(1-2*(J157*1000000/('Parametros'!$B$5*H157*U157^2))/(0.85*'Parametros'!$B$2)))*H157*U157)</f>
        <v>472.591122381298</v>
      </c>
      <c r="S157" s="17" t="n">
        <v>3</v>
      </c>
      <c r="T157" s="18" t="n">
        <v>1</v>
      </c>
      <c r="U157" s="10">
        <f>IF(T157=1,I157-('Parametros'!$B$7+'Parametros'!$B$9+'Parametros'!$B$12/2),I157-(ROUNDUP(S157/2,0)*('Parametros'!$B$7+'Parametros'!$B$9+'Parametros'!$B$12/2)+ROUNDDOWN(S157/2,0)*('Parametros'!$B$7+'Parametros'!$B$9+'Parametros'!$B$12/2+'Parametros'!$B$12+'Parametros'!$B$10))/S157)</f>
        <v>342.55</v>
      </c>
      <c r="V157" s="10">
        <f>S157*'Parametros'!$B$8</f>
        <v>597</v>
      </c>
      <c r="W157" s="10">
        <f>'Parametros'!$B$5*V157*'Parametros'!$B$3*(U157-(V157*'Parametros'!$B$3/(0.85*'Parametros'!$B$2*H157))/2)/1000000</f>
        <v>73.3394588294118</v>
      </c>
      <c r="X157" s="10" t="str">
        <f>IF(W157&gt;=J157,"CUMPLE","NO CUMPLE")</f>
        <v>CUMPLE</v>
      </c>
      <c r="Y157" s="10">
        <f>MAX(MAX(1.4/'Parametros'!$B$3,0.25*SQRT('Parametros'!$B$2)/'Parametros'!$B$3)*H157*AB157,(0.85*'Parametros'!$B$2/'Parametros'!$B$3)*(1-SQRT(1-2*(L157*1000000/('Parametros'!$B$5*H157*AB157^2))/(0.85*'Parametros'!$B$2)))*H157*AB157)</f>
        <v>342.55</v>
      </c>
      <c r="Z157" s="17" t="n">
        <v>2</v>
      </c>
      <c r="AA157" s="18" t="n">
        <v>1</v>
      </c>
      <c r="AB157" s="10">
        <f>IF(AA157=1,I157-('Parametros'!$B$7+'Parametros'!$B$9+'Parametros'!$B$12/2),I157-(ROUNDUP(Z157/2,0)*('Parametros'!$B$7+'Parametros'!$B$9+'Parametros'!$B$12/2)+ROUNDDOWN(Z157/2,0)*('Parametros'!$B$7+'Parametros'!$B$9+'Parametros'!$B$12/2+'Parametros'!$B$12+'Parametros'!$B$10))/Z157)</f>
        <v>342.55</v>
      </c>
      <c r="AC157" s="10">
        <f>Z157*'Parametros'!$B$8</f>
        <v>398</v>
      </c>
      <c r="AD157" s="10">
        <f>'Parametros'!$B$5*AC157*'Parametros'!$B$3*(AB157-(AC157*'Parametros'!$B$3/(0.85*'Parametros'!$B$2*H157))/2)/1000000</f>
        <v>49.7735124352941</v>
      </c>
      <c r="AE157" s="10" t="str">
        <f>IF(AD157&gt;=L157,"CUMPLE","NO CUMPLE")</f>
        <v>CUMPLE</v>
      </c>
      <c r="AF157" s="10">
        <f>V157*1.25*'Parametros'!$B$3*(U157-(V157*1.25*'Parametros'!$B$3/(0.85*'Parametros'!$B$2*H157))/2)/1000000</f>
        <v>100.484515919118</v>
      </c>
      <c r="AG157" s="10">
        <f>AC157*1.25*'Parametros'!$B$3*(AB157-(AC157*1.25*'Parametros'!$B$3/(0.85*'Parametros'!$B$2*H157))/2)/1000000</f>
        <v>68.5183923529412</v>
      </c>
      <c r="AH157" s="10">
        <f>N157+(AF157+AG157)/D157</f>
        <v>99.2340790441176</v>
      </c>
      <c r="AI157" s="10">
        <f>MIN(O157,MAX(N157,AH157))</f>
        <v>99.2340790441176</v>
      </c>
      <c r="AJ157" s="10">
        <f>0.17*SQRT('Parametros'!$B$2)*H157*MIN(U157,AB157)/1000</f>
        <v>92.4428153837279</v>
      </c>
      <c r="AK157" s="10">
        <f>MAX(AI157/'Parametros'!$B$6-AJ157,0)</f>
        <v>39.8692900084289</v>
      </c>
      <c r="AL157" s="10">
        <f>0.66*SQRT('Parametros'!$B$2)*H157*MIN(U157,AB157)/1000</f>
        <v>358.89563619565</v>
      </c>
      <c r="AM157" s="10" t="str">
        <f>IF(AK157&lt;=AL157,"CUMPLE","NO CUMPLE")</f>
        <v>CUMPLE</v>
      </c>
      <c r="AN157" s="15" t="inlineStr">
        <is>
          <t>Nº3 cerrado</t>
        </is>
      </c>
      <c r="AO157" s="17" t="n">
        <v>2</v>
      </c>
      <c r="AP157" s="10">
        <f>ROUNDDOWN(MIN(IF(AK157=0,1000000000,AO157*'Parametros'!$B$11*'Parametros'!$B$4*MIN(U157,AB157)/(AK157*1000)),IF(AV157=0,1000000000,'Parametros'!$B$11/AV157),MIN(U157,AB157)/4,8*'Parametros'!$B$12,24*'Parametros'!$B$9,300)/10,0)*10</f>
        <v>80</v>
      </c>
      <c r="AQ157" s="10">
        <f>ROUNDDOWN(MIN(IF(AK157=0,1000000000,AO157*'Parametros'!$B$11*'Parametros'!$B$4*MIN(U157,AB157)/(AK157*1000)),IF(AV157=0,1000000000,'Parametros'!$B$11/AV157),MIN(U157,AB157)/2,600)/10,0)*10</f>
        <v>170</v>
      </c>
      <c r="AR157" s="10">
        <f>'Parametros'!$B$6*(AJ157+AO157*'Parametros'!$B$11*'Parametros'!$B$4*MIN(U157,AB157)/AP157/1000)</f>
        <v>260.860380287796</v>
      </c>
      <c r="AS157" s="10" t="str">
        <f>IF(AND(AM157="CUMPLE",AR157&gt;=AI157),"CUMPLE","NO CUMPLE")</f>
        <v>CUMPLE</v>
      </c>
      <c r="AT157" s="10">
        <f>'Parametros'!$B$6*0.083*SQRT('Parametros'!$B$2)*(H157*I157)^2/(2*(H157+I157))/1000000</f>
        <v>3.38807353605471</v>
      </c>
      <c r="AU157" s="10" t="str">
        <f>IF(Q157&lt;=AT157,"DESPRECIABLE","DISEÑAR")</f>
        <v>DISEÑAR</v>
      </c>
      <c r="AV157" s="10">
        <f>IF(Q157&lt;=AT157,0,Q157*1000000/('Parametros'!$B$6*2*0.85*(H157-2*'Parametros'!$B$7)*(I157-2*'Parametros'!$B$7)*'Parametros'!$B$4))</f>
        <v>0.311584861217214</v>
      </c>
      <c r="AW157" s="10">
        <f>AV157*2*((H157-2*'Parametros'!$B$7)+(I157-2*'Parametros'!$B$7))*'Parametros'!$B$4/'Parametros'!$B$3</f>
        <v>336.511650114591</v>
      </c>
      <c r="AX157" s="17" t="n">
        <v>2</v>
      </c>
      <c r="AY157" s="10" t="str">
        <f>IF(AV157=0,"DESPRECIABLE",IF('Parametros'!$B$11/AP157&gt;=AV157,"CUMPLE","NO CUMPLE"))</f>
        <v>CUMPLE</v>
      </c>
      <c r="AZ157" s="10" t="str">
        <f>IF(AND(X157="CUMPLE",AE157="CUMPLE",AS157="CUMPLE",OR(AY157="CUMPLE",AY157="DESPRECIABLE")),IF(OR(F157&lt;&gt;H157,G157&lt;&gt;I157),"CUMPLE - REANALIZAR SAP","CUMPLE"),"NO CUMPLE")</f>
        <v>CUMPLE</v>
      </c>
    </row>
    <row r="158">
      <c r="A158" s="21" t="inlineStr">
        <is>
          <t>VC5</t>
        </is>
      </c>
      <c r="B158" s="21" t="inlineStr">
        <is>
          <t>1011</t>
        </is>
      </c>
      <c r="C158" s="10" t="n">
        <v>1</v>
      </c>
      <c r="D158" s="10" t="n">
        <v>3.9</v>
      </c>
      <c r="E158" s="10" t="n">
        <v>3.9</v>
      </c>
      <c r="F158" s="10" t="n">
        <v>300</v>
      </c>
      <c r="G158" s="10" t="n">
        <v>400</v>
      </c>
      <c r="H158" s="15" t="n">
        <v>300</v>
      </c>
      <c r="I158" s="15" t="n">
        <v>400</v>
      </c>
      <c r="J158" s="16" t="n">
        <v>58.8069</v>
      </c>
      <c r="K158" s="10" t="inlineStr">
        <is>
          <t>1011</t>
        </is>
      </c>
      <c r="L158" s="16" t="n">
        <v>19.8112</v>
      </c>
      <c r="M158" s="10" t="inlineStr">
        <is>
          <t>1011</t>
        </is>
      </c>
      <c r="N158" s="16" t="n">
        <v>55.973</v>
      </c>
      <c r="O158" s="16" t="n">
        <v>109.253</v>
      </c>
      <c r="P158" s="10" t="inlineStr">
        <is>
          <t>1011</t>
        </is>
      </c>
      <c r="Q158" s="16" t="n">
        <v>11.7603</v>
      </c>
      <c r="R158" s="10">
        <f>MAX(MAX(1.4/'Parametros'!$B$3,0.25*SQRT('Parametros'!$B$2)/'Parametros'!$B$3)*H158*U158,(0.85*'Parametros'!$B$2/'Parametros'!$B$3)*(1-SQRT(1-2*(J158*1000000/('Parametros'!$B$5*H158*U158^2))/(0.85*'Parametros'!$B$2)))*H158*U158)</f>
        <v>473.406477055998</v>
      </c>
      <c r="S158" s="17" t="n">
        <v>3</v>
      </c>
      <c r="T158" s="18" t="n">
        <v>1</v>
      </c>
      <c r="U158" s="10">
        <f>IF(T158=1,I158-('Parametros'!$B$7+'Parametros'!$B$9+'Parametros'!$B$12/2),I158-(ROUNDUP(S158/2,0)*('Parametros'!$B$7+'Parametros'!$B$9+'Parametros'!$B$12/2)+ROUNDDOWN(S158/2,0)*('Parametros'!$B$7+'Parametros'!$B$9+'Parametros'!$B$12/2+'Parametros'!$B$12+'Parametros'!$B$10))/S158)</f>
        <v>342.55</v>
      </c>
      <c r="V158" s="10">
        <f>S158*'Parametros'!$B$8</f>
        <v>597</v>
      </c>
      <c r="W158" s="10">
        <f>'Parametros'!$B$5*V158*'Parametros'!$B$3*(U158-(V158*'Parametros'!$B$3/(0.85*'Parametros'!$B$2*H158))/2)/1000000</f>
        <v>73.3394588294118</v>
      </c>
      <c r="X158" s="10" t="str">
        <f>IF(W158&gt;=J158,"CUMPLE","NO CUMPLE")</f>
        <v>CUMPLE</v>
      </c>
      <c r="Y158" s="10">
        <f>MAX(MAX(1.4/'Parametros'!$B$3,0.25*SQRT('Parametros'!$B$2)/'Parametros'!$B$3)*H158*AB158,(0.85*'Parametros'!$B$2/'Parametros'!$B$3)*(1-SQRT(1-2*(L158*1000000/('Parametros'!$B$5*H158*AB158^2))/(0.85*'Parametros'!$B$2)))*H158*AB158)</f>
        <v>342.55</v>
      </c>
      <c r="Z158" s="17" t="n">
        <v>2</v>
      </c>
      <c r="AA158" s="18" t="n">
        <v>1</v>
      </c>
      <c r="AB158" s="10">
        <f>IF(AA158=1,I158-('Parametros'!$B$7+'Parametros'!$B$9+'Parametros'!$B$12/2),I158-(ROUNDUP(Z158/2,0)*('Parametros'!$B$7+'Parametros'!$B$9+'Parametros'!$B$12/2)+ROUNDDOWN(Z158/2,0)*('Parametros'!$B$7+'Parametros'!$B$9+'Parametros'!$B$12/2+'Parametros'!$B$12+'Parametros'!$B$10))/Z158)</f>
        <v>342.55</v>
      </c>
      <c r="AC158" s="10">
        <f>Z158*'Parametros'!$B$8</f>
        <v>398</v>
      </c>
      <c r="AD158" s="10">
        <f>'Parametros'!$B$5*AC158*'Parametros'!$B$3*(AB158-(AC158*'Parametros'!$B$3/(0.85*'Parametros'!$B$2*H158))/2)/1000000</f>
        <v>49.7735124352941</v>
      </c>
      <c r="AE158" s="10" t="str">
        <f>IF(AD158&gt;=L158,"CUMPLE","NO CUMPLE")</f>
        <v>CUMPLE</v>
      </c>
      <c r="AF158" s="10">
        <f>V158*1.25*'Parametros'!$B$3*(U158-(V158*1.25*'Parametros'!$B$3/(0.85*'Parametros'!$B$2*H158))/2)/1000000</f>
        <v>100.484515919118</v>
      </c>
      <c r="AG158" s="10">
        <f>AC158*1.25*'Parametros'!$B$3*(AB158-(AC158*1.25*'Parametros'!$B$3/(0.85*'Parametros'!$B$2*H158))/2)/1000000</f>
        <v>68.5183923529412</v>
      </c>
      <c r="AH158" s="10">
        <f>N158+(AF158+AG158)/D158</f>
        <v>99.3070790441176</v>
      </c>
      <c r="AI158" s="10">
        <f>MIN(O158,MAX(N158,AH158))</f>
        <v>99.3070790441176</v>
      </c>
      <c r="AJ158" s="10">
        <f>0.17*SQRT('Parametros'!$B$2)*H158*MIN(U158,AB158)/1000</f>
        <v>92.4428153837279</v>
      </c>
      <c r="AK158" s="10">
        <f>MAX(AI158/'Parametros'!$B$6-AJ158,0)</f>
        <v>39.9666233417623</v>
      </c>
      <c r="AL158" s="10">
        <f>0.66*SQRT('Parametros'!$B$2)*H158*MIN(U158,AB158)/1000</f>
        <v>358.89563619565</v>
      </c>
      <c r="AM158" s="10" t="str">
        <f>IF(AK158&lt;=AL158,"CUMPLE","NO CUMPLE")</f>
        <v>CUMPLE</v>
      </c>
      <c r="AN158" s="15" t="inlineStr">
        <is>
          <t>Nº3 cerrado</t>
        </is>
      </c>
      <c r="AO158" s="17" t="n">
        <v>2</v>
      </c>
      <c r="AP158" s="10">
        <f>ROUNDDOWN(MIN(IF(AK158=0,1000000000,AO158*'Parametros'!$B$11*'Parametros'!$B$4*MIN(U158,AB158)/(AK158*1000)),IF(AV158=0,1000000000,'Parametros'!$B$11/AV158),MIN(U158,AB158)/4,8*'Parametros'!$B$12,24*'Parametros'!$B$9,300)/10,0)*10</f>
        <v>80</v>
      </c>
      <c r="AQ158" s="10">
        <f>ROUNDDOWN(MIN(IF(AK158=0,1000000000,AO158*'Parametros'!$B$11*'Parametros'!$B$4*MIN(U158,AB158)/(AK158*1000)),IF(AV158=0,1000000000,'Parametros'!$B$11/AV158),MIN(U158,AB158)/2,600)/10,0)*10</f>
        <v>170</v>
      </c>
      <c r="AR158" s="10">
        <f>'Parametros'!$B$6*(AJ158+AO158*'Parametros'!$B$11*'Parametros'!$B$4*MIN(U158,AB158)/AP158/1000)</f>
        <v>260.860380287796</v>
      </c>
      <c r="AS158" s="10" t="str">
        <f>IF(AND(AM158="CUMPLE",AR158&gt;=AI158),"CUMPLE","NO CUMPLE")</f>
        <v>CUMPLE</v>
      </c>
      <c r="AT158" s="10">
        <f>'Parametros'!$B$6*0.083*SQRT('Parametros'!$B$2)*(H158*I158)^2/(2*(H158+I158))/1000000</f>
        <v>3.38807353605471</v>
      </c>
      <c r="AU158" s="10" t="str">
        <f>IF(Q158&lt;=AT158,"DESPRECIABLE","DISEÑAR")</f>
        <v>DISEÑAR</v>
      </c>
      <c r="AV158" s="10">
        <f>IF(Q158&lt;=AT158,0,Q158*1000000/('Parametros'!$B$6*2*0.85*(H158-2*'Parametros'!$B$7)*(I158-2*'Parametros'!$B$7)*'Parametros'!$B$4))</f>
        <v>0.311950916730328</v>
      </c>
      <c r="AW158" s="10">
        <f>AV158*2*((H158-2*'Parametros'!$B$7)+(I158-2*'Parametros'!$B$7))*'Parametros'!$B$4/'Parametros'!$B$3</f>
        <v>336.906990068755</v>
      </c>
      <c r="AX158" s="17" t="n">
        <v>2</v>
      </c>
      <c r="AY158" s="10" t="str">
        <f>IF(AV158=0,"DESPRECIABLE",IF('Parametros'!$B$11/AP158&gt;=AV158,"CUMPLE","NO CUMPLE"))</f>
        <v>CUMPLE</v>
      </c>
      <c r="AZ158" s="10" t="str">
        <f>IF(AND(X158="CUMPLE",AE158="CUMPLE",AS158="CUMPLE",OR(AY158="CUMPLE",AY158="DESPRECIABLE")),IF(OR(F158&lt;&gt;H158,G158&lt;&gt;I158),"CUMPLE - REANALIZAR SAP","CUMPLE"),"NO CUMPLE")</f>
        <v>CUMPLE</v>
      </c>
    </row>
    <row r="159">
      <c r="A159" s="21" t="inlineStr">
        <is>
          <t>VC5</t>
        </is>
      </c>
      <c r="B159" s="21" t="inlineStr">
        <is>
          <t>1012</t>
        </is>
      </c>
      <c r="C159" s="10" t="n">
        <v>1</v>
      </c>
      <c r="D159" s="10" t="n">
        <v>3.85</v>
      </c>
      <c r="E159" s="10" t="n">
        <v>3.85</v>
      </c>
      <c r="F159" s="10" t="n">
        <v>300</v>
      </c>
      <c r="G159" s="10" t="n">
        <v>400</v>
      </c>
      <c r="H159" s="15" t="n">
        <v>300</v>
      </c>
      <c r="I159" s="15" t="n">
        <v>400</v>
      </c>
      <c r="J159" s="16" t="n">
        <v>34.2576</v>
      </c>
      <c r="K159" s="10" t="inlineStr">
        <is>
          <t>1012</t>
        </is>
      </c>
      <c r="L159" s="16" t="n">
        <v>18.5083</v>
      </c>
      <c r="M159" s="10" t="inlineStr">
        <is>
          <t>1012</t>
        </is>
      </c>
      <c r="N159" s="16" t="n">
        <v>24.002</v>
      </c>
      <c r="O159" s="16" t="n">
        <v>72.55200000000001</v>
      </c>
      <c r="P159" s="10" t="inlineStr">
        <is>
          <t>1012</t>
        </is>
      </c>
      <c r="Q159" s="16" t="n">
        <v>1.7223</v>
      </c>
      <c r="R159" s="10">
        <f>MAX(MAX(1.4/'Parametros'!$B$3,0.25*SQRT('Parametros'!$B$2)/'Parametros'!$B$3)*H159*U159,(0.85*'Parametros'!$B$2/'Parametros'!$B$3)*(1-SQRT(1-2*(J159*1000000/('Parametros'!$B$5*H159*U159^2))/(0.85*'Parametros'!$B$2)))*H159*U159)</f>
        <v>342.55</v>
      </c>
      <c r="S159" s="17" t="n">
        <v>2</v>
      </c>
      <c r="T159" s="18" t="n">
        <v>1</v>
      </c>
      <c r="U159" s="10">
        <f>IF(T159=1,I159-('Parametros'!$B$7+'Parametros'!$B$9+'Parametros'!$B$12/2),I159-(ROUNDUP(S159/2,0)*('Parametros'!$B$7+'Parametros'!$B$9+'Parametros'!$B$12/2)+ROUNDDOWN(S159/2,0)*('Parametros'!$B$7+'Parametros'!$B$9+'Parametros'!$B$12/2+'Parametros'!$B$12+'Parametros'!$B$10))/S159)</f>
        <v>342.55</v>
      </c>
      <c r="V159" s="10">
        <f>S159*'Parametros'!$B$8</f>
        <v>398</v>
      </c>
      <c r="W159" s="10">
        <f>'Parametros'!$B$5*V159*'Parametros'!$B$3*(U159-(V159*'Parametros'!$B$3/(0.85*'Parametros'!$B$2*H159))/2)/1000000</f>
        <v>49.7735124352941</v>
      </c>
      <c r="X159" s="10" t="str">
        <f>IF(W159&gt;=J159,"CUMPLE","NO CUMPLE")</f>
        <v>CUMPLE</v>
      </c>
      <c r="Y159" s="10">
        <f>MAX(MAX(1.4/'Parametros'!$B$3,0.25*SQRT('Parametros'!$B$2)/'Parametros'!$B$3)*H159*AB159,(0.85*'Parametros'!$B$2/'Parametros'!$B$3)*(1-SQRT(1-2*(L159*1000000/('Parametros'!$B$5*H159*AB159^2))/(0.85*'Parametros'!$B$2)))*H159*AB159)</f>
        <v>342.55</v>
      </c>
      <c r="Z159" s="17" t="n">
        <v>2</v>
      </c>
      <c r="AA159" s="18" t="n">
        <v>1</v>
      </c>
      <c r="AB159" s="10">
        <f>IF(AA159=1,I159-('Parametros'!$B$7+'Parametros'!$B$9+'Parametros'!$B$12/2),I159-(ROUNDUP(Z159/2,0)*('Parametros'!$B$7+'Parametros'!$B$9+'Parametros'!$B$12/2)+ROUNDDOWN(Z159/2,0)*('Parametros'!$B$7+'Parametros'!$B$9+'Parametros'!$B$12/2+'Parametros'!$B$12+'Parametros'!$B$10))/Z159)</f>
        <v>342.55</v>
      </c>
      <c r="AC159" s="10">
        <f>Z159*'Parametros'!$B$8</f>
        <v>398</v>
      </c>
      <c r="AD159" s="10">
        <f>'Parametros'!$B$5*AC159*'Parametros'!$B$3*(AB159-(AC159*'Parametros'!$B$3/(0.85*'Parametros'!$B$2*H159))/2)/1000000</f>
        <v>49.7735124352941</v>
      </c>
      <c r="AE159" s="10" t="str">
        <f>IF(AD159&gt;=L159,"CUMPLE","NO CUMPLE")</f>
        <v>CUMPLE</v>
      </c>
      <c r="AF159" s="10">
        <f>V159*1.25*'Parametros'!$B$3*(U159-(V159*1.25*'Parametros'!$B$3/(0.85*'Parametros'!$B$2*H159))/2)/1000000</f>
        <v>68.5183923529412</v>
      </c>
      <c r="AG159" s="10">
        <f>AC159*1.25*'Parametros'!$B$3*(AB159-(AC159*1.25*'Parametros'!$B$3/(0.85*'Parametros'!$B$2*H159))/2)/1000000</f>
        <v>68.5183923529412</v>
      </c>
      <c r="AH159" s="10">
        <f>N159+(AF159+AG159)/D159</f>
        <v>59.5959700534759</v>
      </c>
      <c r="AI159" s="10">
        <f>MIN(O159,MAX(N159,AH159))</f>
        <v>59.5959700534759</v>
      </c>
      <c r="AJ159" s="10">
        <f>0.17*SQRT('Parametros'!$B$2)*H159*MIN(U159,AB159)/1000</f>
        <v>92.4428153837279</v>
      </c>
      <c r="AK159" s="10">
        <f>MAX(AI159/'Parametros'!$B$6-AJ159,0)</f>
        <v>0</v>
      </c>
      <c r="AL159" s="10">
        <f>0.66*SQRT('Parametros'!$B$2)*H159*MIN(U159,AB159)/1000</f>
        <v>358.89563619565</v>
      </c>
      <c r="AM159" s="10" t="str">
        <f>IF(AK159&lt;=AL159,"CUMPLE","NO CUMPLE")</f>
        <v>CUMPLE</v>
      </c>
      <c r="AN159" s="15" t="inlineStr">
        <is>
          <t>Nº3 cerrado</t>
        </is>
      </c>
      <c r="AO159" s="17" t="n">
        <v>2</v>
      </c>
      <c r="AP159" s="10">
        <f>ROUNDDOWN(MIN(IF(AK159=0,1000000000,AO159*'Parametros'!$B$11*'Parametros'!$B$4*MIN(U159,AB159)/(AK159*1000)),IF(AV159=0,1000000000,'Parametros'!$B$11/AV159),MIN(U159,AB159)/4,8*'Parametros'!$B$12,24*'Parametros'!$B$9,300)/10,0)*10</f>
        <v>80</v>
      </c>
      <c r="AQ159" s="10">
        <f>ROUNDDOWN(MIN(IF(AK159=0,1000000000,AO159*'Parametros'!$B$11*'Parametros'!$B$4*MIN(U159,AB159)/(AK159*1000)),IF(AV159=0,1000000000,'Parametros'!$B$11/AV159),MIN(U159,AB159)/2,600)/10,0)*10</f>
        <v>170</v>
      </c>
      <c r="AR159" s="10">
        <f>'Parametros'!$B$6*(AJ159+AO159*'Parametros'!$B$11*'Parametros'!$B$4*MIN(U159,AB159)/AP159/1000)</f>
        <v>260.860380287796</v>
      </c>
      <c r="AS159" s="10" t="str">
        <f>IF(AND(AM159="CUMPLE",AR159&gt;=AI159),"CUMPLE","NO CUMPLE")</f>
        <v>CUMPLE</v>
      </c>
      <c r="AT159" s="10">
        <f>'Parametros'!$B$6*0.083*SQRT('Parametros'!$B$2)*(H159*I159)^2/(2*(H159+I159))/1000000</f>
        <v>3.38807353605471</v>
      </c>
      <c r="AU159" s="10" t="str">
        <f>IF(Q159&lt;=AT159,"DESPRECIABLE","DISEÑAR")</f>
        <v>DESPRECIABLE</v>
      </c>
      <c r="AV159" s="10">
        <f>IF(Q159&lt;=AT159,0,Q159*1000000/('Parametros'!$B$6*2*0.85*(H159-2*'Parametros'!$B$7)*(I159-2*'Parametros'!$B$7)*'Parametros'!$B$4))</f>
        <v>0</v>
      </c>
      <c r="AW159" s="10">
        <f>AV159*2*((H159-2*'Parametros'!$B$7)+(I159-2*'Parametros'!$B$7))*'Parametros'!$B$4/'Parametros'!$B$3</f>
        <v>0</v>
      </c>
      <c r="AX159" s="17" t="n">
        <v>0</v>
      </c>
      <c r="AY159" s="10" t="str">
        <f>IF(AV159=0,"DESPRECIABLE",IF('Parametros'!$B$11/AP159&gt;=AV159,"CUMPLE","NO CUMPLE"))</f>
        <v>DESPRECIABLE</v>
      </c>
      <c r="AZ159" s="10" t="str">
        <f>IF(AND(X159="CUMPLE",AE159="CUMPLE",AS159="CUMPLE",OR(AY159="CUMPLE",AY159="DESPRECIABLE")),IF(OR(F159&lt;&gt;H159,G159&lt;&gt;I159),"CUMPLE - REANALIZAR SAP","CUMPLE"),"NO CUMPLE")</f>
        <v>CUMPLE</v>
      </c>
    </row>
    <row r="160">
      <c r="A160" s="21" t="inlineStr">
        <is>
          <t>VC5</t>
        </is>
      </c>
      <c r="B160" s="21" t="inlineStr">
        <is>
          <t>1029</t>
        </is>
      </c>
      <c r="C160" s="10" t="n">
        <v>1</v>
      </c>
      <c r="D160" s="10" t="n">
        <v>3.85</v>
      </c>
      <c r="E160" s="10" t="n">
        <v>3.85</v>
      </c>
      <c r="F160" s="10" t="n">
        <v>300</v>
      </c>
      <c r="G160" s="10" t="n">
        <v>400</v>
      </c>
      <c r="H160" s="15" t="n">
        <v>300</v>
      </c>
      <c r="I160" s="15" t="n">
        <v>400</v>
      </c>
      <c r="J160" s="16" t="n">
        <v>34.2632</v>
      </c>
      <c r="K160" s="10" t="inlineStr">
        <is>
          <t>1029</t>
        </is>
      </c>
      <c r="L160" s="16" t="n">
        <v>18.5161</v>
      </c>
      <c r="M160" s="10" t="inlineStr">
        <is>
          <t>1029</t>
        </is>
      </c>
      <c r="N160" s="16" t="n">
        <v>24.002</v>
      </c>
      <c r="O160" s="16" t="n">
        <v>72.557</v>
      </c>
      <c r="P160" s="10" t="inlineStr">
        <is>
          <t>1029</t>
        </is>
      </c>
      <c r="Q160" s="16" t="n">
        <v>1.7184</v>
      </c>
      <c r="R160" s="10">
        <f>MAX(MAX(1.4/'Parametros'!$B$3,0.25*SQRT('Parametros'!$B$2)/'Parametros'!$B$3)*H160*U160,(0.85*'Parametros'!$B$2/'Parametros'!$B$3)*(1-SQRT(1-2*(J160*1000000/('Parametros'!$B$5*H160*U160^2))/(0.85*'Parametros'!$B$2)))*H160*U160)</f>
        <v>342.55</v>
      </c>
      <c r="S160" s="17" t="n">
        <v>2</v>
      </c>
      <c r="T160" s="18" t="n">
        <v>1</v>
      </c>
      <c r="U160" s="10">
        <f>IF(T160=1,I160-('Parametros'!$B$7+'Parametros'!$B$9+'Parametros'!$B$12/2),I160-(ROUNDUP(S160/2,0)*('Parametros'!$B$7+'Parametros'!$B$9+'Parametros'!$B$12/2)+ROUNDDOWN(S160/2,0)*('Parametros'!$B$7+'Parametros'!$B$9+'Parametros'!$B$12/2+'Parametros'!$B$12+'Parametros'!$B$10))/S160)</f>
        <v>342.55</v>
      </c>
      <c r="V160" s="10">
        <f>S160*'Parametros'!$B$8</f>
        <v>398</v>
      </c>
      <c r="W160" s="10">
        <f>'Parametros'!$B$5*V160*'Parametros'!$B$3*(U160-(V160*'Parametros'!$B$3/(0.85*'Parametros'!$B$2*H160))/2)/1000000</f>
        <v>49.7735124352941</v>
      </c>
      <c r="X160" s="10" t="str">
        <f>IF(W160&gt;=J160,"CUMPLE","NO CUMPLE")</f>
        <v>CUMPLE</v>
      </c>
      <c r="Y160" s="10">
        <f>MAX(MAX(1.4/'Parametros'!$B$3,0.25*SQRT('Parametros'!$B$2)/'Parametros'!$B$3)*H160*AB160,(0.85*'Parametros'!$B$2/'Parametros'!$B$3)*(1-SQRT(1-2*(L160*1000000/('Parametros'!$B$5*H160*AB160^2))/(0.85*'Parametros'!$B$2)))*H160*AB160)</f>
        <v>342.55</v>
      </c>
      <c r="Z160" s="17" t="n">
        <v>2</v>
      </c>
      <c r="AA160" s="18" t="n">
        <v>1</v>
      </c>
      <c r="AB160" s="10">
        <f>IF(AA160=1,I160-('Parametros'!$B$7+'Parametros'!$B$9+'Parametros'!$B$12/2),I160-(ROUNDUP(Z160/2,0)*('Parametros'!$B$7+'Parametros'!$B$9+'Parametros'!$B$12/2)+ROUNDDOWN(Z160/2,0)*('Parametros'!$B$7+'Parametros'!$B$9+'Parametros'!$B$12/2+'Parametros'!$B$12+'Parametros'!$B$10))/Z160)</f>
        <v>342.55</v>
      </c>
      <c r="AC160" s="10">
        <f>Z160*'Parametros'!$B$8</f>
        <v>398</v>
      </c>
      <c r="AD160" s="10">
        <f>'Parametros'!$B$5*AC160*'Parametros'!$B$3*(AB160-(AC160*'Parametros'!$B$3/(0.85*'Parametros'!$B$2*H160))/2)/1000000</f>
        <v>49.7735124352941</v>
      </c>
      <c r="AE160" s="10" t="str">
        <f>IF(AD160&gt;=L160,"CUMPLE","NO CUMPLE")</f>
        <v>CUMPLE</v>
      </c>
      <c r="AF160" s="10">
        <f>V160*1.25*'Parametros'!$B$3*(U160-(V160*1.25*'Parametros'!$B$3/(0.85*'Parametros'!$B$2*H160))/2)/1000000</f>
        <v>68.5183923529412</v>
      </c>
      <c r="AG160" s="10">
        <f>AC160*1.25*'Parametros'!$B$3*(AB160-(AC160*1.25*'Parametros'!$B$3/(0.85*'Parametros'!$B$2*H160))/2)/1000000</f>
        <v>68.5183923529412</v>
      </c>
      <c r="AH160" s="10">
        <f>N160+(AF160+AG160)/D160</f>
        <v>59.5959700534759</v>
      </c>
      <c r="AI160" s="10">
        <f>MIN(O160,MAX(N160,AH160))</f>
        <v>59.5959700534759</v>
      </c>
      <c r="AJ160" s="10">
        <f>0.17*SQRT('Parametros'!$B$2)*H160*MIN(U160,AB160)/1000</f>
        <v>92.4428153837279</v>
      </c>
      <c r="AK160" s="10">
        <f>MAX(AI160/'Parametros'!$B$6-AJ160,0)</f>
        <v>0</v>
      </c>
      <c r="AL160" s="10">
        <f>0.66*SQRT('Parametros'!$B$2)*H160*MIN(U160,AB160)/1000</f>
        <v>358.89563619565</v>
      </c>
      <c r="AM160" s="10" t="str">
        <f>IF(AK160&lt;=AL160,"CUMPLE","NO CUMPLE")</f>
        <v>CUMPLE</v>
      </c>
      <c r="AN160" s="15" t="inlineStr">
        <is>
          <t>Nº3 cerrado</t>
        </is>
      </c>
      <c r="AO160" s="17" t="n">
        <v>2</v>
      </c>
      <c r="AP160" s="10">
        <f>ROUNDDOWN(MIN(IF(AK160=0,1000000000,AO160*'Parametros'!$B$11*'Parametros'!$B$4*MIN(U160,AB160)/(AK160*1000)),IF(AV160=0,1000000000,'Parametros'!$B$11/AV160),MIN(U160,AB160)/4,8*'Parametros'!$B$12,24*'Parametros'!$B$9,300)/10,0)*10</f>
        <v>80</v>
      </c>
      <c r="AQ160" s="10">
        <f>ROUNDDOWN(MIN(IF(AK160=0,1000000000,AO160*'Parametros'!$B$11*'Parametros'!$B$4*MIN(U160,AB160)/(AK160*1000)),IF(AV160=0,1000000000,'Parametros'!$B$11/AV160),MIN(U160,AB160)/2,600)/10,0)*10</f>
        <v>170</v>
      </c>
      <c r="AR160" s="10">
        <f>'Parametros'!$B$6*(AJ160+AO160*'Parametros'!$B$11*'Parametros'!$B$4*MIN(U160,AB160)/AP160/1000)</f>
        <v>260.860380287796</v>
      </c>
      <c r="AS160" s="10" t="str">
        <f>IF(AND(AM160="CUMPLE",AR160&gt;=AI160),"CUMPLE","NO CUMPLE")</f>
        <v>CUMPLE</v>
      </c>
      <c r="AT160" s="10">
        <f>'Parametros'!$B$6*0.083*SQRT('Parametros'!$B$2)*(H160*I160)^2/(2*(H160+I160))/1000000</f>
        <v>3.38807353605471</v>
      </c>
      <c r="AU160" s="10" t="str">
        <f>IF(Q160&lt;=AT160,"DESPRECIABLE","DISEÑAR")</f>
        <v>DESPRECIABLE</v>
      </c>
      <c r="AV160" s="10">
        <f>IF(Q160&lt;=AT160,0,Q160*1000000/('Parametros'!$B$6*2*0.85*(H160-2*'Parametros'!$B$7)*(I160-2*'Parametros'!$B$7)*'Parametros'!$B$4))</f>
        <v>0</v>
      </c>
      <c r="AW160" s="10">
        <f>AV160*2*((H160-2*'Parametros'!$B$7)+(I160-2*'Parametros'!$B$7))*'Parametros'!$B$4/'Parametros'!$B$3</f>
        <v>0</v>
      </c>
      <c r="AX160" s="17" t="n">
        <v>0</v>
      </c>
      <c r="AY160" s="10" t="str">
        <f>IF(AV160=0,"DESPRECIABLE",IF('Parametros'!$B$11/AP160&gt;=AV160,"CUMPLE","NO CUMPLE"))</f>
        <v>DESPRECIABLE</v>
      </c>
      <c r="AZ160" s="10" t="str">
        <f>IF(AND(X160="CUMPLE",AE160="CUMPLE",AS160="CUMPLE",OR(AY160="CUMPLE",AY160="DESPRECIABLE")),IF(OR(F160&lt;&gt;H160,G160&lt;&gt;I160),"CUMPLE - REANALIZAR SAP","CUMPLE"),"NO CUMPLE")</f>
        <v>CUMPLE</v>
      </c>
    </row>
    <row r="161">
      <c r="A161" s="21" t="inlineStr">
        <is>
          <t>VC5</t>
        </is>
      </c>
      <c r="B161" s="21" t="inlineStr">
        <is>
          <t>1030</t>
        </is>
      </c>
      <c r="C161" s="10" t="n">
        <v>1</v>
      </c>
      <c r="D161" s="10" t="n">
        <v>3.9</v>
      </c>
      <c r="E161" s="10" t="n">
        <v>3.9</v>
      </c>
      <c r="F161" s="10" t="n">
        <v>300</v>
      </c>
      <c r="G161" s="10" t="n">
        <v>400</v>
      </c>
      <c r="H161" s="15" t="n">
        <v>300</v>
      </c>
      <c r="I161" s="15" t="n">
        <v>400</v>
      </c>
      <c r="J161" s="16" t="n">
        <v>58.8236</v>
      </c>
      <c r="K161" s="10" t="inlineStr">
        <is>
          <t>1030</t>
        </is>
      </c>
      <c r="L161" s="16" t="n">
        <v>19.813</v>
      </c>
      <c r="M161" s="10" t="inlineStr">
        <is>
          <t>1030</t>
        </is>
      </c>
      <c r="N161" s="16" t="n">
        <v>56.009</v>
      </c>
      <c r="O161" s="16" t="n">
        <v>109.288</v>
      </c>
      <c r="P161" s="10" t="inlineStr">
        <is>
          <t>1030</t>
        </is>
      </c>
      <c r="Q161" s="16" t="n">
        <v>11.7815</v>
      </c>
      <c r="R161" s="10">
        <f>MAX(MAX(1.4/'Parametros'!$B$3,0.25*SQRT('Parametros'!$B$2)/'Parametros'!$B$3)*H161*U161,(0.85*'Parametros'!$B$2/'Parametros'!$B$3)*(1-SQRT(1-2*(J161*1000000/('Parametros'!$B$5*H161*U161^2))/(0.85*'Parametros'!$B$2)))*H161*U161)</f>
        <v>473.546865090421</v>
      </c>
      <c r="S161" s="17" t="n">
        <v>3</v>
      </c>
      <c r="T161" s="18" t="n">
        <v>1</v>
      </c>
      <c r="U161" s="10">
        <f>IF(T161=1,I161-('Parametros'!$B$7+'Parametros'!$B$9+'Parametros'!$B$12/2),I161-(ROUNDUP(S161/2,0)*('Parametros'!$B$7+'Parametros'!$B$9+'Parametros'!$B$12/2)+ROUNDDOWN(S161/2,0)*('Parametros'!$B$7+'Parametros'!$B$9+'Parametros'!$B$12/2+'Parametros'!$B$12+'Parametros'!$B$10))/S161)</f>
        <v>342.55</v>
      </c>
      <c r="V161" s="10">
        <f>S161*'Parametros'!$B$8</f>
        <v>597</v>
      </c>
      <c r="W161" s="10">
        <f>'Parametros'!$B$5*V161*'Parametros'!$B$3*(U161-(V161*'Parametros'!$B$3/(0.85*'Parametros'!$B$2*H161))/2)/1000000</f>
        <v>73.3394588294118</v>
      </c>
      <c r="X161" s="10" t="str">
        <f>IF(W161&gt;=J161,"CUMPLE","NO CUMPLE")</f>
        <v>CUMPLE</v>
      </c>
      <c r="Y161" s="10">
        <f>MAX(MAX(1.4/'Parametros'!$B$3,0.25*SQRT('Parametros'!$B$2)/'Parametros'!$B$3)*H161*AB161,(0.85*'Parametros'!$B$2/'Parametros'!$B$3)*(1-SQRT(1-2*(L161*1000000/('Parametros'!$B$5*H161*AB161^2))/(0.85*'Parametros'!$B$2)))*H161*AB161)</f>
        <v>342.55</v>
      </c>
      <c r="Z161" s="17" t="n">
        <v>2</v>
      </c>
      <c r="AA161" s="18" t="n">
        <v>1</v>
      </c>
      <c r="AB161" s="10">
        <f>IF(AA161=1,I161-('Parametros'!$B$7+'Parametros'!$B$9+'Parametros'!$B$12/2),I161-(ROUNDUP(Z161/2,0)*('Parametros'!$B$7+'Parametros'!$B$9+'Parametros'!$B$12/2)+ROUNDDOWN(Z161/2,0)*('Parametros'!$B$7+'Parametros'!$B$9+'Parametros'!$B$12/2+'Parametros'!$B$12+'Parametros'!$B$10))/Z161)</f>
        <v>342.55</v>
      </c>
      <c r="AC161" s="10">
        <f>Z161*'Parametros'!$B$8</f>
        <v>398</v>
      </c>
      <c r="AD161" s="10">
        <f>'Parametros'!$B$5*AC161*'Parametros'!$B$3*(AB161-(AC161*'Parametros'!$B$3/(0.85*'Parametros'!$B$2*H161))/2)/1000000</f>
        <v>49.7735124352941</v>
      </c>
      <c r="AE161" s="10" t="str">
        <f>IF(AD161&gt;=L161,"CUMPLE","NO CUMPLE")</f>
        <v>CUMPLE</v>
      </c>
      <c r="AF161" s="10">
        <f>V161*1.25*'Parametros'!$B$3*(U161-(V161*1.25*'Parametros'!$B$3/(0.85*'Parametros'!$B$2*H161))/2)/1000000</f>
        <v>100.484515919118</v>
      </c>
      <c r="AG161" s="10">
        <f>AC161*1.25*'Parametros'!$B$3*(AB161-(AC161*1.25*'Parametros'!$B$3/(0.85*'Parametros'!$B$2*H161))/2)/1000000</f>
        <v>68.5183923529412</v>
      </c>
      <c r="AH161" s="10">
        <f>N161+(AF161+AG161)/D161</f>
        <v>99.3430790441176</v>
      </c>
      <c r="AI161" s="10">
        <f>MIN(O161,MAX(N161,AH161))</f>
        <v>99.3430790441176</v>
      </c>
      <c r="AJ161" s="10">
        <f>0.17*SQRT('Parametros'!$B$2)*H161*MIN(U161,AB161)/1000</f>
        <v>92.4428153837279</v>
      </c>
      <c r="AK161" s="10">
        <f>MAX(AI161/'Parametros'!$B$6-AJ161,0)</f>
        <v>40.0146233417623</v>
      </c>
      <c r="AL161" s="10">
        <f>0.66*SQRT('Parametros'!$B$2)*H161*MIN(U161,AB161)/1000</f>
        <v>358.89563619565</v>
      </c>
      <c r="AM161" s="10" t="str">
        <f>IF(AK161&lt;=AL161,"CUMPLE","NO CUMPLE")</f>
        <v>CUMPLE</v>
      </c>
      <c r="AN161" s="15" t="inlineStr">
        <is>
          <t>Nº3 cerrado</t>
        </is>
      </c>
      <c r="AO161" s="17" t="n">
        <v>2</v>
      </c>
      <c r="AP161" s="10">
        <f>ROUNDDOWN(MIN(IF(AK161=0,1000000000,AO161*'Parametros'!$B$11*'Parametros'!$B$4*MIN(U161,AB161)/(AK161*1000)),IF(AV161=0,1000000000,'Parametros'!$B$11/AV161),MIN(U161,AB161)/4,8*'Parametros'!$B$12,24*'Parametros'!$B$9,300)/10,0)*10</f>
        <v>80</v>
      </c>
      <c r="AQ161" s="10">
        <f>ROUNDDOWN(MIN(IF(AK161=0,1000000000,AO161*'Parametros'!$B$11*'Parametros'!$B$4*MIN(U161,AB161)/(AK161*1000)),IF(AV161=0,1000000000,'Parametros'!$B$11/AV161),MIN(U161,AB161)/2,600)/10,0)*10</f>
        <v>170</v>
      </c>
      <c r="AR161" s="10">
        <f>'Parametros'!$B$6*(AJ161+AO161*'Parametros'!$B$11*'Parametros'!$B$4*MIN(U161,AB161)/AP161/1000)</f>
        <v>260.860380287796</v>
      </c>
      <c r="AS161" s="10" t="str">
        <f>IF(AND(AM161="CUMPLE",AR161&gt;=AI161),"CUMPLE","NO CUMPLE")</f>
        <v>CUMPLE</v>
      </c>
      <c r="AT161" s="10">
        <f>'Parametros'!$B$6*0.083*SQRT('Parametros'!$B$2)*(H161*I161)^2/(2*(H161+I161))/1000000</f>
        <v>3.38807353605471</v>
      </c>
      <c r="AU161" s="10" t="str">
        <f>IF(Q161&lt;=AT161,"DESPRECIABLE","DISEÑAR")</f>
        <v>DISEÑAR</v>
      </c>
      <c r="AV161" s="10">
        <f>IF(Q161&lt;=AT161,0,Q161*1000000/('Parametros'!$B$6*2*0.85*(H161-2*'Parametros'!$B$7)*(I161-2*'Parametros'!$B$7)*'Parametros'!$B$4))</f>
        <v>0.31251326288091</v>
      </c>
      <c r="AW161" s="10">
        <f>AV161*2*((H161-2*'Parametros'!$B$7)+(I161-2*'Parametros'!$B$7))*'Parametros'!$B$4/'Parametros'!$B$3</f>
        <v>337.514323911383</v>
      </c>
      <c r="AX161" s="17" t="n">
        <v>2</v>
      </c>
      <c r="AY161" s="10" t="str">
        <f>IF(AV161=0,"DESPRECIABLE",IF('Parametros'!$B$11/AP161&gt;=AV161,"CUMPLE","NO CUMPLE"))</f>
        <v>CUMPLE</v>
      </c>
      <c r="AZ161" s="10" t="str">
        <f>IF(AND(X161="CUMPLE",AE161="CUMPLE",AS161="CUMPLE",OR(AY161="CUMPLE",AY161="DESPRECIABLE")),IF(OR(F161&lt;&gt;H161,G161&lt;&gt;I161),"CUMPLE - REANALIZAR SAP","CUMPLE"),"NO CUMPLE")</f>
        <v>CUMPLE</v>
      </c>
    </row>
    <row r="162">
      <c r="A162" s="21" t="inlineStr">
        <is>
          <t>VC5</t>
        </is>
      </c>
      <c r="B162" s="21" t="inlineStr">
        <is>
          <t>1031</t>
        </is>
      </c>
      <c r="C162" s="10" t="n">
        <v>1</v>
      </c>
      <c r="D162" s="10" t="n">
        <v>3.9</v>
      </c>
      <c r="E162" s="10" t="n">
        <v>3.9</v>
      </c>
      <c r="F162" s="10" t="n">
        <v>300</v>
      </c>
      <c r="G162" s="10" t="n">
        <v>400</v>
      </c>
      <c r="H162" s="15" t="n">
        <v>300</v>
      </c>
      <c r="I162" s="15" t="n">
        <v>400</v>
      </c>
      <c r="J162" s="16" t="n">
        <v>58.7309</v>
      </c>
      <c r="K162" s="10" t="inlineStr">
        <is>
          <t>1031</t>
        </is>
      </c>
      <c r="L162" s="16" t="n">
        <v>19.8716</v>
      </c>
      <c r="M162" s="10" t="inlineStr">
        <is>
          <t>1031</t>
        </is>
      </c>
      <c r="N162" s="16" t="n">
        <v>55.921</v>
      </c>
      <c r="O162" s="16" t="n">
        <v>109.186</v>
      </c>
      <c r="P162" s="10" t="inlineStr">
        <is>
          <t>1031</t>
        </is>
      </c>
      <c r="Q162" s="16" t="n">
        <v>11.7485</v>
      </c>
      <c r="R162" s="10">
        <f>MAX(MAX(1.4/'Parametros'!$B$3,0.25*SQRT('Parametros'!$B$2)/'Parametros'!$B$3)*H162*U162,(0.85*'Parametros'!$B$2/'Parametros'!$B$3)*(1-SQRT(1-2*(J162*1000000/('Parametros'!$B$5*H162*U162^2))/(0.85*'Parametros'!$B$2)))*H162*U162)</f>
        <v>472.767631927675</v>
      </c>
      <c r="S162" s="17" t="n">
        <v>3</v>
      </c>
      <c r="T162" s="18" t="n">
        <v>1</v>
      </c>
      <c r="U162" s="10">
        <f>IF(T162=1,I162-('Parametros'!$B$7+'Parametros'!$B$9+'Parametros'!$B$12/2),I162-(ROUNDUP(S162/2,0)*('Parametros'!$B$7+'Parametros'!$B$9+'Parametros'!$B$12/2)+ROUNDDOWN(S162/2,0)*('Parametros'!$B$7+'Parametros'!$B$9+'Parametros'!$B$12/2+'Parametros'!$B$12+'Parametros'!$B$10))/S162)</f>
        <v>342.55</v>
      </c>
      <c r="V162" s="10">
        <f>S162*'Parametros'!$B$8</f>
        <v>597</v>
      </c>
      <c r="W162" s="10">
        <f>'Parametros'!$B$5*V162*'Parametros'!$B$3*(U162-(V162*'Parametros'!$B$3/(0.85*'Parametros'!$B$2*H162))/2)/1000000</f>
        <v>73.3394588294118</v>
      </c>
      <c r="X162" s="10" t="str">
        <f>IF(W162&gt;=J162,"CUMPLE","NO CUMPLE")</f>
        <v>CUMPLE</v>
      </c>
      <c r="Y162" s="10">
        <f>MAX(MAX(1.4/'Parametros'!$B$3,0.25*SQRT('Parametros'!$B$2)/'Parametros'!$B$3)*H162*AB162,(0.85*'Parametros'!$B$2/'Parametros'!$B$3)*(1-SQRT(1-2*(L162*1000000/('Parametros'!$B$5*H162*AB162^2))/(0.85*'Parametros'!$B$2)))*H162*AB162)</f>
        <v>342.55</v>
      </c>
      <c r="Z162" s="17" t="n">
        <v>2</v>
      </c>
      <c r="AA162" s="18" t="n">
        <v>1</v>
      </c>
      <c r="AB162" s="10">
        <f>IF(AA162=1,I162-('Parametros'!$B$7+'Parametros'!$B$9+'Parametros'!$B$12/2),I162-(ROUNDUP(Z162/2,0)*('Parametros'!$B$7+'Parametros'!$B$9+'Parametros'!$B$12/2)+ROUNDDOWN(Z162/2,0)*('Parametros'!$B$7+'Parametros'!$B$9+'Parametros'!$B$12/2+'Parametros'!$B$12+'Parametros'!$B$10))/Z162)</f>
        <v>342.55</v>
      </c>
      <c r="AC162" s="10">
        <f>Z162*'Parametros'!$B$8</f>
        <v>398</v>
      </c>
      <c r="AD162" s="10">
        <f>'Parametros'!$B$5*AC162*'Parametros'!$B$3*(AB162-(AC162*'Parametros'!$B$3/(0.85*'Parametros'!$B$2*H162))/2)/1000000</f>
        <v>49.7735124352941</v>
      </c>
      <c r="AE162" s="10" t="str">
        <f>IF(AD162&gt;=L162,"CUMPLE","NO CUMPLE")</f>
        <v>CUMPLE</v>
      </c>
      <c r="AF162" s="10">
        <f>V162*1.25*'Parametros'!$B$3*(U162-(V162*1.25*'Parametros'!$B$3/(0.85*'Parametros'!$B$2*H162))/2)/1000000</f>
        <v>100.484515919118</v>
      </c>
      <c r="AG162" s="10">
        <f>AC162*1.25*'Parametros'!$B$3*(AB162-(AC162*1.25*'Parametros'!$B$3/(0.85*'Parametros'!$B$2*H162))/2)/1000000</f>
        <v>68.5183923529412</v>
      </c>
      <c r="AH162" s="10">
        <f>N162+(AF162+AG162)/D162</f>
        <v>99.2550790441177</v>
      </c>
      <c r="AI162" s="10">
        <f>MIN(O162,MAX(N162,AH162))</f>
        <v>99.2550790441177</v>
      </c>
      <c r="AJ162" s="10">
        <f>0.17*SQRT('Parametros'!$B$2)*H162*MIN(U162,AB162)/1000</f>
        <v>92.4428153837279</v>
      </c>
      <c r="AK162" s="10">
        <f>MAX(AI162/'Parametros'!$B$6-AJ162,0)</f>
        <v>39.8972900084289</v>
      </c>
      <c r="AL162" s="10">
        <f>0.66*SQRT('Parametros'!$B$2)*H162*MIN(U162,AB162)/1000</f>
        <v>358.89563619565</v>
      </c>
      <c r="AM162" s="10" t="str">
        <f>IF(AK162&lt;=AL162,"CUMPLE","NO CUMPLE")</f>
        <v>CUMPLE</v>
      </c>
      <c r="AN162" s="15" t="inlineStr">
        <is>
          <t>Nº3 cerrado</t>
        </is>
      </c>
      <c r="AO162" s="17" t="n">
        <v>2</v>
      </c>
      <c r="AP162" s="10">
        <f>ROUNDDOWN(MIN(IF(AK162=0,1000000000,AO162*'Parametros'!$B$11*'Parametros'!$B$4*MIN(U162,AB162)/(AK162*1000)),IF(AV162=0,1000000000,'Parametros'!$B$11/AV162),MIN(U162,AB162)/4,8*'Parametros'!$B$12,24*'Parametros'!$B$9,300)/10,0)*10</f>
        <v>80</v>
      </c>
      <c r="AQ162" s="10">
        <f>ROUNDDOWN(MIN(IF(AK162=0,1000000000,AO162*'Parametros'!$B$11*'Parametros'!$B$4*MIN(U162,AB162)/(AK162*1000)),IF(AV162=0,1000000000,'Parametros'!$B$11/AV162),MIN(U162,AB162)/2,600)/10,0)*10</f>
        <v>170</v>
      </c>
      <c r="AR162" s="10">
        <f>'Parametros'!$B$6*(AJ162+AO162*'Parametros'!$B$11*'Parametros'!$B$4*MIN(U162,AB162)/AP162/1000)</f>
        <v>260.860380287796</v>
      </c>
      <c r="AS162" s="10" t="str">
        <f>IF(AND(AM162="CUMPLE",AR162&gt;=AI162),"CUMPLE","NO CUMPLE")</f>
        <v>CUMPLE</v>
      </c>
      <c r="AT162" s="10">
        <f>'Parametros'!$B$6*0.083*SQRT('Parametros'!$B$2)*(H162*I162)^2/(2*(H162+I162))/1000000</f>
        <v>3.38807353605471</v>
      </c>
      <c r="AU162" s="10" t="str">
        <f>IF(Q162&lt;=AT162,"DESPRECIABLE","DISEÑAR")</f>
        <v>DISEÑAR</v>
      </c>
      <c r="AV162" s="10">
        <f>IF(Q162&lt;=AT162,0,Q162*1000000/('Parametros'!$B$6*2*0.85*(H162-2*'Parametros'!$B$7)*(I162-2*'Parametros'!$B$7)*'Parametros'!$B$4))</f>
        <v>0.311637912740854</v>
      </c>
      <c r="AW162" s="10">
        <f>AV162*2*((H162-2*'Parametros'!$B$7)+(I162-2*'Parametros'!$B$7))*'Parametros'!$B$4/'Parametros'!$B$3</f>
        <v>336.568945760122</v>
      </c>
      <c r="AX162" s="17" t="n">
        <v>2</v>
      </c>
      <c r="AY162" s="10" t="str">
        <f>IF(AV162=0,"DESPRECIABLE",IF('Parametros'!$B$11/AP162&gt;=AV162,"CUMPLE","NO CUMPLE"))</f>
        <v>CUMPLE</v>
      </c>
      <c r="AZ162" s="10" t="str">
        <f>IF(AND(X162="CUMPLE",AE162="CUMPLE",AS162="CUMPLE",OR(AY162="CUMPLE",AY162="DESPRECIABLE")),IF(OR(F162&lt;&gt;H162,G162&lt;&gt;I162),"CUMPLE - REANALIZAR SAP","CUMPLE"),"NO CUMPLE")</f>
        <v>CUMPLE</v>
      </c>
    </row>
    <row r="163">
      <c r="A163" s="21" t="inlineStr">
        <is>
          <t>VC5</t>
        </is>
      </c>
      <c r="B163" s="21" t="inlineStr">
        <is>
          <t>1032</t>
        </is>
      </c>
      <c r="C163" s="10" t="n">
        <v>1</v>
      </c>
      <c r="D163" s="10" t="n">
        <v>3.85</v>
      </c>
      <c r="E163" s="10" t="n">
        <v>3.85</v>
      </c>
      <c r="F163" s="10" t="n">
        <v>300</v>
      </c>
      <c r="G163" s="10" t="n">
        <v>400</v>
      </c>
      <c r="H163" s="15" t="n">
        <v>300</v>
      </c>
      <c r="I163" s="15" t="n">
        <v>400</v>
      </c>
      <c r="J163" s="16" t="n">
        <v>34.2752</v>
      </c>
      <c r="K163" s="10" t="inlineStr">
        <is>
          <t>1032</t>
        </is>
      </c>
      <c r="L163" s="16" t="n">
        <v>18.5237</v>
      </c>
      <c r="M163" s="10" t="inlineStr">
        <is>
          <t>1032</t>
        </is>
      </c>
      <c r="N163" s="16" t="n">
        <v>24.009</v>
      </c>
      <c r="O163" s="16" t="n">
        <v>72.56399999999999</v>
      </c>
      <c r="P163" s="10" t="inlineStr">
        <is>
          <t>1032</t>
        </is>
      </c>
      <c r="Q163" s="16" t="n">
        <v>1.7183</v>
      </c>
      <c r="R163" s="10">
        <f>MAX(MAX(1.4/'Parametros'!$B$3,0.25*SQRT('Parametros'!$B$2)/'Parametros'!$B$3)*H163*U163,(0.85*'Parametros'!$B$2/'Parametros'!$B$3)*(1-SQRT(1-2*(J163*1000000/('Parametros'!$B$5*H163*U163^2))/(0.85*'Parametros'!$B$2)))*H163*U163)</f>
        <v>342.55</v>
      </c>
      <c r="S163" s="17" t="n">
        <v>2</v>
      </c>
      <c r="T163" s="18" t="n">
        <v>1</v>
      </c>
      <c r="U163" s="10">
        <f>IF(T163=1,I163-('Parametros'!$B$7+'Parametros'!$B$9+'Parametros'!$B$12/2),I163-(ROUNDUP(S163/2,0)*('Parametros'!$B$7+'Parametros'!$B$9+'Parametros'!$B$12/2)+ROUNDDOWN(S163/2,0)*('Parametros'!$B$7+'Parametros'!$B$9+'Parametros'!$B$12/2+'Parametros'!$B$12+'Parametros'!$B$10))/S163)</f>
        <v>342.55</v>
      </c>
      <c r="V163" s="10">
        <f>S163*'Parametros'!$B$8</f>
        <v>398</v>
      </c>
      <c r="W163" s="10">
        <f>'Parametros'!$B$5*V163*'Parametros'!$B$3*(U163-(V163*'Parametros'!$B$3/(0.85*'Parametros'!$B$2*H163))/2)/1000000</f>
        <v>49.7735124352941</v>
      </c>
      <c r="X163" s="10" t="str">
        <f>IF(W163&gt;=J163,"CUMPLE","NO CUMPLE")</f>
        <v>CUMPLE</v>
      </c>
      <c r="Y163" s="10">
        <f>MAX(MAX(1.4/'Parametros'!$B$3,0.25*SQRT('Parametros'!$B$2)/'Parametros'!$B$3)*H163*AB163,(0.85*'Parametros'!$B$2/'Parametros'!$B$3)*(1-SQRT(1-2*(L163*1000000/('Parametros'!$B$5*H163*AB163^2))/(0.85*'Parametros'!$B$2)))*H163*AB163)</f>
        <v>342.55</v>
      </c>
      <c r="Z163" s="17" t="n">
        <v>2</v>
      </c>
      <c r="AA163" s="18" t="n">
        <v>1</v>
      </c>
      <c r="AB163" s="10">
        <f>IF(AA163=1,I163-('Parametros'!$B$7+'Parametros'!$B$9+'Parametros'!$B$12/2),I163-(ROUNDUP(Z163/2,0)*('Parametros'!$B$7+'Parametros'!$B$9+'Parametros'!$B$12/2)+ROUNDDOWN(Z163/2,0)*('Parametros'!$B$7+'Parametros'!$B$9+'Parametros'!$B$12/2+'Parametros'!$B$12+'Parametros'!$B$10))/Z163)</f>
        <v>342.55</v>
      </c>
      <c r="AC163" s="10">
        <f>Z163*'Parametros'!$B$8</f>
        <v>398</v>
      </c>
      <c r="AD163" s="10">
        <f>'Parametros'!$B$5*AC163*'Parametros'!$B$3*(AB163-(AC163*'Parametros'!$B$3/(0.85*'Parametros'!$B$2*H163))/2)/1000000</f>
        <v>49.7735124352941</v>
      </c>
      <c r="AE163" s="10" t="str">
        <f>IF(AD163&gt;=L163,"CUMPLE","NO CUMPLE")</f>
        <v>CUMPLE</v>
      </c>
      <c r="AF163" s="10">
        <f>V163*1.25*'Parametros'!$B$3*(U163-(V163*1.25*'Parametros'!$B$3/(0.85*'Parametros'!$B$2*H163))/2)/1000000</f>
        <v>68.5183923529412</v>
      </c>
      <c r="AG163" s="10">
        <f>AC163*1.25*'Parametros'!$B$3*(AB163-(AC163*1.25*'Parametros'!$B$3/(0.85*'Parametros'!$B$2*H163))/2)/1000000</f>
        <v>68.5183923529412</v>
      </c>
      <c r="AH163" s="10">
        <f>N163+(AF163+AG163)/D163</f>
        <v>59.6029700534759</v>
      </c>
      <c r="AI163" s="10">
        <f>MIN(O163,MAX(N163,AH163))</f>
        <v>59.6029700534759</v>
      </c>
      <c r="AJ163" s="10">
        <f>0.17*SQRT('Parametros'!$B$2)*H163*MIN(U163,AB163)/1000</f>
        <v>92.4428153837279</v>
      </c>
      <c r="AK163" s="10">
        <f>MAX(AI163/'Parametros'!$B$6-AJ163,0)</f>
        <v>0</v>
      </c>
      <c r="AL163" s="10">
        <f>0.66*SQRT('Parametros'!$B$2)*H163*MIN(U163,AB163)/1000</f>
        <v>358.89563619565</v>
      </c>
      <c r="AM163" s="10" t="str">
        <f>IF(AK163&lt;=AL163,"CUMPLE","NO CUMPLE")</f>
        <v>CUMPLE</v>
      </c>
      <c r="AN163" s="15" t="inlineStr">
        <is>
          <t>Nº3 cerrado</t>
        </is>
      </c>
      <c r="AO163" s="17" t="n">
        <v>2</v>
      </c>
      <c r="AP163" s="10">
        <f>ROUNDDOWN(MIN(IF(AK163=0,1000000000,AO163*'Parametros'!$B$11*'Parametros'!$B$4*MIN(U163,AB163)/(AK163*1000)),IF(AV163=0,1000000000,'Parametros'!$B$11/AV163),MIN(U163,AB163)/4,8*'Parametros'!$B$12,24*'Parametros'!$B$9,300)/10,0)*10</f>
        <v>80</v>
      </c>
      <c r="AQ163" s="10">
        <f>ROUNDDOWN(MIN(IF(AK163=0,1000000000,AO163*'Parametros'!$B$11*'Parametros'!$B$4*MIN(U163,AB163)/(AK163*1000)),IF(AV163=0,1000000000,'Parametros'!$B$11/AV163),MIN(U163,AB163)/2,600)/10,0)*10</f>
        <v>170</v>
      </c>
      <c r="AR163" s="10">
        <f>'Parametros'!$B$6*(AJ163+AO163*'Parametros'!$B$11*'Parametros'!$B$4*MIN(U163,AB163)/AP163/1000)</f>
        <v>260.860380287796</v>
      </c>
      <c r="AS163" s="10" t="str">
        <f>IF(AND(AM163="CUMPLE",AR163&gt;=AI163),"CUMPLE","NO CUMPLE")</f>
        <v>CUMPLE</v>
      </c>
      <c r="AT163" s="10">
        <f>'Parametros'!$B$6*0.083*SQRT('Parametros'!$B$2)*(H163*I163)^2/(2*(H163+I163))/1000000</f>
        <v>3.38807353605471</v>
      </c>
      <c r="AU163" s="10" t="str">
        <f>IF(Q163&lt;=AT163,"DESPRECIABLE","DISEÑAR")</f>
        <v>DESPRECIABLE</v>
      </c>
      <c r="AV163" s="10">
        <f>IF(Q163&lt;=AT163,0,Q163*1000000/('Parametros'!$B$6*2*0.85*(H163-2*'Parametros'!$B$7)*(I163-2*'Parametros'!$B$7)*'Parametros'!$B$4))</f>
        <v>0</v>
      </c>
      <c r="AW163" s="10">
        <f>AV163*2*((H163-2*'Parametros'!$B$7)+(I163-2*'Parametros'!$B$7))*'Parametros'!$B$4/'Parametros'!$B$3</f>
        <v>0</v>
      </c>
      <c r="AX163" s="17" t="n">
        <v>0</v>
      </c>
      <c r="AY163" s="10" t="str">
        <f>IF(AV163=0,"DESPRECIABLE",IF('Parametros'!$B$11/AP163&gt;=AV163,"CUMPLE","NO CUMPLE"))</f>
        <v>DESPRECIABLE</v>
      </c>
      <c r="AZ163" s="10" t="str">
        <f>IF(AND(X163="CUMPLE",AE163="CUMPLE",AS163="CUMPLE",OR(AY163="CUMPLE",AY163="DESPRECIABLE")),IF(OR(F163&lt;&gt;H163,G163&lt;&gt;I163),"CUMPLE - REANALIZAR SAP","CUMPLE"),"NO CUMPLE")</f>
        <v>CUMPLE</v>
      </c>
    </row>
    <row r="164">
      <c r="A164" s="22" t="inlineStr">
        <is>
          <t>VC6</t>
        </is>
      </c>
      <c r="B164" s="22" t="inlineStr">
        <is>
          <t>67</t>
        </is>
      </c>
      <c r="C164" s="10" t="n">
        <v>1</v>
      </c>
      <c r="D164" s="10" t="n">
        <v>3.85</v>
      </c>
      <c r="E164" s="10" t="n">
        <v>3.85</v>
      </c>
      <c r="F164" s="10" t="n">
        <v>300</v>
      </c>
      <c r="G164" s="10" t="n">
        <v>400</v>
      </c>
      <c r="H164" s="15" t="n">
        <v>300</v>
      </c>
      <c r="I164" s="15" t="n">
        <v>400</v>
      </c>
      <c r="J164" s="16" t="n">
        <v>83.33110000000001</v>
      </c>
      <c r="K164" s="10" t="inlineStr">
        <is>
          <t>67</t>
        </is>
      </c>
      <c r="L164" s="16" t="n">
        <v>75.2037</v>
      </c>
      <c r="M164" s="10" t="inlineStr">
        <is>
          <t>67</t>
        </is>
      </c>
      <c r="N164" s="16" t="n">
        <v>47.416</v>
      </c>
      <c r="O164" s="16" t="n">
        <v>209.713</v>
      </c>
      <c r="P164" s="10" t="inlineStr">
        <is>
          <t>67</t>
        </is>
      </c>
      <c r="Q164" s="16" t="n">
        <v>0.4763</v>
      </c>
      <c r="R164" s="10">
        <f>MAX(MAX(1.4/'Parametros'!$B$3,0.25*SQRT('Parametros'!$B$2)/'Parametros'!$B$3)*H164*U164,(0.85*'Parametros'!$B$2/'Parametros'!$B$3)*(1-SQRT(1-2*(J164*1000000/('Parametros'!$B$5*H164*U164^2))/(0.85*'Parametros'!$B$2)))*H164*U164)</f>
        <v>683.698720447072</v>
      </c>
      <c r="S164" s="17" t="n">
        <v>4</v>
      </c>
      <c r="T164" s="18" t="n">
        <v>1</v>
      </c>
      <c r="U164" s="10">
        <f>IF(T164=1,I164-('Parametros'!$B$7+'Parametros'!$B$9+'Parametros'!$B$12/2),I164-(ROUNDUP(S164/2,0)*('Parametros'!$B$7+'Parametros'!$B$9+'Parametros'!$B$12/2)+ROUNDDOWN(S164/2,0)*('Parametros'!$B$7+'Parametros'!$B$9+'Parametros'!$B$12/2+'Parametros'!$B$12+'Parametros'!$B$10))/S164)</f>
        <v>342.55</v>
      </c>
      <c r="V164" s="10">
        <f>S164*'Parametros'!$B$8</f>
        <v>796</v>
      </c>
      <c r="W164" s="10">
        <f>'Parametros'!$B$5*V164*'Parametros'!$B$3*(U164-(V164*'Parametros'!$B$3/(0.85*'Parametros'!$B$2*H164))/2)/1000000</f>
        <v>96.0248653411765</v>
      </c>
      <c r="X164" s="10" t="str">
        <f>IF(W164&gt;=J164,"CUMPLE","NO CUMPLE")</f>
        <v>CUMPLE</v>
      </c>
      <c r="Y164" s="10">
        <f>MAX(MAX(1.4/'Parametros'!$B$3,0.25*SQRT('Parametros'!$B$2)/'Parametros'!$B$3)*H164*AB164,(0.85*'Parametros'!$B$2/'Parametros'!$B$3)*(1-SQRT(1-2*(L164*1000000/('Parametros'!$B$5*H164*AB164^2))/(0.85*'Parametros'!$B$2)))*H164*AB164)</f>
        <v>613.066777924061</v>
      </c>
      <c r="Z164" s="17" t="n">
        <v>4</v>
      </c>
      <c r="AA164" s="18" t="n">
        <v>1</v>
      </c>
      <c r="AB164" s="10">
        <f>IF(AA164=1,I164-('Parametros'!$B$7+'Parametros'!$B$9+'Parametros'!$B$12/2),I164-(ROUNDUP(Z164/2,0)*('Parametros'!$B$7+'Parametros'!$B$9+'Parametros'!$B$12/2)+ROUNDDOWN(Z164/2,0)*('Parametros'!$B$7+'Parametros'!$B$9+'Parametros'!$B$12/2+'Parametros'!$B$12+'Parametros'!$B$10))/Z164)</f>
        <v>342.55</v>
      </c>
      <c r="AC164" s="10">
        <f>Z164*'Parametros'!$B$8</f>
        <v>796</v>
      </c>
      <c r="AD164" s="10">
        <f>'Parametros'!$B$5*AC164*'Parametros'!$B$3*(AB164-(AC164*'Parametros'!$B$3/(0.85*'Parametros'!$B$2*H164))/2)/1000000</f>
        <v>96.0248653411765</v>
      </c>
      <c r="AE164" s="10" t="str">
        <f>IF(AD164&gt;=L164,"CUMPLE","NO CUMPLE")</f>
        <v>CUMPLE</v>
      </c>
      <c r="AF164" s="10">
        <f>V164*1.25*'Parametros'!$B$3*(U164-(V164*1.25*'Parametros'!$B$3/(0.85*'Parametros'!$B$2*H164))/2)/1000000</f>
        <v>130.921924411765</v>
      </c>
      <c r="AG164" s="10">
        <f>AC164*1.25*'Parametros'!$B$3*(AB164-(AC164*1.25*'Parametros'!$B$3/(0.85*'Parametros'!$B$2*H164))/2)/1000000</f>
        <v>130.921924411765</v>
      </c>
      <c r="AH164" s="10">
        <f>N164+(AF164+AG164)/D164</f>
        <v>115.427389304813</v>
      </c>
      <c r="AI164" s="10">
        <f>MIN(O164,MAX(N164,AH164))</f>
        <v>115.427389304813</v>
      </c>
      <c r="AJ164" s="10">
        <f>0.17*SQRT('Parametros'!$B$2)*H164*MIN(U164,AB164)/1000</f>
        <v>92.4428153837279</v>
      </c>
      <c r="AK164" s="10">
        <f>MAX(AI164/'Parametros'!$B$6-AJ164,0)</f>
        <v>61.4603703560225</v>
      </c>
      <c r="AL164" s="10">
        <f>0.66*SQRT('Parametros'!$B$2)*H164*MIN(U164,AB164)/1000</f>
        <v>358.89563619565</v>
      </c>
      <c r="AM164" s="10" t="str">
        <f>IF(AK164&lt;=AL164,"CUMPLE","NO CUMPLE")</f>
        <v>CUMPLE</v>
      </c>
      <c r="AN164" s="15" t="inlineStr">
        <is>
          <t>Nº3 cerrado</t>
        </is>
      </c>
      <c r="AO164" s="17" t="n">
        <v>2</v>
      </c>
      <c r="AP164" s="10">
        <f>ROUNDDOWN(MIN(IF(AK164=0,1000000000,AO164*'Parametros'!$B$11*'Parametros'!$B$4*MIN(U164,AB164)/(AK164*1000)),IF(AV164=0,1000000000,'Parametros'!$B$11/AV164),MIN(U164,AB164)/4,8*'Parametros'!$B$12,24*'Parametros'!$B$9,300)/10,0)*10</f>
        <v>80</v>
      </c>
      <c r="AQ164" s="10">
        <f>ROUNDDOWN(MIN(IF(AK164=0,1000000000,AO164*'Parametros'!$B$11*'Parametros'!$B$4*MIN(U164,AB164)/(AK164*1000)),IF(AV164=0,1000000000,'Parametros'!$B$11/AV164),MIN(U164,AB164)/2,600)/10,0)*10</f>
        <v>170</v>
      </c>
      <c r="AR164" s="10">
        <f>'Parametros'!$B$6*(AJ164+AO164*'Parametros'!$B$11*'Parametros'!$B$4*MIN(U164,AB164)/AP164/1000)</f>
        <v>260.860380287796</v>
      </c>
      <c r="AS164" s="10" t="str">
        <f>IF(AND(AM164="CUMPLE",AR164&gt;=AI164),"CUMPLE","NO CUMPLE")</f>
        <v>CUMPLE</v>
      </c>
      <c r="AT164" s="10">
        <f>'Parametros'!$B$6*0.083*SQRT('Parametros'!$B$2)*(H164*I164)^2/(2*(H164+I164))/1000000</f>
        <v>3.38807353605471</v>
      </c>
      <c r="AU164" s="10" t="str">
        <f>IF(Q164&lt;=AT164,"DESPRECIABLE","DISEÑAR")</f>
        <v>DESPRECIABLE</v>
      </c>
      <c r="AV164" s="10">
        <f>IF(Q164&lt;=AT164,0,Q164*1000000/('Parametros'!$B$6*2*0.85*(H164-2*'Parametros'!$B$7)*(I164-2*'Parametros'!$B$7)*'Parametros'!$B$4))</f>
        <v>0</v>
      </c>
      <c r="AW164" s="10">
        <f>AV164*2*((H164-2*'Parametros'!$B$7)+(I164-2*'Parametros'!$B$7))*'Parametros'!$B$4/'Parametros'!$B$3</f>
        <v>0</v>
      </c>
      <c r="AX164" s="17" t="n">
        <v>0</v>
      </c>
      <c r="AY164" s="10" t="str">
        <f>IF(AV164=0,"DESPRECIABLE",IF('Parametros'!$B$11/AP164&gt;=AV164,"CUMPLE","NO CUMPLE"))</f>
        <v>DESPRECIABLE</v>
      </c>
      <c r="AZ164" s="10" t="str">
        <f>IF(AND(X164="CUMPLE",AE164="CUMPLE",AS164="CUMPLE",OR(AY164="CUMPLE",AY164="DESPRECIABLE")),IF(OR(F164&lt;&gt;H164,G164&lt;&gt;I164),"CUMPLE - REANALIZAR SAP","CUMPLE"),"NO CUMPLE")</f>
        <v>CUMPLE</v>
      </c>
    </row>
    <row r="165">
      <c r="A165" s="22" t="inlineStr">
        <is>
          <t>VC6</t>
        </is>
      </c>
      <c r="B165" s="22" t="inlineStr">
        <is>
          <t>68</t>
        </is>
      </c>
      <c r="C165" s="10" t="n">
        <v>1</v>
      </c>
      <c r="D165" s="10" t="n">
        <v>3.9</v>
      </c>
      <c r="E165" s="10" t="n">
        <v>3.9</v>
      </c>
      <c r="F165" s="10" t="n">
        <v>300</v>
      </c>
      <c r="G165" s="10" t="n">
        <v>400</v>
      </c>
      <c r="H165" s="15" t="n">
        <v>300</v>
      </c>
      <c r="I165" s="15" t="n">
        <v>400</v>
      </c>
      <c r="J165" s="16" t="n">
        <v>84.3736</v>
      </c>
      <c r="K165" s="10" t="inlineStr">
        <is>
          <t>68</t>
        </is>
      </c>
      <c r="L165" s="16" t="n">
        <v>74.0577</v>
      </c>
      <c r="M165" s="10" t="inlineStr">
        <is>
          <t>68</t>
        </is>
      </c>
      <c r="N165" s="16" t="n">
        <v>48.249</v>
      </c>
      <c r="O165" s="16" t="n">
        <v>209.875</v>
      </c>
      <c r="P165" s="10" t="inlineStr">
        <is>
          <t>68</t>
        </is>
      </c>
      <c r="Q165" s="16" t="n">
        <v>10.308</v>
      </c>
      <c r="R165" s="10">
        <f>MAX(MAX(1.4/'Parametros'!$B$3,0.25*SQRT('Parametros'!$B$2)/'Parametros'!$B$3)*H165*U165,(0.85*'Parametros'!$B$2/'Parametros'!$B$3)*(1-SQRT(1-2*(J165*1000000/('Parametros'!$B$5*H165*U165^2))/(0.85*'Parametros'!$B$2)))*H165*U165)</f>
        <v>692.829028973743</v>
      </c>
      <c r="S165" s="17" t="n">
        <v>4</v>
      </c>
      <c r="T165" s="18" t="n">
        <v>1</v>
      </c>
      <c r="U165" s="10">
        <f>IF(T165=1,I165-('Parametros'!$B$7+'Parametros'!$B$9+'Parametros'!$B$12/2),I165-(ROUNDUP(S165/2,0)*('Parametros'!$B$7+'Parametros'!$B$9+'Parametros'!$B$12/2)+ROUNDDOWN(S165/2,0)*('Parametros'!$B$7+'Parametros'!$B$9+'Parametros'!$B$12/2+'Parametros'!$B$12+'Parametros'!$B$10))/S165)</f>
        <v>342.55</v>
      </c>
      <c r="V165" s="10">
        <f>S165*'Parametros'!$B$8</f>
        <v>796</v>
      </c>
      <c r="W165" s="10">
        <f>'Parametros'!$B$5*V165*'Parametros'!$B$3*(U165-(V165*'Parametros'!$B$3/(0.85*'Parametros'!$B$2*H165))/2)/1000000</f>
        <v>96.0248653411765</v>
      </c>
      <c r="X165" s="10" t="str">
        <f>IF(W165&gt;=J165,"CUMPLE","NO CUMPLE")</f>
        <v>CUMPLE</v>
      </c>
      <c r="Y165" s="10">
        <f>MAX(MAX(1.4/'Parametros'!$B$3,0.25*SQRT('Parametros'!$B$2)/'Parametros'!$B$3)*H165*AB165,(0.85*'Parametros'!$B$2/'Parametros'!$B$3)*(1-SQRT(1-2*(L165*1000000/('Parametros'!$B$5*H165*AB165^2))/(0.85*'Parametros'!$B$2)))*H165*AB165)</f>
        <v>603.184234497395</v>
      </c>
      <c r="Z165" s="17" t="n">
        <v>4</v>
      </c>
      <c r="AA165" s="18" t="n">
        <v>1</v>
      </c>
      <c r="AB165" s="10">
        <f>IF(AA165=1,I165-('Parametros'!$B$7+'Parametros'!$B$9+'Parametros'!$B$12/2),I165-(ROUNDUP(Z165/2,0)*('Parametros'!$B$7+'Parametros'!$B$9+'Parametros'!$B$12/2)+ROUNDDOWN(Z165/2,0)*('Parametros'!$B$7+'Parametros'!$B$9+'Parametros'!$B$12/2+'Parametros'!$B$12+'Parametros'!$B$10))/Z165)</f>
        <v>342.55</v>
      </c>
      <c r="AC165" s="10">
        <f>Z165*'Parametros'!$B$8</f>
        <v>796</v>
      </c>
      <c r="AD165" s="10">
        <f>'Parametros'!$B$5*AC165*'Parametros'!$B$3*(AB165-(AC165*'Parametros'!$B$3/(0.85*'Parametros'!$B$2*H165))/2)/1000000</f>
        <v>96.0248653411765</v>
      </c>
      <c r="AE165" s="10" t="str">
        <f>IF(AD165&gt;=L165,"CUMPLE","NO CUMPLE")</f>
        <v>CUMPLE</v>
      </c>
      <c r="AF165" s="10">
        <f>V165*1.25*'Parametros'!$B$3*(U165-(V165*1.25*'Parametros'!$B$3/(0.85*'Parametros'!$B$2*H165))/2)/1000000</f>
        <v>130.921924411765</v>
      </c>
      <c r="AG165" s="10">
        <f>AC165*1.25*'Parametros'!$B$3*(AB165-(AC165*1.25*'Parametros'!$B$3/(0.85*'Parametros'!$B$2*H165))/2)/1000000</f>
        <v>130.921924411765</v>
      </c>
      <c r="AH165" s="10">
        <f>N165+(AF165+AG165)/D165</f>
        <v>115.38844841629</v>
      </c>
      <c r="AI165" s="10">
        <f>MIN(O165,MAX(N165,AH165))</f>
        <v>115.38844841629</v>
      </c>
      <c r="AJ165" s="10">
        <f>0.17*SQRT('Parametros'!$B$2)*H165*MIN(U165,AB165)/1000</f>
        <v>92.4428153837279</v>
      </c>
      <c r="AK165" s="10">
        <f>MAX(AI165/'Parametros'!$B$6-AJ165,0)</f>
        <v>61.4084491713249</v>
      </c>
      <c r="AL165" s="10">
        <f>0.66*SQRT('Parametros'!$B$2)*H165*MIN(U165,AB165)/1000</f>
        <v>358.89563619565</v>
      </c>
      <c r="AM165" s="10" t="str">
        <f>IF(AK165&lt;=AL165,"CUMPLE","NO CUMPLE")</f>
        <v>CUMPLE</v>
      </c>
      <c r="AN165" s="15" t="inlineStr">
        <is>
          <t>Nº3 cerrado</t>
        </is>
      </c>
      <c r="AO165" s="17" t="n">
        <v>2</v>
      </c>
      <c r="AP165" s="10">
        <f>ROUNDDOWN(MIN(IF(AK165=0,1000000000,AO165*'Parametros'!$B$11*'Parametros'!$B$4*MIN(U165,AB165)/(AK165*1000)),IF(AV165=0,1000000000,'Parametros'!$B$11/AV165),MIN(U165,AB165)/4,8*'Parametros'!$B$12,24*'Parametros'!$B$9,300)/10,0)*10</f>
        <v>80</v>
      </c>
      <c r="AQ165" s="10">
        <f>ROUNDDOWN(MIN(IF(AK165=0,1000000000,AO165*'Parametros'!$B$11*'Parametros'!$B$4*MIN(U165,AB165)/(AK165*1000)),IF(AV165=0,1000000000,'Parametros'!$B$11/AV165),MIN(U165,AB165)/2,600)/10,0)*10</f>
        <v>170</v>
      </c>
      <c r="AR165" s="10">
        <f>'Parametros'!$B$6*(AJ165+AO165*'Parametros'!$B$11*'Parametros'!$B$4*MIN(U165,AB165)/AP165/1000)</f>
        <v>260.860380287796</v>
      </c>
      <c r="AS165" s="10" t="str">
        <f>IF(AND(AM165="CUMPLE",AR165&gt;=AI165),"CUMPLE","NO CUMPLE")</f>
        <v>CUMPLE</v>
      </c>
      <c r="AT165" s="10">
        <f>'Parametros'!$B$6*0.083*SQRT('Parametros'!$B$2)*(H165*I165)^2/(2*(H165+I165))/1000000</f>
        <v>3.38807353605471</v>
      </c>
      <c r="AU165" s="10" t="str">
        <f>IF(Q165&lt;=AT165,"DESPRECIABLE","DISEÑAR")</f>
        <v>DISEÑAR</v>
      </c>
      <c r="AV165" s="10">
        <f>IF(Q165&lt;=AT165,0,Q165*1000000/('Parametros'!$B$6*2*0.85*(H165-2*'Parametros'!$B$7)*(I165-2*'Parametros'!$B$7)*'Parametros'!$B$4))</f>
        <v>0.273427552839318</v>
      </c>
      <c r="AW165" s="10">
        <f>AV165*2*((H165-2*'Parametros'!$B$7)+(I165-2*'Parametros'!$B$7))*'Parametros'!$B$4/'Parametros'!$B$3</f>
        <v>295.301757066463</v>
      </c>
      <c r="AX165" s="17" t="n">
        <v>2</v>
      </c>
      <c r="AY165" s="10" t="str">
        <f>IF(AV165=0,"DESPRECIABLE",IF('Parametros'!$B$11/AP165&gt;=AV165,"CUMPLE","NO CUMPLE"))</f>
        <v>CUMPLE</v>
      </c>
      <c r="AZ165" s="10" t="str">
        <f>IF(AND(X165="CUMPLE",AE165="CUMPLE",AS165="CUMPLE",OR(AY165="CUMPLE",AY165="DESPRECIABLE")),IF(OR(F165&lt;&gt;H165,G165&lt;&gt;I165),"CUMPLE - REANALIZAR SAP","CUMPLE"),"NO CUMPLE")</f>
        <v>CUMPLE</v>
      </c>
    </row>
    <row r="166">
      <c r="A166" s="22" t="inlineStr">
        <is>
          <t>VC6</t>
        </is>
      </c>
      <c r="B166" s="22" t="inlineStr">
        <is>
          <t>69</t>
        </is>
      </c>
      <c r="C166" s="10" t="n">
        <v>1</v>
      </c>
      <c r="D166" s="10" t="n">
        <v>3.9</v>
      </c>
      <c r="E166" s="10" t="n">
        <v>3.9</v>
      </c>
      <c r="F166" s="10" t="n">
        <v>300</v>
      </c>
      <c r="G166" s="10" t="n">
        <v>400</v>
      </c>
      <c r="H166" s="15" t="n">
        <v>300</v>
      </c>
      <c r="I166" s="15" t="n">
        <v>400</v>
      </c>
      <c r="J166" s="16" t="n">
        <v>84.3621</v>
      </c>
      <c r="K166" s="10" t="inlineStr">
        <is>
          <t>69</t>
        </is>
      </c>
      <c r="L166" s="16" t="n">
        <v>74.066</v>
      </c>
      <c r="M166" s="10" t="inlineStr">
        <is>
          <t>69</t>
        </is>
      </c>
      <c r="N166" s="16" t="n">
        <v>48.243</v>
      </c>
      <c r="O166" s="16" t="n">
        <v>209.871</v>
      </c>
      <c r="P166" s="10" t="inlineStr">
        <is>
          <t>69</t>
        </is>
      </c>
      <c r="Q166" s="16" t="n">
        <v>10.3064</v>
      </c>
      <c r="R166" s="10">
        <f>MAX(MAX(1.4/'Parametros'!$B$3,0.25*SQRT('Parametros'!$B$2)/'Parametros'!$B$3)*H166*U166,(0.85*'Parametros'!$B$2/'Parametros'!$B$3)*(1-SQRT(1-2*(J166*1000000/('Parametros'!$B$5*H166*U166^2))/(0.85*'Parametros'!$B$2)))*H166*U166)</f>
        <v>692.728222313147</v>
      </c>
      <c r="S166" s="17" t="n">
        <v>4</v>
      </c>
      <c r="T166" s="18" t="n">
        <v>1</v>
      </c>
      <c r="U166" s="10">
        <f>IF(T166=1,I166-('Parametros'!$B$7+'Parametros'!$B$9+'Parametros'!$B$12/2),I166-(ROUNDUP(S166/2,0)*('Parametros'!$B$7+'Parametros'!$B$9+'Parametros'!$B$12/2)+ROUNDDOWN(S166/2,0)*('Parametros'!$B$7+'Parametros'!$B$9+'Parametros'!$B$12/2+'Parametros'!$B$12+'Parametros'!$B$10))/S166)</f>
        <v>342.55</v>
      </c>
      <c r="V166" s="10">
        <f>S166*'Parametros'!$B$8</f>
        <v>796</v>
      </c>
      <c r="W166" s="10">
        <f>'Parametros'!$B$5*V166*'Parametros'!$B$3*(U166-(V166*'Parametros'!$B$3/(0.85*'Parametros'!$B$2*H166))/2)/1000000</f>
        <v>96.0248653411765</v>
      </c>
      <c r="X166" s="10" t="str">
        <f>IF(W166&gt;=J166,"CUMPLE","NO CUMPLE")</f>
        <v>CUMPLE</v>
      </c>
      <c r="Y166" s="10">
        <f>MAX(MAX(1.4/'Parametros'!$B$3,0.25*SQRT('Parametros'!$B$2)/'Parametros'!$B$3)*H166*AB166,(0.85*'Parametros'!$B$2/'Parametros'!$B$3)*(1-SQRT(1-2*(L166*1000000/('Parametros'!$B$5*H166*AB166^2))/(0.85*'Parametros'!$B$2)))*H166*AB166)</f>
        <v>603.255742376022</v>
      </c>
      <c r="Z166" s="17" t="n">
        <v>4</v>
      </c>
      <c r="AA166" s="18" t="n">
        <v>1</v>
      </c>
      <c r="AB166" s="10">
        <f>IF(AA166=1,I166-('Parametros'!$B$7+'Parametros'!$B$9+'Parametros'!$B$12/2),I166-(ROUNDUP(Z166/2,0)*('Parametros'!$B$7+'Parametros'!$B$9+'Parametros'!$B$12/2)+ROUNDDOWN(Z166/2,0)*('Parametros'!$B$7+'Parametros'!$B$9+'Parametros'!$B$12/2+'Parametros'!$B$12+'Parametros'!$B$10))/Z166)</f>
        <v>342.55</v>
      </c>
      <c r="AC166" s="10">
        <f>Z166*'Parametros'!$B$8</f>
        <v>796</v>
      </c>
      <c r="AD166" s="10">
        <f>'Parametros'!$B$5*AC166*'Parametros'!$B$3*(AB166-(AC166*'Parametros'!$B$3/(0.85*'Parametros'!$B$2*H166))/2)/1000000</f>
        <v>96.0248653411765</v>
      </c>
      <c r="AE166" s="10" t="str">
        <f>IF(AD166&gt;=L166,"CUMPLE","NO CUMPLE")</f>
        <v>CUMPLE</v>
      </c>
      <c r="AF166" s="10">
        <f>V166*1.25*'Parametros'!$B$3*(U166-(V166*1.25*'Parametros'!$B$3/(0.85*'Parametros'!$B$2*H166))/2)/1000000</f>
        <v>130.921924411765</v>
      </c>
      <c r="AG166" s="10">
        <f>AC166*1.25*'Parametros'!$B$3*(AB166-(AC166*1.25*'Parametros'!$B$3/(0.85*'Parametros'!$B$2*H166))/2)/1000000</f>
        <v>130.921924411765</v>
      </c>
      <c r="AH166" s="10">
        <f>N166+(AF166+AG166)/D166</f>
        <v>115.38244841629</v>
      </c>
      <c r="AI166" s="10">
        <f>MIN(O166,MAX(N166,AH166))</f>
        <v>115.38244841629</v>
      </c>
      <c r="AJ166" s="10">
        <f>0.17*SQRT('Parametros'!$B$2)*H166*MIN(U166,AB166)/1000</f>
        <v>92.4428153837279</v>
      </c>
      <c r="AK166" s="10">
        <f>MAX(AI166/'Parametros'!$B$6-AJ166,0)</f>
        <v>61.4004491713249</v>
      </c>
      <c r="AL166" s="10">
        <f>0.66*SQRT('Parametros'!$B$2)*H166*MIN(U166,AB166)/1000</f>
        <v>358.89563619565</v>
      </c>
      <c r="AM166" s="10" t="str">
        <f>IF(AK166&lt;=AL166,"CUMPLE","NO CUMPLE")</f>
        <v>CUMPLE</v>
      </c>
      <c r="AN166" s="15" t="inlineStr">
        <is>
          <t>Nº3 cerrado</t>
        </is>
      </c>
      <c r="AO166" s="17" t="n">
        <v>2</v>
      </c>
      <c r="AP166" s="10">
        <f>ROUNDDOWN(MIN(IF(AK166=0,1000000000,AO166*'Parametros'!$B$11*'Parametros'!$B$4*MIN(U166,AB166)/(AK166*1000)),IF(AV166=0,1000000000,'Parametros'!$B$11/AV166),MIN(U166,AB166)/4,8*'Parametros'!$B$12,24*'Parametros'!$B$9,300)/10,0)*10</f>
        <v>80</v>
      </c>
      <c r="AQ166" s="10">
        <f>ROUNDDOWN(MIN(IF(AK166=0,1000000000,AO166*'Parametros'!$B$11*'Parametros'!$B$4*MIN(U166,AB166)/(AK166*1000)),IF(AV166=0,1000000000,'Parametros'!$B$11/AV166),MIN(U166,AB166)/2,600)/10,0)*10</f>
        <v>170</v>
      </c>
      <c r="AR166" s="10">
        <f>'Parametros'!$B$6*(AJ166+AO166*'Parametros'!$B$11*'Parametros'!$B$4*MIN(U166,AB166)/AP166/1000)</f>
        <v>260.860380287796</v>
      </c>
      <c r="AS166" s="10" t="str">
        <f>IF(AND(AM166="CUMPLE",AR166&gt;=AI166),"CUMPLE","NO CUMPLE")</f>
        <v>CUMPLE</v>
      </c>
      <c r="AT166" s="10">
        <f>'Parametros'!$B$6*0.083*SQRT('Parametros'!$B$2)*(H166*I166)^2/(2*(H166+I166))/1000000</f>
        <v>3.38807353605471</v>
      </c>
      <c r="AU166" s="10" t="str">
        <f>IF(Q166&lt;=AT166,"DESPRECIABLE","DISEÑAR")</f>
        <v>DISEÑAR</v>
      </c>
      <c r="AV166" s="10">
        <f>IF(Q166&lt;=AT166,0,Q166*1000000/('Parametros'!$B$6*2*0.85*(H166-2*'Parametros'!$B$7)*(I166-2*'Parametros'!$B$7)*'Parametros'!$B$4))</f>
        <v>0.273385111620406</v>
      </c>
      <c r="AW166" s="10">
        <f>AV166*2*((H166-2*'Parametros'!$B$7)+(I166-2*'Parametros'!$B$7))*'Parametros'!$B$4/'Parametros'!$B$3</f>
        <v>295.255920550038</v>
      </c>
      <c r="AX166" s="17" t="n">
        <v>2</v>
      </c>
      <c r="AY166" s="10" t="str">
        <f>IF(AV166=0,"DESPRECIABLE",IF('Parametros'!$B$11/AP166&gt;=AV166,"CUMPLE","NO CUMPLE"))</f>
        <v>CUMPLE</v>
      </c>
      <c r="AZ166" s="10" t="str">
        <f>IF(AND(X166="CUMPLE",AE166="CUMPLE",AS166="CUMPLE",OR(AY166="CUMPLE",AY166="DESPRECIABLE")),IF(OR(F166&lt;&gt;H166,G166&lt;&gt;I166),"CUMPLE - REANALIZAR SAP","CUMPLE"),"NO CUMPLE")</f>
        <v>CUMPLE</v>
      </c>
    </row>
    <row r="167">
      <c r="A167" s="22" t="inlineStr">
        <is>
          <t>VC6</t>
        </is>
      </c>
      <c r="B167" s="22" t="inlineStr">
        <is>
          <t>70</t>
        </is>
      </c>
      <c r="C167" s="10" t="n">
        <v>1</v>
      </c>
      <c r="D167" s="10" t="n">
        <v>3.85</v>
      </c>
      <c r="E167" s="10" t="n">
        <v>3.85</v>
      </c>
      <c r="F167" s="10" t="n">
        <v>300</v>
      </c>
      <c r="G167" s="10" t="n">
        <v>400</v>
      </c>
      <c r="H167" s="15" t="n">
        <v>300</v>
      </c>
      <c r="I167" s="15" t="n">
        <v>400</v>
      </c>
      <c r="J167" s="16" t="n">
        <v>83.33920000000001</v>
      </c>
      <c r="K167" s="10" t="inlineStr">
        <is>
          <t>70</t>
        </is>
      </c>
      <c r="L167" s="16" t="n">
        <v>75.1986</v>
      </c>
      <c r="M167" s="10" t="inlineStr">
        <is>
          <t>70</t>
        </is>
      </c>
      <c r="N167" s="16" t="n">
        <v>47.42</v>
      </c>
      <c r="O167" s="16" t="n">
        <v>209.717</v>
      </c>
      <c r="P167" s="10" t="inlineStr">
        <is>
          <t>70</t>
        </is>
      </c>
      <c r="Q167" s="16" t="n">
        <v>0.4761</v>
      </c>
      <c r="R167" s="10">
        <f>MAX(MAX(1.4/'Parametros'!$B$3,0.25*SQRT('Parametros'!$B$2)/'Parametros'!$B$3)*H167*U167,(0.85*'Parametros'!$B$2/'Parametros'!$B$3)*(1-SQRT(1-2*(J167*1000000/('Parametros'!$B$5*H167*U167^2))/(0.85*'Parametros'!$B$2)))*H167*U167)</f>
        <v>683.769598451496</v>
      </c>
      <c r="S167" s="17" t="n">
        <v>4</v>
      </c>
      <c r="T167" s="18" t="n">
        <v>1</v>
      </c>
      <c r="U167" s="10">
        <f>IF(T167=1,I167-('Parametros'!$B$7+'Parametros'!$B$9+'Parametros'!$B$12/2),I167-(ROUNDUP(S167/2,0)*('Parametros'!$B$7+'Parametros'!$B$9+'Parametros'!$B$12/2)+ROUNDDOWN(S167/2,0)*('Parametros'!$B$7+'Parametros'!$B$9+'Parametros'!$B$12/2+'Parametros'!$B$12+'Parametros'!$B$10))/S167)</f>
        <v>342.55</v>
      </c>
      <c r="V167" s="10">
        <f>S167*'Parametros'!$B$8</f>
        <v>796</v>
      </c>
      <c r="W167" s="10">
        <f>'Parametros'!$B$5*V167*'Parametros'!$B$3*(U167-(V167*'Parametros'!$B$3/(0.85*'Parametros'!$B$2*H167))/2)/1000000</f>
        <v>96.0248653411765</v>
      </c>
      <c r="X167" s="10" t="str">
        <f>IF(W167&gt;=J167,"CUMPLE","NO CUMPLE")</f>
        <v>CUMPLE</v>
      </c>
      <c r="Y167" s="10">
        <f>MAX(MAX(1.4/'Parametros'!$B$3,0.25*SQRT('Parametros'!$B$2)/'Parametros'!$B$3)*H167*AB167,(0.85*'Parametros'!$B$2/'Parametros'!$B$3)*(1-SQRT(1-2*(L167*1000000/('Parametros'!$B$5*H167*AB167^2))/(0.85*'Parametros'!$B$2)))*H167*AB167)</f>
        <v>613.022756495542</v>
      </c>
      <c r="Z167" s="17" t="n">
        <v>4</v>
      </c>
      <c r="AA167" s="18" t="n">
        <v>1</v>
      </c>
      <c r="AB167" s="10">
        <f>IF(AA167=1,I167-('Parametros'!$B$7+'Parametros'!$B$9+'Parametros'!$B$12/2),I167-(ROUNDUP(Z167/2,0)*('Parametros'!$B$7+'Parametros'!$B$9+'Parametros'!$B$12/2)+ROUNDDOWN(Z167/2,0)*('Parametros'!$B$7+'Parametros'!$B$9+'Parametros'!$B$12/2+'Parametros'!$B$12+'Parametros'!$B$10))/Z167)</f>
        <v>342.55</v>
      </c>
      <c r="AC167" s="10">
        <f>Z167*'Parametros'!$B$8</f>
        <v>796</v>
      </c>
      <c r="AD167" s="10">
        <f>'Parametros'!$B$5*AC167*'Parametros'!$B$3*(AB167-(AC167*'Parametros'!$B$3/(0.85*'Parametros'!$B$2*H167))/2)/1000000</f>
        <v>96.0248653411765</v>
      </c>
      <c r="AE167" s="10" t="str">
        <f>IF(AD167&gt;=L167,"CUMPLE","NO CUMPLE")</f>
        <v>CUMPLE</v>
      </c>
      <c r="AF167" s="10">
        <f>V167*1.25*'Parametros'!$B$3*(U167-(V167*1.25*'Parametros'!$B$3/(0.85*'Parametros'!$B$2*H167))/2)/1000000</f>
        <v>130.921924411765</v>
      </c>
      <c r="AG167" s="10">
        <f>AC167*1.25*'Parametros'!$B$3*(AB167-(AC167*1.25*'Parametros'!$B$3/(0.85*'Parametros'!$B$2*H167))/2)/1000000</f>
        <v>130.921924411765</v>
      </c>
      <c r="AH167" s="10">
        <f>N167+(AF167+AG167)/D167</f>
        <v>115.431389304813</v>
      </c>
      <c r="AI167" s="10">
        <f>MIN(O167,MAX(N167,AH167))</f>
        <v>115.431389304813</v>
      </c>
      <c r="AJ167" s="10">
        <f>0.17*SQRT('Parametros'!$B$2)*H167*MIN(U167,AB167)/1000</f>
        <v>92.4428153837279</v>
      </c>
      <c r="AK167" s="10">
        <f>MAX(AI167/'Parametros'!$B$6-AJ167,0)</f>
        <v>61.4657036893559</v>
      </c>
      <c r="AL167" s="10">
        <f>0.66*SQRT('Parametros'!$B$2)*H167*MIN(U167,AB167)/1000</f>
        <v>358.89563619565</v>
      </c>
      <c r="AM167" s="10" t="str">
        <f>IF(AK167&lt;=AL167,"CUMPLE","NO CUMPLE")</f>
        <v>CUMPLE</v>
      </c>
      <c r="AN167" s="15" t="inlineStr">
        <is>
          <t>Nº3 cerrado</t>
        </is>
      </c>
      <c r="AO167" s="17" t="n">
        <v>2</v>
      </c>
      <c r="AP167" s="10">
        <f>ROUNDDOWN(MIN(IF(AK167=0,1000000000,AO167*'Parametros'!$B$11*'Parametros'!$B$4*MIN(U167,AB167)/(AK167*1000)),IF(AV167=0,1000000000,'Parametros'!$B$11/AV167),MIN(U167,AB167)/4,8*'Parametros'!$B$12,24*'Parametros'!$B$9,300)/10,0)*10</f>
        <v>80</v>
      </c>
      <c r="AQ167" s="10">
        <f>ROUNDDOWN(MIN(IF(AK167=0,1000000000,AO167*'Parametros'!$B$11*'Parametros'!$B$4*MIN(U167,AB167)/(AK167*1000)),IF(AV167=0,1000000000,'Parametros'!$B$11/AV167),MIN(U167,AB167)/2,600)/10,0)*10</f>
        <v>170</v>
      </c>
      <c r="AR167" s="10">
        <f>'Parametros'!$B$6*(AJ167+AO167*'Parametros'!$B$11*'Parametros'!$B$4*MIN(U167,AB167)/AP167/1000)</f>
        <v>260.860380287796</v>
      </c>
      <c r="AS167" s="10" t="str">
        <f>IF(AND(AM167="CUMPLE",AR167&gt;=AI167),"CUMPLE","NO CUMPLE")</f>
        <v>CUMPLE</v>
      </c>
      <c r="AT167" s="10">
        <f>'Parametros'!$B$6*0.083*SQRT('Parametros'!$B$2)*(H167*I167)^2/(2*(H167+I167))/1000000</f>
        <v>3.38807353605471</v>
      </c>
      <c r="AU167" s="10" t="str">
        <f>IF(Q167&lt;=AT167,"DESPRECIABLE","DISEÑAR")</f>
        <v>DESPRECIABLE</v>
      </c>
      <c r="AV167" s="10">
        <f>IF(Q167&lt;=AT167,0,Q167*1000000/('Parametros'!$B$6*2*0.85*(H167-2*'Parametros'!$B$7)*(I167-2*'Parametros'!$B$7)*'Parametros'!$B$4))</f>
        <v>0</v>
      </c>
      <c r="AW167" s="10">
        <f>AV167*2*((H167-2*'Parametros'!$B$7)+(I167-2*'Parametros'!$B$7))*'Parametros'!$B$4/'Parametros'!$B$3</f>
        <v>0</v>
      </c>
      <c r="AX167" s="17" t="n">
        <v>0</v>
      </c>
      <c r="AY167" s="10" t="str">
        <f>IF(AV167=0,"DESPRECIABLE",IF('Parametros'!$B$11/AP167&gt;=AV167,"CUMPLE","NO CUMPLE"))</f>
        <v>DESPRECIABLE</v>
      </c>
      <c r="AZ167" s="10" t="str">
        <f>IF(AND(X167="CUMPLE",AE167="CUMPLE",AS167="CUMPLE",OR(AY167="CUMPLE",AY167="DESPRECIABLE")),IF(OR(F167&lt;&gt;H167,G167&lt;&gt;I167),"CUMPLE - REANALIZAR SAP","CUMPLE"),"NO CUMPLE")</f>
        <v>CUMPLE</v>
      </c>
    </row>
    <row r="168">
      <c r="A168" s="22" t="inlineStr">
        <is>
          <t>VC6</t>
        </is>
      </c>
      <c r="B168" s="22" t="inlineStr">
        <is>
          <t>79</t>
        </is>
      </c>
      <c r="C168" s="10" t="n">
        <v>1</v>
      </c>
      <c r="D168" s="10" t="n">
        <v>3.85</v>
      </c>
      <c r="E168" s="10" t="n">
        <v>3.85</v>
      </c>
      <c r="F168" s="10" t="n">
        <v>300</v>
      </c>
      <c r="G168" s="10" t="n">
        <v>400</v>
      </c>
      <c r="H168" s="15" t="n">
        <v>300</v>
      </c>
      <c r="I168" s="15" t="n">
        <v>400</v>
      </c>
      <c r="J168" s="16" t="n">
        <v>83.3403</v>
      </c>
      <c r="K168" s="10" t="inlineStr">
        <is>
          <t>79</t>
        </is>
      </c>
      <c r="L168" s="16" t="n">
        <v>75.1987</v>
      </c>
      <c r="M168" s="10" t="inlineStr">
        <is>
          <t>79</t>
        </is>
      </c>
      <c r="N168" s="16" t="n">
        <v>47.421</v>
      </c>
      <c r="O168" s="16" t="n">
        <v>209.719</v>
      </c>
      <c r="P168" s="10" t="inlineStr">
        <is>
          <t>79</t>
        </is>
      </c>
      <c r="Q168" s="16" t="n">
        <v>0.4768</v>
      </c>
      <c r="R168" s="10">
        <f>MAX(MAX(1.4/'Parametros'!$B$3,0.25*SQRT('Parametros'!$B$2)/'Parametros'!$B$3)*H168*U168,(0.85*'Parametros'!$B$2/'Parametros'!$B$3)*(1-SQRT(1-2*(J168*1000000/('Parametros'!$B$5*H168*U168^2))/(0.85*'Parametros'!$B$2)))*H168*U168)</f>
        <v>683.779223934888</v>
      </c>
      <c r="S168" s="17" t="n">
        <v>4</v>
      </c>
      <c r="T168" s="18" t="n">
        <v>1</v>
      </c>
      <c r="U168" s="10">
        <f>IF(T168=1,I168-('Parametros'!$B$7+'Parametros'!$B$9+'Parametros'!$B$12/2),I168-(ROUNDUP(S168/2,0)*('Parametros'!$B$7+'Parametros'!$B$9+'Parametros'!$B$12/2)+ROUNDDOWN(S168/2,0)*('Parametros'!$B$7+'Parametros'!$B$9+'Parametros'!$B$12/2+'Parametros'!$B$12+'Parametros'!$B$10))/S168)</f>
        <v>342.55</v>
      </c>
      <c r="V168" s="10">
        <f>S168*'Parametros'!$B$8</f>
        <v>796</v>
      </c>
      <c r="W168" s="10">
        <f>'Parametros'!$B$5*V168*'Parametros'!$B$3*(U168-(V168*'Parametros'!$B$3/(0.85*'Parametros'!$B$2*H168))/2)/1000000</f>
        <v>96.0248653411765</v>
      </c>
      <c r="X168" s="10" t="str">
        <f>IF(W168&gt;=J168,"CUMPLE","NO CUMPLE")</f>
        <v>CUMPLE</v>
      </c>
      <c r="Y168" s="10">
        <f>MAX(MAX(1.4/'Parametros'!$B$3,0.25*SQRT('Parametros'!$B$2)/'Parametros'!$B$3)*H168*AB168,(0.85*'Parametros'!$B$2/'Parametros'!$B$3)*(1-SQRT(1-2*(L168*1000000/('Parametros'!$B$5*H168*AB168^2))/(0.85*'Parametros'!$B$2)))*H168*AB168)</f>
        <v>613.023619657232</v>
      </c>
      <c r="Z168" s="17" t="n">
        <v>4</v>
      </c>
      <c r="AA168" s="18" t="n">
        <v>1</v>
      </c>
      <c r="AB168" s="10">
        <f>IF(AA168=1,I168-('Parametros'!$B$7+'Parametros'!$B$9+'Parametros'!$B$12/2),I168-(ROUNDUP(Z168/2,0)*('Parametros'!$B$7+'Parametros'!$B$9+'Parametros'!$B$12/2)+ROUNDDOWN(Z168/2,0)*('Parametros'!$B$7+'Parametros'!$B$9+'Parametros'!$B$12/2+'Parametros'!$B$12+'Parametros'!$B$10))/Z168)</f>
        <v>342.55</v>
      </c>
      <c r="AC168" s="10">
        <f>Z168*'Parametros'!$B$8</f>
        <v>796</v>
      </c>
      <c r="AD168" s="10">
        <f>'Parametros'!$B$5*AC168*'Parametros'!$B$3*(AB168-(AC168*'Parametros'!$B$3/(0.85*'Parametros'!$B$2*H168))/2)/1000000</f>
        <v>96.0248653411765</v>
      </c>
      <c r="AE168" s="10" t="str">
        <f>IF(AD168&gt;=L168,"CUMPLE","NO CUMPLE")</f>
        <v>CUMPLE</v>
      </c>
      <c r="AF168" s="10">
        <f>V168*1.25*'Parametros'!$B$3*(U168-(V168*1.25*'Parametros'!$B$3/(0.85*'Parametros'!$B$2*H168))/2)/1000000</f>
        <v>130.921924411765</v>
      </c>
      <c r="AG168" s="10">
        <f>AC168*1.25*'Parametros'!$B$3*(AB168-(AC168*1.25*'Parametros'!$B$3/(0.85*'Parametros'!$B$2*H168))/2)/1000000</f>
        <v>130.921924411765</v>
      </c>
      <c r="AH168" s="10">
        <f>N168+(AF168+AG168)/D168</f>
        <v>115.432389304813</v>
      </c>
      <c r="AI168" s="10">
        <f>MIN(O168,MAX(N168,AH168))</f>
        <v>115.432389304813</v>
      </c>
      <c r="AJ168" s="10">
        <f>0.17*SQRT('Parametros'!$B$2)*H168*MIN(U168,AB168)/1000</f>
        <v>92.4428153837279</v>
      </c>
      <c r="AK168" s="10">
        <f>MAX(AI168/'Parametros'!$B$6-AJ168,0)</f>
        <v>61.4670370226892</v>
      </c>
      <c r="AL168" s="10">
        <f>0.66*SQRT('Parametros'!$B$2)*H168*MIN(U168,AB168)/1000</f>
        <v>358.89563619565</v>
      </c>
      <c r="AM168" s="10" t="str">
        <f>IF(AK168&lt;=AL168,"CUMPLE","NO CUMPLE")</f>
        <v>CUMPLE</v>
      </c>
      <c r="AN168" s="15" t="inlineStr">
        <is>
          <t>Nº3 cerrado</t>
        </is>
      </c>
      <c r="AO168" s="17" t="n">
        <v>2</v>
      </c>
      <c r="AP168" s="10">
        <f>ROUNDDOWN(MIN(IF(AK168=0,1000000000,AO168*'Parametros'!$B$11*'Parametros'!$B$4*MIN(U168,AB168)/(AK168*1000)),IF(AV168=0,1000000000,'Parametros'!$B$11/AV168),MIN(U168,AB168)/4,8*'Parametros'!$B$12,24*'Parametros'!$B$9,300)/10,0)*10</f>
        <v>80</v>
      </c>
      <c r="AQ168" s="10">
        <f>ROUNDDOWN(MIN(IF(AK168=0,1000000000,AO168*'Parametros'!$B$11*'Parametros'!$B$4*MIN(U168,AB168)/(AK168*1000)),IF(AV168=0,1000000000,'Parametros'!$B$11/AV168),MIN(U168,AB168)/2,600)/10,0)*10</f>
        <v>170</v>
      </c>
      <c r="AR168" s="10">
        <f>'Parametros'!$B$6*(AJ168+AO168*'Parametros'!$B$11*'Parametros'!$B$4*MIN(U168,AB168)/AP168/1000)</f>
        <v>260.860380287796</v>
      </c>
      <c r="AS168" s="10" t="str">
        <f>IF(AND(AM168="CUMPLE",AR168&gt;=AI168),"CUMPLE","NO CUMPLE")</f>
        <v>CUMPLE</v>
      </c>
      <c r="AT168" s="10">
        <f>'Parametros'!$B$6*0.083*SQRT('Parametros'!$B$2)*(H168*I168)^2/(2*(H168+I168))/1000000</f>
        <v>3.38807353605471</v>
      </c>
      <c r="AU168" s="10" t="str">
        <f>IF(Q168&lt;=AT168,"DESPRECIABLE","DISEÑAR")</f>
        <v>DESPRECIABLE</v>
      </c>
      <c r="AV168" s="10">
        <f>IF(Q168&lt;=AT168,0,Q168*1000000/('Parametros'!$B$6*2*0.85*(H168-2*'Parametros'!$B$7)*(I168-2*'Parametros'!$B$7)*'Parametros'!$B$4))</f>
        <v>0</v>
      </c>
      <c r="AW168" s="10">
        <f>AV168*2*((H168-2*'Parametros'!$B$7)+(I168-2*'Parametros'!$B$7))*'Parametros'!$B$4/'Parametros'!$B$3</f>
        <v>0</v>
      </c>
      <c r="AX168" s="17" t="n">
        <v>0</v>
      </c>
      <c r="AY168" s="10" t="str">
        <f>IF(AV168=0,"DESPRECIABLE",IF('Parametros'!$B$11/AP168&gt;=AV168,"CUMPLE","NO CUMPLE"))</f>
        <v>DESPRECIABLE</v>
      </c>
      <c r="AZ168" s="10" t="str">
        <f>IF(AND(X168="CUMPLE",AE168="CUMPLE",AS168="CUMPLE",OR(AY168="CUMPLE",AY168="DESPRECIABLE")),IF(OR(F168&lt;&gt;H168,G168&lt;&gt;I168),"CUMPLE - REANALIZAR SAP","CUMPLE"),"NO CUMPLE")</f>
        <v>CUMPLE</v>
      </c>
    </row>
    <row r="169">
      <c r="A169" s="22" t="inlineStr">
        <is>
          <t>VC6</t>
        </is>
      </c>
      <c r="B169" s="22" t="inlineStr">
        <is>
          <t>80</t>
        </is>
      </c>
      <c r="C169" s="10" t="n">
        <v>1</v>
      </c>
      <c r="D169" s="10" t="n">
        <v>3.9</v>
      </c>
      <c r="E169" s="10" t="n">
        <v>3.9</v>
      </c>
      <c r="F169" s="10" t="n">
        <v>300</v>
      </c>
      <c r="G169" s="10" t="n">
        <v>400</v>
      </c>
      <c r="H169" s="15" t="n">
        <v>300</v>
      </c>
      <c r="I169" s="15" t="n">
        <v>400</v>
      </c>
      <c r="J169" s="16" t="n">
        <v>84.35850000000001</v>
      </c>
      <c r="K169" s="10" t="inlineStr">
        <is>
          <t>80</t>
        </is>
      </c>
      <c r="L169" s="16" t="n">
        <v>74.0685</v>
      </c>
      <c r="M169" s="10" t="inlineStr">
        <is>
          <t>80</t>
        </is>
      </c>
      <c r="N169" s="16" t="n">
        <v>48.24</v>
      </c>
      <c r="O169" s="16" t="n">
        <v>209.868</v>
      </c>
      <c r="P169" s="10" t="inlineStr">
        <is>
          <t>80</t>
        </is>
      </c>
      <c r="Q169" s="16" t="n">
        <v>10.3033</v>
      </c>
      <c r="R169" s="10">
        <f>MAX(MAX(1.4/'Parametros'!$B$3,0.25*SQRT('Parametros'!$B$2)/'Parametros'!$B$3)*H169*U169,(0.85*'Parametros'!$B$2/'Parametros'!$B$3)*(1-SQRT(1-2*(J169*1000000/('Parametros'!$B$5*H169*U169^2))/(0.85*'Parametros'!$B$2)))*H169*U169)</f>
        <v>692.696665852543</v>
      </c>
      <c r="S169" s="17" t="n">
        <v>4</v>
      </c>
      <c r="T169" s="18" t="n">
        <v>1</v>
      </c>
      <c r="U169" s="10">
        <f>IF(T169=1,I169-('Parametros'!$B$7+'Parametros'!$B$9+'Parametros'!$B$12/2),I169-(ROUNDUP(S169/2,0)*('Parametros'!$B$7+'Parametros'!$B$9+'Parametros'!$B$12/2)+ROUNDDOWN(S169/2,0)*('Parametros'!$B$7+'Parametros'!$B$9+'Parametros'!$B$12/2+'Parametros'!$B$12+'Parametros'!$B$10))/S169)</f>
        <v>342.55</v>
      </c>
      <c r="V169" s="10">
        <f>S169*'Parametros'!$B$8</f>
        <v>796</v>
      </c>
      <c r="W169" s="10">
        <f>'Parametros'!$B$5*V169*'Parametros'!$B$3*(U169-(V169*'Parametros'!$B$3/(0.85*'Parametros'!$B$2*H169))/2)/1000000</f>
        <v>96.0248653411765</v>
      </c>
      <c r="X169" s="10" t="str">
        <f>IF(W169&gt;=J169,"CUMPLE","NO CUMPLE")</f>
        <v>CUMPLE</v>
      </c>
      <c r="Y169" s="10">
        <f>MAX(MAX(1.4/'Parametros'!$B$3,0.25*SQRT('Parametros'!$B$2)/'Parametros'!$B$3)*H169*AB169,(0.85*'Parametros'!$B$2/'Parametros'!$B$3)*(1-SQRT(1-2*(L169*1000000/('Parametros'!$B$5*H169*AB169^2))/(0.85*'Parametros'!$B$2)))*H169*AB169)</f>
        <v>603.277281085639</v>
      </c>
      <c r="Z169" s="17" t="n">
        <v>4</v>
      </c>
      <c r="AA169" s="18" t="n">
        <v>1</v>
      </c>
      <c r="AB169" s="10">
        <f>IF(AA169=1,I169-('Parametros'!$B$7+'Parametros'!$B$9+'Parametros'!$B$12/2),I169-(ROUNDUP(Z169/2,0)*('Parametros'!$B$7+'Parametros'!$B$9+'Parametros'!$B$12/2)+ROUNDDOWN(Z169/2,0)*('Parametros'!$B$7+'Parametros'!$B$9+'Parametros'!$B$12/2+'Parametros'!$B$12+'Parametros'!$B$10))/Z169)</f>
        <v>342.55</v>
      </c>
      <c r="AC169" s="10">
        <f>Z169*'Parametros'!$B$8</f>
        <v>796</v>
      </c>
      <c r="AD169" s="10">
        <f>'Parametros'!$B$5*AC169*'Parametros'!$B$3*(AB169-(AC169*'Parametros'!$B$3/(0.85*'Parametros'!$B$2*H169))/2)/1000000</f>
        <v>96.0248653411765</v>
      </c>
      <c r="AE169" s="10" t="str">
        <f>IF(AD169&gt;=L169,"CUMPLE","NO CUMPLE")</f>
        <v>CUMPLE</v>
      </c>
      <c r="AF169" s="10">
        <f>V169*1.25*'Parametros'!$B$3*(U169-(V169*1.25*'Parametros'!$B$3/(0.85*'Parametros'!$B$2*H169))/2)/1000000</f>
        <v>130.921924411765</v>
      </c>
      <c r="AG169" s="10">
        <f>AC169*1.25*'Parametros'!$B$3*(AB169-(AC169*1.25*'Parametros'!$B$3/(0.85*'Parametros'!$B$2*H169))/2)/1000000</f>
        <v>130.921924411765</v>
      </c>
      <c r="AH169" s="10">
        <f>N169+(AF169+AG169)/D169</f>
        <v>115.37944841629</v>
      </c>
      <c r="AI169" s="10">
        <f>MIN(O169,MAX(N169,AH169))</f>
        <v>115.37944841629</v>
      </c>
      <c r="AJ169" s="10">
        <f>0.17*SQRT('Parametros'!$B$2)*H169*MIN(U169,AB169)/1000</f>
        <v>92.4428153837279</v>
      </c>
      <c r="AK169" s="10">
        <f>MAX(AI169/'Parametros'!$B$6-AJ169,0)</f>
        <v>61.3964491713249</v>
      </c>
      <c r="AL169" s="10">
        <f>0.66*SQRT('Parametros'!$B$2)*H169*MIN(U169,AB169)/1000</f>
        <v>358.89563619565</v>
      </c>
      <c r="AM169" s="10" t="str">
        <f>IF(AK169&lt;=AL169,"CUMPLE","NO CUMPLE")</f>
        <v>CUMPLE</v>
      </c>
      <c r="AN169" s="15" t="inlineStr">
        <is>
          <t>Nº3 cerrado</t>
        </is>
      </c>
      <c r="AO169" s="17" t="n">
        <v>2</v>
      </c>
      <c r="AP169" s="10">
        <f>ROUNDDOWN(MIN(IF(AK169=0,1000000000,AO169*'Parametros'!$B$11*'Parametros'!$B$4*MIN(U169,AB169)/(AK169*1000)),IF(AV169=0,1000000000,'Parametros'!$B$11/AV169),MIN(U169,AB169)/4,8*'Parametros'!$B$12,24*'Parametros'!$B$9,300)/10,0)*10</f>
        <v>80</v>
      </c>
      <c r="AQ169" s="10">
        <f>ROUNDDOWN(MIN(IF(AK169=0,1000000000,AO169*'Parametros'!$B$11*'Parametros'!$B$4*MIN(U169,AB169)/(AK169*1000)),IF(AV169=0,1000000000,'Parametros'!$B$11/AV169),MIN(U169,AB169)/2,600)/10,0)*10</f>
        <v>170</v>
      </c>
      <c r="AR169" s="10">
        <f>'Parametros'!$B$6*(AJ169+AO169*'Parametros'!$B$11*'Parametros'!$B$4*MIN(U169,AB169)/AP169/1000)</f>
        <v>260.860380287796</v>
      </c>
      <c r="AS169" s="10" t="str">
        <f>IF(AND(AM169="CUMPLE",AR169&gt;=AI169),"CUMPLE","NO CUMPLE")</f>
        <v>CUMPLE</v>
      </c>
      <c r="AT169" s="10">
        <f>'Parametros'!$B$6*0.083*SQRT('Parametros'!$B$2)*(H169*I169)^2/(2*(H169+I169))/1000000</f>
        <v>3.38807353605471</v>
      </c>
      <c r="AU169" s="10" t="str">
        <f>IF(Q169&lt;=AT169,"DESPRECIABLE","DISEÑAR")</f>
        <v>DISEÑAR</v>
      </c>
      <c r="AV169" s="10">
        <f>IF(Q169&lt;=AT169,0,Q169*1000000/('Parametros'!$B$6*2*0.85*(H169-2*'Parametros'!$B$7)*(I169-2*'Parametros'!$B$7)*'Parametros'!$B$4))</f>
        <v>0.273302881758764</v>
      </c>
      <c r="AW169" s="10">
        <f>AV169*2*((H169-2*'Parametros'!$B$7)+(I169-2*'Parametros'!$B$7))*'Parametros'!$B$4/'Parametros'!$B$3</f>
        <v>295.167112299465</v>
      </c>
      <c r="AX169" s="17" t="n">
        <v>2</v>
      </c>
      <c r="AY169" s="10" t="str">
        <f>IF(AV169=0,"DESPRECIABLE",IF('Parametros'!$B$11/AP169&gt;=AV169,"CUMPLE","NO CUMPLE"))</f>
        <v>CUMPLE</v>
      </c>
      <c r="AZ169" s="10" t="str">
        <f>IF(AND(X169="CUMPLE",AE169="CUMPLE",AS169="CUMPLE",OR(AY169="CUMPLE",AY169="DESPRECIABLE")),IF(OR(F169&lt;&gt;H169,G169&lt;&gt;I169),"CUMPLE - REANALIZAR SAP","CUMPLE"),"NO CUMPLE")</f>
        <v>CUMPLE</v>
      </c>
    </row>
    <row r="170">
      <c r="A170" s="22" t="inlineStr">
        <is>
          <t>VC6</t>
        </is>
      </c>
      <c r="B170" s="22" t="inlineStr">
        <is>
          <t>81</t>
        </is>
      </c>
      <c r="C170" s="10" t="n">
        <v>1</v>
      </c>
      <c r="D170" s="10" t="n">
        <v>3.9</v>
      </c>
      <c r="E170" s="10" t="n">
        <v>3.9</v>
      </c>
      <c r="F170" s="10" t="n">
        <v>300</v>
      </c>
      <c r="G170" s="10" t="n">
        <v>400</v>
      </c>
      <c r="H170" s="15" t="n">
        <v>300</v>
      </c>
      <c r="I170" s="15" t="n">
        <v>400</v>
      </c>
      <c r="J170" s="16" t="n">
        <v>84.3703</v>
      </c>
      <c r="K170" s="10" t="inlineStr">
        <is>
          <t>81</t>
        </is>
      </c>
      <c r="L170" s="16" t="n">
        <v>74.0605</v>
      </c>
      <c r="M170" s="10" t="inlineStr">
        <is>
          <t>81</t>
        </is>
      </c>
      <c r="N170" s="16" t="n">
        <v>48.247</v>
      </c>
      <c r="O170" s="16" t="n">
        <v>209.874</v>
      </c>
      <c r="P170" s="10" t="inlineStr">
        <is>
          <t>81</t>
        </is>
      </c>
      <c r="Q170" s="16" t="n">
        <v>10.3055</v>
      </c>
      <c r="R170" s="10">
        <f>MAX(MAX(1.4/'Parametros'!$B$3,0.25*SQRT('Parametros'!$B$2)/'Parametros'!$B$3)*H170*U170,(0.85*'Parametros'!$B$2/'Parametros'!$B$3)*(1-SQRT(1-2*(J170*1000000/('Parametros'!$B$5*H170*U170^2))/(0.85*'Parametros'!$B$2)))*H170*U170)</f>
        <v>692.800101642414</v>
      </c>
      <c r="S170" s="17" t="n">
        <v>4</v>
      </c>
      <c r="T170" s="18" t="n">
        <v>1</v>
      </c>
      <c r="U170" s="10">
        <f>IF(T170=1,I170-('Parametros'!$B$7+'Parametros'!$B$9+'Parametros'!$B$12/2),I170-(ROUNDUP(S170/2,0)*('Parametros'!$B$7+'Parametros'!$B$9+'Parametros'!$B$12/2)+ROUNDDOWN(S170/2,0)*('Parametros'!$B$7+'Parametros'!$B$9+'Parametros'!$B$12/2+'Parametros'!$B$12+'Parametros'!$B$10))/S170)</f>
        <v>342.55</v>
      </c>
      <c r="V170" s="10">
        <f>S170*'Parametros'!$B$8</f>
        <v>796</v>
      </c>
      <c r="W170" s="10">
        <f>'Parametros'!$B$5*V170*'Parametros'!$B$3*(U170-(V170*'Parametros'!$B$3/(0.85*'Parametros'!$B$2*H170))/2)/1000000</f>
        <v>96.0248653411765</v>
      </c>
      <c r="X170" s="10" t="str">
        <f>IF(W170&gt;=J170,"CUMPLE","NO CUMPLE")</f>
        <v>CUMPLE</v>
      </c>
      <c r="Y170" s="10">
        <f>MAX(MAX(1.4/'Parametros'!$B$3,0.25*SQRT('Parametros'!$B$2)/'Parametros'!$B$3)*H170*AB170,(0.85*'Parametros'!$B$2/'Parametros'!$B$3)*(1-SQRT(1-2*(L170*1000000/('Parametros'!$B$5*H170*AB170^2))/(0.85*'Parametros'!$B$2)))*H170*AB170)</f>
        <v>603.208357527687</v>
      </c>
      <c r="Z170" s="17" t="n">
        <v>4</v>
      </c>
      <c r="AA170" s="18" t="n">
        <v>1</v>
      </c>
      <c r="AB170" s="10">
        <f>IF(AA170=1,I170-('Parametros'!$B$7+'Parametros'!$B$9+'Parametros'!$B$12/2),I170-(ROUNDUP(Z170/2,0)*('Parametros'!$B$7+'Parametros'!$B$9+'Parametros'!$B$12/2)+ROUNDDOWN(Z170/2,0)*('Parametros'!$B$7+'Parametros'!$B$9+'Parametros'!$B$12/2+'Parametros'!$B$12+'Parametros'!$B$10))/Z170)</f>
        <v>342.55</v>
      </c>
      <c r="AC170" s="10">
        <f>Z170*'Parametros'!$B$8</f>
        <v>796</v>
      </c>
      <c r="AD170" s="10">
        <f>'Parametros'!$B$5*AC170*'Parametros'!$B$3*(AB170-(AC170*'Parametros'!$B$3/(0.85*'Parametros'!$B$2*H170))/2)/1000000</f>
        <v>96.0248653411765</v>
      </c>
      <c r="AE170" s="10" t="str">
        <f>IF(AD170&gt;=L170,"CUMPLE","NO CUMPLE")</f>
        <v>CUMPLE</v>
      </c>
      <c r="AF170" s="10">
        <f>V170*1.25*'Parametros'!$B$3*(U170-(V170*1.25*'Parametros'!$B$3/(0.85*'Parametros'!$B$2*H170))/2)/1000000</f>
        <v>130.921924411765</v>
      </c>
      <c r="AG170" s="10">
        <f>AC170*1.25*'Parametros'!$B$3*(AB170-(AC170*1.25*'Parametros'!$B$3/(0.85*'Parametros'!$B$2*H170))/2)/1000000</f>
        <v>130.921924411765</v>
      </c>
      <c r="AH170" s="10">
        <f>N170+(AF170+AG170)/D170</f>
        <v>115.38644841629</v>
      </c>
      <c r="AI170" s="10">
        <f>MIN(O170,MAX(N170,AH170))</f>
        <v>115.38644841629</v>
      </c>
      <c r="AJ170" s="10">
        <f>0.17*SQRT('Parametros'!$B$2)*H170*MIN(U170,AB170)/1000</f>
        <v>92.4428153837279</v>
      </c>
      <c r="AK170" s="10">
        <f>MAX(AI170/'Parametros'!$B$6-AJ170,0)</f>
        <v>61.4057825046582</v>
      </c>
      <c r="AL170" s="10">
        <f>0.66*SQRT('Parametros'!$B$2)*H170*MIN(U170,AB170)/1000</f>
        <v>358.89563619565</v>
      </c>
      <c r="AM170" s="10" t="str">
        <f>IF(AK170&lt;=AL170,"CUMPLE","NO CUMPLE")</f>
        <v>CUMPLE</v>
      </c>
      <c r="AN170" s="15" t="inlineStr">
        <is>
          <t>Nº3 cerrado</t>
        </is>
      </c>
      <c r="AO170" s="17" t="n">
        <v>2</v>
      </c>
      <c r="AP170" s="10">
        <f>ROUNDDOWN(MIN(IF(AK170=0,1000000000,AO170*'Parametros'!$B$11*'Parametros'!$B$4*MIN(U170,AB170)/(AK170*1000)),IF(AV170=0,1000000000,'Parametros'!$B$11/AV170),MIN(U170,AB170)/4,8*'Parametros'!$B$12,24*'Parametros'!$B$9,300)/10,0)*10</f>
        <v>80</v>
      </c>
      <c r="AQ170" s="10">
        <f>ROUNDDOWN(MIN(IF(AK170=0,1000000000,AO170*'Parametros'!$B$11*'Parametros'!$B$4*MIN(U170,AB170)/(AK170*1000)),IF(AV170=0,1000000000,'Parametros'!$B$11/AV170),MIN(U170,AB170)/2,600)/10,0)*10</f>
        <v>170</v>
      </c>
      <c r="AR170" s="10">
        <f>'Parametros'!$B$6*(AJ170+AO170*'Parametros'!$B$11*'Parametros'!$B$4*MIN(U170,AB170)/AP170/1000)</f>
        <v>260.860380287796</v>
      </c>
      <c r="AS170" s="10" t="str">
        <f>IF(AND(AM170="CUMPLE",AR170&gt;=AI170),"CUMPLE","NO CUMPLE")</f>
        <v>CUMPLE</v>
      </c>
      <c r="AT170" s="10">
        <f>'Parametros'!$B$6*0.083*SQRT('Parametros'!$B$2)*(H170*I170)^2/(2*(H170+I170))/1000000</f>
        <v>3.38807353605471</v>
      </c>
      <c r="AU170" s="10" t="str">
        <f>IF(Q170&lt;=AT170,"DESPRECIABLE","DISEÑAR")</f>
        <v>DISEÑAR</v>
      </c>
      <c r="AV170" s="10">
        <f>IF(Q170&lt;=AT170,0,Q170*1000000/('Parametros'!$B$6*2*0.85*(H170-2*'Parametros'!$B$7)*(I170-2*'Parametros'!$B$7)*'Parametros'!$B$4))</f>
        <v>0.273361238434768</v>
      </c>
      <c r="AW170" s="10">
        <f>AV170*2*((H170-2*'Parametros'!$B$7)+(I170-2*'Parametros'!$B$7))*'Parametros'!$B$4/'Parametros'!$B$3</f>
        <v>295.230137509549</v>
      </c>
      <c r="AX170" s="17" t="n">
        <v>2</v>
      </c>
      <c r="AY170" s="10" t="str">
        <f>IF(AV170=0,"DESPRECIABLE",IF('Parametros'!$B$11/AP170&gt;=AV170,"CUMPLE","NO CUMPLE"))</f>
        <v>CUMPLE</v>
      </c>
      <c r="AZ170" s="10" t="str">
        <f>IF(AND(X170="CUMPLE",AE170="CUMPLE",AS170="CUMPLE",OR(AY170="CUMPLE",AY170="DESPRECIABLE")),IF(OR(F170&lt;&gt;H170,G170&lt;&gt;I170),"CUMPLE - REANALIZAR SAP","CUMPLE"),"NO CUMPLE")</f>
        <v>CUMPLE</v>
      </c>
    </row>
    <row r="171">
      <c r="A171" s="22" t="inlineStr">
        <is>
          <t>VC6</t>
        </is>
      </c>
      <c r="B171" s="22" t="inlineStr">
        <is>
          <t>82</t>
        </is>
      </c>
      <c r="C171" s="10" t="n">
        <v>1</v>
      </c>
      <c r="D171" s="10" t="n">
        <v>3.85</v>
      </c>
      <c r="E171" s="10" t="n">
        <v>3.85</v>
      </c>
      <c r="F171" s="10" t="n">
        <v>300</v>
      </c>
      <c r="G171" s="10" t="n">
        <v>400</v>
      </c>
      <c r="H171" s="15" t="n">
        <v>300</v>
      </c>
      <c r="I171" s="15" t="n">
        <v>400</v>
      </c>
      <c r="J171" s="16" t="n">
        <v>83.3325</v>
      </c>
      <c r="K171" s="10" t="inlineStr">
        <is>
          <t>82</t>
        </is>
      </c>
      <c r="L171" s="16" t="n">
        <v>75.20350000000001</v>
      </c>
      <c r="M171" s="10" t="inlineStr">
        <is>
          <t>82</t>
        </is>
      </c>
      <c r="N171" s="16" t="n">
        <v>47.417</v>
      </c>
      <c r="O171" s="16" t="n">
        <v>209.714</v>
      </c>
      <c r="P171" s="10" t="inlineStr">
        <is>
          <t>82</t>
        </is>
      </c>
      <c r="Q171" s="16" t="n">
        <v>0.477</v>
      </c>
      <c r="R171" s="10">
        <f>MAX(MAX(1.4/'Parametros'!$B$3,0.25*SQRT('Parametros'!$B$2)/'Parametros'!$B$3)*H171*U171,(0.85*'Parametros'!$B$2/'Parametros'!$B$3)*(1-SQRT(1-2*(J171*1000000/('Parametros'!$B$5*H171*U171^2))/(0.85*'Parametros'!$B$2)))*H171*U171)</f>
        <v>683.710970896485</v>
      </c>
      <c r="S171" s="17" t="n">
        <v>4</v>
      </c>
      <c r="T171" s="18" t="n">
        <v>1</v>
      </c>
      <c r="U171" s="10">
        <f>IF(T171=1,I171-('Parametros'!$B$7+'Parametros'!$B$9+'Parametros'!$B$12/2),I171-(ROUNDUP(S171/2,0)*('Parametros'!$B$7+'Parametros'!$B$9+'Parametros'!$B$12/2)+ROUNDDOWN(S171/2,0)*('Parametros'!$B$7+'Parametros'!$B$9+'Parametros'!$B$12/2+'Parametros'!$B$12+'Parametros'!$B$10))/S171)</f>
        <v>342.55</v>
      </c>
      <c r="V171" s="10">
        <f>S171*'Parametros'!$B$8</f>
        <v>796</v>
      </c>
      <c r="W171" s="10">
        <f>'Parametros'!$B$5*V171*'Parametros'!$B$3*(U171-(V171*'Parametros'!$B$3/(0.85*'Parametros'!$B$2*H171))/2)/1000000</f>
        <v>96.0248653411765</v>
      </c>
      <c r="X171" s="10" t="str">
        <f>IF(W171&gt;=J171,"CUMPLE","NO CUMPLE")</f>
        <v>CUMPLE</v>
      </c>
      <c r="Y171" s="10">
        <f>MAX(MAX(1.4/'Parametros'!$B$3,0.25*SQRT('Parametros'!$B$2)/'Parametros'!$B$3)*H171*AB171,(0.85*'Parametros'!$B$2/'Parametros'!$B$3)*(1-SQRT(1-2*(L171*1000000/('Parametros'!$B$5*H171*AB171^2))/(0.85*'Parametros'!$B$2)))*H171*AB171)</f>
        <v>613.065051586524</v>
      </c>
      <c r="Z171" s="17" t="n">
        <v>4</v>
      </c>
      <c r="AA171" s="18" t="n">
        <v>1</v>
      </c>
      <c r="AB171" s="10">
        <f>IF(AA171=1,I171-('Parametros'!$B$7+'Parametros'!$B$9+'Parametros'!$B$12/2),I171-(ROUNDUP(Z171/2,0)*('Parametros'!$B$7+'Parametros'!$B$9+'Parametros'!$B$12/2)+ROUNDDOWN(Z171/2,0)*('Parametros'!$B$7+'Parametros'!$B$9+'Parametros'!$B$12/2+'Parametros'!$B$12+'Parametros'!$B$10))/Z171)</f>
        <v>342.55</v>
      </c>
      <c r="AC171" s="10">
        <f>Z171*'Parametros'!$B$8</f>
        <v>796</v>
      </c>
      <c r="AD171" s="10">
        <f>'Parametros'!$B$5*AC171*'Parametros'!$B$3*(AB171-(AC171*'Parametros'!$B$3/(0.85*'Parametros'!$B$2*H171))/2)/1000000</f>
        <v>96.0248653411765</v>
      </c>
      <c r="AE171" s="10" t="str">
        <f>IF(AD171&gt;=L171,"CUMPLE","NO CUMPLE")</f>
        <v>CUMPLE</v>
      </c>
      <c r="AF171" s="10">
        <f>V171*1.25*'Parametros'!$B$3*(U171-(V171*1.25*'Parametros'!$B$3/(0.85*'Parametros'!$B$2*H171))/2)/1000000</f>
        <v>130.921924411765</v>
      </c>
      <c r="AG171" s="10">
        <f>AC171*1.25*'Parametros'!$B$3*(AB171-(AC171*1.25*'Parametros'!$B$3/(0.85*'Parametros'!$B$2*H171))/2)/1000000</f>
        <v>130.921924411765</v>
      </c>
      <c r="AH171" s="10">
        <f>N171+(AF171+AG171)/D171</f>
        <v>115.428389304813</v>
      </c>
      <c r="AI171" s="10">
        <f>MIN(O171,MAX(N171,AH171))</f>
        <v>115.428389304813</v>
      </c>
      <c r="AJ171" s="10">
        <f>0.17*SQRT('Parametros'!$B$2)*H171*MIN(U171,AB171)/1000</f>
        <v>92.4428153837279</v>
      </c>
      <c r="AK171" s="10">
        <f>MAX(AI171/'Parametros'!$B$6-AJ171,0)</f>
        <v>61.4617036893559</v>
      </c>
      <c r="AL171" s="10">
        <f>0.66*SQRT('Parametros'!$B$2)*H171*MIN(U171,AB171)/1000</f>
        <v>358.89563619565</v>
      </c>
      <c r="AM171" s="10" t="str">
        <f>IF(AK171&lt;=AL171,"CUMPLE","NO CUMPLE")</f>
        <v>CUMPLE</v>
      </c>
      <c r="AN171" s="15" t="inlineStr">
        <is>
          <t>Nº3 cerrado</t>
        </is>
      </c>
      <c r="AO171" s="17" t="n">
        <v>2</v>
      </c>
      <c r="AP171" s="10">
        <f>ROUNDDOWN(MIN(IF(AK171=0,1000000000,AO171*'Parametros'!$B$11*'Parametros'!$B$4*MIN(U171,AB171)/(AK171*1000)),IF(AV171=0,1000000000,'Parametros'!$B$11/AV171),MIN(U171,AB171)/4,8*'Parametros'!$B$12,24*'Parametros'!$B$9,300)/10,0)*10</f>
        <v>80</v>
      </c>
      <c r="AQ171" s="10">
        <f>ROUNDDOWN(MIN(IF(AK171=0,1000000000,AO171*'Parametros'!$B$11*'Parametros'!$B$4*MIN(U171,AB171)/(AK171*1000)),IF(AV171=0,1000000000,'Parametros'!$B$11/AV171),MIN(U171,AB171)/2,600)/10,0)*10</f>
        <v>170</v>
      </c>
      <c r="AR171" s="10">
        <f>'Parametros'!$B$6*(AJ171+AO171*'Parametros'!$B$11*'Parametros'!$B$4*MIN(U171,AB171)/AP171/1000)</f>
        <v>260.860380287796</v>
      </c>
      <c r="AS171" s="10" t="str">
        <f>IF(AND(AM171="CUMPLE",AR171&gt;=AI171),"CUMPLE","NO CUMPLE")</f>
        <v>CUMPLE</v>
      </c>
      <c r="AT171" s="10">
        <f>'Parametros'!$B$6*0.083*SQRT('Parametros'!$B$2)*(H171*I171)^2/(2*(H171+I171))/1000000</f>
        <v>3.38807353605471</v>
      </c>
      <c r="AU171" s="10" t="str">
        <f>IF(Q171&lt;=AT171,"DESPRECIABLE","DISEÑAR")</f>
        <v>DESPRECIABLE</v>
      </c>
      <c r="AV171" s="10">
        <f>IF(Q171&lt;=AT171,0,Q171*1000000/('Parametros'!$B$6*2*0.85*(H171-2*'Parametros'!$B$7)*(I171-2*'Parametros'!$B$7)*'Parametros'!$B$4))</f>
        <v>0</v>
      </c>
      <c r="AW171" s="10">
        <f>AV171*2*((H171-2*'Parametros'!$B$7)+(I171-2*'Parametros'!$B$7))*'Parametros'!$B$4/'Parametros'!$B$3</f>
        <v>0</v>
      </c>
      <c r="AX171" s="17" t="n">
        <v>0</v>
      </c>
      <c r="AY171" s="10" t="str">
        <f>IF(AV171=0,"DESPRECIABLE",IF('Parametros'!$B$11/AP171&gt;=AV171,"CUMPLE","NO CUMPLE"))</f>
        <v>DESPRECIABLE</v>
      </c>
      <c r="AZ171" s="10" t="str">
        <f>IF(AND(X171="CUMPLE",AE171="CUMPLE",AS171="CUMPLE",OR(AY171="CUMPLE",AY171="DESPRECIABLE")),IF(OR(F171&lt;&gt;H171,G171&lt;&gt;I171),"CUMPLE - REANALIZAR SAP","CUMPLE"),"NO CUMPLE")</f>
        <v>CUMPLE</v>
      </c>
    </row>
    <row r="172">
      <c r="A172" s="22" t="inlineStr">
        <is>
          <t>VC6</t>
        </is>
      </c>
      <c r="B172" s="22" t="inlineStr">
        <is>
          <t>267</t>
        </is>
      </c>
      <c r="C172" s="10" t="n">
        <v>1</v>
      </c>
      <c r="D172" s="10" t="n">
        <v>3.85</v>
      </c>
      <c r="E172" s="10" t="n">
        <v>3.85</v>
      </c>
      <c r="F172" s="10" t="n">
        <v>300</v>
      </c>
      <c r="G172" s="10" t="n">
        <v>400</v>
      </c>
      <c r="H172" s="15" t="n">
        <v>300</v>
      </c>
      <c r="I172" s="15" t="n">
        <v>400</v>
      </c>
      <c r="J172" s="16" t="n">
        <v>83.78</v>
      </c>
      <c r="K172" s="10" t="inlineStr">
        <is>
          <t>267</t>
        </is>
      </c>
      <c r="L172" s="16" t="n">
        <v>75.6009</v>
      </c>
      <c r="M172" s="10" t="inlineStr">
        <is>
          <t>267</t>
        </is>
      </c>
      <c r="N172" s="16" t="n">
        <v>47.673</v>
      </c>
      <c r="O172" s="16" t="n">
        <v>209.942</v>
      </c>
      <c r="P172" s="10" t="inlineStr">
        <is>
          <t>267</t>
        </is>
      </c>
      <c r="Q172" s="16" t="n">
        <v>0.7318</v>
      </c>
      <c r="R172" s="10">
        <f>MAX(MAX(1.4/'Parametros'!$B$3,0.25*SQRT('Parametros'!$B$2)/'Parametros'!$B$3)*H172*U172,(0.85*'Parametros'!$B$2/'Parametros'!$B$3)*(1-SQRT(1-2*(J172*1000000/('Parametros'!$B$5*H172*U172^2))/(0.85*'Parametros'!$B$2)))*H172*U172)</f>
        <v>687.628237021323</v>
      </c>
      <c r="S172" s="17" t="n">
        <v>4</v>
      </c>
      <c r="T172" s="18" t="n">
        <v>1</v>
      </c>
      <c r="U172" s="10">
        <f>IF(T172=1,I172-('Parametros'!$B$7+'Parametros'!$B$9+'Parametros'!$B$12/2),I172-(ROUNDUP(S172/2,0)*('Parametros'!$B$7+'Parametros'!$B$9+'Parametros'!$B$12/2)+ROUNDDOWN(S172/2,0)*('Parametros'!$B$7+'Parametros'!$B$9+'Parametros'!$B$12/2+'Parametros'!$B$12+'Parametros'!$B$10))/S172)</f>
        <v>342.55</v>
      </c>
      <c r="V172" s="10">
        <f>S172*'Parametros'!$B$8</f>
        <v>796</v>
      </c>
      <c r="W172" s="10">
        <f>'Parametros'!$B$5*V172*'Parametros'!$B$3*(U172-(V172*'Parametros'!$B$3/(0.85*'Parametros'!$B$2*H172))/2)/1000000</f>
        <v>96.0248653411765</v>
      </c>
      <c r="X172" s="10" t="str">
        <f>IF(W172&gt;=J172,"CUMPLE","NO CUMPLE")</f>
        <v>CUMPLE</v>
      </c>
      <c r="Y172" s="10">
        <f>MAX(MAX(1.4/'Parametros'!$B$3,0.25*SQRT('Parametros'!$B$2)/'Parametros'!$B$3)*H172*AB172,(0.85*'Parametros'!$B$2/'Parametros'!$B$3)*(1-SQRT(1-2*(L172*1000000/('Parametros'!$B$5*H172*AB172^2))/(0.85*'Parametros'!$B$2)))*H172*AB172)</f>
        <v>616.496413608402</v>
      </c>
      <c r="Z172" s="17" t="n">
        <v>4</v>
      </c>
      <c r="AA172" s="18" t="n">
        <v>1</v>
      </c>
      <c r="AB172" s="10">
        <f>IF(AA172=1,I172-('Parametros'!$B$7+'Parametros'!$B$9+'Parametros'!$B$12/2),I172-(ROUNDUP(Z172/2,0)*('Parametros'!$B$7+'Parametros'!$B$9+'Parametros'!$B$12/2)+ROUNDDOWN(Z172/2,0)*('Parametros'!$B$7+'Parametros'!$B$9+'Parametros'!$B$12/2+'Parametros'!$B$12+'Parametros'!$B$10))/Z172)</f>
        <v>342.55</v>
      </c>
      <c r="AC172" s="10">
        <f>Z172*'Parametros'!$B$8</f>
        <v>796</v>
      </c>
      <c r="AD172" s="10">
        <f>'Parametros'!$B$5*AC172*'Parametros'!$B$3*(AB172-(AC172*'Parametros'!$B$3/(0.85*'Parametros'!$B$2*H172))/2)/1000000</f>
        <v>96.0248653411765</v>
      </c>
      <c r="AE172" s="10" t="str">
        <f>IF(AD172&gt;=L172,"CUMPLE","NO CUMPLE")</f>
        <v>CUMPLE</v>
      </c>
      <c r="AF172" s="10">
        <f>V172*1.25*'Parametros'!$B$3*(U172-(V172*1.25*'Parametros'!$B$3/(0.85*'Parametros'!$B$2*H172))/2)/1000000</f>
        <v>130.921924411765</v>
      </c>
      <c r="AG172" s="10">
        <f>AC172*1.25*'Parametros'!$B$3*(AB172-(AC172*1.25*'Parametros'!$B$3/(0.85*'Parametros'!$B$2*H172))/2)/1000000</f>
        <v>130.921924411765</v>
      </c>
      <c r="AH172" s="10">
        <f>N172+(AF172+AG172)/D172</f>
        <v>115.684389304813</v>
      </c>
      <c r="AI172" s="10">
        <f>MIN(O172,MAX(N172,AH172))</f>
        <v>115.684389304813</v>
      </c>
      <c r="AJ172" s="10">
        <f>0.17*SQRT('Parametros'!$B$2)*H172*MIN(U172,AB172)/1000</f>
        <v>92.4428153837279</v>
      </c>
      <c r="AK172" s="10">
        <f>MAX(AI172/'Parametros'!$B$6-AJ172,0)</f>
        <v>61.8030370226892</v>
      </c>
      <c r="AL172" s="10">
        <f>0.66*SQRT('Parametros'!$B$2)*H172*MIN(U172,AB172)/1000</f>
        <v>358.89563619565</v>
      </c>
      <c r="AM172" s="10" t="str">
        <f>IF(AK172&lt;=AL172,"CUMPLE","NO CUMPLE")</f>
        <v>CUMPLE</v>
      </c>
      <c r="AN172" s="15" t="inlineStr">
        <is>
          <t>Nº3 cerrado</t>
        </is>
      </c>
      <c r="AO172" s="17" t="n">
        <v>2</v>
      </c>
      <c r="AP172" s="10">
        <f>ROUNDDOWN(MIN(IF(AK172=0,1000000000,AO172*'Parametros'!$B$11*'Parametros'!$B$4*MIN(U172,AB172)/(AK172*1000)),IF(AV172=0,1000000000,'Parametros'!$B$11/AV172),MIN(U172,AB172)/4,8*'Parametros'!$B$12,24*'Parametros'!$B$9,300)/10,0)*10</f>
        <v>80</v>
      </c>
      <c r="AQ172" s="10">
        <f>ROUNDDOWN(MIN(IF(AK172=0,1000000000,AO172*'Parametros'!$B$11*'Parametros'!$B$4*MIN(U172,AB172)/(AK172*1000)),IF(AV172=0,1000000000,'Parametros'!$B$11/AV172),MIN(U172,AB172)/2,600)/10,0)*10</f>
        <v>170</v>
      </c>
      <c r="AR172" s="10">
        <f>'Parametros'!$B$6*(AJ172+AO172*'Parametros'!$B$11*'Parametros'!$B$4*MIN(U172,AB172)/AP172/1000)</f>
        <v>260.860380287796</v>
      </c>
      <c r="AS172" s="10" t="str">
        <f>IF(AND(AM172="CUMPLE",AR172&gt;=AI172),"CUMPLE","NO CUMPLE")</f>
        <v>CUMPLE</v>
      </c>
      <c r="AT172" s="10">
        <f>'Parametros'!$B$6*0.083*SQRT('Parametros'!$B$2)*(H172*I172)^2/(2*(H172+I172))/1000000</f>
        <v>3.38807353605471</v>
      </c>
      <c r="AU172" s="10" t="str">
        <f>IF(Q172&lt;=AT172,"DESPRECIABLE","DISEÑAR")</f>
        <v>DESPRECIABLE</v>
      </c>
      <c r="AV172" s="10">
        <f>IF(Q172&lt;=AT172,0,Q172*1000000/('Parametros'!$B$6*2*0.85*(H172-2*'Parametros'!$B$7)*(I172-2*'Parametros'!$B$7)*'Parametros'!$B$4))</f>
        <v>0</v>
      </c>
      <c r="AW172" s="10">
        <f>AV172*2*((H172-2*'Parametros'!$B$7)+(I172-2*'Parametros'!$B$7))*'Parametros'!$B$4/'Parametros'!$B$3</f>
        <v>0</v>
      </c>
      <c r="AX172" s="17" t="n">
        <v>0</v>
      </c>
      <c r="AY172" s="10" t="str">
        <f>IF(AV172=0,"DESPRECIABLE",IF('Parametros'!$B$11/AP172&gt;=AV172,"CUMPLE","NO CUMPLE"))</f>
        <v>DESPRECIABLE</v>
      </c>
      <c r="AZ172" s="10" t="str">
        <f>IF(AND(X172="CUMPLE",AE172="CUMPLE",AS172="CUMPLE",OR(AY172="CUMPLE",AY172="DESPRECIABLE")),IF(OR(F172&lt;&gt;H172,G172&lt;&gt;I172),"CUMPLE - REANALIZAR SAP","CUMPLE"),"NO CUMPLE")</f>
        <v>CUMPLE</v>
      </c>
    </row>
    <row r="173">
      <c r="A173" s="22" t="inlineStr">
        <is>
          <t>VC6</t>
        </is>
      </c>
      <c r="B173" s="22" t="inlineStr">
        <is>
          <t>268</t>
        </is>
      </c>
      <c r="C173" s="10" t="n">
        <v>1</v>
      </c>
      <c r="D173" s="10" t="n">
        <v>3.9</v>
      </c>
      <c r="E173" s="10" t="n">
        <v>3.9</v>
      </c>
      <c r="F173" s="10" t="n">
        <v>300</v>
      </c>
      <c r="G173" s="10" t="n">
        <v>400</v>
      </c>
      <c r="H173" s="15" t="n">
        <v>300</v>
      </c>
      <c r="I173" s="15" t="n">
        <v>400</v>
      </c>
      <c r="J173" s="16" t="n">
        <v>86.6444</v>
      </c>
      <c r="K173" s="10" t="inlineStr">
        <is>
          <t>268</t>
        </is>
      </c>
      <c r="L173" s="16" t="n">
        <v>75.3545</v>
      </c>
      <c r="M173" s="10" t="inlineStr">
        <is>
          <t>268</t>
        </is>
      </c>
      <c r="N173" s="16" t="n">
        <v>49.435</v>
      </c>
      <c r="O173" s="16" t="n">
        <v>214.216</v>
      </c>
      <c r="P173" s="10" t="inlineStr">
        <is>
          <t>268</t>
        </is>
      </c>
      <c r="Q173" s="16" t="n">
        <v>9.0633</v>
      </c>
      <c r="R173" s="10">
        <f>MAX(MAX(1.4/'Parametros'!$B$3,0.25*SQRT('Parametros'!$B$2)/'Parametros'!$B$3)*H173*U173,(0.85*'Parametros'!$B$2/'Parametros'!$B$3)*(1-SQRT(1-2*(J173*1000000/('Parametros'!$B$5*H173*U173^2))/(0.85*'Parametros'!$B$2)))*H173*U173)</f>
        <v>712.773361078678</v>
      </c>
      <c r="S173" s="17" t="n">
        <v>4</v>
      </c>
      <c r="T173" s="18" t="n">
        <v>1</v>
      </c>
      <c r="U173" s="10">
        <f>IF(T173=1,I173-('Parametros'!$B$7+'Parametros'!$B$9+'Parametros'!$B$12/2),I173-(ROUNDUP(S173/2,0)*('Parametros'!$B$7+'Parametros'!$B$9+'Parametros'!$B$12/2)+ROUNDDOWN(S173/2,0)*('Parametros'!$B$7+'Parametros'!$B$9+'Parametros'!$B$12/2+'Parametros'!$B$12+'Parametros'!$B$10))/S173)</f>
        <v>342.55</v>
      </c>
      <c r="V173" s="10">
        <f>S173*'Parametros'!$B$8</f>
        <v>796</v>
      </c>
      <c r="W173" s="10">
        <f>'Parametros'!$B$5*V173*'Parametros'!$B$3*(U173-(V173*'Parametros'!$B$3/(0.85*'Parametros'!$B$2*H173))/2)/1000000</f>
        <v>96.0248653411765</v>
      </c>
      <c r="X173" s="10" t="str">
        <f>IF(W173&gt;=J173,"CUMPLE","NO CUMPLE")</f>
        <v>CUMPLE</v>
      </c>
      <c r="Y173" s="10">
        <f>MAX(MAX(1.4/'Parametros'!$B$3,0.25*SQRT('Parametros'!$B$2)/'Parametros'!$B$3)*H173*AB173,(0.85*'Parametros'!$B$2/'Parametros'!$B$3)*(1-SQRT(1-2*(L173*1000000/('Parametros'!$B$5*H173*AB173^2))/(0.85*'Parametros'!$B$2)))*H173*AB173)</f>
        <v>614.368599276629</v>
      </c>
      <c r="Z173" s="17" t="n">
        <v>4</v>
      </c>
      <c r="AA173" s="18" t="n">
        <v>1</v>
      </c>
      <c r="AB173" s="10">
        <f>IF(AA173=1,I173-('Parametros'!$B$7+'Parametros'!$B$9+'Parametros'!$B$12/2),I173-(ROUNDUP(Z173/2,0)*('Parametros'!$B$7+'Parametros'!$B$9+'Parametros'!$B$12/2)+ROUNDDOWN(Z173/2,0)*('Parametros'!$B$7+'Parametros'!$B$9+'Parametros'!$B$12/2+'Parametros'!$B$12+'Parametros'!$B$10))/Z173)</f>
        <v>342.55</v>
      </c>
      <c r="AC173" s="10">
        <f>Z173*'Parametros'!$B$8</f>
        <v>796</v>
      </c>
      <c r="AD173" s="10">
        <f>'Parametros'!$B$5*AC173*'Parametros'!$B$3*(AB173-(AC173*'Parametros'!$B$3/(0.85*'Parametros'!$B$2*H173))/2)/1000000</f>
        <v>96.0248653411765</v>
      </c>
      <c r="AE173" s="10" t="str">
        <f>IF(AD173&gt;=L173,"CUMPLE","NO CUMPLE")</f>
        <v>CUMPLE</v>
      </c>
      <c r="AF173" s="10">
        <f>V173*1.25*'Parametros'!$B$3*(U173-(V173*1.25*'Parametros'!$B$3/(0.85*'Parametros'!$B$2*H173))/2)/1000000</f>
        <v>130.921924411765</v>
      </c>
      <c r="AG173" s="10">
        <f>AC173*1.25*'Parametros'!$B$3*(AB173-(AC173*1.25*'Parametros'!$B$3/(0.85*'Parametros'!$B$2*H173))/2)/1000000</f>
        <v>130.921924411765</v>
      </c>
      <c r="AH173" s="10">
        <f>N173+(AF173+AG173)/D173</f>
        <v>116.57444841629</v>
      </c>
      <c r="AI173" s="10">
        <f>MIN(O173,MAX(N173,AH173))</f>
        <v>116.57444841629</v>
      </c>
      <c r="AJ173" s="10">
        <f>0.17*SQRT('Parametros'!$B$2)*H173*MIN(U173,AB173)/1000</f>
        <v>92.4428153837279</v>
      </c>
      <c r="AK173" s="10">
        <f>MAX(AI173/'Parametros'!$B$6-AJ173,0)</f>
        <v>62.9897825046582</v>
      </c>
      <c r="AL173" s="10">
        <f>0.66*SQRT('Parametros'!$B$2)*H173*MIN(U173,AB173)/1000</f>
        <v>358.89563619565</v>
      </c>
      <c r="AM173" s="10" t="str">
        <f>IF(AK173&lt;=AL173,"CUMPLE","NO CUMPLE")</f>
        <v>CUMPLE</v>
      </c>
      <c r="AN173" s="15" t="inlineStr">
        <is>
          <t>Nº3 cerrado</t>
        </is>
      </c>
      <c r="AO173" s="17" t="n">
        <v>2</v>
      </c>
      <c r="AP173" s="10">
        <f>ROUNDDOWN(MIN(IF(AK173=0,1000000000,AO173*'Parametros'!$B$11*'Parametros'!$B$4*MIN(U173,AB173)/(AK173*1000)),IF(AV173=0,1000000000,'Parametros'!$B$11/AV173),MIN(U173,AB173)/4,8*'Parametros'!$B$12,24*'Parametros'!$B$9,300)/10,0)*10</f>
        <v>80</v>
      </c>
      <c r="AQ173" s="10">
        <f>ROUNDDOWN(MIN(IF(AK173=0,1000000000,AO173*'Parametros'!$B$11*'Parametros'!$B$4*MIN(U173,AB173)/(AK173*1000)),IF(AV173=0,1000000000,'Parametros'!$B$11/AV173),MIN(U173,AB173)/2,600)/10,0)*10</f>
        <v>170</v>
      </c>
      <c r="AR173" s="10">
        <f>'Parametros'!$B$6*(AJ173+AO173*'Parametros'!$B$11*'Parametros'!$B$4*MIN(U173,AB173)/AP173/1000)</f>
        <v>260.860380287796</v>
      </c>
      <c r="AS173" s="10" t="str">
        <f>IF(AND(AM173="CUMPLE",AR173&gt;=AI173),"CUMPLE","NO CUMPLE")</f>
        <v>CUMPLE</v>
      </c>
      <c r="AT173" s="10">
        <f>'Parametros'!$B$6*0.083*SQRT('Parametros'!$B$2)*(H173*I173)^2/(2*(H173+I173))/1000000</f>
        <v>3.38807353605471</v>
      </c>
      <c r="AU173" s="10" t="str">
        <f>IF(Q173&lt;=AT173,"DESPRECIABLE","DISEÑAR")</f>
        <v>DISEÑAR</v>
      </c>
      <c r="AV173" s="10">
        <f>IF(Q173&lt;=AT173,0,Q173*1000000/('Parametros'!$B$6*2*0.85*(H173-2*'Parametros'!$B$7)*(I173-2*'Parametros'!$B$7)*'Parametros'!$B$4))</f>
        <v>0.240410937102114</v>
      </c>
      <c r="AW173" s="10">
        <f>AV173*2*((H173-2*'Parametros'!$B$7)+(I173-2*'Parametros'!$B$7))*'Parametros'!$B$4/'Parametros'!$B$3</f>
        <v>259.643812070283</v>
      </c>
      <c r="AX173" s="17" t="n">
        <v>2</v>
      </c>
      <c r="AY173" s="10" t="str">
        <f>IF(AV173=0,"DESPRECIABLE",IF('Parametros'!$B$11/AP173&gt;=AV173,"CUMPLE","NO CUMPLE"))</f>
        <v>CUMPLE</v>
      </c>
      <c r="AZ173" s="10" t="str">
        <f>IF(AND(X173="CUMPLE",AE173="CUMPLE",AS173="CUMPLE",OR(AY173="CUMPLE",AY173="DESPRECIABLE")),IF(OR(F173&lt;&gt;H173,G173&lt;&gt;I173),"CUMPLE - REANALIZAR SAP","CUMPLE"),"NO CUMPLE")</f>
        <v>CUMPLE</v>
      </c>
    </row>
    <row r="174">
      <c r="A174" s="22" t="inlineStr">
        <is>
          <t>VC6</t>
        </is>
      </c>
      <c r="B174" s="22" t="inlineStr">
        <is>
          <t>269</t>
        </is>
      </c>
      <c r="C174" s="10" t="n">
        <v>1</v>
      </c>
      <c r="D174" s="10" t="n">
        <v>3.9</v>
      </c>
      <c r="E174" s="10" t="n">
        <v>3.9</v>
      </c>
      <c r="F174" s="10" t="n">
        <v>300</v>
      </c>
      <c r="G174" s="10" t="n">
        <v>400</v>
      </c>
      <c r="H174" s="15" t="n">
        <v>300</v>
      </c>
      <c r="I174" s="15" t="n">
        <v>400</v>
      </c>
      <c r="J174" s="16" t="n">
        <v>86.6362</v>
      </c>
      <c r="K174" s="10" t="inlineStr">
        <is>
          <t>269</t>
        </is>
      </c>
      <c r="L174" s="16" t="n">
        <v>75.35939999999999</v>
      </c>
      <c r="M174" s="10" t="inlineStr">
        <is>
          <t>269</t>
        </is>
      </c>
      <c r="N174" s="16" t="n">
        <v>49.431</v>
      </c>
      <c r="O174" s="16" t="n">
        <v>214.212</v>
      </c>
      <c r="P174" s="10" t="inlineStr">
        <is>
          <t>269</t>
        </is>
      </c>
      <c r="Q174" s="16" t="n">
        <v>9.064399999999999</v>
      </c>
      <c r="R174" s="10">
        <f>MAX(MAX(1.4/'Parametros'!$B$3,0.25*SQRT('Parametros'!$B$2)/'Parametros'!$B$3)*H174*U174,(0.85*'Parametros'!$B$2/'Parametros'!$B$3)*(1-SQRT(1-2*(J174*1000000/('Parametros'!$B$5*H174*U174^2))/(0.85*'Parametros'!$B$2)))*H174*U174)</f>
        <v>712.701200833115</v>
      </c>
      <c r="S174" s="17" t="n">
        <v>4</v>
      </c>
      <c r="T174" s="18" t="n">
        <v>1</v>
      </c>
      <c r="U174" s="10">
        <f>IF(T174=1,I174-('Parametros'!$B$7+'Parametros'!$B$9+'Parametros'!$B$12/2),I174-(ROUNDUP(S174/2,0)*('Parametros'!$B$7+'Parametros'!$B$9+'Parametros'!$B$12/2)+ROUNDDOWN(S174/2,0)*('Parametros'!$B$7+'Parametros'!$B$9+'Parametros'!$B$12/2+'Parametros'!$B$12+'Parametros'!$B$10))/S174)</f>
        <v>342.55</v>
      </c>
      <c r="V174" s="10">
        <f>S174*'Parametros'!$B$8</f>
        <v>796</v>
      </c>
      <c r="W174" s="10">
        <f>'Parametros'!$B$5*V174*'Parametros'!$B$3*(U174-(V174*'Parametros'!$B$3/(0.85*'Parametros'!$B$2*H174))/2)/1000000</f>
        <v>96.0248653411765</v>
      </c>
      <c r="X174" s="10" t="str">
        <f>IF(W174&gt;=J174,"CUMPLE","NO CUMPLE")</f>
        <v>CUMPLE</v>
      </c>
      <c r="Y174" s="10">
        <f>MAX(MAX(1.4/'Parametros'!$B$3,0.25*SQRT('Parametros'!$B$2)/'Parametros'!$B$3)*H174*AB174,(0.85*'Parametros'!$B$2/'Parametros'!$B$3)*(1-SQRT(1-2*(L174*1000000/('Parametros'!$B$5*H174*AB174^2))/(0.85*'Parametros'!$B$2)))*H174*AB174)</f>
        <v>614.410905295468</v>
      </c>
      <c r="Z174" s="17" t="n">
        <v>4</v>
      </c>
      <c r="AA174" s="18" t="n">
        <v>1</v>
      </c>
      <c r="AB174" s="10">
        <f>IF(AA174=1,I174-('Parametros'!$B$7+'Parametros'!$B$9+'Parametros'!$B$12/2),I174-(ROUNDUP(Z174/2,0)*('Parametros'!$B$7+'Parametros'!$B$9+'Parametros'!$B$12/2)+ROUNDDOWN(Z174/2,0)*('Parametros'!$B$7+'Parametros'!$B$9+'Parametros'!$B$12/2+'Parametros'!$B$12+'Parametros'!$B$10))/Z174)</f>
        <v>342.55</v>
      </c>
      <c r="AC174" s="10">
        <f>Z174*'Parametros'!$B$8</f>
        <v>796</v>
      </c>
      <c r="AD174" s="10">
        <f>'Parametros'!$B$5*AC174*'Parametros'!$B$3*(AB174-(AC174*'Parametros'!$B$3/(0.85*'Parametros'!$B$2*H174))/2)/1000000</f>
        <v>96.0248653411765</v>
      </c>
      <c r="AE174" s="10" t="str">
        <f>IF(AD174&gt;=L174,"CUMPLE","NO CUMPLE")</f>
        <v>CUMPLE</v>
      </c>
      <c r="AF174" s="10">
        <f>V174*1.25*'Parametros'!$B$3*(U174-(V174*1.25*'Parametros'!$B$3/(0.85*'Parametros'!$B$2*H174))/2)/1000000</f>
        <v>130.921924411765</v>
      </c>
      <c r="AG174" s="10">
        <f>AC174*1.25*'Parametros'!$B$3*(AB174-(AC174*1.25*'Parametros'!$B$3/(0.85*'Parametros'!$B$2*H174))/2)/1000000</f>
        <v>130.921924411765</v>
      </c>
      <c r="AH174" s="10">
        <f>N174+(AF174+AG174)/D174</f>
        <v>116.57044841629</v>
      </c>
      <c r="AI174" s="10">
        <f>MIN(O174,MAX(N174,AH174))</f>
        <v>116.57044841629</v>
      </c>
      <c r="AJ174" s="10">
        <f>0.17*SQRT('Parametros'!$B$2)*H174*MIN(U174,AB174)/1000</f>
        <v>92.4428153837279</v>
      </c>
      <c r="AK174" s="10">
        <f>MAX(AI174/'Parametros'!$B$6-AJ174,0)</f>
        <v>62.9844491713249</v>
      </c>
      <c r="AL174" s="10">
        <f>0.66*SQRT('Parametros'!$B$2)*H174*MIN(U174,AB174)/1000</f>
        <v>358.89563619565</v>
      </c>
      <c r="AM174" s="10" t="str">
        <f>IF(AK174&lt;=AL174,"CUMPLE","NO CUMPLE")</f>
        <v>CUMPLE</v>
      </c>
      <c r="AN174" s="15" t="inlineStr">
        <is>
          <t>Nº3 cerrado</t>
        </is>
      </c>
      <c r="AO174" s="17" t="n">
        <v>2</v>
      </c>
      <c r="AP174" s="10">
        <f>ROUNDDOWN(MIN(IF(AK174=0,1000000000,AO174*'Parametros'!$B$11*'Parametros'!$B$4*MIN(U174,AB174)/(AK174*1000)),IF(AV174=0,1000000000,'Parametros'!$B$11/AV174),MIN(U174,AB174)/4,8*'Parametros'!$B$12,24*'Parametros'!$B$9,300)/10,0)*10</f>
        <v>80</v>
      </c>
      <c r="AQ174" s="10">
        <f>ROUNDDOWN(MIN(IF(AK174=0,1000000000,AO174*'Parametros'!$B$11*'Parametros'!$B$4*MIN(U174,AB174)/(AK174*1000)),IF(AV174=0,1000000000,'Parametros'!$B$11/AV174),MIN(U174,AB174)/2,600)/10,0)*10</f>
        <v>170</v>
      </c>
      <c r="AR174" s="10">
        <f>'Parametros'!$B$6*(AJ174+AO174*'Parametros'!$B$11*'Parametros'!$B$4*MIN(U174,AB174)/AP174/1000)</f>
        <v>260.860380287796</v>
      </c>
      <c r="AS174" s="10" t="str">
        <f>IF(AND(AM174="CUMPLE",AR174&gt;=AI174),"CUMPLE","NO CUMPLE")</f>
        <v>CUMPLE</v>
      </c>
      <c r="AT174" s="10">
        <f>'Parametros'!$B$6*0.083*SQRT('Parametros'!$B$2)*(H174*I174)^2/(2*(H174+I174))/1000000</f>
        <v>3.38807353605471</v>
      </c>
      <c r="AU174" s="10" t="str">
        <f>IF(Q174&lt;=AT174,"DESPRECIABLE","DISEÑAR")</f>
        <v>DISEÑAR</v>
      </c>
      <c r="AV174" s="10">
        <f>IF(Q174&lt;=AT174,0,Q174*1000000/('Parametros'!$B$6*2*0.85*(H174-2*'Parametros'!$B$7)*(I174-2*'Parametros'!$B$7)*'Parametros'!$B$4))</f>
        <v>0.240440115440115</v>
      </c>
      <c r="AW174" s="10">
        <f>AV174*2*((H174-2*'Parametros'!$B$7)+(I174-2*'Parametros'!$B$7))*'Parametros'!$B$4/'Parametros'!$B$3</f>
        <v>259.675324675325</v>
      </c>
      <c r="AX174" s="17" t="n">
        <v>2</v>
      </c>
      <c r="AY174" s="10" t="str">
        <f>IF(AV174=0,"DESPRECIABLE",IF('Parametros'!$B$11/AP174&gt;=AV174,"CUMPLE","NO CUMPLE"))</f>
        <v>CUMPLE</v>
      </c>
      <c r="AZ174" s="10" t="str">
        <f>IF(AND(X174="CUMPLE",AE174="CUMPLE",AS174="CUMPLE",OR(AY174="CUMPLE",AY174="DESPRECIABLE")),IF(OR(F174&lt;&gt;H174,G174&lt;&gt;I174),"CUMPLE - REANALIZAR SAP","CUMPLE"),"NO CUMPLE")</f>
        <v>CUMPLE</v>
      </c>
    </row>
    <row r="175">
      <c r="A175" s="22" t="inlineStr">
        <is>
          <t>VC6</t>
        </is>
      </c>
      <c r="B175" s="22" t="inlineStr">
        <is>
          <t>270</t>
        </is>
      </c>
      <c r="C175" s="10" t="n">
        <v>1</v>
      </c>
      <c r="D175" s="10" t="n">
        <v>3.85</v>
      </c>
      <c r="E175" s="10" t="n">
        <v>3.85</v>
      </c>
      <c r="F175" s="10" t="n">
        <v>300</v>
      </c>
      <c r="G175" s="10" t="n">
        <v>400</v>
      </c>
      <c r="H175" s="15" t="n">
        <v>300</v>
      </c>
      <c r="I175" s="15" t="n">
        <v>400</v>
      </c>
      <c r="J175" s="16" t="n">
        <v>83.7872</v>
      </c>
      <c r="K175" s="10" t="inlineStr">
        <is>
          <t>270</t>
        </is>
      </c>
      <c r="L175" s="16" t="n">
        <v>75.6049</v>
      </c>
      <c r="M175" s="10" t="inlineStr">
        <is>
          <t>270</t>
        </is>
      </c>
      <c r="N175" s="16" t="n">
        <v>47.677</v>
      </c>
      <c r="O175" s="16" t="n">
        <v>209.946</v>
      </c>
      <c r="P175" s="10" t="inlineStr">
        <is>
          <t>270</t>
        </is>
      </c>
      <c r="Q175" s="16" t="n">
        <v>0.7324000000000001</v>
      </c>
      <c r="R175" s="10">
        <f>MAX(MAX(1.4/'Parametros'!$B$3,0.25*SQRT('Parametros'!$B$2)/'Parametros'!$B$3)*H175*U175,(0.85*'Parametros'!$B$2/'Parametros'!$B$3)*(1-SQRT(1-2*(J175*1000000/('Parametros'!$B$5*H175*U175^2))/(0.85*'Parametros'!$B$2)))*H175*U175)</f>
        <v>687.691287849709</v>
      </c>
      <c r="S175" s="17" t="n">
        <v>4</v>
      </c>
      <c r="T175" s="18" t="n">
        <v>1</v>
      </c>
      <c r="U175" s="10">
        <f>IF(T175=1,I175-('Parametros'!$B$7+'Parametros'!$B$9+'Parametros'!$B$12/2),I175-(ROUNDUP(S175/2,0)*('Parametros'!$B$7+'Parametros'!$B$9+'Parametros'!$B$12/2)+ROUNDDOWN(S175/2,0)*('Parametros'!$B$7+'Parametros'!$B$9+'Parametros'!$B$12/2+'Parametros'!$B$12+'Parametros'!$B$10))/S175)</f>
        <v>342.55</v>
      </c>
      <c r="V175" s="10">
        <f>S175*'Parametros'!$B$8</f>
        <v>796</v>
      </c>
      <c r="W175" s="10">
        <f>'Parametros'!$B$5*V175*'Parametros'!$B$3*(U175-(V175*'Parametros'!$B$3/(0.85*'Parametros'!$B$2*H175))/2)/1000000</f>
        <v>96.0248653411765</v>
      </c>
      <c r="X175" s="10" t="str">
        <f>IF(W175&gt;=J175,"CUMPLE","NO CUMPLE")</f>
        <v>CUMPLE</v>
      </c>
      <c r="Y175" s="10">
        <f>MAX(MAX(1.4/'Parametros'!$B$3,0.25*SQRT('Parametros'!$B$2)/'Parametros'!$B$3)*H175*AB175,(0.85*'Parametros'!$B$2/'Parametros'!$B$3)*(1-SQRT(1-2*(L175*1000000/('Parametros'!$B$5*H175*AB175^2))/(0.85*'Parametros'!$B$2)))*H175*AB175)</f>
        <v>616.530963221474</v>
      </c>
      <c r="Z175" s="17" t="n">
        <v>4</v>
      </c>
      <c r="AA175" s="18" t="n">
        <v>1</v>
      </c>
      <c r="AB175" s="10">
        <f>IF(AA175=1,I175-('Parametros'!$B$7+'Parametros'!$B$9+'Parametros'!$B$12/2),I175-(ROUNDUP(Z175/2,0)*('Parametros'!$B$7+'Parametros'!$B$9+'Parametros'!$B$12/2)+ROUNDDOWN(Z175/2,0)*('Parametros'!$B$7+'Parametros'!$B$9+'Parametros'!$B$12/2+'Parametros'!$B$12+'Parametros'!$B$10))/Z175)</f>
        <v>342.55</v>
      </c>
      <c r="AC175" s="10">
        <f>Z175*'Parametros'!$B$8</f>
        <v>796</v>
      </c>
      <c r="AD175" s="10">
        <f>'Parametros'!$B$5*AC175*'Parametros'!$B$3*(AB175-(AC175*'Parametros'!$B$3/(0.85*'Parametros'!$B$2*H175))/2)/1000000</f>
        <v>96.0248653411765</v>
      </c>
      <c r="AE175" s="10" t="str">
        <f>IF(AD175&gt;=L175,"CUMPLE","NO CUMPLE")</f>
        <v>CUMPLE</v>
      </c>
      <c r="AF175" s="10">
        <f>V175*1.25*'Parametros'!$B$3*(U175-(V175*1.25*'Parametros'!$B$3/(0.85*'Parametros'!$B$2*H175))/2)/1000000</f>
        <v>130.921924411765</v>
      </c>
      <c r="AG175" s="10">
        <f>AC175*1.25*'Parametros'!$B$3*(AB175-(AC175*1.25*'Parametros'!$B$3/(0.85*'Parametros'!$B$2*H175))/2)/1000000</f>
        <v>130.921924411765</v>
      </c>
      <c r="AH175" s="10">
        <f>N175+(AF175+AG175)/D175</f>
        <v>115.688389304813</v>
      </c>
      <c r="AI175" s="10">
        <f>MIN(O175,MAX(N175,AH175))</f>
        <v>115.688389304813</v>
      </c>
      <c r="AJ175" s="10">
        <f>0.17*SQRT('Parametros'!$B$2)*H175*MIN(U175,AB175)/1000</f>
        <v>92.4428153837279</v>
      </c>
      <c r="AK175" s="10">
        <f>MAX(AI175/'Parametros'!$B$6-AJ175,0)</f>
        <v>61.8083703560225</v>
      </c>
      <c r="AL175" s="10">
        <f>0.66*SQRT('Parametros'!$B$2)*H175*MIN(U175,AB175)/1000</f>
        <v>358.89563619565</v>
      </c>
      <c r="AM175" s="10" t="str">
        <f>IF(AK175&lt;=AL175,"CUMPLE","NO CUMPLE")</f>
        <v>CUMPLE</v>
      </c>
      <c r="AN175" s="15" t="inlineStr">
        <is>
          <t>Nº3 cerrado</t>
        </is>
      </c>
      <c r="AO175" s="17" t="n">
        <v>2</v>
      </c>
      <c r="AP175" s="10">
        <f>ROUNDDOWN(MIN(IF(AK175=0,1000000000,AO175*'Parametros'!$B$11*'Parametros'!$B$4*MIN(U175,AB175)/(AK175*1000)),IF(AV175=0,1000000000,'Parametros'!$B$11/AV175),MIN(U175,AB175)/4,8*'Parametros'!$B$12,24*'Parametros'!$B$9,300)/10,0)*10</f>
        <v>80</v>
      </c>
      <c r="AQ175" s="10">
        <f>ROUNDDOWN(MIN(IF(AK175=0,1000000000,AO175*'Parametros'!$B$11*'Parametros'!$B$4*MIN(U175,AB175)/(AK175*1000)),IF(AV175=0,1000000000,'Parametros'!$B$11/AV175),MIN(U175,AB175)/2,600)/10,0)*10</f>
        <v>170</v>
      </c>
      <c r="AR175" s="10">
        <f>'Parametros'!$B$6*(AJ175+AO175*'Parametros'!$B$11*'Parametros'!$B$4*MIN(U175,AB175)/AP175/1000)</f>
        <v>260.860380287796</v>
      </c>
      <c r="AS175" s="10" t="str">
        <f>IF(AND(AM175="CUMPLE",AR175&gt;=AI175),"CUMPLE","NO CUMPLE")</f>
        <v>CUMPLE</v>
      </c>
      <c r="AT175" s="10">
        <f>'Parametros'!$B$6*0.083*SQRT('Parametros'!$B$2)*(H175*I175)^2/(2*(H175+I175))/1000000</f>
        <v>3.38807353605471</v>
      </c>
      <c r="AU175" s="10" t="str">
        <f>IF(Q175&lt;=AT175,"DESPRECIABLE","DISEÑAR")</f>
        <v>DESPRECIABLE</v>
      </c>
      <c r="AV175" s="10">
        <f>IF(Q175&lt;=AT175,0,Q175*1000000/('Parametros'!$B$6*2*0.85*(H175-2*'Parametros'!$B$7)*(I175-2*'Parametros'!$B$7)*'Parametros'!$B$4))</f>
        <v>0</v>
      </c>
      <c r="AW175" s="10">
        <f>AV175*2*((H175-2*'Parametros'!$B$7)+(I175-2*'Parametros'!$B$7))*'Parametros'!$B$4/'Parametros'!$B$3</f>
        <v>0</v>
      </c>
      <c r="AX175" s="17" t="n">
        <v>0</v>
      </c>
      <c r="AY175" s="10" t="str">
        <f>IF(AV175=0,"DESPRECIABLE",IF('Parametros'!$B$11/AP175&gt;=AV175,"CUMPLE","NO CUMPLE"))</f>
        <v>DESPRECIABLE</v>
      </c>
      <c r="AZ175" s="10" t="str">
        <f>IF(AND(X175="CUMPLE",AE175="CUMPLE",AS175="CUMPLE",OR(AY175="CUMPLE",AY175="DESPRECIABLE")),IF(OR(F175&lt;&gt;H175,G175&lt;&gt;I175),"CUMPLE - REANALIZAR SAP","CUMPLE"),"NO CUMPLE")</f>
        <v>CUMPLE</v>
      </c>
    </row>
    <row r="176">
      <c r="A176" s="22" t="inlineStr">
        <is>
          <t>VC6</t>
        </is>
      </c>
      <c r="B176" s="22" t="inlineStr">
        <is>
          <t>279</t>
        </is>
      </c>
      <c r="C176" s="10" t="n">
        <v>1</v>
      </c>
      <c r="D176" s="10" t="n">
        <v>3.85</v>
      </c>
      <c r="E176" s="10" t="n">
        <v>3.85</v>
      </c>
      <c r="F176" s="10" t="n">
        <v>300</v>
      </c>
      <c r="G176" s="10" t="n">
        <v>400</v>
      </c>
      <c r="H176" s="15" t="n">
        <v>300</v>
      </c>
      <c r="I176" s="15" t="n">
        <v>400</v>
      </c>
      <c r="J176" s="16" t="n">
        <v>83.79259999999999</v>
      </c>
      <c r="K176" s="10" t="inlineStr">
        <is>
          <t>279</t>
        </is>
      </c>
      <c r="L176" s="16" t="n">
        <v>75.6101</v>
      </c>
      <c r="M176" s="10" t="inlineStr">
        <is>
          <t>279</t>
        </is>
      </c>
      <c r="N176" s="16" t="n">
        <v>47.68</v>
      </c>
      <c r="O176" s="16" t="n">
        <v>209.956</v>
      </c>
      <c r="P176" s="10" t="inlineStr">
        <is>
          <t>279</t>
        </is>
      </c>
      <c r="Q176" s="16" t="n">
        <v>0.7326</v>
      </c>
      <c r="R176" s="10">
        <f>MAX(MAX(1.4/'Parametros'!$B$3,0.25*SQRT('Parametros'!$B$2)/'Parametros'!$B$3)*H176*U176,(0.85*'Parametros'!$B$2/'Parametros'!$B$3)*(1-SQRT(1-2*(J176*1000000/('Parametros'!$B$5*H176*U176^2))/(0.85*'Parametros'!$B$2)))*H176*U176)</f>
        <v>687.738576478992</v>
      </c>
      <c r="S176" s="17" t="n">
        <v>4</v>
      </c>
      <c r="T176" s="18" t="n">
        <v>1</v>
      </c>
      <c r="U176" s="10">
        <f>IF(T176=1,I176-('Parametros'!$B$7+'Parametros'!$B$9+'Parametros'!$B$12/2),I176-(ROUNDUP(S176/2,0)*('Parametros'!$B$7+'Parametros'!$B$9+'Parametros'!$B$12/2)+ROUNDDOWN(S176/2,0)*('Parametros'!$B$7+'Parametros'!$B$9+'Parametros'!$B$12/2+'Parametros'!$B$12+'Parametros'!$B$10))/S176)</f>
        <v>342.55</v>
      </c>
      <c r="V176" s="10">
        <f>S176*'Parametros'!$B$8</f>
        <v>796</v>
      </c>
      <c r="W176" s="10">
        <f>'Parametros'!$B$5*V176*'Parametros'!$B$3*(U176-(V176*'Parametros'!$B$3/(0.85*'Parametros'!$B$2*H176))/2)/1000000</f>
        <v>96.0248653411765</v>
      </c>
      <c r="X176" s="10" t="str">
        <f>IF(W176&gt;=J176,"CUMPLE","NO CUMPLE")</f>
        <v>CUMPLE</v>
      </c>
      <c r="Y176" s="10">
        <f>MAX(MAX(1.4/'Parametros'!$B$3,0.25*SQRT('Parametros'!$B$2)/'Parametros'!$B$3)*H176*AB176,(0.85*'Parametros'!$B$2/'Parametros'!$B$3)*(1-SQRT(1-2*(L176*1000000/('Parametros'!$B$5*H176*AB176^2))/(0.85*'Parametros'!$B$2)))*H176*AB176)</f>
        <v>616.575878061203</v>
      </c>
      <c r="Z176" s="17" t="n">
        <v>4</v>
      </c>
      <c r="AA176" s="18" t="n">
        <v>1</v>
      </c>
      <c r="AB176" s="10">
        <f>IF(AA176=1,I176-('Parametros'!$B$7+'Parametros'!$B$9+'Parametros'!$B$12/2),I176-(ROUNDUP(Z176/2,0)*('Parametros'!$B$7+'Parametros'!$B$9+'Parametros'!$B$12/2)+ROUNDDOWN(Z176/2,0)*('Parametros'!$B$7+'Parametros'!$B$9+'Parametros'!$B$12/2+'Parametros'!$B$12+'Parametros'!$B$10))/Z176)</f>
        <v>342.55</v>
      </c>
      <c r="AC176" s="10">
        <f>Z176*'Parametros'!$B$8</f>
        <v>796</v>
      </c>
      <c r="AD176" s="10">
        <f>'Parametros'!$B$5*AC176*'Parametros'!$B$3*(AB176-(AC176*'Parametros'!$B$3/(0.85*'Parametros'!$B$2*H176))/2)/1000000</f>
        <v>96.0248653411765</v>
      </c>
      <c r="AE176" s="10" t="str">
        <f>IF(AD176&gt;=L176,"CUMPLE","NO CUMPLE")</f>
        <v>CUMPLE</v>
      </c>
      <c r="AF176" s="10">
        <f>V176*1.25*'Parametros'!$B$3*(U176-(V176*1.25*'Parametros'!$B$3/(0.85*'Parametros'!$B$2*H176))/2)/1000000</f>
        <v>130.921924411765</v>
      </c>
      <c r="AG176" s="10">
        <f>AC176*1.25*'Parametros'!$B$3*(AB176-(AC176*1.25*'Parametros'!$B$3/(0.85*'Parametros'!$B$2*H176))/2)/1000000</f>
        <v>130.921924411765</v>
      </c>
      <c r="AH176" s="10">
        <f>N176+(AF176+AG176)/D176</f>
        <v>115.691389304813</v>
      </c>
      <c r="AI176" s="10">
        <f>MIN(O176,MAX(N176,AH176))</f>
        <v>115.691389304813</v>
      </c>
      <c r="AJ176" s="10">
        <f>0.17*SQRT('Parametros'!$B$2)*H176*MIN(U176,AB176)/1000</f>
        <v>92.4428153837279</v>
      </c>
      <c r="AK176" s="10">
        <f>MAX(AI176/'Parametros'!$B$6-AJ176,0)</f>
        <v>61.8123703560225</v>
      </c>
      <c r="AL176" s="10">
        <f>0.66*SQRT('Parametros'!$B$2)*H176*MIN(U176,AB176)/1000</f>
        <v>358.89563619565</v>
      </c>
      <c r="AM176" s="10" t="str">
        <f>IF(AK176&lt;=AL176,"CUMPLE","NO CUMPLE")</f>
        <v>CUMPLE</v>
      </c>
      <c r="AN176" s="15" t="inlineStr">
        <is>
          <t>Nº3 cerrado</t>
        </is>
      </c>
      <c r="AO176" s="17" t="n">
        <v>2</v>
      </c>
      <c r="AP176" s="10">
        <f>ROUNDDOWN(MIN(IF(AK176=0,1000000000,AO176*'Parametros'!$B$11*'Parametros'!$B$4*MIN(U176,AB176)/(AK176*1000)),IF(AV176=0,1000000000,'Parametros'!$B$11/AV176),MIN(U176,AB176)/4,8*'Parametros'!$B$12,24*'Parametros'!$B$9,300)/10,0)*10</f>
        <v>80</v>
      </c>
      <c r="AQ176" s="10">
        <f>ROUNDDOWN(MIN(IF(AK176=0,1000000000,AO176*'Parametros'!$B$11*'Parametros'!$B$4*MIN(U176,AB176)/(AK176*1000)),IF(AV176=0,1000000000,'Parametros'!$B$11/AV176),MIN(U176,AB176)/2,600)/10,0)*10</f>
        <v>170</v>
      </c>
      <c r="AR176" s="10">
        <f>'Parametros'!$B$6*(AJ176+AO176*'Parametros'!$B$11*'Parametros'!$B$4*MIN(U176,AB176)/AP176/1000)</f>
        <v>260.860380287796</v>
      </c>
      <c r="AS176" s="10" t="str">
        <f>IF(AND(AM176="CUMPLE",AR176&gt;=AI176),"CUMPLE","NO CUMPLE")</f>
        <v>CUMPLE</v>
      </c>
      <c r="AT176" s="10">
        <f>'Parametros'!$B$6*0.083*SQRT('Parametros'!$B$2)*(H176*I176)^2/(2*(H176+I176))/1000000</f>
        <v>3.38807353605471</v>
      </c>
      <c r="AU176" s="10" t="str">
        <f>IF(Q176&lt;=AT176,"DESPRECIABLE","DISEÑAR")</f>
        <v>DESPRECIABLE</v>
      </c>
      <c r="AV176" s="10">
        <f>IF(Q176&lt;=AT176,0,Q176*1000000/('Parametros'!$B$6*2*0.85*(H176-2*'Parametros'!$B$7)*(I176-2*'Parametros'!$B$7)*'Parametros'!$B$4))</f>
        <v>0</v>
      </c>
      <c r="AW176" s="10">
        <f>AV176*2*((H176-2*'Parametros'!$B$7)+(I176-2*'Parametros'!$B$7))*'Parametros'!$B$4/'Parametros'!$B$3</f>
        <v>0</v>
      </c>
      <c r="AX176" s="17" t="n">
        <v>0</v>
      </c>
      <c r="AY176" s="10" t="str">
        <f>IF(AV176=0,"DESPRECIABLE",IF('Parametros'!$B$11/AP176&gt;=AV176,"CUMPLE","NO CUMPLE"))</f>
        <v>DESPRECIABLE</v>
      </c>
      <c r="AZ176" s="10" t="str">
        <f>IF(AND(X176="CUMPLE",AE176="CUMPLE",AS176="CUMPLE",OR(AY176="CUMPLE",AY176="DESPRECIABLE")),IF(OR(F176&lt;&gt;H176,G176&lt;&gt;I176),"CUMPLE - REANALIZAR SAP","CUMPLE"),"NO CUMPLE")</f>
        <v>CUMPLE</v>
      </c>
    </row>
    <row r="177">
      <c r="A177" s="22" t="inlineStr">
        <is>
          <t>VC6</t>
        </is>
      </c>
      <c r="B177" s="22" t="inlineStr">
        <is>
          <t>280</t>
        </is>
      </c>
      <c r="C177" s="10" t="n">
        <v>1</v>
      </c>
      <c r="D177" s="10" t="n">
        <v>3.9</v>
      </c>
      <c r="E177" s="10" t="n">
        <v>3.9</v>
      </c>
      <c r="F177" s="10" t="n">
        <v>300</v>
      </c>
      <c r="G177" s="10" t="n">
        <v>400</v>
      </c>
      <c r="H177" s="15" t="n">
        <v>300</v>
      </c>
      <c r="I177" s="15" t="n">
        <v>400</v>
      </c>
      <c r="J177" s="16" t="n">
        <v>86.6263</v>
      </c>
      <c r="K177" s="10" t="inlineStr">
        <is>
          <t>280</t>
        </is>
      </c>
      <c r="L177" s="16" t="n">
        <v>75.369</v>
      </c>
      <c r="M177" s="10" t="inlineStr">
        <is>
          <t>280</t>
        </is>
      </c>
      <c r="N177" s="16" t="n">
        <v>49.424</v>
      </c>
      <c r="O177" s="16" t="n">
        <v>214.21</v>
      </c>
      <c r="P177" s="10" t="inlineStr">
        <is>
          <t>280</t>
        </is>
      </c>
      <c r="Q177" s="16" t="n">
        <v>9.050000000000001</v>
      </c>
      <c r="R177" s="10">
        <f>MAX(MAX(1.4/'Parametros'!$B$3,0.25*SQRT('Parametros'!$B$2)/'Parametros'!$B$3)*H177*U177,(0.85*'Parametros'!$B$2/'Parametros'!$B$3)*(1-SQRT(1-2*(J177*1000000/('Parametros'!$B$5*H177*U177^2))/(0.85*'Parametros'!$B$2)))*H177*U177)</f>
        <v>712.614081894233</v>
      </c>
      <c r="S177" s="17" t="n">
        <v>4</v>
      </c>
      <c r="T177" s="18" t="n">
        <v>1</v>
      </c>
      <c r="U177" s="10">
        <f>IF(T177=1,I177-('Parametros'!$B$7+'Parametros'!$B$9+'Parametros'!$B$12/2),I177-(ROUNDUP(S177/2,0)*('Parametros'!$B$7+'Parametros'!$B$9+'Parametros'!$B$12/2)+ROUNDDOWN(S177/2,0)*('Parametros'!$B$7+'Parametros'!$B$9+'Parametros'!$B$12/2+'Parametros'!$B$12+'Parametros'!$B$10))/S177)</f>
        <v>342.55</v>
      </c>
      <c r="V177" s="10">
        <f>S177*'Parametros'!$B$8</f>
        <v>796</v>
      </c>
      <c r="W177" s="10">
        <f>'Parametros'!$B$5*V177*'Parametros'!$B$3*(U177-(V177*'Parametros'!$B$3/(0.85*'Parametros'!$B$2*H177))/2)/1000000</f>
        <v>96.0248653411765</v>
      </c>
      <c r="X177" s="10" t="str">
        <f>IF(W177&gt;=J177,"CUMPLE","NO CUMPLE")</f>
        <v>CUMPLE</v>
      </c>
      <c r="Y177" s="10">
        <f>MAX(MAX(1.4/'Parametros'!$B$3,0.25*SQRT('Parametros'!$B$2)/'Parametros'!$B$3)*H177*AB177,(0.85*'Parametros'!$B$2/'Parametros'!$B$3)*(1-SQRT(1-2*(L177*1000000/('Parametros'!$B$5*H177*AB177^2))/(0.85*'Parametros'!$B$2)))*H177*AB177)</f>
        <v>614.493791552911</v>
      </c>
      <c r="Z177" s="17" t="n">
        <v>4</v>
      </c>
      <c r="AA177" s="18" t="n">
        <v>1</v>
      </c>
      <c r="AB177" s="10">
        <f>IF(AA177=1,I177-('Parametros'!$B$7+'Parametros'!$B$9+'Parametros'!$B$12/2),I177-(ROUNDUP(Z177/2,0)*('Parametros'!$B$7+'Parametros'!$B$9+'Parametros'!$B$12/2)+ROUNDDOWN(Z177/2,0)*('Parametros'!$B$7+'Parametros'!$B$9+'Parametros'!$B$12/2+'Parametros'!$B$12+'Parametros'!$B$10))/Z177)</f>
        <v>342.55</v>
      </c>
      <c r="AC177" s="10">
        <f>Z177*'Parametros'!$B$8</f>
        <v>796</v>
      </c>
      <c r="AD177" s="10">
        <f>'Parametros'!$B$5*AC177*'Parametros'!$B$3*(AB177-(AC177*'Parametros'!$B$3/(0.85*'Parametros'!$B$2*H177))/2)/1000000</f>
        <v>96.0248653411765</v>
      </c>
      <c r="AE177" s="10" t="str">
        <f>IF(AD177&gt;=L177,"CUMPLE","NO CUMPLE")</f>
        <v>CUMPLE</v>
      </c>
      <c r="AF177" s="10">
        <f>V177*1.25*'Parametros'!$B$3*(U177-(V177*1.25*'Parametros'!$B$3/(0.85*'Parametros'!$B$2*H177))/2)/1000000</f>
        <v>130.921924411765</v>
      </c>
      <c r="AG177" s="10">
        <f>AC177*1.25*'Parametros'!$B$3*(AB177-(AC177*1.25*'Parametros'!$B$3/(0.85*'Parametros'!$B$2*H177))/2)/1000000</f>
        <v>130.921924411765</v>
      </c>
      <c r="AH177" s="10">
        <f>N177+(AF177+AG177)/D177</f>
        <v>116.56344841629</v>
      </c>
      <c r="AI177" s="10">
        <f>MIN(O177,MAX(N177,AH177))</f>
        <v>116.56344841629</v>
      </c>
      <c r="AJ177" s="10">
        <f>0.17*SQRT('Parametros'!$B$2)*H177*MIN(U177,AB177)/1000</f>
        <v>92.4428153837279</v>
      </c>
      <c r="AK177" s="10">
        <f>MAX(AI177/'Parametros'!$B$6-AJ177,0)</f>
        <v>62.9751158379915</v>
      </c>
      <c r="AL177" s="10">
        <f>0.66*SQRT('Parametros'!$B$2)*H177*MIN(U177,AB177)/1000</f>
        <v>358.89563619565</v>
      </c>
      <c r="AM177" s="10" t="str">
        <f>IF(AK177&lt;=AL177,"CUMPLE","NO CUMPLE")</f>
        <v>CUMPLE</v>
      </c>
      <c r="AN177" s="15" t="inlineStr">
        <is>
          <t>Nº3 cerrado</t>
        </is>
      </c>
      <c r="AO177" s="17" t="n">
        <v>2</v>
      </c>
      <c r="AP177" s="10">
        <f>ROUNDDOWN(MIN(IF(AK177=0,1000000000,AO177*'Parametros'!$B$11*'Parametros'!$B$4*MIN(U177,AB177)/(AK177*1000)),IF(AV177=0,1000000000,'Parametros'!$B$11/AV177),MIN(U177,AB177)/4,8*'Parametros'!$B$12,24*'Parametros'!$B$9,300)/10,0)*10</f>
        <v>80</v>
      </c>
      <c r="AQ177" s="10">
        <f>ROUNDDOWN(MIN(IF(AK177=0,1000000000,AO177*'Parametros'!$B$11*'Parametros'!$B$4*MIN(U177,AB177)/(AK177*1000)),IF(AV177=0,1000000000,'Parametros'!$B$11/AV177),MIN(U177,AB177)/2,600)/10,0)*10</f>
        <v>170</v>
      </c>
      <c r="AR177" s="10">
        <f>'Parametros'!$B$6*(AJ177+AO177*'Parametros'!$B$11*'Parametros'!$B$4*MIN(U177,AB177)/AP177/1000)</f>
        <v>260.860380287796</v>
      </c>
      <c r="AS177" s="10" t="str">
        <f>IF(AND(AM177="CUMPLE",AR177&gt;=AI177),"CUMPLE","NO CUMPLE")</f>
        <v>CUMPLE</v>
      </c>
      <c r="AT177" s="10">
        <f>'Parametros'!$B$6*0.083*SQRT('Parametros'!$B$2)*(H177*I177)^2/(2*(H177+I177))/1000000</f>
        <v>3.38807353605471</v>
      </c>
      <c r="AU177" s="10" t="str">
        <f>IF(Q177&lt;=AT177,"DESPRECIABLE","DISEÑAR")</f>
        <v>DISEÑAR</v>
      </c>
      <c r="AV177" s="10">
        <f>IF(Q177&lt;=AT177,0,Q177*1000000/('Parametros'!$B$6*2*0.85*(H177-2*'Parametros'!$B$7)*(I177-2*'Parametros'!$B$7)*'Parametros'!$B$4))</f>
        <v>0.240058144469909</v>
      </c>
      <c r="AW177" s="10">
        <f>AV177*2*((H177-2*'Parametros'!$B$7)+(I177-2*'Parametros'!$B$7))*'Parametros'!$B$4/'Parametros'!$B$3</f>
        <v>259.262796027502</v>
      </c>
      <c r="AX177" s="17" t="n">
        <v>2</v>
      </c>
      <c r="AY177" s="10" t="str">
        <f>IF(AV177=0,"DESPRECIABLE",IF('Parametros'!$B$11/AP177&gt;=AV177,"CUMPLE","NO CUMPLE"))</f>
        <v>CUMPLE</v>
      </c>
      <c r="AZ177" s="10" t="str">
        <f>IF(AND(X177="CUMPLE",AE177="CUMPLE",AS177="CUMPLE",OR(AY177="CUMPLE",AY177="DESPRECIABLE")),IF(OR(F177&lt;&gt;H177,G177&lt;&gt;I177),"CUMPLE - REANALIZAR SAP","CUMPLE"),"NO CUMPLE")</f>
        <v>CUMPLE</v>
      </c>
    </row>
    <row r="178">
      <c r="A178" s="22" t="inlineStr">
        <is>
          <t>VC6</t>
        </is>
      </c>
      <c r="B178" s="22" t="inlineStr">
        <is>
          <t>281</t>
        </is>
      </c>
      <c r="C178" s="10" t="n">
        <v>1</v>
      </c>
      <c r="D178" s="10" t="n">
        <v>3.9</v>
      </c>
      <c r="E178" s="10" t="n">
        <v>3.9</v>
      </c>
      <c r="F178" s="10" t="n">
        <v>300</v>
      </c>
      <c r="G178" s="10" t="n">
        <v>400</v>
      </c>
      <c r="H178" s="15" t="n">
        <v>300</v>
      </c>
      <c r="I178" s="15" t="n">
        <v>400</v>
      </c>
      <c r="J178" s="16" t="n">
        <v>86.6426</v>
      </c>
      <c r="K178" s="10" t="inlineStr">
        <is>
          <t>281</t>
        </is>
      </c>
      <c r="L178" s="16" t="n">
        <v>75.3587</v>
      </c>
      <c r="M178" s="10" t="inlineStr">
        <is>
          <t>281</t>
        </is>
      </c>
      <c r="N178" s="16" t="n">
        <v>49.433</v>
      </c>
      <c r="O178" s="16" t="n">
        <v>214.218</v>
      </c>
      <c r="P178" s="10" t="inlineStr">
        <is>
          <t>281</t>
        </is>
      </c>
      <c r="Q178" s="16" t="n">
        <v>9.052300000000001</v>
      </c>
      <c r="R178" s="10">
        <f>MAX(MAX(1.4/'Parametros'!$B$3,0.25*SQRT('Parametros'!$B$2)/'Parametros'!$B$3)*H178*U178,(0.85*'Parametros'!$B$2/'Parametros'!$B$3)*(1-SQRT(1-2*(J178*1000000/('Parametros'!$B$5*H178*U178^2))/(0.85*'Parametros'!$B$2)))*H178*U178)</f>
        <v>712.757520937493</v>
      </c>
      <c r="S178" s="17" t="n">
        <v>4</v>
      </c>
      <c r="T178" s="18" t="n">
        <v>1</v>
      </c>
      <c r="U178" s="10">
        <f>IF(T178=1,I178-('Parametros'!$B$7+'Parametros'!$B$9+'Parametros'!$B$12/2),I178-(ROUNDUP(S178/2,0)*('Parametros'!$B$7+'Parametros'!$B$9+'Parametros'!$B$12/2)+ROUNDDOWN(S178/2,0)*('Parametros'!$B$7+'Parametros'!$B$9+'Parametros'!$B$12/2+'Parametros'!$B$12+'Parametros'!$B$10))/S178)</f>
        <v>342.55</v>
      </c>
      <c r="V178" s="10">
        <f>S178*'Parametros'!$B$8</f>
        <v>796</v>
      </c>
      <c r="W178" s="10">
        <f>'Parametros'!$B$5*V178*'Parametros'!$B$3*(U178-(V178*'Parametros'!$B$3/(0.85*'Parametros'!$B$2*H178))/2)/1000000</f>
        <v>96.0248653411765</v>
      </c>
      <c r="X178" s="10" t="str">
        <f>IF(W178&gt;=J178,"CUMPLE","NO CUMPLE")</f>
        <v>CUMPLE</v>
      </c>
      <c r="Y178" s="10">
        <f>MAX(MAX(1.4/'Parametros'!$B$3,0.25*SQRT('Parametros'!$B$2)/'Parametros'!$B$3)*H178*AB178,(0.85*'Parametros'!$B$2/'Parametros'!$B$3)*(1-SQRT(1-2*(L178*1000000/('Parametros'!$B$5*H178*AB178^2))/(0.85*'Parametros'!$B$2)))*H178*AB178)</f>
        <v>614.404861557454</v>
      </c>
      <c r="Z178" s="17" t="n">
        <v>4</v>
      </c>
      <c r="AA178" s="18" t="n">
        <v>1</v>
      </c>
      <c r="AB178" s="10">
        <f>IF(AA178=1,I178-('Parametros'!$B$7+'Parametros'!$B$9+'Parametros'!$B$12/2),I178-(ROUNDUP(Z178/2,0)*('Parametros'!$B$7+'Parametros'!$B$9+'Parametros'!$B$12/2)+ROUNDDOWN(Z178/2,0)*('Parametros'!$B$7+'Parametros'!$B$9+'Parametros'!$B$12/2+'Parametros'!$B$12+'Parametros'!$B$10))/Z178)</f>
        <v>342.55</v>
      </c>
      <c r="AC178" s="10">
        <f>Z178*'Parametros'!$B$8</f>
        <v>796</v>
      </c>
      <c r="AD178" s="10">
        <f>'Parametros'!$B$5*AC178*'Parametros'!$B$3*(AB178-(AC178*'Parametros'!$B$3/(0.85*'Parametros'!$B$2*H178))/2)/1000000</f>
        <v>96.0248653411765</v>
      </c>
      <c r="AE178" s="10" t="str">
        <f>IF(AD178&gt;=L178,"CUMPLE","NO CUMPLE")</f>
        <v>CUMPLE</v>
      </c>
      <c r="AF178" s="10">
        <f>V178*1.25*'Parametros'!$B$3*(U178-(V178*1.25*'Parametros'!$B$3/(0.85*'Parametros'!$B$2*H178))/2)/1000000</f>
        <v>130.921924411765</v>
      </c>
      <c r="AG178" s="10">
        <f>AC178*1.25*'Parametros'!$B$3*(AB178-(AC178*1.25*'Parametros'!$B$3/(0.85*'Parametros'!$B$2*H178))/2)/1000000</f>
        <v>130.921924411765</v>
      </c>
      <c r="AH178" s="10">
        <f>N178+(AF178+AG178)/D178</f>
        <v>116.57244841629</v>
      </c>
      <c r="AI178" s="10">
        <f>MIN(O178,MAX(N178,AH178))</f>
        <v>116.57244841629</v>
      </c>
      <c r="AJ178" s="10">
        <f>0.17*SQRT('Parametros'!$B$2)*H178*MIN(U178,AB178)/1000</f>
        <v>92.4428153837279</v>
      </c>
      <c r="AK178" s="10">
        <f>MAX(AI178/'Parametros'!$B$6-AJ178,0)</f>
        <v>62.9871158379916</v>
      </c>
      <c r="AL178" s="10">
        <f>0.66*SQRT('Parametros'!$B$2)*H178*MIN(U178,AB178)/1000</f>
        <v>358.89563619565</v>
      </c>
      <c r="AM178" s="10" t="str">
        <f>IF(AK178&lt;=AL178,"CUMPLE","NO CUMPLE")</f>
        <v>CUMPLE</v>
      </c>
      <c r="AN178" s="15" t="inlineStr">
        <is>
          <t>Nº3 cerrado</t>
        </is>
      </c>
      <c r="AO178" s="17" t="n">
        <v>2</v>
      </c>
      <c r="AP178" s="10">
        <f>ROUNDDOWN(MIN(IF(AK178=0,1000000000,AO178*'Parametros'!$B$11*'Parametros'!$B$4*MIN(U178,AB178)/(AK178*1000)),IF(AV178=0,1000000000,'Parametros'!$B$11/AV178),MIN(U178,AB178)/4,8*'Parametros'!$B$12,24*'Parametros'!$B$9,300)/10,0)*10</f>
        <v>80</v>
      </c>
      <c r="AQ178" s="10">
        <f>ROUNDDOWN(MIN(IF(AK178=0,1000000000,AO178*'Parametros'!$B$11*'Parametros'!$B$4*MIN(U178,AB178)/(AK178*1000)),IF(AV178=0,1000000000,'Parametros'!$B$11/AV178),MIN(U178,AB178)/2,600)/10,0)*10</f>
        <v>170</v>
      </c>
      <c r="AR178" s="10">
        <f>'Parametros'!$B$6*(AJ178+AO178*'Parametros'!$B$11*'Parametros'!$B$4*MIN(U178,AB178)/AP178/1000)</f>
        <v>260.860380287796</v>
      </c>
      <c r="AS178" s="10" t="str">
        <f>IF(AND(AM178="CUMPLE",AR178&gt;=AI178),"CUMPLE","NO CUMPLE")</f>
        <v>CUMPLE</v>
      </c>
      <c r="AT178" s="10">
        <f>'Parametros'!$B$6*0.083*SQRT('Parametros'!$B$2)*(H178*I178)^2/(2*(H178+I178))/1000000</f>
        <v>3.38807353605471</v>
      </c>
      <c r="AU178" s="10" t="str">
        <f>IF(Q178&lt;=AT178,"DESPRECIABLE","DISEÑAR")</f>
        <v>DISEÑAR</v>
      </c>
      <c r="AV178" s="10">
        <f>IF(Q178&lt;=AT178,0,Q178*1000000/('Parametros'!$B$6*2*0.85*(H178-2*'Parametros'!$B$7)*(I178-2*'Parametros'!$B$7)*'Parametros'!$B$4))</f>
        <v>0.240119153722095</v>
      </c>
      <c r="AW178" s="10">
        <f>AV178*2*((H178-2*'Parametros'!$B$7)+(I178-2*'Parametros'!$B$7))*'Parametros'!$B$4/'Parametros'!$B$3</f>
        <v>259.328686019862</v>
      </c>
      <c r="AX178" s="17" t="n">
        <v>2</v>
      </c>
      <c r="AY178" s="10" t="str">
        <f>IF(AV178=0,"DESPRECIABLE",IF('Parametros'!$B$11/AP178&gt;=AV178,"CUMPLE","NO CUMPLE"))</f>
        <v>CUMPLE</v>
      </c>
      <c r="AZ178" s="10" t="str">
        <f>IF(AND(X178="CUMPLE",AE178="CUMPLE",AS178="CUMPLE",OR(AY178="CUMPLE",AY178="DESPRECIABLE")),IF(OR(F178&lt;&gt;H178,G178&lt;&gt;I178),"CUMPLE - REANALIZAR SAP","CUMPLE"),"NO CUMPLE")</f>
        <v>CUMPLE</v>
      </c>
    </row>
    <row r="179">
      <c r="A179" s="22" t="inlineStr">
        <is>
          <t>VC6</t>
        </is>
      </c>
      <c r="B179" s="22" t="inlineStr">
        <is>
          <t>282</t>
        </is>
      </c>
      <c r="C179" s="10" t="n">
        <v>1</v>
      </c>
      <c r="D179" s="10" t="n">
        <v>3.85</v>
      </c>
      <c r="E179" s="10" t="n">
        <v>3.85</v>
      </c>
      <c r="F179" s="10" t="n">
        <v>300</v>
      </c>
      <c r="G179" s="10" t="n">
        <v>400</v>
      </c>
      <c r="H179" s="15" t="n">
        <v>300</v>
      </c>
      <c r="I179" s="15" t="n">
        <v>400</v>
      </c>
      <c r="J179" s="16" t="n">
        <v>83.7812</v>
      </c>
      <c r="K179" s="10" t="inlineStr">
        <is>
          <t>282</t>
        </is>
      </c>
      <c r="L179" s="16" t="n">
        <v>75.6032</v>
      </c>
      <c r="M179" s="10" t="inlineStr">
        <is>
          <t>282</t>
        </is>
      </c>
      <c r="N179" s="16" t="n">
        <v>47.674</v>
      </c>
      <c r="O179" s="16" t="n">
        <v>209.95</v>
      </c>
      <c r="P179" s="10" t="inlineStr">
        <is>
          <t>282</t>
        </is>
      </c>
      <c r="Q179" s="16" t="n">
        <v>0.7322</v>
      </c>
      <c r="R179" s="10">
        <f>MAX(MAX(1.4/'Parametros'!$B$3,0.25*SQRT('Parametros'!$B$2)/'Parametros'!$B$3)*H179*U179,(0.85*'Parametros'!$B$2/'Parametros'!$B$3)*(1-SQRT(1-2*(J179*1000000/('Parametros'!$B$5*H179*U179^2))/(0.85*'Parametros'!$B$2)))*H179*U179)</f>
        <v>687.638745438966</v>
      </c>
      <c r="S179" s="17" t="n">
        <v>4</v>
      </c>
      <c r="T179" s="18" t="n">
        <v>1</v>
      </c>
      <c r="U179" s="10">
        <f>IF(T179=1,I179-('Parametros'!$B$7+'Parametros'!$B$9+'Parametros'!$B$12/2),I179-(ROUNDUP(S179/2,0)*('Parametros'!$B$7+'Parametros'!$B$9+'Parametros'!$B$12/2)+ROUNDDOWN(S179/2,0)*('Parametros'!$B$7+'Parametros'!$B$9+'Parametros'!$B$12/2+'Parametros'!$B$12+'Parametros'!$B$10))/S179)</f>
        <v>342.55</v>
      </c>
      <c r="V179" s="10">
        <f>S179*'Parametros'!$B$8</f>
        <v>796</v>
      </c>
      <c r="W179" s="10">
        <f>'Parametros'!$B$5*V179*'Parametros'!$B$3*(U179-(V179*'Parametros'!$B$3/(0.85*'Parametros'!$B$2*H179))/2)/1000000</f>
        <v>96.0248653411765</v>
      </c>
      <c r="X179" s="10" t="str">
        <f>IF(W179&gt;=J179,"CUMPLE","NO CUMPLE")</f>
        <v>CUMPLE</v>
      </c>
      <c r="Y179" s="10">
        <f>MAX(MAX(1.4/'Parametros'!$B$3,0.25*SQRT('Parametros'!$B$2)/'Parametros'!$B$3)*H179*AB179,(0.85*'Parametros'!$B$2/'Parametros'!$B$3)*(1-SQRT(1-2*(L179*1000000/('Parametros'!$B$5*H179*AB179^2))/(0.85*'Parametros'!$B$2)))*H179*AB179)</f>
        <v>616.516279607907</v>
      </c>
      <c r="Z179" s="17" t="n">
        <v>4</v>
      </c>
      <c r="AA179" s="18" t="n">
        <v>1</v>
      </c>
      <c r="AB179" s="10">
        <f>IF(AA179=1,I179-('Parametros'!$B$7+'Parametros'!$B$9+'Parametros'!$B$12/2),I179-(ROUNDUP(Z179/2,0)*('Parametros'!$B$7+'Parametros'!$B$9+'Parametros'!$B$12/2)+ROUNDDOWN(Z179/2,0)*('Parametros'!$B$7+'Parametros'!$B$9+'Parametros'!$B$12/2+'Parametros'!$B$12+'Parametros'!$B$10))/Z179)</f>
        <v>342.55</v>
      </c>
      <c r="AC179" s="10">
        <f>Z179*'Parametros'!$B$8</f>
        <v>796</v>
      </c>
      <c r="AD179" s="10">
        <f>'Parametros'!$B$5*AC179*'Parametros'!$B$3*(AB179-(AC179*'Parametros'!$B$3/(0.85*'Parametros'!$B$2*H179))/2)/1000000</f>
        <v>96.0248653411765</v>
      </c>
      <c r="AE179" s="10" t="str">
        <f>IF(AD179&gt;=L179,"CUMPLE","NO CUMPLE")</f>
        <v>CUMPLE</v>
      </c>
      <c r="AF179" s="10">
        <f>V179*1.25*'Parametros'!$B$3*(U179-(V179*1.25*'Parametros'!$B$3/(0.85*'Parametros'!$B$2*H179))/2)/1000000</f>
        <v>130.921924411765</v>
      </c>
      <c r="AG179" s="10">
        <f>AC179*1.25*'Parametros'!$B$3*(AB179-(AC179*1.25*'Parametros'!$B$3/(0.85*'Parametros'!$B$2*H179))/2)/1000000</f>
        <v>130.921924411765</v>
      </c>
      <c r="AH179" s="10">
        <f>N179+(AF179+AG179)/D179</f>
        <v>115.685389304813</v>
      </c>
      <c r="AI179" s="10">
        <f>MIN(O179,MAX(N179,AH179))</f>
        <v>115.685389304813</v>
      </c>
      <c r="AJ179" s="10">
        <f>0.17*SQRT('Parametros'!$B$2)*H179*MIN(U179,AB179)/1000</f>
        <v>92.4428153837279</v>
      </c>
      <c r="AK179" s="10">
        <f>MAX(AI179/'Parametros'!$B$6-AJ179,0)</f>
        <v>61.8043703560225</v>
      </c>
      <c r="AL179" s="10">
        <f>0.66*SQRT('Parametros'!$B$2)*H179*MIN(U179,AB179)/1000</f>
        <v>358.89563619565</v>
      </c>
      <c r="AM179" s="10" t="str">
        <f>IF(AK179&lt;=AL179,"CUMPLE","NO CUMPLE")</f>
        <v>CUMPLE</v>
      </c>
      <c r="AN179" s="15" t="inlineStr">
        <is>
          <t>Nº3 cerrado</t>
        </is>
      </c>
      <c r="AO179" s="17" t="n">
        <v>2</v>
      </c>
      <c r="AP179" s="10">
        <f>ROUNDDOWN(MIN(IF(AK179=0,1000000000,AO179*'Parametros'!$B$11*'Parametros'!$B$4*MIN(U179,AB179)/(AK179*1000)),IF(AV179=0,1000000000,'Parametros'!$B$11/AV179),MIN(U179,AB179)/4,8*'Parametros'!$B$12,24*'Parametros'!$B$9,300)/10,0)*10</f>
        <v>80</v>
      </c>
      <c r="AQ179" s="10">
        <f>ROUNDDOWN(MIN(IF(AK179=0,1000000000,AO179*'Parametros'!$B$11*'Parametros'!$B$4*MIN(U179,AB179)/(AK179*1000)),IF(AV179=0,1000000000,'Parametros'!$B$11/AV179),MIN(U179,AB179)/2,600)/10,0)*10</f>
        <v>170</v>
      </c>
      <c r="AR179" s="10">
        <f>'Parametros'!$B$6*(AJ179+AO179*'Parametros'!$B$11*'Parametros'!$B$4*MIN(U179,AB179)/AP179/1000)</f>
        <v>260.860380287796</v>
      </c>
      <c r="AS179" s="10" t="str">
        <f>IF(AND(AM179="CUMPLE",AR179&gt;=AI179),"CUMPLE","NO CUMPLE")</f>
        <v>CUMPLE</v>
      </c>
      <c r="AT179" s="10">
        <f>'Parametros'!$B$6*0.083*SQRT('Parametros'!$B$2)*(H179*I179)^2/(2*(H179+I179))/1000000</f>
        <v>3.38807353605471</v>
      </c>
      <c r="AU179" s="10" t="str">
        <f>IF(Q179&lt;=AT179,"DESPRECIABLE","DISEÑAR")</f>
        <v>DESPRECIABLE</v>
      </c>
      <c r="AV179" s="10">
        <f>IF(Q179&lt;=AT179,0,Q179*1000000/('Parametros'!$B$6*2*0.85*(H179-2*'Parametros'!$B$7)*(I179-2*'Parametros'!$B$7)*'Parametros'!$B$4))</f>
        <v>0</v>
      </c>
      <c r="AW179" s="10">
        <f>AV179*2*((H179-2*'Parametros'!$B$7)+(I179-2*'Parametros'!$B$7))*'Parametros'!$B$4/'Parametros'!$B$3</f>
        <v>0</v>
      </c>
      <c r="AX179" s="17" t="n">
        <v>0</v>
      </c>
      <c r="AY179" s="10" t="str">
        <f>IF(AV179=0,"DESPRECIABLE",IF('Parametros'!$B$11/AP179&gt;=AV179,"CUMPLE","NO CUMPLE"))</f>
        <v>DESPRECIABLE</v>
      </c>
      <c r="AZ179" s="10" t="str">
        <f>IF(AND(X179="CUMPLE",AE179="CUMPLE",AS179="CUMPLE",OR(AY179="CUMPLE",AY179="DESPRECIABLE")),IF(OR(F179&lt;&gt;H179,G179&lt;&gt;I179),"CUMPLE - REANALIZAR SAP","CUMPLE"),"NO CUMPLE")</f>
        <v>CUMPLE</v>
      </c>
    </row>
    <row r="180">
      <c r="A180" s="22" t="inlineStr">
        <is>
          <t>VC6</t>
        </is>
      </c>
      <c r="B180" s="22" t="inlineStr">
        <is>
          <t>825</t>
        </is>
      </c>
      <c r="C180" s="10" t="n">
        <v>1</v>
      </c>
      <c r="D180" s="10" t="n">
        <v>3.85</v>
      </c>
      <c r="E180" s="10" t="n">
        <v>3.85</v>
      </c>
      <c r="F180" s="10" t="n">
        <v>300</v>
      </c>
      <c r="G180" s="10" t="n">
        <v>400</v>
      </c>
      <c r="H180" s="15" t="n">
        <v>300</v>
      </c>
      <c r="I180" s="15" t="n">
        <v>400</v>
      </c>
      <c r="J180" s="16" t="n">
        <v>68.9278</v>
      </c>
      <c r="K180" s="10" t="inlineStr">
        <is>
          <t>825</t>
        </is>
      </c>
      <c r="L180" s="16" t="n">
        <v>60.8702</v>
      </c>
      <c r="M180" s="10" t="inlineStr">
        <is>
          <t>825</t>
        </is>
      </c>
      <c r="N180" s="16" t="n">
        <v>40.008</v>
      </c>
      <c r="O180" s="16" t="n">
        <v>170.906</v>
      </c>
      <c r="P180" s="10" t="inlineStr">
        <is>
          <t>825</t>
        </is>
      </c>
      <c r="Q180" s="16" t="n">
        <v>0.5426</v>
      </c>
      <c r="R180" s="10">
        <f>MAX(MAX(1.4/'Parametros'!$B$3,0.25*SQRT('Parametros'!$B$2)/'Parametros'!$B$3)*H180*U180,(0.85*'Parametros'!$B$2/'Parametros'!$B$3)*(1-SQRT(1-2*(J180*1000000/('Parametros'!$B$5*H180*U180^2))/(0.85*'Parametros'!$B$2)))*H180*U180)</f>
        <v>559.173882501178</v>
      </c>
      <c r="S180" s="17" t="n">
        <v>3</v>
      </c>
      <c r="T180" s="18" t="n">
        <v>1</v>
      </c>
      <c r="U180" s="10">
        <f>IF(T180=1,I180-('Parametros'!$B$7+'Parametros'!$B$9+'Parametros'!$B$12/2),I180-(ROUNDUP(S180/2,0)*('Parametros'!$B$7+'Parametros'!$B$9+'Parametros'!$B$12/2)+ROUNDDOWN(S180/2,0)*('Parametros'!$B$7+'Parametros'!$B$9+'Parametros'!$B$12/2+'Parametros'!$B$12+'Parametros'!$B$10))/S180)</f>
        <v>342.55</v>
      </c>
      <c r="V180" s="10">
        <f>S180*'Parametros'!$B$8</f>
        <v>597</v>
      </c>
      <c r="W180" s="10">
        <f>'Parametros'!$B$5*V180*'Parametros'!$B$3*(U180-(V180*'Parametros'!$B$3/(0.85*'Parametros'!$B$2*H180))/2)/1000000</f>
        <v>73.3394588294118</v>
      </c>
      <c r="X180" s="10" t="str">
        <f>IF(W180&gt;=J180,"CUMPLE","NO CUMPLE")</f>
        <v>CUMPLE</v>
      </c>
      <c r="Y180" s="10">
        <f>MAX(MAX(1.4/'Parametros'!$B$3,0.25*SQRT('Parametros'!$B$2)/'Parametros'!$B$3)*H180*AB180,(0.85*'Parametros'!$B$2/'Parametros'!$B$3)*(1-SQRT(1-2*(L180*1000000/('Parametros'!$B$5*H180*AB180^2))/(0.85*'Parametros'!$B$2)))*H180*AB180)</f>
        <v>490.779525266202</v>
      </c>
      <c r="Z180" s="17" t="n">
        <v>3</v>
      </c>
      <c r="AA180" s="18" t="n">
        <v>1</v>
      </c>
      <c r="AB180" s="10">
        <f>IF(AA180=1,I180-('Parametros'!$B$7+'Parametros'!$B$9+'Parametros'!$B$12/2),I180-(ROUNDUP(Z180/2,0)*('Parametros'!$B$7+'Parametros'!$B$9+'Parametros'!$B$12/2)+ROUNDDOWN(Z180/2,0)*('Parametros'!$B$7+'Parametros'!$B$9+'Parametros'!$B$12/2+'Parametros'!$B$12+'Parametros'!$B$10))/Z180)</f>
        <v>342.55</v>
      </c>
      <c r="AC180" s="10">
        <f>Z180*'Parametros'!$B$8</f>
        <v>597</v>
      </c>
      <c r="AD180" s="10">
        <f>'Parametros'!$B$5*AC180*'Parametros'!$B$3*(AB180-(AC180*'Parametros'!$B$3/(0.85*'Parametros'!$B$2*H180))/2)/1000000</f>
        <v>73.3394588294118</v>
      </c>
      <c r="AE180" s="10" t="str">
        <f>IF(AD180&gt;=L180,"CUMPLE","NO CUMPLE")</f>
        <v>CUMPLE</v>
      </c>
      <c r="AF180" s="10">
        <f>V180*1.25*'Parametros'!$B$3*(U180-(V180*1.25*'Parametros'!$B$3/(0.85*'Parametros'!$B$2*H180))/2)/1000000</f>
        <v>100.484515919118</v>
      </c>
      <c r="AG180" s="10">
        <f>AC180*1.25*'Parametros'!$B$3*(AB180-(AC180*1.25*'Parametros'!$B$3/(0.85*'Parametros'!$B$2*H180))/2)/1000000</f>
        <v>100.484515919118</v>
      </c>
      <c r="AH180" s="10">
        <f>N180+(AF180+AG180)/D180</f>
        <v>92.2077485294118</v>
      </c>
      <c r="AI180" s="10">
        <f>MIN(O180,MAX(N180,AH180))</f>
        <v>92.2077485294118</v>
      </c>
      <c r="AJ180" s="10">
        <f>0.17*SQRT('Parametros'!$B$2)*H180*MIN(U180,AB180)/1000</f>
        <v>92.4428153837279</v>
      </c>
      <c r="AK180" s="10">
        <f>MAX(AI180/'Parametros'!$B$6-AJ180,0)</f>
        <v>30.5008493221545</v>
      </c>
      <c r="AL180" s="10">
        <f>0.66*SQRT('Parametros'!$B$2)*H180*MIN(U180,AB180)/1000</f>
        <v>358.89563619565</v>
      </c>
      <c r="AM180" s="10" t="str">
        <f>IF(AK180&lt;=AL180,"CUMPLE","NO CUMPLE")</f>
        <v>CUMPLE</v>
      </c>
      <c r="AN180" s="15" t="inlineStr">
        <is>
          <t>Nº3 cerrado</t>
        </is>
      </c>
      <c r="AO180" s="17" t="n">
        <v>2</v>
      </c>
      <c r="AP180" s="10">
        <f>ROUNDDOWN(MIN(IF(AK180=0,1000000000,AO180*'Parametros'!$B$11*'Parametros'!$B$4*MIN(U180,AB180)/(AK180*1000)),IF(AV180=0,1000000000,'Parametros'!$B$11/AV180),MIN(U180,AB180)/4,8*'Parametros'!$B$12,24*'Parametros'!$B$9,300)/10,0)*10</f>
        <v>80</v>
      </c>
      <c r="AQ180" s="10">
        <f>ROUNDDOWN(MIN(IF(AK180=0,1000000000,AO180*'Parametros'!$B$11*'Parametros'!$B$4*MIN(U180,AB180)/(AK180*1000)),IF(AV180=0,1000000000,'Parametros'!$B$11/AV180),MIN(U180,AB180)/2,600)/10,0)*10</f>
        <v>170</v>
      </c>
      <c r="AR180" s="10">
        <f>'Parametros'!$B$6*(AJ180+AO180*'Parametros'!$B$11*'Parametros'!$B$4*MIN(U180,AB180)/AP180/1000)</f>
        <v>260.860380287796</v>
      </c>
      <c r="AS180" s="10" t="str">
        <f>IF(AND(AM180="CUMPLE",AR180&gt;=AI180),"CUMPLE","NO CUMPLE")</f>
        <v>CUMPLE</v>
      </c>
      <c r="AT180" s="10">
        <f>'Parametros'!$B$6*0.083*SQRT('Parametros'!$B$2)*(H180*I180)^2/(2*(H180+I180))/1000000</f>
        <v>3.38807353605471</v>
      </c>
      <c r="AU180" s="10" t="str">
        <f>IF(Q180&lt;=AT180,"DESPRECIABLE","DISEÑAR")</f>
        <v>DESPRECIABLE</v>
      </c>
      <c r="AV180" s="10">
        <f>IF(Q180&lt;=AT180,0,Q180*1000000/('Parametros'!$B$6*2*0.85*(H180-2*'Parametros'!$B$7)*(I180-2*'Parametros'!$B$7)*'Parametros'!$B$4))</f>
        <v>0</v>
      </c>
      <c r="AW180" s="10">
        <f>AV180*2*((H180-2*'Parametros'!$B$7)+(I180-2*'Parametros'!$B$7))*'Parametros'!$B$4/'Parametros'!$B$3</f>
        <v>0</v>
      </c>
      <c r="AX180" s="17" t="n">
        <v>0</v>
      </c>
      <c r="AY180" s="10" t="str">
        <f>IF(AV180=0,"DESPRECIABLE",IF('Parametros'!$B$11/AP180&gt;=AV180,"CUMPLE","NO CUMPLE"))</f>
        <v>DESPRECIABLE</v>
      </c>
      <c r="AZ180" s="10" t="str">
        <f>IF(AND(X180="CUMPLE",AE180="CUMPLE",AS180="CUMPLE",OR(AY180="CUMPLE",AY180="DESPRECIABLE")),IF(OR(F180&lt;&gt;H180,G180&lt;&gt;I180),"CUMPLE - REANALIZAR SAP","CUMPLE"),"NO CUMPLE")</f>
        <v>CUMPLE</v>
      </c>
    </row>
    <row r="181">
      <c r="A181" s="22" t="inlineStr">
        <is>
          <t>VC6</t>
        </is>
      </c>
      <c r="B181" s="22" t="inlineStr">
        <is>
          <t>826</t>
        </is>
      </c>
      <c r="C181" s="10" t="n">
        <v>1</v>
      </c>
      <c r="D181" s="10" t="n">
        <v>3.9</v>
      </c>
      <c r="E181" s="10" t="n">
        <v>3.9</v>
      </c>
      <c r="F181" s="10" t="n">
        <v>300</v>
      </c>
      <c r="G181" s="10" t="n">
        <v>400</v>
      </c>
      <c r="H181" s="15" t="n">
        <v>300</v>
      </c>
      <c r="I181" s="15" t="n">
        <v>400</v>
      </c>
      <c r="J181" s="16" t="n">
        <v>72.89749999999999</v>
      </c>
      <c r="K181" s="10" t="inlineStr">
        <is>
          <t>826</t>
        </is>
      </c>
      <c r="L181" s="16" t="n">
        <v>61.0507</v>
      </c>
      <c r="M181" s="10" t="inlineStr">
        <is>
          <t>826</t>
        </is>
      </c>
      <c r="N181" s="16" t="n">
        <v>42.35</v>
      </c>
      <c r="O181" s="16" t="n">
        <v>178.019</v>
      </c>
      <c r="P181" s="10" t="inlineStr">
        <is>
          <t>826</t>
        </is>
      </c>
      <c r="Q181" s="16" t="n">
        <v>6.892</v>
      </c>
      <c r="R181" s="10">
        <f>MAX(MAX(1.4/'Parametros'!$B$3,0.25*SQRT('Parametros'!$B$2)/'Parametros'!$B$3)*H181*U181,(0.85*'Parametros'!$B$2/'Parametros'!$B$3)*(1-SQRT(1-2*(J181*1000000/('Parametros'!$B$5*H181*U181^2))/(0.85*'Parametros'!$B$2)))*H181*U181)</f>
        <v>593.198259076797</v>
      </c>
      <c r="S181" s="17" t="n">
        <v>3</v>
      </c>
      <c r="T181" s="18" t="n">
        <v>1</v>
      </c>
      <c r="U181" s="10">
        <f>IF(T181=1,I181-('Parametros'!$B$7+'Parametros'!$B$9+'Parametros'!$B$12/2),I181-(ROUNDUP(S181/2,0)*('Parametros'!$B$7+'Parametros'!$B$9+'Parametros'!$B$12/2)+ROUNDDOWN(S181/2,0)*('Parametros'!$B$7+'Parametros'!$B$9+'Parametros'!$B$12/2+'Parametros'!$B$12+'Parametros'!$B$10))/S181)</f>
        <v>342.55</v>
      </c>
      <c r="V181" s="10">
        <f>S181*'Parametros'!$B$8</f>
        <v>597</v>
      </c>
      <c r="W181" s="10">
        <f>'Parametros'!$B$5*V181*'Parametros'!$B$3*(U181-(V181*'Parametros'!$B$3/(0.85*'Parametros'!$B$2*H181))/2)/1000000</f>
        <v>73.3394588294118</v>
      </c>
      <c r="X181" s="10" t="str">
        <f>IF(W181&gt;=J181,"CUMPLE","NO CUMPLE")</f>
        <v>CUMPLE</v>
      </c>
      <c r="Y181" s="10">
        <f>MAX(MAX(1.4/'Parametros'!$B$3,0.25*SQRT('Parametros'!$B$2)/'Parametros'!$B$3)*H181*AB181,(0.85*'Parametros'!$B$2/'Parametros'!$B$3)*(1-SQRT(1-2*(L181*1000000/('Parametros'!$B$5*H181*AB181^2))/(0.85*'Parametros'!$B$2)))*H181*AB181)</f>
        <v>492.30203376792</v>
      </c>
      <c r="Z181" s="17" t="n">
        <v>3</v>
      </c>
      <c r="AA181" s="18" t="n">
        <v>1</v>
      </c>
      <c r="AB181" s="10">
        <f>IF(AA181=1,I181-('Parametros'!$B$7+'Parametros'!$B$9+'Parametros'!$B$12/2),I181-(ROUNDUP(Z181/2,0)*('Parametros'!$B$7+'Parametros'!$B$9+'Parametros'!$B$12/2)+ROUNDDOWN(Z181/2,0)*('Parametros'!$B$7+'Parametros'!$B$9+'Parametros'!$B$12/2+'Parametros'!$B$12+'Parametros'!$B$10))/Z181)</f>
        <v>342.55</v>
      </c>
      <c r="AC181" s="10">
        <f>Z181*'Parametros'!$B$8</f>
        <v>597</v>
      </c>
      <c r="AD181" s="10">
        <f>'Parametros'!$B$5*AC181*'Parametros'!$B$3*(AB181-(AC181*'Parametros'!$B$3/(0.85*'Parametros'!$B$2*H181))/2)/1000000</f>
        <v>73.3394588294118</v>
      </c>
      <c r="AE181" s="10" t="str">
        <f>IF(AD181&gt;=L181,"CUMPLE","NO CUMPLE")</f>
        <v>CUMPLE</v>
      </c>
      <c r="AF181" s="10">
        <f>V181*1.25*'Parametros'!$B$3*(U181-(V181*1.25*'Parametros'!$B$3/(0.85*'Parametros'!$B$2*H181))/2)/1000000</f>
        <v>100.484515919118</v>
      </c>
      <c r="AG181" s="10">
        <f>AC181*1.25*'Parametros'!$B$3*(AB181-(AC181*1.25*'Parametros'!$B$3/(0.85*'Parametros'!$B$2*H181))/2)/1000000</f>
        <v>100.484515919118</v>
      </c>
      <c r="AH181" s="10">
        <f>N181+(AF181+AG181)/D181</f>
        <v>93.8805209841629</v>
      </c>
      <c r="AI181" s="10">
        <f>MIN(O181,MAX(N181,AH181))</f>
        <v>93.8805209841629</v>
      </c>
      <c r="AJ181" s="10">
        <f>0.17*SQRT('Parametros'!$B$2)*H181*MIN(U181,AB181)/1000</f>
        <v>92.4428153837279</v>
      </c>
      <c r="AK181" s="10">
        <f>MAX(AI181/'Parametros'!$B$6-AJ181,0)</f>
        <v>32.731212595156</v>
      </c>
      <c r="AL181" s="10">
        <f>0.66*SQRT('Parametros'!$B$2)*H181*MIN(U181,AB181)/1000</f>
        <v>358.89563619565</v>
      </c>
      <c r="AM181" s="10" t="str">
        <f>IF(AK181&lt;=AL181,"CUMPLE","NO CUMPLE")</f>
        <v>CUMPLE</v>
      </c>
      <c r="AN181" s="15" t="inlineStr">
        <is>
          <t>Nº3 cerrado</t>
        </is>
      </c>
      <c r="AO181" s="17" t="n">
        <v>2</v>
      </c>
      <c r="AP181" s="10">
        <f>ROUNDDOWN(MIN(IF(AK181=0,1000000000,AO181*'Parametros'!$B$11*'Parametros'!$B$4*MIN(U181,AB181)/(AK181*1000)),IF(AV181=0,1000000000,'Parametros'!$B$11/AV181),MIN(U181,AB181)/4,8*'Parametros'!$B$12,24*'Parametros'!$B$9,300)/10,0)*10</f>
        <v>80</v>
      </c>
      <c r="AQ181" s="10">
        <f>ROUNDDOWN(MIN(IF(AK181=0,1000000000,AO181*'Parametros'!$B$11*'Parametros'!$B$4*MIN(U181,AB181)/(AK181*1000)),IF(AV181=0,1000000000,'Parametros'!$B$11/AV181),MIN(U181,AB181)/2,600)/10,0)*10</f>
        <v>170</v>
      </c>
      <c r="AR181" s="10">
        <f>'Parametros'!$B$6*(AJ181+AO181*'Parametros'!$B$11*'Parametros'!$B$4*MIN(U181,AB181)/AP181/1000)</f>
        <v>260.860380287796</v>
      </c>
      <c r="AS181" s="10" t="str">
        <f>IF(AND(AM181="CUMPLE",AR181&gt;=AI181),"CUMPLE","NO CUMPLE")</f>
        <v>CUMPLE</v>
      </c>
      <c r="AT181" s="10">
        <f>'Parametros'!$B$6*0.083*SQRT('Parametros'!$B$2)*(H181*I181)^2/(2*(H181+I181))/1000000</f>
        <v>3.38807353605471</v>
      </c>
      <c r="AU181" s="10" t="str">
        <f>IF(Q181&lt;=AT181,"DESPRECIABLE","DISEÑAR")</f>
        <v>DISEÑAR</v>
      </c>
      <c r="AV181" s="10">
        <f>IF(Q181&lt;=AT181,0,Q181*1000000/('Parametros'!$B$6*2*0.85*(H181-2*'Parametros'!$B$7)*(I181-2*'Parametros'!$B$7)*'Parametros'!$B$4))</f>
        <v>0.182815550462609</v>
      </c>
      <c r="AW181" s="10">
        <f>AV181*2*((H181-2*'Parametros'!$B$7)+(I181-2*'Parametros'!$B$7))*'Parametros'!$B$4/'Parametros'!$B$3</f>
        <v>197.440794499618</v>
      </c>
      <c r="AX181" s="17" t="n">
        <v>1</v>
      </c>
      <c r="AY181" s="10" t="str">
        <f>IF(AV181=0,"DESPRECIABLE",IF('Parametros'!$B$11/AP181&gt;=AV181,"CUMPLE","NO CUMPLE"))</f>
        <v>CUMPLE</v>
      </c>
      <c r="AZ181" s="10" t="str">
        <f>IF(AND(X181="CUMPLE",AE181="CUMPLE",AS181="CUMPLE",OR(AY181="CUMPLE",AY181="DESPRECIABLE")),IF(OR(F181&lt;&gt;H181,G181&lt;&gt;I181),"CUMPLE - REANALIZAR SAP","CUMPLE"),"NO CUMPLE")</f>
        <v>CUMPLE</v>
      </c>
    </row>
    <row r="182">
      <c r="A182" s="22" t="inlineStr">
        <is>
          <t>VC6</t>
        </is>
      </c>
      <c r="B182" s="22" t="inlineStr">
        <is>
          <t>827</t>
        </is>
      </c>
      <c r="C182" s="10" t="n">
        <v>1</v>
      </c>
      <c r="D182" s="10" t="n">
        <v>3.9</v>
      </c>
      <c r="E182" s="10" t="n">
        <v>3.9</v>
      </c>
      <c r="F182" s="10" t="n">
        <v>300</v>
      </c>
      <c r="G182" s="10" t="n">
        <v>400</v>
      </c>
      <c r="H182" s="15" t="n">
        <v>300</v>
      </c>
      <c r="I182" s="15" t="n">
        <v>400</v>
      </c>
      <c r="J182" s="16" t="n">
        <v>72.8781</v>
      </c>
      <c r="K182" s="10" t="inlineStr">
        <is>
          <t>827</t>
        </is>
      </c>
      <c r="L182" s="16" t="n">
        <v>61.0627</v>
      </c>
      <c r="M182" s="10" t="inlineStr">
        <is>
          <t>827</t>
        </is>
      </c>
      <c r="N182" s="16" t="n">
        <v>42.339</v>
      </c>
      <c r="O182" s="16" t="n">
        <v>178.01</v>
      </c>
      <c r="P182" s="10" t="inlineStr">
        <is>
          <t>827</t>
        </is>
      </c>
      <c r="Q182" s="16" t="n">
        <v>6.8908</v>
      </c>
      <c r="R182" s="10">
        <f>MAX(MAX(1.4/'Parametros'!$B$3,0.25*SQRT('Parametros'!$B$2)/'Parametros'!$B$3)*H182*U182,(0.85*'Parametros'!$B$2/'Parametros'!$B$3)*(1-SQRT(1-2*(J182*1000000/('Parametros'!$B$5*H182*U182^2))/(0.85*'Parametros'!$B$2)))*H182*U182)</f>
        <v>593.031443102439</v>
      </c>
      <c r="S182" s="17" t="n">
        <v>3</v>
      </c>
      <c r="T182" s="18" t="n">
        <v>1</v>
      </c>
      <c r="U182" s="10">
        <f>IF(T182=1,I182-('Parametros'!$B$7+'Parametros'!$B$9+'Parametros'!$B$12/2),I182-(ROUNDUP(S182/2,0)*('Parametros'!$B$7+'Parametros'!$B$9+'Parametros'!$B$12/2)+ROUNDDOWN(S182/2,0)*('Parametros'!$B$7+'Parametros'!$B$9+'Parametros'!$B$12/2+'Parametros'!$B$12+'Parametros'!$B$10))/S182)</f>
        <v>342.55</v>
      </c>
      <c r="V182" s="10">
        <f>S182*'Parametros'!$B$8</f>
        <v>597</v>
      </c>
      <c r="W182" s="10">
        <f>'Parametros'!$B$5*V182*'Parametros'!$B$3*(U182-(V182*'Parametros'!$B$3/(0.85*'Parametros'!$B$2*H182))/2)/1000000</f>
        <v>73.3394588294118</v>
      </c>
      <c r="X182" s="10" t="str">
        <f>IF(W182&gt;=J182,"CUMPLE","NO CUMPLE")</f>
        <v>CUMPLE</v>
      </c>
      <c r="Y182" s="10">
        <f>MAX(MAX(1.4/'Parametros'!$B$3,0.25*SQRT('Parametros'!$B$2)/'Parametros'!$B$3)*H182*AB182,(0.85*'Parametros'!$B$2/'Parametros'!$B$3)*(1-SQRT(1-2*(L182*1000000/('Parametros'!$B$5*H182*AB182^2))/(0.85*'Parametros'!$B$2)))*H182*AB182)</f>
        <v>492.403268584666</v>
      </c>
      <c r="Z182" s="17" t="n">
        <v>3</v>
      </c>
      <c r="AA182" s="18" t="n">
        <v>1</v>
      </c>
      <c r="AB182" s="10">
        <f>IF(AA182=1,I182-('Parametros'!$B$7+'Parametros'!$B$9+'Parametros'!$B$12/2),I182-(ROUNDUP(Z182/2,0)*('Parametros'!$B$7+'Parametros'!$B$9+'Parametros'!$B$12/2)+ROUNDDOWN(Z182/2,0)*('Parametros'!$B$7+'Parametros'!$B$9+'Parametros'!$B$12/2+'Parametros'!$B$12+'Parametros'!$B$10))/Z182)</f>
        <v>342.55</v>
      </c>
      <c r="AC182" s="10">
        <f>Z182*'Parametros'!$B$8</f>
        <v>597</v>
      </c>
      <c r="AD182" s="10">
        <f>'Parametros'!$B$5*AC182*'Parametros'!$B$3*(AB182-(AC182*'Parametros'!$B$3/(0.85*'Parametros'!$B$2*H182))/2)/1000000</f>
        <v>73.3394588294118</v>
      </c>
      <c r="AE182" s="10" t="str">
        <f>IF(AD182&gt;=L182,"CUMPLE","NO CUMPLE")</f>
        <v>CUMPLE</v>
      </c>
      <c r="AF182" s="10">
        <f>V182*1.25*'Parametros'!$B$3*(U182-(V182*1.25*'Parametros'!$B$3/(0.85*'Parametros'!$B$2*H182))/2)/1000000</f>
        <v>100.484515919118</v>
      </c>
      <c r="AG182" s="10">
        <f>AC182*1.25*'Parametros'!$B$3*(AB182-(AC182*1.25*'Parametros'!$B$3/(0.85*'Parametros'!$B$2*H182))/2)/1000000</f>
        <v>100.484515919118</v>
      </c>
      <c r="AH182" s="10">
        <f>N182+(AF182+AG182)/D182</f>
        <v>93.8695209841629</v>
      </c>
      <c r="AI182" s="10">
        <f>MIN(O182,MAX(N182,AH182))</f>
        <v>93.8695209841629</v>
      </c>
      <c r="AJ182" s="10">
        <f>0.17*SQRT('Parametros'!$B$2)*H182*MIN(U182,AB182)/1000</f>
        <v>92.4428153837279</v>
      </c>
      <c r="AK182" s="10">
        <f>MAX(AI182/'Parametros'!$B$6-AJ182,0)</f>
        <v>32.7165459284893</v>
      </c>
      <c r="AL182" s="10">
        <f>0.66*SQRT('Parametros'!$B$2)*H182*MIN(U182,AB182)/1000</f>
        <v>358.89563619565</v>
      </c>
      <c r="AM182" s="10" t="str">
        <f>IF(AK182&lt;=AL182,"CUMPLE","NO CUMPLE")</f>
        <v>CUMPLE</v>
      </c>
      <c r="AN182" s="15" t="inlineStr">
        <is>
          <t>Nº3 cerrado</t>
        </is>
      </c>
      <c r="AO182" s="17" t="n">
        <v>2</v>
      </c>
      <c r="AP182" s="10">
        <f>ROUNDDOWN(MIN(IF(AK182=0,1000000000,AO182*'Parametros'!$B$11*'Parametros'!$B$4*MIN(U182,AB182)/(AK182*1000)),IF(AV182=0,1000000000,'Parametros'!$B$11/AV182),MIN(U182,AB182)/4,8*'Parametros'!$B$12,24*'Parametros'!$B$9,300)/10,0)*10</f>
        <v>80</v>
      </c>
      <c r="AQ182" s="10">
        <f>ROUNDDOWN(MIN(IF(AK182=0,1000000000,AO182*'Parametros'!$B$11*'Parametros'!$B$4*MIN(U182,AB182)/(AK182*1000)),IF(AV182=0,1000000000,'Parametros'!$B$11/AV182),MIN(U182,AB182)/2,600)/10,0)*10</f>
        <v>170</v>
      </c>
      <c r="AR182" s="10">
        <f>'Parametros'!$B$6*(AJ182+AO182*'Parametros'!$B$11*'Parametros'!$B$4*MIN(U182,AB182)/AP182/1000)</f>
        <v>260.860380287796</v>
      </c>
      <c r="AS182" s="10" t="str">
        <f>IF(AND(AM182="CUMPLE",AR182&gt;=AI182),"CUMPLE","NO CUMPLE")</f>
        <v>CUMPLE</v>
      </c>
      <c r="AT182" s="10">
        <f>'Parametros'!$B$6*0.083*SQRT('Parametros'!$B$2)*(H182*I182)^2/(2*(H182+I182))/1000000</f>
        <v>3.38807353605471</v>
      </c>
      <c r="AU182" s="10" t="str">
        <f>IF(Q182&lt;=AT182,"DESPRECIABLE","DISEÑAR")</f>
        <v>DISEÑAR</v>
      </c>
      <c r="AV182" s="10">
        <f>IF(Q182&lt;=AT182,0,Q182*1000000/('Parametros'!$B$6*2*0.85*(H182-2*'Parametros'!$B$7)*(I182-2*'Parametros'!$B$7)*'Parametros'!$B$4))</f>
        <v>0.182783719548425</v>
      </c>
      <c r="AW182" s="10">
        <f>AV182*2*((H182-2*'Parametros'!$B$7)+(I182-2*'Parametros'!$B$7))*'Parametros'!$B$4/'Parametros'!$B$3</f>
        <v>197.406417112299</v>
      </c>
      <c r="AX182" s="17" t="n">
        <v>1</v>
      </c>
      <c r="AY182" s="10" t="str">
        <f>IF(AV182=0,"DESPRECIABLE",IF('Parametros'!$B$11/AP182&gt;=AV182,"CUMPLE","NO CUMPLE"))</f>
        <v>CUMPLE</v>
      </c>
      <c r="AZ182" s="10" t="str">
        <f>IF(AND(X182="CUMPLE",AE182="CUMPLE",AS182="CUMPLE",OR(AY182="CUMPLE",AY182="DESPRECIABLE")),IF(OR(F182&lt;&gt;H182,G182&lt;&gt;I182),"CUMPLE - REANALIZAR SAP","CUMPLE"),"NO CUMPLE")</f>
        <v>CUMPLE</v>
      </c>
    </row>
    <row r="183">
      <c r="A183" s="22" t="inlineStr">
        <is>
          <t>VC6</t>
        </is>
      </c>
      <c r="B183" s="22" t="inlineStr">
        <is>
          <t>828</t>
        </is>
      </c>
      <c r="C183" s="10" t="n">
        <v>1</v>
      </c>
      <c r="D183" s="10" t="n">
        <v>3.85</v>
      </c>
      <c r="E183" s="10" t="n">
        <v>3.85</v>
      </c>
      <c r="F183" s="10" t="n">
        <v>300</v>
      </c>
      <c r="G183" s="10" t="n">
        <v>400</v>
      </c>
      <c r="H183" s="15" t="n">
        <v>300</v>
      </c>
      <c r="I183" s="15" t="n">
        <v>400</v>
      </c>
      <c r="J183" s="16" t="n">
        <v>68.94240000000001</v>
      </c>
      <c r="K183" s="10" t="inlineStr">
        <is>
          <t>828</t>
        </is>
      </c>
      <c r="L183" s="16" t="n">
        <v>60.8788</v>
      </c>
      <c r="M183" s="10" t="inlineStr">
        <is>
          <t>828</t>
        </is>
      </c>
      <c r="N183" s="16" t="n">
        <v>40.016</v>
      </c>
      <c r="O183" s="16" t="n">
        <v>170.913</v>
      </c>
      <c r="P183" s="10" t="inlineStr">
        <is>
          <t>828</t>
        </is>
      </c>
      <c r="Q183" s="16" t="n">
        <v>0.5432</v>
      </c>
      <c r="R183" s="10">
        <f>MAX(MAX(1.4/'Parametros'!$B$3,0.25*SQRT('Parametros'!$B$2)/'Parametros'!$B$3)*H183*U183,(0.85*'Parametros'!$B$2/'Parametros'!$B$3)*(1-SQRT(1-2*(J183*1000000/('Parametros'!$B$5*H183*U183^2))/(0.85*'Parametros'!$B$2)))*H183*U183)</f>
        <v>559.298616461676</v>
      </c>
      <c r="S183" s="17" t="n">
        <v>3</v>
      </c>
      <c r="T183" s="18" t="n">
        <v>1</v>
      </c>
      <c r="U183" s="10">
        <f>IF(T183=1,I183-('Parametros'!$B$7+'Parametros'!$B$9+'Parametros'!$B$12/2),I183-(ROUNDUP(S183/2,0)*('Parametros'!$B$7+'Parametros'!$B$9+'Parametros'!$B$12/2)+ROUNDDOWN(S183/2,0)*('Parametros'!$B$7+'Parametros'!$B$9+'Parametros'!$B$12/2+'Parametros'!$B$12+'Parametros'!$B$10))/S183)</f>
        <v>342.55</v>
      </c>
      <c r="V183" s="10">
        <f>S183*'Parametros'!$B$8</f>
        <v>597</v>
      </c>
      <c r="W183" s="10">
        <f>'Parametros'!$B$5*V183*'Parametros'!$B$3*(U183-(V183*'Parametros'!$B$3/(0.85*'Parametros'!$B$2*H183))/2)/1000000</f>
        <v>73.3394588294118</v>
      </c>
      <c r="X183" s="10" t="str">
        <f>IF(W183&gt;=J183,"CUMPLE","NO CUMPLE")</f>
        <v>CUMPLE</v>
      </c>
      <c r="Y183" s="10">
        <f>MAX(MAX(1.4/'Parametros'!$B$3,0.25*SQRT('Parametros'!$B$2)/'Parametros'!$B$3)*H183*AB183,(0.85*'Parametros'!$B$2/'Parametros'!$B$3)*(1-SQRT(1-2*(L183*1000000/('Parametros'!$B$5*H183*AB183^2))/(0.85*'Parametros'!$B$2)))*H183*AB183)</f>
        <v>490.852055975164</v>
      </c>
      <c r="Z183" s="17" t="n">
        <v>3</v>
      </c>
      <c r="AA183" s="18" t="n">
        <v>1</v>
      </c>
      <c r="AB183" s="10">
        <f>IF(AA183=1,I183-('Parametros'!$B$7+'Parametros'!$B$9+'Parametros'!$B$12/2),I183-(ROUNDUP(Z183/2,0)*('Parametros'!$B$7+'Parametros'!$B$9+'Parametros'!$B$12/2)+ROUNDDOWN(Z183/2,0)*('Parametros'!$B$7+'Parametros'!$B$9+'Parametros'!$B$12/2+'Parametros'!$B$12+'Parametros'!$B$10))/Z183)</f>
        <v>342.55</v>
      </c>
      <c r="AC183" s="10">
        <f>Z183*'Parametros'!$B$8</f>
        <v>597</v>
      </c>
      <c r="AD183" s="10">
        <f>'Parametros'!$B$5*AC183*'Parametros'!$B$3*(AB183-(AC183*'Parametros'!$B$3/(0.85*'Parametros'!$B$2*H183))/2)/1000000</f>
        <v>73.3394588294118</v>
      </c>
      <c r="AE183" s="10" t="str">
        <f>IF(AD183&gt;=L183,"CUMPLE","NO CUMPLE")</f>
        <v>CUMPLE</v>
      </c>
      <c r="AF183" s="10">
        <f>V183*1.25*'Parametros'!$B$3*(U183-(V183*1.25*'Parametros'!$B$3/(0.85*'Parametros'!$B$2*H183))/2)/1000000</f>
        <v>100.484515919118</v>
      </c>
      <c r="AG183" s="10">
        <f>AC183*1.25*'Parametros'!$B$3*(AB183-(AC183*1.25*'Parametros'!$B$3/(0.85*'Parametros'!$B$2*H183))/2)/1000000</f>
        <v>100.484515919118</v>
      </c>
      <c r="AH183" s="10">
        <f>N183+(AF183+AG183)/D183</f>
        <v>92.2157485294118</v>
      </c>
      <c r="AI183" s="10">
        <f>MIN(O183,MAX(N183,AH183))</f>
        <v>92.2157485294118</v>
      </c>
      <c r="AJ183" s="10">
        <f>0.17*SQRT('Parametros'!$B$2)*H183*MIN(U183,AB183)/1000</f>
        <v>92.4428153837279</v>
      </c>
      <c r="AK183" s="10">
        <f>MAX(AI183/'Parametros'!$B$6-AJ183,0)</f>
        <v>30.5115159888211</v>
      </c>
      <c r="AL183" s="10">
        <f>0.66*SQRT('Parametros'!$B$2)*H183*MIN(U183,AB183)/1000</f>
        <v>358.89563619565</v>
      </c>
      <c r="AM183" s="10" t="str">
        <f>IF(AK183&lt;=AL183,"CUMPLE","NO CUMPLE")</f>
        <v>CUMPLE</v>
      </c>
      <c r="AN183" s="15" t="inlineStr">
        <is>
          <t>Nº3 cerrado</t>
        </is>
      </c>
      <c r="AO183" s="17" t="n">
        <v>2</v>
      </c>
      <c r="AP183" s="10">
        <f>ROUNDDOWN(MIN(IF(AK183=0,1000000000,AO183*'Parametros'!$B$11*'Parametros'!$B$4*MIN(U183,AB183)/(AK183*1000)),IF(AV183=0,1000000000,'Parametros'!$B$11/AV183),MIN(U183,AB183)/4,8*'Parametros'!$B$12,24*'Parametros'!$B$9,300)/10,0)*10</f>
        <v>80</v>
      </c>
      <c r="AQ183" s="10">
        <f>ROUNDDOWN(MIN(IF(AK183=0,1000000000,AO183*'Parametros'!$B$11*'Parametros'!$B$4*MIN(U183,AB183)/(AK183*1000)),IF(AV183=0,1000000000,'Parametros'!$B$11/AV183),MIN(U183,AB183)/2,600)/10,0)*10</f>
        <v>170</v>
      </c>
      <c r="AR183" s="10">
        <f>'Parametros'!$B$6*(AJ183+AO183*'Parametros'!$B$11*'Parametros'!$B$4*MIN(U183,AB183)/AP183/1000)</f>
        <v>260.860380287796</v>
      </c>
      <c r="AS183" s="10" t="str">
        <f>IF(AND(AM183="CUMPLE",AR183&gt;=AI183),"CUMPLE","NO CUMPLE")</f>
        <v>CUMPLE</v>
      </c>
      <c r="AT183" s="10">
        <f>'Parametros'!$B$6*0.083*SQRT('Parametros'!$B$2)*(H183*I183)^2/(2*(H183+I183))/1000000</f>
        <v>3.38807353605471</v>
      </c>
      <c r="AU183" s="10" t="str">
        <f>IF(Q183&lt;=AT183,"DESPRECIABLE","DISEÑAR")</f>
        <v>DESPRECIABLE</v>
      </c>
      <c r="AV183" s="10">
        <f>IF(Q183&lt;=AT183,0,Q183*1000000/('Parametros'!$B$6*2*0.85*(H183-2*'Parametros'!$B$7)*(I183-2*'Parametros'!$B$7)*'Parametros'!$B$4))</f>
        <v>0</v>
      </c>
      <c r="AW183" s="10">
        <f>AV183*2*((H183-2*'Parametros'!$B$7)+(I183-2*'Parametros'!$B$7))*'Parametros'!$B$4/'Parametros'!$B$3</f>
        <v>0</v>
      </c>
      <c r="AX183" s="17" t="n">
        <v>0</v>
      </c>
      <c r="AY183" s="10" t="str">
        <f>IF(AV183=0,"DESPRECIABLE",IF('Parametros'!$B$11/AP183&gt;=AV183,"CUMPLE","NO CUMPLE"))</f>
        <v>DESPRECIABLE</v>
      </c>
      <c r="AZ183" s="10" t="str">
        <f>IF(AND(X183="CUMPLE",AE183="CUMPLE",AS183="CUMPLE",OR(AY183="CUMPLE",AY183="DESPRECIABLE")),IF(OR(F183&lt;&gt;H183,G183&lt;&gt;I183),"CUMPLE - REANALIZAR SAP","CUMPLE"),"NO CUMPLE")</f>
        <v>CUMPLE</v>
      </c>
    </row>
    <row r="184">
      <c r="A184" s="22" t="inlineStr">
        <is>
          <t>VC6</t>
        </is>
      </c>
      <c r="B184" s="22" t="inlineStr">
        <is>
          <t>837</t>
        </is>
      </c>
      <c r="C184" s="10" t="n">
        <v>1</v>
      </c>
      <c r="D184" s="10" t="n">
        <v>3.85</v>
      </c>
      <c r="E184" s="10" t="n">
        <v>3.85</v>
      </c>
      <c r="F184" s="10" t="n">
        <v>300</v>
      </c>
      <c r="G184" s="10" t="n">
        <v>400</v>
      </c>
      <c r="H184" s="15" t="n">
        <v>300</v>
      </c>
      <c r="I184" s="15" t="n">
        <v>400</v>
      </c>
      <c r="J184" s="16" t="n">
        <v>68.9426</v>
      </c>
      <c r="K184" s="10" t="inlineStr">
        <is>
          <t>837</t>
        </is>
      </c>
      <c r="L184" s="16" t="n">
        <v>60.8803</v>
      </c>
      <c r="M184" s="10" t="inlineStr">
        <is>
          <t>837</t>
        </is>
      </c>
      <c r="N184" s="16" t="n">
        <v>40.016</v>
      </c>
      <c r="O184" s="16" t="n">
        <v>170.921</v>
      </c>
      <c r="P184" s="10" t="inlineStr">
        <is>
          <t>837</t>
        </is>
      </c>
      <c r="Q184" s="16" t="n">
        <v>0.5435</v>
      </c>
      <c r="R184" s="10">
        <f>MAX(MAX(1.4/'Parametros'!$B$3,0.25*SQRT('Parametros'!$B$2)/'Parametros'!$B$3)*H184*U184,(0.85*'Parametros'!$B$2/'Parametros'!$B$3)*(1-SQRT(1-2*(J184*1000000/('Parametros'!$B$5*H184*U184^2))/(0.85*'Parametros'!$B$2)))*H184*U184)</f>
        <v>559.300325166588</v>
      </c>
      <c r="S184" s="17" t="n">
        <v>3</v>
      </c>
      <c r="T184" s="18" t="n">
        <v>1</v>
      </c>
      <c r="U184" s="10">
        <f>IF(T184=1,I184-('Parametros'!$B$7+'Parametros'!$B$9+'Parametros'!$B$12/2),I184-(ROUNDUP(S184/2,0)*('Parametros'!$B$7+'Parametros'!$B$9+'Parametros'!$B$12/2)+ROUNDDOWN(S184/2,0)*('Parametros'!$B$7+'Parametros'!$B$9+'Parametros'!$B$12/2+'Parametros'!$B$12+'Parametros'!$B$10))/S184)</f>
        <v>342.55</v>
      </c>
      <c r="V184" s="10">
        <f>S184*'Parametros'!$B$8</f>
        <v>597</v>
      </c>
      <c r="W184" s="10">
        <f>'Parametros'!$B$5*V184*'Parametros'!$B$3*(U184-(V184*'Parametros'!$B$3/(0.85*'Parametros'!$B$2*H184))/2)/1000000</f>
        <v>73.3394588294118</v>
      </c>
      <c r="X184" s="10" t="str">
        <f>IF(W184&gt;=J184,"CUMPLE","NO CUMPLE")</f>
        <v>CUMPLE</v>
      </c>
      <c r="Y184" s="10">
        <f>MAX(MAX(1.4/'Parametros'!$B$3,0.25*SQRT('Parametros'!$B$2)/'Parametros'!$B$3)*H184*AB184,(0.85*'Parametros'!$B$2/'Parametros'!$B$3)*(1-SQRT(1-2*(L184*1000000/('Parametros'!$B$5*H184*AB184^2))/(0.85*'Parametros'!$B$2)))*H184*AB184)</f>
        <v>490.864706781258</v>
      </c>
      <c r="Z184" s="17" t="n">
        <v>3</v>
      </c>
      <c r="AA184" s="18" t="n">
        <v>1</v>
      </c>
      <c r="AB184" s="10">
        <f>IF(AA184=1,I184-('Parametros'!$B$7+'Parametros'!$B$9+'Parametros'!$B$12/2),I184-(ROUNDUP(Z184/2,0)*('Parametros'!$B$7+'Parametros'!$B$9+'Parametros'!$B$12/2)+ROUNDDOWN(Z184/2,0)*('Parametros'!$B$7+'Parametros'!$B$9+'Parametros'!$B$12/2+'Parametros'!$B$12+'Parametros'!$B$10))/Z184)</f>
        <v>342.55</v>
      </c>
      <c r="AC184" s="10">
        <f>Z184*'Parametros'!$B$8</f>
        <v>597</v>
      </c>
      <c r="AD184" s="10">
        <f>'Parametros'!$B$5*AC184*'Parametros'!$B$3*(AB184-(AC184*'Parametros'!$B$3/(0.85*'Parametros'!$B$2*H184))/2)/1000000</f>
        <v>73.3394588294118</v>
      </c>
      <c r="AE184" s="10" t="str">
        <f>IF(AD184&gt;=L184,"CUMPLE","NO CUMPLE")</f>
        <v>CUMPLE</v>
      </c>
      <c r="AF184" s="10">
        <f>V184*1.25*'Parametros'!$B$3*(U184-(V184*1.25*'Parametros'!$B$3/(0.85*'Parametros'!$B$2*H184))/2)/1000000</f>
        <v>100.484515919118</v>
      </c>
      <c r="AG184" s="10">
        <f>AC184*1.25*'Parametros'!$B$3*(AB184-(AC184*1.25*'Parametros'!$B$3/(0.85*'Parametros'!$B$2*H184))/2)/1000000</f>
        <v>100.484515919118</v>
      </c>
      <c r="AH184" s="10">
        <f>N184+(AF184+AG184)/D184</f>
        <v>92.2157485294118</v>
      </c>
      <c r="AI184" s="10">
        <f>MIN(O184,MAX(N184,AH184))</f>
        <v>92.2157485294118</v>
      </c>
      <c r="AJ184" s="10">
        <f>0.17*SQRT('Parametros'!$B$2)*H184*MIN(U184,AB184)/1000</f>
        <v>92.4428153837279</v>
      </c>
      <c r="AK184" s="10">
        <f>MAX(AI184/'Parametros'!$B$6-AJ184,0)</f>
        <v>30.5115159888211</v>
      </c>
      <c r="AL184" s="10">
        <f>0.66*SQRT('Parametros'!$B$2)*H184*MIN(U184,AB184)/1000</f>
        <v>358.89563619565</v>
      </c>
      <c r="AM184" s="10" t="str">
        <f>IF(AK184&lt;=AL184,"CUMPLE","NO CUMPLE")</f>
        <v>CUMPLE</v>
      </c>
      <c r="AN184" s="15" t="inlineStr">
        <is>
          <t>Nº3 cerrado</t>
        </is>
      </c>
      <c r="AO184" s="17" t="n">
        <v>2</v>
      </c>
      <c r="AP184" s="10">
        <f>ROUNDDOWN(MIN(IF(AK184=0,1000000000,AO184*'Parametros'!$B$11*'Parametros'!$B$4*MIN(U184,AB184)/(AK184*1000)),IF(AV184=0,1000000000,'Parametros'!$B$11/AV184),MIN(U184,AB184)/4,8*'Parametros'!$B$12,24*'Parametros'!$B$9,300)/10,0)*10</f>
        <v>80</v>
      </c>
      <c r="AQ184" s="10">
        <f>ROUNDDOWN(MIN(IF(AK184=0,1000000000,AO184*'Parametros'!$B$11*'Parametros'!$B$4*MIN(U184,AB184)/(AK184*1000)),IF(AV184=0,1000000000,'Parametros'!$B$11/AV184),MIN(U184,AB184)/2,600)/10,0)*10</f>
        <v>170</v>
      </c>
      <c r="AR184" s="10">
        <f>'Parametros'!$B$6*(AJ184+AO184*'Parametros'!$B$11*'Parametros'!$B$4*MIN(U184,AB184)/AP184/1000)</f>
        <v>260.860380287796</v>
      </c>
      <c r="AS184" s="10" t="str">
        <f>IF(AND(AM184="CUMPLE",AR184&gt;=AI184),"CUMPLE","NO CUMPLE")</f>
        <v>CUMPLE</v>
      </c>
      <c r="AT184" s="10">
        <f>'Parametros'!$B$6*0.083*SQRT('Parametros'!$B$2)*(H184*I184)^2/(2*(H184+I184))/1000000</f>
        <v>3.38807353605471</v>
      </c>
      <c r="AU184" s="10" t="str">
        <f>IF(Q184&lt;=AT184,"DESPRECIABLE","DISEÑAR")</f>
        <v>DESPRECIABLE</v>
      </c>
      <c r="AV184" s="10">
        <f>IF(Q184&lt;=AT184,0,Q184*1000000/('Parametros'!$B$6*2*0.85*(H184-2*'Parametros'!$B$7)*(I184-2*'Parametros'!$B$7)*'Parametros'!$B$4))</f>
        <v>0</v>
      </c>
      <c r="AW184" s="10">
        <f>AV184*2*((H184-2*'Parametros'!$B$7)+(I184-2*'Parametros'!$B$7))*'Parametros'!$B$4/'Parametros'!$B$3</f>
        <v>0</v>
      </c>
      <c r="AX184" s="17" t="n">
        <v>0</v>
      </c>
      <c r="AY184" s="10" t="str">
        <f>IF(AV184=0,"DESPRECIABLE",IF('Parametros'!$B$11/AP184&gt;=AV184,"CUMPLE","NO CUMPLE"))</f>
        <v>DESPRECIABLE</v>
      </c>
      <c r="AZ184" s="10" t="str">
        <f>IF(AND(X184="CUMPLE",AE184="CUMPLE",AS184="CUMPLE",OR(AY184="CUMPLE",AY184="DESPRECIABLE")),IF(OR(F184&lt;&gt;H184,G184&lt;&gt;I184),"CUMPLE - REANALIZAR SAP","CUMPLE"),"NO CUMPLE")</f>
        <v>CUMPLE</v>
      </c>
    </row>
    <row r="185">
      <c r="A185" s="22" t="inlineStr">
        <is>
          <t>VC6</t>
        </is>
      </c>
      <c r="B185" s="22" t="inlineStr">
        <is>
          <t>838</t>
        </is>
      </c>
      <c r="C185" s="10" t="n">
        <v>1</v>
      </c>
      <c r="D185" s="10" t="n">
        <v>3.9</v>
      </c>
      <c r="E185" s="10" t="n">
        <v>3.9</v>
      </c>
      <c r="F185" s="10" t="n">
        <v>300</v>
      </c>
      <c r="G185" s="10" t="n">
        <v>400</v>
      </c>
      <c r="H185" s="15" t="n">
        <v>300</v>
      </c>
      <c r="I185" s="15" t="n">
        <v>400</v>
      </c>
      <c r="J185" s="16" t="n">
        <v>72.8749</v>
      </c>
      <c r="K185" s="10" t="inlineStr">
        <is>
          <t>838</t>
        </is>
      </c>
      <c r="L185" s="16" t="n">
        <v>61.0666</v>
      </c>
      <c r="M185" s="10" t="inlineStr">
        <is>
          <t>838</t>
        </is>
      </c>
      <c r="N185" s="16" t="n">
        <v>42.336</v>
      </c>
      <c r="O185" s="16" t="n">
        <v>178.01</v>
      </c>
      <c r="P185" s="10" t="inlineStr">
        <is>
          <t>838</t>
        </is>
      </c>
      <c r="Q185" s="16" t="n">
        <v>6.8788</v>
      </c>
      <c r="R185" s="10">
        <f>MAX(MAX(1.4/'Parametros'!$B$3,0.25*SQRT('Parametros'!$B$2)/'Parametros'!$B$3)*H185*U185,(0.85*'Parametros'!$B$2/'Parametros'!$B$3)*(1-SQRT(1-2*(J185*1000000/('Parametros'!$B$5*H185*U185^2))/(0.85*'Parametros'!$B$2)))*H185*U185)</f>
        <v>593.003927576607</v>
      </c>
      <c r="S185" s="17" t="n">
        <v>3</v>
      </c>
      <c r="T185" s="18" t="n">
        <v>1</v>
      </c>
      <c r="U185" s="10">
        <f>IF(T185=1,I185-('Parametros'!$B$7+'Parametros'!$B$9+'Parametros'!$B$12/2),I185-(ROUNDUP(S185/2,0)*('Parametros'!$B$7+'Parametros'!$B$9+'Parametros'!$B$12/2)+ROUNDDOWN(S185/2,0)*('Parametros'!$B$7+'Parametros'!$B$9+'Parametros'!$B$12/2+'Parametros'!$B$12+'Parametros'!$B$10))/S185)</f>
        <v>342.55</v>
      </c>
      <c r="V185" s="10">
        <f>S185*'Parametros'!$B$8</f>
        <v>597</v>
      </c>
      <c r="W185" s="10">
        <f>'Parametros'!$B$5*V185*'Parametros'!$B$3*(U185-(V185*'Parametros'!$B$3/(0.85*'Parametros'!$B$2*H185))/2)/1000000</f>
        <v>73.3394588294118</v>
      </c>
      <c r="X185" s="10" t="str">
        <f>IF(W185&gt;=J185,"CUMPLE","NO CUMPLE")</f>
        <v>CUMPLE</v>
      </c>
      <c r="Y185" s="10">
        <f>MAX(MAX(1.4/'Parametros'!$B$3,0.25*SQRT('Parametros'!$B$2)/'Parametros'!$B$3)*H185*AB185,(0.85*'Parametros'!$B$2/'Parametros'!$B$3)*(1-SQRT(1-2*(L185*1000000/('Parametros'!$B$5*H185*AB185^2))/(0.85*'Parametros'!$B$2)))*H185*AB185)</f>
        <v>492.43617031404</v>
      </c>
      <c r="Z185" s="17" t="n">
        <v>3</v>
      </c>
      <c r="AA185" s="18" t="n">
        <v>1</v>
      </c>
      <c r="AB185" s="10">
        <f>IF(AA185=1,I185-('Parametros'!$B$7+'Parametros'!$B$9+'Parametros'!$B$12/2),I185-(ROUNDUP(Z185/2,0)*('Parametros'!$B$7+'Parametros'!$B$9+'Parametros'!$B$12/2)+ROUNDDOWN(Z185/2,0)*('Parametros'!$B$7+'Parametros'!$B$9+'Parametros'!$B$12/2+'Parametros'!$B$12+'Parametros'!$B$10))/Z185)</f>
        <v>342.55</v>
      </c>
      <c r="AC185" s="10">
        <f>Z185*'Parametros'!$B$8</f>
        <v>597</v>
      </c>
      <c r="AD185" s="10">
        <f>'Parametros'!$B$5*AC185*'Parametros'!$B$3*(AB185-(AC185*'Parametros'!$B$3/(0.85*'Parametros'!$B$2*H185))/2)/1000000</f>
        <v>73.3394588294118</v>
      </c>
      <c r="AE185" s="10" t="str">
        <f>IF(AD185&gt;=L185,"CUMPLE","NO CUMPLE")</f>
        <v>CUMPLE</v>
      </c>
      <c r="AF185" s="10">
        <f>V185*1.25*'Parametros'!$B$3*(U185-(V185*1.25*'Parametros'!$B$3/(0.85*'Parametros'!$B$2*H185))/2)/1000000</f>
        <v>100.484515919118</v>
      </c>
      <c r="AG185" s="10">
        <f>AC185*1.25*'Parametros'!$B$3*(AB185-(AC185*1.25*'Parametros'!$B$3/(0.85*'Parametros'!$B$2*H185))/2)/1000000</f>
        <v>100.484515919118</v>
      </c>
      <c r="AH185" s="10">
        <f>N185+(AF185+AG185)/D185</f>
        <v>93.8665209841629</v>
      </c>
      <c r="AI185" s="10">
        <f>MIN(O185,MAX(N185,AH185))</f>
        <v>93.8665209841629</v>
      </c>
      <c r="AJ185" s="10">
        <f>0.17*SQRT('Parametros'!$B$2)*H185*MIN(U185,AB185)/1000</f>
        <v>92.4428153837279</v>
      </c>
      <c r="AK185" s="10">
        <f>MAX(AI185/'Parametros'!$B$6-AJ185,0)</f>
        <v>32.7125459284893</v>
      </c>
      <c r="AL185" s="10">
        <f>0.66*SQRT('Parametros'!$B$2)*H185*MIN(U185,AB185)/1000</f>
        <v>358.89563619565</v>
      </c>
      <c r="AM185" s="10" t="str">
        <f>IF(AK185&lt;=AL185,"CUMPLE","NO CUMPLE")</f>
        <v>CUMPLE</v>
      </c>
      <c r="AN185" s="15" t="inlineStr">
        <is>
          <t>Nº3 cerrado</t>
        </is>
      </c>
      <c r="AO185" s="17" t="n">
        <v>2</v>
      </c>
      <c r="AP185" s="10">
        <f>ROUNDDOWN(MIN(IF(AK185=0,1000000000,AO185*'Parametros'!$B$11*'Parametros'!$B$4*MIN(U185,AB185)/(AK185*1000)),IF(AV185=0,1000000000,'Parametros'!$B$11/AV185),MIN(U185,AB185)/4,8*'Parametros'!$B$12,24*'Parametros'!$B$9,300)/10,0)*10</f>
        <v>80</v>
      </c>
      <c r="AQ185" s="10">
        <f>ROUNDDOWN(MIN(IF(AK185=0,1000000000,AO185*'Parametros'!$B$11*'Parametros'!$B$4*MIN(U185,AB185)/(AK185*1000)),IF(AV185=0,1000000000,'Parametros'!$B$11/AV185),MIN(U185,AB185)/2,600)/10,0)*10</f>
        <v>170</v>
      </c>
      <c r="AR185" s="10">
        <f>'Parametros'!$B$6*(AJ185+AO185*'Parametros'!$B$11*'Parametros'!$B$4*MIN(U185,AB185)/AP185/1000)</f>
        <v>260.860380287796</v>
      </c>
      <c r="AS185" s="10" t="str">
        <f>IF(AND(AM185="CUMPLE",AR185&gt;=AI185),"CUMPLE","NO CUMPLE")</f>
        <v>CUMPLE</v>
      </c>
      <c r="AT185" s="10">
        <f>'Parametros'!$B$6*0.083*SQRT('Parametros'!$B$2)*(H185*I185)^2/(2*(H185+I185))/1000000</f>
        <v>3.38807353605471</v>
      </c>
      <c r="AU185" s="10" t="str">
        <f>IF(Q185&lt;=AT185,"DESPRECIABLE","DISEÑAR")</f>
        <v>DISEÑAR</v>
      </c>
      <c r="AV185" s="10">
        <f>IF(Q185&lt;=AT185,0,Q185*1000000/('Parametros'!$B$6*2*0.85*(H185-2*'Parametros'!$B$7)*(I185-2*'Parametros'!$B$7)*'Parametros'!$B$4))</f>
        <v>0.182465410406587</v>
      </c>
      <c r="AW185" s="10">
        <f>AV185*2*((H185-2*'Parametros'!$B$7)+(I185-2*'Parametros'!$B$7))*'Parametros'!$B$4/'Parametros'!$B$3</f>
        <v>197.062643239114</v>
      </c>
      <c r="AX185" s="17" t="n">
        <v>1</v>
      </c>
      <c r="AY185" s="10" t="str">
        <f>IF(AV185=0,"DESPRECIABLE",IF('Parametros'!$B$11/AP185&gt;=AV185,"CUMPLE","NO CUMPLE"))</f>
        <v>CUMPLE</v>
      </c>
      <c r="AZ185" s="10" t="str">
        <f>IF(AND(X185="CUMPLE",AE185="CUMPLE",AS185="CUMPLE",OR(AY185="CUMPLE",AY185="DESPRECIABLE")),IF(OR(F185&lt;&gt;H185,G185&lt;&gt;I185),"CUMPLE - REANALIZAR SAP","CUMPLE"),"NO CUMPLE")</f>
        <v>CUMPLE</v>
      </c>
    </row>
    <row r="186">
      <c r="A186" s="22" t="inlineStr">
        <is>
          <t>VC6</t>
        </is>
      </c>
      <c r="B186" s="22" t="inlineStr">
        <is>
          <t>839</t>
        </is>
      </c>
      <c r="C186" s="10" t="n">
        <v>1</v>
      </c>
      <c r="D186" s="10" t="n">
        <v>3.9</v>
      </c>
      <c r="E186" s="10" t="n">
        <v>3.9</v>
      </c>
      <c r="F186" s="10" t="n">
        <v>300</v>
      </c>
      <c r="G186" s="10" t="n">
        <v>400</v>
      </c>
      <c r="H186" s="15" t="n">
        <v>300</v>
      </c>
      <c r="I186" s="15" t="n">
        <v>400</v>
      </c>
      <c r="J186" s="16" t="n">
        <v>72.8899</v>
      </c>
      <c r="K186" s="10" t="inlineStr">
        <is>
          <t>839</t>
        </is>
      </c>
      <c r="L186" s="16" t="n">
        <v>61.0573</v>
      </c>
      <c r="M186" s="10" t="inlineStr">
        <is>
          <t>839</t>
        </is>
      </c>
      <c r="N186" s="16" t="n">
        <v>42.345</v>
      </c>
      <c r="O186" s="16" t="n">
        <v>178.018</v>
      </c>
      <c r="P186" s="10" t="inlineStr">
        <is>
          <t>839</t>
        </is>
      </c>
      <c r="Q186" s="16" t="n">
        <v>6.8805</v>
      </c>
      <c r="R186" s="10">
        <f>MAX(MAX(1.4/'Parametros'!$B$3,0.25*SQRT('Parametros'!$B$2)/'Parametros'!$B$3)*H186*U186,(0.85*'Parametros'!$B$2/'Parametros'!$B$3)*(1-SQRT(1-2*(J186*1000000/('Parametros'!$B$5*H186*U186^2))/(0.85*'Parametros'!$B$2)))*H186*U186)</f>
        <v>593.132907855009</v>
      </c>
      <c r="S186" s="17" t="n">
        <v>3</v>
      </c>
      <c r="T186" s="18" t="n">
        <v>1</v>
      </c>
      <c r="U186" s="10">
        <f>IF(T186=1,I186-('Parametros'!$B$7+'Parametros'!$B$9+'Parametros'!$B$12/2),I186-(ROUNDUP(S186/2,0)*('Parametros'!$B$7+'Parametros'!$B$9+'Parametros'!$B$12/2)+ROUNDDOWN(S186/2,0)*('Parametros'!$B$7+'Parametros'!$B$9+'Parametros'!$B$12/2+'Parametros'!$B$12+'Parametros'!$B$10))/S186)</f>
        <v>342.55</v>
      </c>
      <c r="V186" s="10">
        <f>S186*'Parametros'!$B$8</f>
        <v>597</v>
      </c>
      <c r="W186" s="10">
        <f>'Parametros'!$B$5*V186*'Parametros'!$B$3*(U186-(V186*'Parametros'!$B$3/(0.85*'Parametros'!$B$2*H186))/2)/1000000</f>
        <v>73.3394588294118</v>
      </c>
      <c r="X186" s="10" t="str">
        <f>IF(W186&gt;=J186,"CUMPLE","NO CUMPLE")</f>
        <v>CUMPLE</v>
      </c>
      <c r="Y186" s="10">
        <f>MAX(MAX(1.4/'Parametros'!$B$3,0.25*SQRT('Parametros'!$B$2)/'Parametros'!$B$3)*H186*AB186,(0.85*'Parametros'!$B$2/'Parametros'!$B$3)*(1-SQRT(1-2*(L186*1000000/('Parametros'!$B$5*H186*AB186^2))/(0.85*'Parametros'!$B$2)))*H186*AB186)</f>
        <v>492.357712679229</v>
      </c>
      <c r="Z186" s="17" t="n">
        <v>3</v>
      </c>
      <c r="AA186" s="18" t="n">
        <v>1</v>
      </c>
      <c r="AB186" s="10">
        <f>IF(AA186=1,I186-('Parametros'!$B$7+'Parametros'!$B$9+'Parametros'!$B$12/2),I186-(ROUNDUP(Z186/2,0)*('Parametros'!$B$7+'Parametros'!$B$9+'Parametros'!$B$12/2)+ROUNDDOWN(Z186/2,0)*('Parametros'!$B$7+'Parametros'!$B$9+'Parametros'!$B$12/2+'Parametros'!$B$12+'Parametros'!$B$10))/Z186)</f>
        <v>342.55</v>
      </c>
      <c r="AC186" s="10">
        <f>Z186*'Parametros'!$B$8</f>
        <v>597</v>
      </c>
      <c r="AD186" s="10">
        <f>'Parametros'!$B$5*AC186*'Parametros'!$B$3*(AB186-(AC186*'Parametros'!$B$3/(0.85*'Parametros'!$B$2*H186))/2)/1000000</f>
        <v>73.3394588294118</v>
      </c>
      <c r="AE186" s="10" t="str">
        <f>IF(AD186&gt;=L186,"CUMPLE","NO CUMPLE")</f>
        <v>CUMPLE</v>
      </c>
      <c r="AF186" s="10">
        <f>V186*1.25*'Parametros'!$B$3*(U186-(V186*1.25*'Parametros'!$B$3/(0.85*'Parametros'!$B$2*H186))/2)/1000000</f>
        <v>100.484515919118</v>
      </c>
      <c r="AG186" s="10">
        <f>AC186*1.25*'Parametros'!$B$3*(AB186-(AC186*1.25*'Parametros'!$B$3/(0.85*'Parametros'!$B$2*H186))/2)/1000000</f>
        <v>100.484515919118</v>
      </c>
      <c r="AH186" s="10">
        <f>N186+(AF186+AG186)/D186</f>
        <v>93.8755209841629</v>
      </c>
      <c r="AI186" s="10">
        <f>MIN(O186,MAX(N186,AH186))</f>
        <v>93.8755209841629</v>
      </c>
      <c r="AJ186" s="10">
        <f>0.17*SQRT('Parametros'!$B$2)*H186*MIN(U186,AB186)/1000</f>
        <v>92.4428153837279</v>
      </c>
      <c r="AK186" s="10">
        <f>MAX(AI186/'Parametros'!$B$6-AJ186,0)</f>
        <v>32.7245459284893</v>
      </c>
      <c r="AL186" s="10">
        <f>0.66*SQRT('Parametros'!$B$2)*H186*MIN(U186,AB186)/1000</f>
        <v>358.89563619565</v>
      </c>
      <c r="AM186" s="10" t="str">
        <f>IF(AK186&lt;=AL186,"CUMPLE","NO CUMPLE")</f>
        <v>CUMPLE</v>
      </c>
      <c r="AN186" s="15" t="inlineStr">
        <is>
          <t>Nº3 cerrado</t>
        </is>
      </c>
      <c r="AO186" s="17" t="n">
        <v>2</v>
      </c>
      <c r="AP186" s="10">
        <f>ROUNDDOWN(MIN(IF(AK186=0,1000000000,AO186*'Parametros'!$B$11*'Parametros'!$B$4*MIN(U186,AB186)/(AK186*1000)),IF(AV186=0,1000000000,'Parametros'!$B$11/AV186),MIN(U186,AB186)/4,8*'Parametros'!$B$12,24*'Parametros'!$B$9,300)/10,0)*10</f>
        <v>80</v>
      </c>
      <c r="AQ186" s="10">
        <f>ROUNDDOWN(MIN(IF(AK186=0,1000000000,AO186*'Parametros'!$B$11*'Parametros'!$B$4*MIN(U186,AB186)/(AK186*1000)),IF(AV186=0,1000000000,'Parametros'!$B$11/AV186),MIN(U186,AB186)/2,600)/10,0)*10</f>
        <v>170</v>
      </c>
      <c r="AR186" s="10">
        <f>'Parametros'!$B$6*(AJ186+AO186*'Parametros'!$B$11*'Parametros'!$B$4*MIN(U186,AB186)/AP186/1000)</f>
        <v>260.860380287796</v>
      </c>
      <c r="AS186" s="10" t="str">
        <f>IF(AND(AM186="CUMPLE",AR186&gt;=AI186),"CUMPLE","NO CUMPLE")</f>
        <v>CUMPLE</v>
      </c>
      <c r="AT186" s="10">
        <f>'Parametros'!$B$6*0.083*SQRT('Parametros'!$B$2)*(H186*I186)^2/(2*(H186+I186))/1000000</f>
        <v>3.38807353605471</v>
      </c>
      <c r="AU186" s="10" t="str">
        <f>IF(Q186&lt;=AT186,"DESPRECIABLE","DISEÑAR")</f>
        <v>DISEÑAR</v>
      </c>
      <c r="AV186" s="10">
        <f>IF(Q186&lt;=AT186,0,Q186*1000000/('Parametros'!$B$6*2*0.85*(H186-2*'Parametros'!$B$7)*(I186-2*'Parametros'!$B$7)*'Parametros'!$B$4))</f>
        <v>0.182510504201681</v>
      </c>
      <c r="AW186" s="10">
        <f>AV186*2*((H186-2*'Parametros'!$B$7)+(I186-2*'Parametros'!$B$7))*'Parametros'!$B$4/'Parametros'!$B$3</f>
        <v>197.111344537815</v>
      </c>
      <c r="AX186" s="17" t="n">
        <v>1</v>
      </c>
      <c r="AY186" s="10" t="str">
        <f>IF(AV186=0,"DESPRECIABLE",IF('Parametros'!$B$11/AP186&gt;=AV186,"CUMPLE","NO CUMPLE"))</f>
        <v>CUMPLE</v>
      </c>
      <c r="AZ186" s="10" t="str">
        <f>IF(AND(X186="CUMPLE",AE186="CUMPLE",AS186="CUMPLE",OR(AY186="CUMPLE",AY186="DESPRECIABLE")),IF(OR(F186&lt;&gt;H186,G186&lt;&gt;I186),"CUMPLE - REANALIZAR SAP","CUMPLE"),"NO CUMPLE")</f>
        <v>CUMPLE</v>
      </c>
    </row>
    <row r="187">
      <c r="A187" s="22" t="inlineStr">
        <is>
          <t>VC6</t>
        </is>
      </c>
      <c r="B187" s="22" t="inlineStr">
        <is>
          <t>840</t>
        </is>
      </c>
      <c r="C187" s="10" t="n">
        <v>1</v>
      </c>
      <c r="D187" s="10" t="n">
        <v>3.85</v>
      </c>
      <c r="E187" s="10" t="n">
        <v>3.85</v>
      </c>
      <c r="F187" s="10" t="n">
        <v>300</v>
      </c>
      <c r="G187" s="10" t="n">
        <v>400</v>
      </c>
      <c r="H187" s="15" t="n">
        <v>300</v>
      </c>
      <c r="I187" s="15" t="n">
        <v>400</v>
      </c>
      <c r="J187" s="16" t="n">
        <v>68.93340000000001</v>
      </c>
      <c r="K187" s="10" t="inlineStr">
        <is>
          <t>840</t>
        </is>
      </c>
      <c r="L187" s="16" t="n">
        <v>60.8748</v>
      </c>
      <c r="M187" s="10" t="inlineStr">
        <is>
          <t>840</t>
        </is>
      </c>
      <c r="N187" s="16" t="n">
        <v>40.011</v>
      </c>
      <c r="O187" s="16" t="n">
        <v>170.916</v>
      </c>
      <c r="P187" s="10" t="inlineStr">
        <is>
          <t>840</t>
        </is>
      </c>
      <c r="Q187" s="16" t="n">
        <v>0.5429</v>
      </c>
      <c r="R187" s="10">
        <f>MAX(MAX(1.4/'Parametros'!$B$3,0.25*SQRT('Parametros'!$B$2)/'Parametros'!$B$3)*H187*U187,(0.85*'Parametros'!$B$2/'Parametros'!$B$3)*(1-SQRT(1-2*(J187*1000000/('Parametros'!$B$5*H187*U187^2))/(0.85*'Parametros'!$B$2)))*H187*U187)</f>
        <v>559.221725314696</v>
      </c>
      <c r="S187" s="17" t="n">
        <v>3</v>
      </c>
      <c r="T187" s="18" t="n">
        <v>1</v>
      </c>
      <c r="U187" s="10">
        <f>IF(T187=1,I187-('Parametros'!$B$7+'Parametros'!$B$9+'Parametros'!$B$12/2),I187-(ROUNDUP(S187/2,0)*('Parametros'!$B$7+'Parametros'!$B$9+'Parametros'!$B$12/2)+ROUNDDOWN(S187/2,0)*('Parametros'!$B$7+'Parametros'!$B$9+'Parametros'!$B$12/2+'Parametros'!$B$12+'Parametros'!$B$10))/S187)</f>
        <v>342.55</v>
      </c>
      <c r="V187" s="10">
        <f>S187*'Parametros'!$B$8</f>
        <v>597</v>
      </c>
      <c r="W187" s="10">
        <f>'Parametros'!$B$5*V187*'Parametros'!$B$3*(U187-(V187*'Parametros'!$B$3/(0.85*'Parametros'!$B$2*H187))/2)/1000000</f>
        <v>73.3394588294118</v>
      </c>
      <c r="X187" s="10" t="str">
        <f>IF(W187&gt;=J187,"CUMPLE","NO CUMPLE")</f>
        <v>CUMPLE</v>
      </c>
      <c r="Y187" s="10">
        <f>MAX(MAX(1.4/'Parametros'!$B$3,0.25*SQRT('Parametros'!$B$2)/'Parametros'!$B$3)*H187*AB187,(0.85*'Parametros'!$B$2/'Parametros'!$B$3)*(1-SQRT(1-2*(L187*1000000/('Parametros'!$B$5*H187*AB187^2))/(0.85*'Parametros'!$B$2)))*H187*AB187)</f>
        <v>490.818320638977</v>
      </c>
      <c r="Z187" s="17" t="n">
        <v>3</v>
      </c>
      <c r="AA187" s="18" t="n">
        <v>1</v>
      </c>
      <c r="AB187" s="10">
        <f>IF(AA187=1,I187-('Parametros'!$B$7+'Parametros'!$B$9+'Parametros'!$B$12/2),I187-(ROUNDUP(Z187/2,0)*('Parametros'!$B$7+'Parametros'!$B$9+'Parametros'!$B$12/2)+ROUNDDOWN(Z187/2,0)*('Parametros'!$B$7+'Parametros'!$B$9+'Parametros'!$B$12/2+'Parametros'!$B$12+'Parametros'!$B$10))/Z187)</f>
        <v>342.55</v>
      </c>
      <c r="AC187" s="10">
        <f>Z187*'Parametros'!$B$8</f>
        <v>597</v>
      </c>
      <c r="AD187" s="10">
        <f>'Parametros'!$B$5*AC187*'Parametros'!$B$3*(AB187-(AC187*'Parametros'!$B$3/(0.85*'Parametros'!$B$2*H187))/2)/1000000</f>
        <v>73.3394588294118</v>
      </c>
      <c r="AE187" s="10" t="str">
        <f>IF(AD187&gt;=L187,"CUMPLE","NO CUMPLE")</f>
        <v>CUMPLE</v>
      </c>
      <c r="AF187" s="10">
        <f>V187*1.25*'Parametros'!$B$3*(U187-(V187*1.25*'Parametros'!$B$3/(0.85*'Parametros'!$B$2*H187))/2)/1000000</f>
        <v>100.484515919118</v>
      </c>
      <c r="AG187" s="10">
        <f>AC187*1.25*'Parametros'!$B$3*(AB187-(AC187*1.25*'Parametros'!$B$3/(0.85*'Parametros'!$B$2*H187))/2)/1000000</f>
        <v>100.484515919118</v>
      </c>
      <c r="AH187" s="10">
        <f>N187+(AF187+AG187)/D187</f>
        <v>92.2107485294118</v>
      </c>
      <c r="AI187" s="10">
        <f>MIN(O187,MAX(N187,AH187))</f>
        <v>92.2107485294118</v>
      </c>
      <c r="AJ187" s="10">
        <f>0.17*SQRT('Parametros'!$B$2)*H187*MIN(U187,AB187)/1000</f>
        <v>92.4428153837279</v>
      </c>
      <c r="AK187" s="10">
        <f>MAX(AI187/'Parametros'!$B$6-AJ187,0)</f>
        <v>30.5048493221544</v>
      </c>
      <c r="AL187" s="10">
        <f>0.66*SQRT('Parametros'!$B$2)*H187*MIN(U187,AB187)/1000</f>
        <v>358.89563619565</v>
      </c>
      <c r="AM187" s="10" t="str">
        <f>IF(AK187&lt;=AL187,"CUMPLE","NO CUMPLE")</f>
        <v>CUMPLE</v>
      </c>
      <c r="AN187" s="15" t="inlineStr">
        <is>
          <t>Nº3 cerrado</t>
        </is>
      </c>
      <c r="AO187" s="17" t="n">
        <v>2</v>
      </c>
      <c r="AP187" s="10">
        <f>ROUNDDOWN(MIN(IF(AK187=0,1000000000,AO187*'Parametros'!$B$11*'Parametros'!$B$4*MIN(U187,AB187)/(AK187*1000)),IF(AV187=0,1000000000,'Parametros'!$B$11/AV187),MIN(U187,AB187)/4,8*'Parametros'!$B$12,24*'Parametros'!$B$9,300)/10,0)*10</f>
        <v>80</v>
      </c>
      <c r="AQ187" s="10">
        <f>ROUNDDOWN(MIN(IF(AK187=0,1000000000,AO187*'Parametros'!$B$11*'Parametros'!$B$4*MIN(U187,AB187)/(AK187*1000)),IF(AV187=0,1000000000,'Parametros'!$B$11/AV187),MIN(U187,AB187)/2,600)/10,0)*10</f>
        <v>170</v>
      </c>
      <c r="AR187" s="10">
        <f>'Parametros'!$B$6*(AJ187+AO187*'Parametros'!$B$11*'Parametros'!$B$4*MIN(U187,AB187)/AP187/1000)</f>
        <v>260.860380287796</v>
      </c>
      <c r="AS187" s="10" t="str">
        <f>IF(AND(AM187="CUMPLE",AR187&gt;=AI187),"CUMPLE","NO CUMPLE")</f>
        <v>CUMPLE</v>
      </c>
      <c r="AT187" s="10">
        <f>'Parametros'!$B$6*0.083*SQRT('Parametros'!$B$2)*(H187*I187)^2/(2*(H187+I187))/1000000</f>
        <v>3.38807353605471</v>
      </c>
      <c r="AU187" s="10" t="str">
        <f>IF(Q187&lt;=AT187,"DESPRECIABLE","DISEÑAR")</f>
        <v>DESPRECIABLE</v>
      </c>
      <c r="AV187" s="10">
        <f>IF(Q187&lt;=AT187,0,Q187*1000000/('Parametros'!$B$6*2*0.85*(H187-2*'Parametros'!$B$7)*(I187-2*'Parametros'!$B$7)*'Parametros'!$B$4))</f>
        <v>0</v>
      </c>
      <c r="AW187" s="10">
        <f>AV187*2*((H187-2*'Parametros'!$B$7)+(I187-2*'Parametros'!$B$7))*'Parametros'!$B$4/'Parametros'!$B$3</f>
        <v>0</v>
      </c>
      <c r="AX187" s="17" t="n">
        <v>0</v>
      </c>
      <c r="AY187" s="10" t="str">
        <f>IF(AV187=0,"DESPRECIABLE",IF('Parametros'!$B$11/AP187&gt;=AV187,"CUMPLE","NO CUMPLE"))</f>
        <v>DESPRECIABLE</v>
      </c>
      <c r="AZ187" s="10" t="str">
        <f>IF(AND(X187="CUMPLE",AE187="CUMPLE",AS187="CUMPLE",OR(AY187="CUMPLE",AY187="DESPRECIABLE")),IF(OR(F187&lt;&gt;H187,G187&lt;&gt;I187),"CUMPLE - REANALIZAR SAP","CUMPLE"),"NO CUMPLE")</f>
        <v>CUMPLE</v>
      </c>
    </row>
    <row r="188">
      <c r="A188" s="22" t="inlineStr">
        <is>
          <t>VC6</t>
        </is>
      </c>
      <c r="B188" s="22" t="inlineStr">
        <is>
          <t>919</t>
        </is>
      </c>
      <c r="C188" s="10" t="n">
        <v>1</v>
      </c>
      <c r="D188" s="10" t="n">
        <v>3.85</v>
      </c>
      <c r="E188" s="10" t="n">
        <v>3.85</v>
      </c>
      <c r="F188" s="10" t="n">
        <v>300</v>
      </c>
      <c r="G188" s="10" t="n">
        <v>400</v>
      </c>
      <c r="H188" s="15" t="n">
        <v>300</v>
      </c>
      <c r="I188" s="15" t="n">
        <v>400</v>
      </c>
      <c r="J188" s="16" t="n">
        <v>47.4889</v>
      </c>
      <c r="K188" s="10" t="inlineStr">
        <is>
          <t>919</t>
        </is>
      </c>
      <c r="L188" s="16" t="n">
        <v>39.704</v>
      </c>
      <c r="M188" s="10" t="inlineStr">
        <is>
          <t>919</t>
        </is>
      </c>
      <c r="N188" s="16" t="n">
        <v>28.955</v>
      </c>
      <c r="O188" s="16" t="n">
        <v>114.769</v>
      </c>
      <c r="P188" s="10" t="inlineStr">
        <is>
          <t>919</t>
        </is>
      </c>
      <c r="Q188" s="16" t="n">
        <v>0.4475</v>
      </c>
      <c r="R188" s="10">
        <f>MAX(MAX(1.4/'Parametros'!$B$3,0.25*SQRT('Parametros'!$B$2)/'Parametros'!$B$3)*H188*U188,(0.85*'Parametros'!$B$2/'Parametros'!$B$3)*(1-SQRT(1-2*(J188*1000000/('Parametros'!$B$5*H188*U188^2))/(0.85*'Parametros'!$B$2)))*H188*U188)</f>
        <v>379.094599790377</v>
      </c>
      <c r="S188" s="17" t="n">
        <v>2</v>
      </c>
      <c r="T188" s="18" t="n">
        <v>1</v>
      </c>
      <c r="U188" s="10">
        <f>IF(T188=1,I188-('Parametros'!$B$7+'Parametros'!$B$9+'Parametros'!$B$12/2),I188-(ROUNDUP(S188/2,0)*('Parametros'!$B$7+'Parametros'!$B$9+'Parametros'!$B$12/2)+ROUNDDOWN(S188/2,0)*('Parametros'!$B$7+'Parametros'!$B$9+'Parametros'!$B$12/2+'Parametros'!$B$12+'Parametros'!$B$10))/S188)</f>
        <v>342.55</v>
      </c>
      <c r="V188" s="10">
        <f>S188*'Parametros'!$B$8</f>
        <v>398</v>
      </c>
      <c r="W188" s="10">
        <f>'Parametros'!$B$5*V188*'Parametros'!$B$3*(U188-(V188*'Parametros'!$B$3/(0.85*'Parametros'!$B$2*H188))/2)/1000000</f>
        <v>49.7735124352941</v>
      </c>
      <c r="X188" s="10" t="str">
        <f>IF(W188&gt;=J188,"CUMPLE","NO CUMPLE")</f>
        <v>CUMPLE</v>
      </c>
      <c r="Y188" s="10">
        <f>MAX(MAX(1.4/'Parametros'!$B$3,0.25*SQRT('Parametros'!$B$2)/'Parametros'!$B$3)*H188*AB188,(0.85*'Parametros'!$B$2/'Parametros'!$B$3)*(1-SQRT(1-2*(L188*1000000/('Parametros'!$B$5*H188*AB188^2))/(0.85*'Parametros'!$B$2)))*H188*AB188)</f>
        <v>342.55</v>
      </c>
      <c r="Z188" s="17" t="n">
        <v>2</v>
      </c>
      <c r="AA188" s="18" t="n">
        <v>1</v>
      </c>
      <c r="AB188" s="10">
        <f>IF(AA188=1,I188-('Parametros'!$B$7+'Parametros'!$B$9+'Parametros'!$B$12/2),I188-(ROUNDUP(Z188/2,0)*('Parametros'!$B$7+'Parametros'!$B$9+'Parametros'!$B$12/2)+ROUNDDOWN(Z188/2,0)*('Parametros'!$B$7+'Parametros'!$B$9+'Parametros'!$B$12/2+'Parametros'!$B$12+'Parametros'!$B$10))/Z188)</f>
        <v>342.55</v>
      </c>
      <c r="AC188" s="10">
        <f>Z188*'Parametros'!$B$8</f>
        <v>398</v>
      </c>
      <c r="AD188" s="10">
        <f>'Parametros'!$B$5*AC188*'Parametros'!$B$3*(AB188-(AC188*'Parametros'!$B$3/(0.85*'Parametros'!$B$2*H188))/2)/1000000</f>
        <v>49.7735124352941</v>
      </c>
      <c r="AE188" s="10" t="str">
        <f>IF(AD188&gt;=L188,"CUMPLE","NO CUMPLE")</f>
        <v>CUMPLE</v>
      </c>
      <c r="AF188" s="10">
        <f>V188*1.25*'Parametros'!$B$3*(U188-(V188*1.25*'Parametros'!$B$3/(0.85*'Parametros'!$B$2*H188))/2)/1000000</f>
        <v>68.5183923529412</v>
      </c>
      <c r="AG188" s="10">
        <f>AC188*1.25*'Parametros'!$B$3*(AB188-(AC188*1.25*'Parametros'!$B$3/(0.85*'Parametros'!$B$2*H188))/2)/1000000</f>
        <v>68.5183923529412</v>
      </c>
      <c r="AH188" s="10">
        <f>N188+(AF188+AG188)/D188</f>
        <v>64.5489700534759</v>
      </c>
      <c r="AI188" s="10">
        <f>MIN(O188,MAX(N188,AH188))</f>
        <v>64.5489700534759</v>
      </c>
      <c r="AJ188" s="10">
        <f>0.17*SQRT('Parametros'!$B$2)*H188*MIN(U188,AB188)/1000</f>
        <v>92.4428153837279</v>
      </c>
      <c r="AK188" s="10">
        <f>MAX(AI188/'Parametros'!$B$6-AJ188,0)</f>
        <v>0</v>
      </c>
      <c r="AL188" s="10">
        <f>0.66*SQRT('Parametros'!$B$2)*H188*MIN(U188,AB188)/1000</f>
        <v>358.89563619565</v>
      </c>
      <c r="AM188" s="10" t="str">
        <f>IF(AK188&lt;=AL188,"CUMPLE","NO CUMPLE")</f>
        <v>CUMPLE</v>
      </c>
      <c r="AN188" s="15" t="inlineStr">
        <is>
          <t>Nº3 cerrado</t>
        </is>
      </c>
      <c r="AO188" s="17" t="n">
        <v>2</v>
      </c>
      <c r="AP188" s="10">
        <f>ROUNDDOWN(MIN(IF(AK188=0,1000000000,AO188*'Parametros'!$B$11*'Parametros'!$B$4*MIN(U188,AB188)/(AK188*1000)),IF(AV188=0,1000000000,'Parametros'!$B$11/AV188),MIN(U188,AB188)/4,8*'Parametros'!$B$12,24*'Parametros'!$B$9,300)/10,0)*10</f>
        <v>80</v>
      </c>
      <c r="AQ188" s="10">
        <f>ROUNDDOWN(MIN(IF(AK188=0,1000000000,AO188*'Parametros'!$B$11*'Parametros'!$B$4*MIN(U188,AB188)/(AK188*1000)),IF(AV188=0,1000000000,'Parametros'!$B$11/AV188),MIN(U188,AB188)/2,600)/10,0)*10</f>
        <v>170</v>
      </c>
      <c r="AR188" s="10">
        <f>'Parametros'!$B$6*(AJ188+AO188*'Parametros'!$B$11*'Parametros'!$B$4*MIN(U188,AB188)/AP188/1000)</f>
        <v>260.860380287796</v>
      </c>
      <c r="AS188" s="10" t="str">
        <f>IF(AND(AM188="CUMPLE",AR188&gt;=AI188),"CUMPLE","NO CUMPLE")</f>
        <v>CUMPLE</v>
      </c>
      <c r="AT188" s="10">
        <f>'Parametros'!$B$6*0.083*SQRT('Parametros'!$B$2)*(H188*I188)^2/(2*(H188+I188))/1000000</f>
        <v>3.38807353605471</v>
      </c>
      <c r="AU188" s="10" t="str">
        <f>IF(Q188&lt;=AT188,"DESPRECIABLE","DISEÑAR")</f>
        <v>DESPRECIABLE</v>
      </c>
      <c r="AV188" s="10">
        <f>IF(Q188&lt;=AT188,0,Q188*1000000/('Parametros'!$B$6*2*0.85*(H188-2*'Parametros'!$B$7)*(I188-2*'Parametros'!$B$7)*'Parametros'!$B$4))</f>
        <v>0</v>
      </c>
      <c r="AW188" s="10">
        <f>AV188*2*((H188-2*'Parametros'!$B$7)+(I188-2*'Parametros'!$B$7))*'Parametros'!$B$4/'Parametros'!$B$3</f>
        <v>0</v>
      </c>
      <c r="AX188" s="17" t="n">
        <v>0</v>
      </c>
      <c r="AY188" s="10" t="str">
        <f>IF(AV188=0,"DESPRECIABLE",IF('Parametros'!$B$11/AP188&gt;=AV188,"CUMPLE","NO CUMPLE"))</f>
        <v>DESPRECIABLE</v>
      </c>
      <c r="AZ188" s="10" t="str">
        <f>IF(AND(X188="CUMPLE",AE188="CUMPLE",AS188="CUMPLE",OR(AY188="CUMPLE",AY188="DESPRECIABLE")),IF(OR(F188&lt;&gt;H188,G188&lt;&gt;I188),"CUMPLE - REANALIZAR SAP","CUMPLE"),"NO CUMPLE")</f>
        <v>CUMPLE</v>
      </c>
    </row>
    <row r="189">
      <c r="A189" s="22" t="inlineStr">
        <is>
          <t>VC6</t>
        </is>
      </c>
      <c r="B189" s="22" t="inlineStr">
        <is>
          <t>920</t>
        </is>
      </c>
      <c r="C189" s="10" t="n">
        <v>1</v>
      </c>
      <c r="D189" s="10" t="n">
        <v>3.9</v>
      </c>
      <c r="E189" s="10" t="n">
        <v>3.9</v>
      </c>
      <c r="F189" s="10" t="n">
        <v>300</v>
      </c>
      <c r="G189" s="10" t="n">
        <v>400</v>
      </c>
      <c r="H189" s="15" t="n">
        <v>300</v>
      </c>
      <c r="I189" s="15" t="n">
        <v>400</v>
      </c>
      <c r="J189" s="16" t="n">
        <v>52.4146</v>
      </c>
      <c r="K189" s="10" t="inlineStr">
        <is>
          <t>920</t>
        </is>
      </c>
      <c r="L189" s="16" t="n">
        <v>40.2566</v>
      </c>
      <c r="M189" s="10" t="inlineStr">
        <is>
          <t>920</t>
        </is>
      </c>
      <c r="N189" s="16" t="n">
        <v>31.781</v>
      </c>
      <c r="O189" s="16" t="n">
        <v>124.701</v>
      </c>
      <c r="P189" s="10" t="inlineStr">
        <is>
          <t>920</t>
        </is>
      </c>
      <c r="Q189" s="16" t="n">
        <v>4.0868</v>
      </c>
      <c r="R189" s="10">
        <f>MAX(MAX(1.4/'Parametros'!$B$3,0.25*SQRT('Parametros'!$B$2)/'Parametros'!$B$3)*H189*U189,(0.85*'Parametros'!$B$2/'Parametros'!$B$3)*(1-SQRT(1-2*(J189*1000000/('Parametros'!$B$5*H189*U189^2))/(0.85*'Parametros'!$B$2)))*H189*U189)</f>
        <v>419.937700188032</v>
      </c>
      <c r="S189" s="17" t="n">
        <v>3</v>
      </c>
      <c r="T189" s="18" t="n">
        <v>1</v>
      </c>
      <c r="U189" s="10">
        <f>IF(T189=1,I189-('Parametros'!$B$7+'Parametros'!$B$9+'Parametros'!$B$12/2),I189-(ROUNDUP(S189/2,0)*('Parametros'!$B$7+'Parametros'!$B$9+'Parametros'!$B$12/2)+ROUNDDOWN(S189/2,0)*('Parametros'!$B$7+'Parametros'!$B$9+'Parametros'!$B$12/2+'Parametros'!$B$12+'Parametros'!$B$10))/S189)</f>
        <v>342.55</v>
      </c>
      <c r="V189" s="10">
        <f>S189*'Parametros'!$B$8</f>
        <v>597</v>
      </c>
      <c r="W189" s="10">
        <f>'Parametros'!$B$5*V189*'Parametros'!$B$3*(U189-(V189*'Parametros'!$B$3/(0.85*'Parametros'!$B$2*H189))/2)/1000000</f>
        <v>73.3394588294118</v>
      </c>
      <c r="X189" s="10" t="str">
        <f>IF(W189&gt;=J189,"CUMPLE","NO CUMPLE")</f>
        <v>CUMPLE</v>
      </c>
      <c r="Y189" s="10">
        <f>MAX(MAX(1.4/'Parametros'!$B$3,0.25*SQRT('Parametros'!$B$2)/'Parametros'!$B$3)*H189*AB189,(0.85*'Parametros'!$B$2/'Parametros'!$B$3)*(1-SQRT(1-2*(L189*1000000/('Parametros'!$B$5*H189*AB189^2))/(0.85*'Parametros'!$B$2)))*H189*AB189)</f>
        <v>342.55</v>
      </c>
      <c r="Z189" s="17" t="n">
        <v>2</v>
      </c>
      <c r="AA189" s="18" t="n">
        <v>1</v>
      </c>
      <c r="AB189" s="10">
        <f>IF(AA189=1,I189-('Parametros'!$B$7+'Parametros'!$B$9+'Parametros'!$B$12/2),I189-(ROUNDUP(Z189/2,0)*('Parametros'!$B$7+'Parametros'!$B$9+'Parametros'!$B$12/2)+ROUNDDOWN(Z189/2,0)*('Parametros'!$B$7+'Parametros'!$B$9+'Parametros'!$B$12/2+'Parametros'!$B$12+'Parametros'!$B$10))/Z189)</f>
        <v>342.55</v>
      </c>
      <c r="AC189" s="10">
        <f>Z189*'Parametros'!$B$8</f>
        <v>398</v>
      </c>
      <c r="AD189" s="10">
        <f>'Parametros'!$B$5*AC189*'Parametros'!$B$3*(AB189-(AC189*'Parametros'!$B$3/(0.85*'Parametros'!$B$2*H189))/2)/1000000</f>
        <v>49.7735124352941</v>
      </c>
      <c r="AE189" s="10" t="str">
        <f>IF(AD189&gt;=L189,"CUMPLE","NO CUMPLE")</f>
        <v>CUMPLE</v>
      </c>
      <c r="AF189" s="10">
        <f>V189*1.25*'Parametros'!$B$3*(U189-(V189*1.25*'Parametros'!$B$3/(0.85*'Parametros'!$B$2*H189))/2)/1000000</f>
        <v>100.484515919118</v>
      </c>
      <c r="AG189" s="10">
        <f>AC189*1.25*'Parametros'!$B$3*(AB189-(AC189*1.25*'Parametros'!$B$3/(0.85*'Parametros'!$B$2*H189))/2)/1000000</f>
        <v>68.5183923529412</v>
      </c>
      <c r="AH189" s="10">
        <f>N189+(AF189+AG189)/D189</f>
        <v>75.1150790441176</v>
      </c>
      <c r="AI189" s="10">
        <f>MIN(O189,MAX(N189,AH189))</f>
        <v>75.1150790441176</v>
      </c>
      <c r="AJ189" s="10">
        <f>0.17*SQRT('Parametros'!$B$2)*H189*MIN(U189,AB189)/1000</f>
        <v>92.4428153837279</v>
      </c>
      <c r="AK189" s="10">
        <f>MAX(AI189/'Parametros'!$B$6-AJ189,0)</f>
        <v>7.71062334176229</v>
      </c>
      <c r="AL189" s="10">
        <f>0.66*SQRT('Parametros'!$B$2)*H189*MIN(U189,AB189)/1000</f>
        <v>358.89563619565</v>
      </c>
      <c r="AM189" s="10" t="str">
        <f>IF(AK189&lt;=AL189,"CUMPLE","NO CUMPLE")</f>
        <v>CUMPLE</v>
      </c>
      <c r="AN189" s="15" t="inlineStr">
        <is>
          <t>Nº3 cerrado</t>
        </is>
      </c>
      <c r="AO189" s="17" t="n">
        <v>2</v>
      </c>
      <c r="AP189" s="10">
        <f>ROUNDDOWN(MIN(IF(AK189=0,1000000000,AO189*'Parametros'!$B$11*'Parametros'!$B$4*MIN(U189,AB189)/(AK189*1000)),IF(AV189=0,1000000000,'Parametros'!$B$11/AV189),MIN(U189,AB189)/4,8*'Parametros'!$B$12,24*'Parametros'!$B$9,300)/10,0)*10</f>
        <v>80</v>
      </c>
      <c r="AQ189" s="10">
        <f>ROUNDDOWN(MIN(IF(AK189=0,1000000000,AO189*'Parametros'!$B$11*'Parametros'!$B$4*MIN(U189,AB189)/(AK189*1000)),IF(AV189=0,1000000000,'Parametros'!$B$11/AV189),MIN(U189,AB189)/2,600)/10,0)*10</f>
        <v>170</v>
      </c>
      <c r="AR189" s="10">
        <f>'Parametros'!$B$6*(AJ189+AO189*'Parametros'!$B$11*'Parametros'!$B$4*MIN(U189,AB189)/AP189/1000)</f>
        <v>260.860380287796</v>
      </c>
      <c r="AS189" s="10" t="str">
        <f>IF(AND(AM189="CUMPLE",AR189&gt;=AI189),"CUMPLE","NO CUMPLE")</f>
        <v>CUMPLE</v>
      </c>
      <c r="AT189" s="10">
        <f>'Parametros'!$B$6*0.083*SQRT('Parametros'!$B$2)*(H189*I189)^2/(2*(H189+I189))/1000000</f>
        <v>3.38807353605471</v>
      </c>
      <c r="AU189" s="10" t="str">
        <f>IF(Q189&lt;=AT189,"DESPRECIABLE","DISEÑAR")</f>
        <v>DISEÑAR</v>
      </c>
      <c r="AV189" s="10">
        <f>IF(Q189&lt;=AT189,0,Q189*1000000/('Parametros'!$B$6*2*0.85*(H189-2*'Parametros'!$B$7)*(I189-2*'Parametros'!$B$7)*'Parametros'!$B$4))</f>
        <v>0.108405483405483</v>
      </c>
      <c r="AW189" s="10">
        <f>AV189*2*((H189-2*'Parametros'!$B$7)+(I189-2*'Parametros'!$B$7))*'Parametros'!$B$4/'Parametros'!$B$3</f>
        <v>117.077922077922</v>
      </c>
      <c r="AX189" s="17" t="n">
        <v>1</v>
      </c>
      <c r="AY189" s="10" t="str">
        <f>IF(AV189=0,"DESPRECIABLE",IF('Parametros'!$B$11/AP189&gt;=AV189,"CUMPLE","NO CUMPLE"))</f>
        <v>CUMPLE</v>
      </c>
      <c r="AZ189" s="10" t="str">
        <f>IF(AND(X189="CUMPLE",AE189="CUMPLE",AS189="CUMPLE",OR(AY189="CUMPLE",AY189="DESPRECIABLE")),IF(OR(F189&lt;&gt;H189,G189&lt;&gt;I189),"CUMPLE - REANALIZAR SAP","CUMPLE"),"NO CUMPLE")</f>
        <v>CUMPLE</v>
      </c>
    </row>
    <row r="190">
      <c r="A190" s="22" t="inlineStr">
        <is>
          <t>VC6</t>
        </is>
      </c>
      <c r="B190" s="22" t="inlineStr">
        <is>
          <t>921</t>
        </is>
      </c>
      <c r="C190" s="10" t="n">
        <v>1</v>
      </c>
      <c r="D190" s="10" t="n">
        <v>3.9</v>
      </c>
      <c r="E190" s="10" t="n">
        <v>3.9</v>
      </c>
      <c r="F190" s="10" t="n">
        <v>300</v>
      </c>
      <c r="G190" s="10" t="n">
        <v>400</v>
      </c>
      <c r="H190" s="15" t="n">
        <v>300</v>
      </c>
      <c r="I190" s="15" t="n">
        <v>400</v>
      </c>
      <c r="J190" s="16" t="n">
        <v>52.3886</v>
      </c>
      <c r="K190" s="10" t="inlineStr">
        <is>
          <t>921</t>
        </is>
      </c>
      <c r="L190" s="16" t="n">
        <v>40.2713</v>
      </c>
      <c r="M190" s="10" t="inlineStr">
        <is>
          <t>921</t>
        </is>
      </c>
      <c r="N190" s="16" t="n">
        <v>31.767</v>
      </c>
      <c r="O190" s="16" t="n">
        <v>124.688</v>
      </c>
      <c r="P190" s="10" t="inlineStr">
        <is>
          <t>921</t>
        </is>
      </c>
      <c r="Q190" s="16" t="n">
        <v>4.0861</v>
      </c>
      <c r="R190" s="10">
        <f>MAX(MAX(1.4/'Parametros'!$B$3,0.25*SQRT('Parametros'!$B$2)/'Parametros'!$B$3)*H190*U190,(0.85*'Parametros'!$B$2/'Parametros'!$B$3)*(1-SQRT(1-2*(J190*1000000/('Parametros'!$B$5*H190*U190^2))/(0.85*'Parametros'!$B$2)))*H190*U190)</f>
        <v>419.721301976987</v>
      </c>
      <c r="S190" s="17" t="n">
        <v>3</v>
      </c>
      <c r="T190" s="18" t="n">
        <v>1</v>
      </c>
      <c r="U190" s="10">
        <f>IF(T190=1,I190-('Parametros'!$B$7+'Parametros'!$B$9+'Parametros'!$B$12/2),I190-(ROUNDUP(S190/2,0)*('Parametros'!$B$7+'Parametros'!$B$9+'Parametros'!$B$12/2)+ROUNDDOWN(S190/2,0)*('Parametros'!$B$7+'Parametros'!$B$9+'Parametros'!$B$12/2+'Parametros'!$B$12+'Parametros'!$B$10))/S190)</f>
        <v>342.55</v>
      </c>
      <c r="V190" s="10">
        <f>S190*'Parametros'!$B$8</f>
        <v>597</v>
      </c>
      <c r="W190" s="10">
        <f>'Parametros'!$B$5*V190*'Parametros'!$B$3*(U190-(V190*'Parametros'!$B$3/(0.85*'Parametros'!$B$2*H190))/2)/1000000</f>
        <v>73.3394588294118</v>
      </c>
      <c r="X190" s="10" t="str">
        <f>IF(W190&gt;=J190,"CUMPLE","NO CUMPLE")</f>
        <v>CUMPLE</v>
      </c>
      <c r="Y190" s="10">
        <f>MAX(MAX(1.4/'Parametros'!$B$3,0.25*SQRT('Parametros'!$B$2)/'Parametros'!$B$3)*H190*AB190,(0.85*'Parametros'!$B$2/'Parametros'!$B$3)*(1-SQRT(1-2*(L190*1000000/('Parametros'!$B$5*H190*AB190^2))/(0.85*'Parametros'!$B$2)))*H190*AB190)</f>
        <v>342.55</v>
      </c>
      <c r="Z190" s="17" t="n">
        <v>2</v>
      </c>
      <c r="AA190" s="18" t="n">
        <v>1</v>
      </c>
      <c r="AB190" s="10">
        <f>IF(AA190=1,I190-('Parametros'!$B$7+'Parametros'!$B$9+'Parametros'!$B$12/2),I190-(ROUNDUP(Z190/2,0)*('Parametros'!$B$7+'Parametros'!$B$9+'Parametros'!$B$12/2)+ROUNDDOWN(Z190/2,0)*('Parametros'!$B$7+'Parametros'!$B$9+'Parametros'!$B$12/2+'Parametros'!$B$12+'Parametros'!$B$10))/Z190)</f>
        <v>342.55</v>
      </c>
      <c r="AC190" s="10">
        <f>Z190*'Parametros'!$B$8</f>
        <v>398</v>
      </c>
      <c r="AD190" s="10">
        <f>'Parametros'!$B$5*AC190*'Parametros'!$B$3*(AB190-(AC190*'Parametros'!$B$3/(0.85*'Parametros'!$B$2*H190))/2)/1000000</f>
        <v>49.7735124352941</v>
      </c>
      <c r="AE190" s="10" t="str">
        <f>IF(AD190&gt;=L190,"CUMPLE","NO CUMPLE")</f>
        <v>CUMPLE</v>
      </c>
      <c r="AF190" s="10">
        <f>V190*1.25*'Parametros'!$B$3*(U190-(V190*1.25*'Parametros'!$B$3/(0.85*'Parametros'!$B$2*H190))/2)/1000000</f>
        <v>100.484515919118</v>
      </c>
      <c r="AG190" s="10">
        <f>AC190*1.25*'Parametros'!$B$3*(AB190-(AC190*1.25*'Parametros'!$B$3/(0.85*'Parametros'!$B$2*H190))/2)/1000000</f>
        <v>68.5183923529412</v>
      </c>
      <c r="AH190" s="10">
        <f>N190+(AF190+AG190)/D190</f>
        <v>75.1010790441177</v>
      </c>
      <c r="AI190" s="10">
        <f>MIN(O190,MAX(N190,AH190))</f>
        <v>75.1010790441177</v>
      </c>
      <c r="AJ190" s="10">
        <f>0.17*SQRT('Parametros'!$B$2)*H190*MIN(U190,AB190)/1000</f>
        <v>92.4428153837279</v>
      </c>
      <c r="AK190" s="10">
        <f>MAX(AI190/'Parametros'!$B$6-AJ190,0)</f>
        <v>7.69195667509562</v>
      </c>
      <c r="AL190" s="10">
        <f>0.66*SQRT('Parametros'!$B$2)*H190*MIN(U190,AB190)/1000</f>
        <v>358.89563619565</v>
      </c>
      <c r="AM190" s="10" t="str">
        <f>IF(AK190&lt;=AL190,"CUMPLE","NO CUMPLE")</f>
        <v>CUMPLE</v>
      </c>
      <c r="AN190" s="15" t="inlineStr">
        <is>
          <t>Nº3 cerrado</t>
        </is>
      </c>
      <c r="AO190" s="17" t="n">
        <v>2</v>
      </c>
      <c r="AP190" s="10">
        <f>ROUNDDOWN(MIN(IF(AK190=0,1000000000,AO190*'Parametros'!$B$11*'Parametros'!$B$4*MIN(U190,AB190)/(AK190*1000)),IF(AV190=0,1000000000,'Parametros'!$B$11/AV190),MIN(U190,AB190)/4,8*'Parametros'!$B$12,24*'Parametros'!$B$9,300)/10,0)*10</f>
        <v>80</v>
      </c>
      <c r="AQ190" s="10">
        <f>ROUNDDOWN(MIN(IF(AK190=0,1000000000,AO190*'Parametros'!$B$11*'Parametros'!$B$4*MIN(U190,AB190)/(AK190*1000)),IF(AV190=0,1000000000,'Parametros'!$B$11/AV190),MIN(U190,AB190)/2,600)/10,0)*10</f>
        <v>170</v>
      </c>
      <c r="AR190" s="10">
        <f>'Parametros'!$B$6*(AJ190+AO190*'Parametros'!$B$11*'Parametros'!$B$4*MIN(U190,AB190)/AP190/1000)</f>
        <v>260.860380287796</v>
      </c>
      <c r="AS190" s="10" t="str">
        <f>IF(AND(AM190="CUMPLE",AR190&gt;=AI190),"CUMPLE","NO CUMPLE")</f>
        <v>CUMPLE</v>
      </c>
      <c r="AT190" s="10">
        <f>'Parametros'!$B$6*0.083*SQRT('Parametros'!$B$2)*(H190*I190)^2/(2*(H190+I190))/1000000</f>
        <v>3.38807353605471</v>
      </c>
      <c r="AU190" s="10" t="str">
        <f>IF(Q190&lt;=AT190,"DESPRECIABLE","DISEÑAR")</f>
        <v>DISEÑAR</v>
      </c>
      <c r="AV190" s="10">
        <f>IF(Q190&lt;=AT190,0,Q190*1000000/('Parametros'!$B$6*2*0.85*(H190-2*'Parametros'!$B$7)*(I190-2*'Parametros'!$B$7)*'Parametros'!$B$4))</f>
        <v>0.108386915372209</v>
      </c>
      <c r="AW190" s="10">
        <f>AV190*2*((H190-2*'Parametros'!$B$7)+(I190-2*'Parametros'!$B$7))*'Parametros'!$B$4/'Parametros'!$B$3</f>
        <v>117.057868601986</v>
      </c>
      <c r="AX190" s="17" t="n">
        <v>1</v>
      </c>
      <c r="AY190" s="10" t="str">
        <f>IF(AV190=0,"DESPRECIABLE",IF('Parametros'!$B$11/AP190&gt;=AV190,"CUMPLE","NO CUMPLE"))</f>
        <v>CUMPLE</v>
      </c>
      <c r="AZ190" s="10" t="str">
        <f>IF(AND(X190="CUMPLE",AE190="CUMPLE",AS190="CUMPLE",OR(AY190="CUMPLE",AY190="DESPRECIABLE")),IF(OR(F190&lt;&gt;H190,G190&lt;&gt;I190),"CUMPLE - REANALIZAR SAP","CUMPLE"),"NO CUMPLE")</f>
        <v>CUMPLE</v>
      </c>
    </row>
    <row r="191">
      <c r="A191" s="22" t="inlineStr">
        <is>
          <t>VC6</t>
        </is>
      </c>
      <c r="B191" s="22" t="inlineStr">
        <is>
          <t>922</t>
        </is>
      </c>
      <c r="C191" s="10" t="n">
        <v>1</v>
      </c>
      <c r="D191" s="10" t="n">
        <v>3.85</v>
      </c>
      <c r="E191" s="10" t="n">
        <v>3.85</v>
      </c>
      <c r="F191" s="10" t="n">
        <v>300</v>
      </c>
      <c r="G191" s="10" t="n">
        <v>400</v>
      </c>
      <c r="H191" s="15" t="n">
        <v>300</v>
      </c>
      <c r="I191" s="15" t="n">
        <v>400</v>
      </c>
      <c r="J191" s="16" t="n">
        <v>47.5106</v>
      </c>
      <c r="K191" s="10" t="inlineStr">
        <is>
          <t>922</t>
        </is>
      </c>
      <c r="L191" s="16" t="n">
        <v>39.7156</v>
      </c>
      <c r="M191" s="10" t="inlineStr">
        <is>
          <t>922</t>
        </is>
      </c>
      <c r="N191" s="16" t="n">
        <v>28.966</v>
      </c>
      <c r="O191" s="16" t="n">
        <v>114.78</v>
      </c>
      <c r="P191" s="10" t="inlineStr">
        <is>
          <t>922</t>
        </is>
      </c>
      <c r="Q191" s="16" t="n">
        <v>0.4483</v>
      </c>
      <c r="R191" s="10">
        <f>MAX(MAX(1.4/'Parametros'!$B$3,0.25*SQRT('Parametros'!$B$2)/'Parametros'!$B$3)*H191*U191,(0.85*'Parametros'!$B$2/'Parametros'!$B$3)*(1-SQRT(1-2*(J191*1000000/('Parametros'!$B$5*H191*U191^2))/(0.85*'Parametros'!$B$2)))*H191*U191)</f>
        <v>379.273860666551</v>
      </c>
      <c r="S191" s="17" t="n">
        <v>2</v>
      </c>
      <c r="T191" s="18" t="n">
        <v>1</v>
      </c>
      <c r="U191" s="10">
        <f>IF(T191=1,I191-('Parametros'!$B$7+'Parametros'!$B$9+'Parametros'!$B$12/2),I191-(ROUNDUP(S191/2,0)*('Parametros'!$B$7+'Parametros'!$B$9+'Parametros'!$B$12/2)+ROUNDDOWN(S191/2,0)*('Parametros'!$B$7+'Parametros'!$B$9+'Parametros'!$B$12/2+'Parametros'!$B$12+'Parametros'!$B$10))/S191)</f>
        <v>342.55</v>
      </c>
      <c r="V191" s="10">
        <f>S191*'Parametros'!$B$8</f>
        <v>398</v>
      </c>
      <c r="W191" s="10">
        <f>'Parametros'!$B$5*V191*'Parametros'!$B$3*(U191-(V191*'Parametros'!$B$3/(0.85*'Parametros'!$B$2*H191))/2)/1000000</f>
        <v>49.7735124352941</v>
      </c>
      <c r="X191" s="10" t="str">
        <f>IF(W191&gt;=J191,"CUMPLE","NO CUMPLE")</f>
        <v>CUMPLE</v>
      </c>
      <c r="Y191" s="10">
        <f>MAX(MAX(1.4/'Parametros'!$B$3,0.25*SQRT('Parametros'!$B$2)/'Parametros'!$B$3)*H191*AB191,(0.85*'Parametros'!$B$2/'Parametros'!$B$3)*(1-SQRT(1-2*(L191*1000000/('Parametros'!$B$5*H191*AB191^2))/(0.85*'Parametros'!$B$2)))*H191*AB191)</f>
        <v>342.55</v>
      </c>
      <c r="Z191" s="17" t="n">
        <v>2</v>
      </c>
      <c r="AA191" s="18" t="n">
        <v>1</v>
      </c>
      <c r="AB191" s="10">
        <f>IF(AA191=1,I191-('Parametros'!$B$7+'Parametros'!$B$9+'Parametros'!$B$12/2),I191-(ROUNDUP(Z191/2,0)*('Parametros'!$B$7+'Parametros'!$B$9+'Parametros'!$B$12/2)+ROUNDDOWN(Z191/2,0)*('Parametros'!$B$7+'Parametros'!$B$9+'Parametros'!$B$12/2+'Parametros'!$B$12+'Parametros'!$B$10))/Z191)</f>
        <v>342.55</v>
      </c>
      <c r="AC191" s="10">
        <f>Z191*'Parametros'!$B$8</f>
        <v>398</v>
      </c>
      <c r="AD191" s="10">
        <f>'Parametros'!$B$5*AC191*'Parametros'!$B$3*(AB191-(AC191*'Parametros'!$B$3/(0.85*'Parametros'!$B$2*H191))/2)/1000000</f>
        <v>49.7735124352941</v>
      </c>
      <c r="AE191" s="10" t="str">
        <f>IF(AD191&gt;=L191,"CUMPLE","NO CUMPLE")</f>
        <v>CUMPLE</v>
      </c>
      <c r="AF191" s="10">
        <f>V191*1.25*'Parametros'!$B$3*(U191-(V191*1.25*'Parametros'!$B$3/(0.85*'Parametros'!$B$2*H191))/2)/1000000</f>
        <v>68.5183923529412</v>
      </c>
      <c r="AG191" s="10">
        <f>AC191*1.25*'Parametros'!$B$3*(AB191-(AC191*1.25*'Parametros'!$B$3/(0.85*'Parametros'!$B$2*H191))/2)/1000000</f>
        <v>68.5183923529412</v>
      </c>
      <c r="AH191" s="10">
        <f>N191+(AF191+AG191)/D191</f>
        <v>64.559970053476</v>
      </c>
      <c r="AI191" s="10">
        <f>MIN(O191,MAX(N191,AH191))</f>
        <v>64.559970053476</v>
      </c>
      <c r="AJ191" s="10">
        <f>0.17*SQRT('Parametros'!$B$2)*H191*MIN(U191,AB191)/1000</f>
        <v>92.4428153837279</v>
      </c>
      <c r="AK191" s="10">
        <f>MAX(AI191/'Parametros'!$B$6-AJ191,0)</f>
        <v>0</v>
      </c>
      <c r="AL191" s="10">
        <f>0.66*SQRT('Parametros'!$B$2)*H191*MIN(U191,AB191)/1000</f>
        <v>358.89563619565</v>
      </c>
      <c r="AM191" s="10" t="str">
        <f>IF(AK191&lt;=AL191,"CUMPLE","NO CUMPLE")</f>
        <v>CUMPLE</v>
      </c>
      <c r="AN191" s="15" t="inlineStr">
        <is>
          <t>Nº3 cerrado</t>
        </is>
      </c>
      <c r="AO191" s="17" t="n">
        <v>2</v>
      </c>
      <c r="AP191" s="10">
        <f>ROUNDDOWN(MIN(IF(AK191=0,1000000000,AO191*'Parametros'!$B$11*'Parametros'!$B$4*MIN(U191,AB191)/(AK191*1000)),IF(AV191=0,1000000000,'Parametros'!$B$11/AV191),MIN(U191,AB191)/4,8*'Parametros'!$B$12,24*'Parametros'!$B$9,300)/10,0)*10</f>
        <v>80</v>
      </c>
      <c r="AQ191" s="10">
        <f>ROUNDDOWN(MIN(IF(AK191=0,1000000000,AO191*'Parametros'!$B$11*'Parametros'!$B$4*MIN(U191,AB191)/(AK191*1000)),IF(AV191=0,1000000000,'Parametros'!$B$11/AV191),MIN(U191,AB191)/2,600)/10,0)*10</f>
        <v>170</v>
      </c>
      <c r="AR191" s="10">
        <f>'Parametros'!$B$6*(AJ191+AO191*'Parametros'!$B$11*'Parametros'!$B$4*MIN(U191,AB191)/AP191/1000)</f>
        <v>260.860380287796</v>
      </c>
      <c r="AS191" s="10" t="str">
        <f>IF(AND(AM191="CUMPLE",AR191&gt;=AI191),"CUMPLE","NO CUMPLE")</f>
        <v>CUMPLE</v>
      </c>
      <c r="AT191" s="10">
        <f>'Parametros'!$B$6*0.083*SQRT('Parametros'!$B$2)*(H191*I191)^2/(2*(H191+I191))/1000000</f>
        <v>3.38807353605471</v>
      </c>
      <c r="AU191" s="10" t="str">
        <f>IF(Q191&lt;=AT191,"DESPRECIABLE","DISEÑAR")</f>
        <v>DESPRECIABLE</v>
      </c>
      <c r="AV191" s="10">
        <f>IF(Q191&lt;=AT191,0,Q191*1000000/('Parametros'!$B$6*2*0.85*(H191-2*'Parametros'!$B$7)*(I191-2*'Parametros'!$B$7)*'Parametros'!$B$4))</f>
        <v>0</v>
      </c>
      <c r="AW191" s="10">
        <f>AV191*2*((H191-2*'Parametros'!$B$7)+(I191-2*'Parametros'!$B$7))*'Parametros'!$B$4/'Parametros'!$B$3</f>
        <v>0</v>
      </c>
      <c r="AX191" s="17" t="n">
        <v>0</v>
      </c>
      <c r="AY191" s="10" t="str">
        <f>IF(AV191=0,"DESPRECIABLE",IF('Parametros'!$B$11/AP191&gt;=AV191,"CUMPLE","NO CUMPLE"))</f>
        <v>DESPRECIABLE</v>
      </c>
      <c r="AZ191" s="10" t="str">
        <f>IF(AND(X191="CUMPLE",AE191="CUMPLE",AS191="CUMPLE",OR(AY191="CUMPLE",AY191="DESPRECIABLE")),IF(OR(F191&lt;&gt;H191,G191&lt;&gt;I191),"CUMPLE - REANALIZAR SAP","CUMPLE"),"NO CUMPLE")</f>
        <v>CUMPLE</v>
      </c>
    </row>
    <row r="192">
      <c r="A192" s="22" t="inlineStr">
        <is>
          <t>VC6</t>
        </is>
      </c>
      <c r="B192" s="22" t="inlineStr">
        <is>
          <t>931</t>
        </is>
      </c>
      <c r="C192" s="10" t="n">
        <v>1</v>
      </c>
      <c r="D192" s="10" t="n">
        <v>3.85</v>
      </c>
      <c r="E192" s="10" t="n">
        <v>3.85</v>
      </c>
      <c r="F192" s="10" t="n">
        <v>300</v>
      </c>
      <c r="G192" s="10" t="n">
        <v>400</v>
      </c>
      <c r="H192" s="15" t="n">
        <v>300</v>
      </c>
      <c r="I192" s="15" t="n">
        <v>400</v>
      </c>
      <c r="J192" s="16" t="n">
        <v>47.505</v>
      </c>
      <c r="K192" s="10" t="inlineStr">
        <is>
          <t>931</t>
        </is>
      </c>
      <c r="L192" s="16" t="n">
        <v>39.7144</v>
      </c>
      <c r="M192" s="10" t="inlineStr">
        <is>
          <t>931</t>
        </is>
      </c>
      <c r="N192" s="16" t="n">
        <v>28.964</v>
      </c>
      <c r="O192" s="16" t="n">
        <v>114.784</v>
      </c>
      <c r="P192" s="10" t="inlineStr">
        <is>
          <t>931</t>
        </is>
      </c>
      <c r="Q192" s="16" t="n">
        <v>0.4489</v>
      </c>
      <c r="R192" s="10">
        <f>MAX(MAX(1.4/'Parametros'!$B$3,0.25*SQRT('Parametros'!$B$2)/'Parametros'!$B$3)*H192*U192,(0.85*'Parametros'!$B$2/'Parametros'!$B$3)*(1-SQRT(1-2*(J192*1000000/('Parametros'!$B$5*H192*U192^2))/(0.85*'Parametros'!$B$2)))*H192*U192)</f>
        <v>379.227599230203</v>
      </c>
      <c r="S192" s="17" t="n">
        <v>2</v>
      </c>
      <c r="T192" s="18" t="n">
        <v>1</v>
      </c>
      <c r="U192" s="10">
        <f>IF(T192=1,I192-('Parametros'!$B$7+'Parametros'!$B$9+'Parametros'!$B$12/2),I192-(ROUNDUP(S192/2,0)*('Parametros'!$B$7+'Parametros'!$B$9+'Parametros'!$B$12/2)+ROUNDDOWN(S192/2,0)*('Parametros'!$B$7+'Parametros'!$B$9+'Parametros'!$B$12/2+'Parametros'!$B$12+'Parametros'!$B$10))/S192)</f>
        <v>342.55</v>
      </c>
      <c r="V192" s="10">
        <f>S192*'Parametros'!$B$8</f>
        <v>398</v>
      </c>
      <c r="W192" s="10">
        <f>'Parametros'!$B$5*V192*'Parametros'!$B$3*(U192-(V192*'Parametros'!$B$3/(0.85*'Parametros'!$B$2*H192))/2)/1000000</f>
        <v>49.7735124352941</v>
      </c>
      <c r="X192" s="10" t="str">
        <f>IF(W192&gt;=J192,"CUMPLE","NO CUMPLE")</f>
        <v>CUMPLE</v>
      </c>
      <c r="Y192" s="10">
        <f>MAX(MAX(1.4/'Parametros'!$B$3,0.25*SQRT('Parametros'!$B$2)/'Parametros'!$B$3)*H192*AB192,(0.85*'Parametros'!$B$2/'Parametros'!$B$3)*(1-SQRT(1-2*(L192*1000000/('Parametros'!$B$5*H192*AB192^2))/(0.85*'Parametros'!$B$2)))*H192*AB192)</f>
        <v>342.55</v>
      </c>
      <c r="Z192" s="17" t="n">
        <v>2</v>
      </c>
      <c r="AA192" s="18" t="n">
        <v>1</v>
      </c>
      <c r="AB192" s="10">
        <f>IF(AA192=1,I192-('Parametros'!$B$7+'Parametros'!$B$9+'Parametros'!$B$12/2),I192-(ROUNDUP(Z192/2,0)*('Parametros'!$B$7+'Parametros'!$B$9+'Parametros'!$B$12/2)+ROUNDDOWN(Z192/2,0)*('Parametros'!$B$7+'Parametros'!$B$9+'Parametros'!$B$12/2+'Parametros'!$B$12+'Parametros'!$B$10))/Z192)</f>
        <v>342.55</v>
      </c>
      <c r="AC192" s="10">
        <f>Z192*'Parametros'!$B$8</f>
        <v>398</v>
      </c>
      <c r="AD192" s="10">
        <f>'Parametros'!$B$5*AC192*'Parametros'!$B$3*(AB192-(AC192*'Parametros'!$B$3/(0.85*'Parametros'!$B$2*H192))/2)/1000000</f>
        <v>49.7735124352941</v>
      </c>
      <c r="AE192" s="10" t="str">
        <f>IF(AD192&gt;=L192,"CUMPLE","NO CUMPLE")</f>
        <v>CUMPLE</v>
      </c>
      <c r="AF192" s="10">
        <f>V192*1.25*'Parametros'!$B$3*(U192-(V192*1.25*'Parametros'!$B$3/(0.85*'Parametros'!$B$2*H192))/2)/1000000</f>
        <v>68.5183923529412</v>
      </c>
      <c r="AG192" s="10">
        <f>AC192*1.25*'Parametros'!$B$3*(AB192-(AC192*1.25*'Parametros'!$B$3/(0.85*'Parametros'!$B$2*H192))/2)/1000000</f>
        <v>68.5183923529412</v>
      </c>
      <c r="AH192" s="10">
        <f>N192+(AF192+AG192)/D192</f>
        <v>64.5579700534759</v>
      </c>
      <c r="AI192" s="10">
        <f>MIN(O192,MAX(N192,AH192))</f>
        <v>64.5579700534759</v>
      </c>
      <c r="AJ192" s="10">
        <f>0.17*SQRT('Parametros'!$B$2)*H192*MIN(U192,AB192)/1000</f>
        <v>92.4428153837279</v>
      </c>
      <c r="AK192" s="10">
        <f>MAX(AI192/'Parametros'!$B$6-AJ192,0)</f>
        <v>0</v>
      </c>
      <c r="AL192" s="10">
        <f>0.66*SQRT('Parametros'!$B$2)*H192*MIN(U192,AB192)/1000</f>
        <v>358.89563619565</v>
      </c>
      <c r="AM192" s="10" t="str">
        <f>IF(AK192&lt;=AL192,"CUMPLE","NO CUMPLE")</f>
        <v>CUMPLE</v>
      </c>
      <c r="AN192" s="15" t="inlineStr">
        <is>
          <t>Nº3 cerrado</t>
        </is>
      </c>
      <c r="AO192" s="17" t="n">
        <v>2</v>
      </c>
      <c r="AP192" s="10">
        <f>ROUNDDOWN(MIN(IF(AK192=0,1000000000,AO192*'Parametros'!$B$11*'Parametros'!$B$4*MIN(U192,AB192)/(AK192*1000)),IF(AV192=0,1000000000,'Parametros'!$B$11/AV192),MIN(U192,AB192)/4,8*'Parametros'!$B$12,24*'Parametros'!$B$9,300)/10,0)*10</f>
        <v>80</v>
      </c>
      <c r="AQ192" s="10">
        <f>ROUNDDOWN(MIN(IF(AK192=0,1000000000,AO192*'Parametros'!$B$11*'Parametros'!$B$4*MIN(U192,AB192)/(AK192*1000)),IF(AV192=0,1000000000,'Parametros'!$B$11/AV192),MIN(U192,AB192)/2,600)/10,0)*10</f>
        <v>170</v>
      </c>
      <c r="AR192" s="10">
        <f>'Parametros'!$B$6*(AJ192+AO192*'Parametros'!$B$11*'Parametros'!$B$4*MIN(U192,AB192)/AP192/1000)</f>
        <v>260.860380287796</v>
      </c>
      <c r="AS192" s="10" t="str">
        <f>IF(AND(AM192="CUMPLE",AR192&gt;=AI192),"CUMPLE","NO CUMPLE")</f>
        <v>CUMPLE</v>
      </c>
      <c r="AT192" s="10">
        <f>'Parametros'!$B$6*0.083*SQRT('Parametros'!$B$2)*(H192*I192)^2/(2*(H192+I192))/1000000</f>
        <v>3.38807353605471</v>
      </c>
      <c r="AU192" s="10" t="str">
        <f>IF(Q192&lt;=AT192,"DESPRECIABLE","DISEÑAR")</f>
        <v>DESPRECIABLE</v>
      </c>
      <c r="AV192" s="10">
        <f>IF(Q192&lt;=AT192,0,Q192*1000000/('Parametros'!$B$6*2*0.85*(H192-2*'Parametros'!$B$7)*(I192-2*'Parametros'!$B$7)*'Parametros'!$B$4))</f>
        <v>0</v>
      </c>
      <c r="AW192" s="10">
        <f>AV192*2*((H192-2*'Parametros'!$B$7)+(I192-2*'Parametros'!$B$7))*'Parametros'!$B$4/'Parametros'!$B$3</f>
        <v>0</v>
      </c>
      <c r="AX192" s="17" t="n">
        <v>0</v>
      </c>
      <c r="AY192" s="10" t="str">
        <f>IF(AV192=0,"DESPRECIABLE",IF('Parametros'!$B$11/AP192&gt;=AV192,"CUMPLE","NO CUMPLE"))</f>
        <v>DESPRECIABLE</v>
      </c>
      <c r="AZ192" s="10" t="str">
        <f>IF(AND(X192="CUMPLE",AE192="CUMPLE",AS192="CUMPLE",OR(AY192="CUMPLE",AY192="DESPRECIABLE")),IF(OR(F192&lt;&gt;H192,G192&lt;&gt;I192),"CUMPLE - REANALIZAR SAP","CUMPLE"),"NO CUMPLE")</f>
        <v>CUMPLE</v>
      </c>
    </row>
    <row r="193">
      <c r="A193" s="22" t="inlineStr">
        <is>
          <t>VC6</t>
        </is>
      </c>
      <c r="B193" s="22" t="inlineStr">
        <is>
          <t>932</t>
        </is>
      </c>
      <c r="C193" s="10" t="n">
        <v>1</v>
      </c>
      <c r="D193" s="10" t="n">
        <v>3.9</v>
      </c>
      <c r="E193" s="10" t="n">
        <v>3.9</v>
      </c>
      <c r="F193" s="10" t="n">
        <v>300</v>
      </c>
      <c r="G193" s="10" t="n">
        <v>400</v>
      </c>
      <c r="H193" s="15" t="n">
        <v>300</v>
      </c>
      <c r="I193" s="15" t="n">
        <v>400</v>
      </c>
      <c r="J193" s="16" t="n">
        <v>52.3879</v>
      </c>
      <c r="K193" s="10" t="inlineStr">
        <is>
          <t>932</t>
        </is>
      </c>
      <c r="L193" s="16" t="n">
        <v>40.2731</v>
      </c>
      <c r="M193" s="10" t="inlineStr">
        <is>
          <t>932</t>
        </is>
      </c>
      <c r="N193" s="16" t="n">
        <v>31.766</v>
      </c>
      <c r="O193" s="16" t="n">
        <v>124.688</v>
      </c>
      <c r="P193" s="10" t="inlineStr">
        <is>
          <t>932</t>
        </is>
      </c>
      <c r="Q193" s="16" t="n">
        <v>4.0786</v>
      </c>
      <c r="R193" s="10">
        <f>MAX(MAX(1.4/'Parametros'!$B$3,0.25*SQRT('Parametros'!$B$2)/'Parametros'!$B$3)*H193*U193,(0.85*'Parametros'!$B$2/'Parametros'!$B$3)*(1-SQRT(1-2*(J193*1000000/('Parametros'!$B$5*H193*U193^2))/(0.85*'Parametros'!$B$2)))*H193*U193)</f>
        <v>419.715475991104</v>
      </c>
      <c r="S193" s="17" t="n">
        <v>3</v>
      </c>
      <c r="T193" s="18" t="n">
        <v>1</v>
      </c>
      <c r="U193" s="10">
        <f>IF(T193=1,I193-('Parametros'!$B$7+'Parametros'!$B$9+'Parametros'!$B$12/2),I193-(ROUNDUP(S193/2,0)*('Parametros'!$B$7+'Parametros'!$B$9+'Parametros'!$B$12/2)+ROUNDDOWN(S193/2,0)*('Parametros'!$B$7+'Parametros'!$B$9+'Parametros'!$B$12/2+'Parametros'!$B$12+'Parametros'!$B$10))/S193)</f>
        <v>342.55</v>
      </c>
      <c r="V193" s="10">
        <f>S193*'Parametros'!$B$8</f>
        <v>597</v>
      </c>
      <c r="W193" s="10">
        <f>'Parametros'!$B$5*V193*'Parametros'!$B$3*(U193-(V193*'Parametros'!$B$3/(0.85*'Parametros'!$B$2*H193))/2)/1000000</f>
        <v>73.3394588294118</v>
      </c>
      <c r="X193" s="10" t="str">
        <f>IF(W193&gt;=J193,"CUMPLE","NO CUMPLE")</f>
        <v>CUMPLE</v>
      </c>
      <c r="Y193" s="10">
        <f>MAX(MAX(1.4/'Parametros'!$B$3,0.25*SQRT('Parametros'!$B$2)/'Parametros'!$B$3)*H193*AB193,(0.85*'Parametros'!$B$2/'Parametros'!$B$3)*(1-SQRT(1-2*(L193*1000000/('Parametros'!$B$5*H193*AB193^2))/(0.85*'Parametros'!$B$2)))*H193*AB193)</f>
        <v>342.55</v>
      </c>
      <c r="Z193" s="17" t="n">
        <v>2</v>
      </c>
      <c r="AA193" s="18" t="n">
        <v>1</v>
      </c>
      <c r="AB193" s="10">
        <f>IF(AA193=1,I193-('Parametros'!$B$7+'Parametros'!$B$9+'Parametros'!$B$12/2),I193-(ROUNDUP(Z193/2,0)*('Parametros'!$B$7+'Parametros'!$B$9+'Parametros'!$B$12/2)+ROUNDDOWN(Z193/2,0)*('Parametros'!$B$7+'Parametros'!$B$9+'Parametros'!$B$12/2+'Parametros'!$B$12+'Parametros'!$B$10))/Z193)</f>
        <v>342.55</v>
      </c>
      <c r="AC193" s="10">
        <f>Z193*'Parametros'!$B$8</f>
        <v>398</v>
      </c>
      <c r="AD193" s="10">
        <f>'Parametros'!$B$5*AC193*'Parametros'!$B$3*(AB193-(AC193*'Parametros'!$B$3/(0.85*'Parametros'!$B$2*H193))/2)/1000000</f>
        <v>49.7735124352941</v>
      </c>
      <c r="AE193" s="10" t="str">
        <f>IF(AD193&gt;=L193,"CUMPLE","NO CUMPLE")</f>
        <v>CUMPLE</v>
      </c>
      <c r="AF193" s="10">
        <f>V193*1.25*'Parametros'!$B$3*(U193-(V193*1.25*'Parametros'!$B$3/(0.85*'Parametros'!$B$2*H193))/2)/1000000</f>
        <v>100.484515919118</v>
      </c>
      <c r="AG193" s="10">
        <f>AC193*1.25*'Parametros'!$B$3*(AB193-(AC193*1.25*'Parametros'!$B$3/(0.85*'Parametros'!$B$2*H193))/2)/1000000</f>
        <v>68.5183923529412</v>
      </c>
      <c r="AH193" s="10">
        <f>N193+(AF193+AG193)/D193</f>
        <v>75.1000790441176</v>
      </c>
      <c r="AI193" s="10">
        <f>MIN(O193,MAX(N193,AH193))</f>
        <v>75.1000790441176</v>
      </c>
      <c r="AJ193" s="10">
        <f>0.17*SQRT('Parametros'!$B$2)*H193*MIN(U193,AB193)/1000</f>
        <v>92.4428153837279</v>
      </c>
      <c r="AK193" s="10">
        <f>MAX(AI193/'Parametros'!$B$6-AJ193,0)</f>
        <v>7.69062334176228</v>
      </c>
      <c r="AL193" s="10">
        <f>0.66*SQRT('Parametros'!$B$2)*H193*MIN(U193,AB193)/1000</f>
        <v>358.89563619565</v>
      </c>
      <c r="AM193" s="10" t="str">
        <f>IF(AK193&lt;=AL193,"CUMPLE","NO CUMPLE")</f>
        <v>CUMPLE</v>
      </c>
      <c r="AN193" s="15" t="inlineStr">
        <is>
          <t>Nº3 cerrado</t>
        </is>
      </c>
      <c r="AO193" s="17" t="n">
        <v>2</v>
      </c>
      <c r="AP193" s="10">
        <f>ROUNDDOWN(MIN(IF(AK193=0,1000000000,AO193*'Parametros'!$B$11*'Parametros'!$B$4*MIN(U193,AB193)/(AK193*1000)),IF(AV193=0,1000000000,'Parametros'!$B$11/AV193),MIN(U193,AB193)/4,8*'Parametros'!$B$12,24*'Parametros'!$B$9,300)/10,0)*10</f>
        <v>80</v>
      </c>
      <c r="AQ193" s="10">
        <f>ROUNDDOWN(MIN(IF(AK193=0,1000000000,AO193*'Parametros'!$B$11*'Parametros'!$B$4*MIN(U193,AB193)/(AK193*1000)),IF(AV193=0,1000000000,'Parametros'!$B$11/AV193),MIN(U193,AB193)/2,600)/10,0)*10</f>
        <v>170</v>
      </c>
      <c r="AR193" s="10">
        <f>'Parametros'!$B$6*(AJ193+AO193*'Parametros'!$B$11*'Parametros'!$B$4*MIN(U193,AB193)/AP193/1000)</f>
        <v>260.860380287796</v>
      </c>
      <c r="AS193" s="10" t="str">
        <f>IF(AND(AM193="CUMPLE",AR193&gt;=AI193),"CUMPLE","NO CUMPLE")</f>
        <v>CUMPLE</v>
      </c>
      <c r="AT193" s="10">
        <f>'Parametros'!$B$6*0.083*SQRT('Parametros'!$B$2)*(H193*I193)^2/(2*(H193+I193))/1000000</f>
        <v>3.38807353605471</v>
      </c>
      <c r="AU193" s="10" t="str">
        <f>IF(Q193&lt;=AT193,"DESPRECIABLE","DISEÑAR")</f>
        <v>DISEÑAR</v>
      </c>
      <c r="AV193" s="10">
        <f>IF(Q193&lt;=AT193,0,Q193*1000000/('Parametros'!$B$6*2*0.85*(H193-2*'Parametros'!$B$7)*(I193-2*'Parametros'!$B$7)*'Parametros'!$B$4))</f>
        <v>0.10818797215856</v>
      </c>
      <c r="AW193" s="10">
        <f>AV193*2*((H193-2*'Parametros'!$B$7)+(I193-2*'Parametros'!$B$7))*'Parametros'!$B$4/'Parametros'!$B$3</f>
        <v>116.843009931245</v>
      </c>
      <c r="AX193" s="17" t="n">
        <v>1</v>
      </c>
      <c r="AY193" s="10" t="str">
        <f>IF(AV193=0,"DESPRECIABLE",IF('Parametros'!$B$11/AP193&gt;=AV193,"CUMPLE","NO CUMPLE"))</f>
        <v>CUMPLE</v>
      </c>
      <c r="AZ193" s="10" t="str">
        <f>IF(AND(X193="CUMPLE",AE193="CUMPLE",AS193="CUMPLE",OR(AY193="CUMPLE",AY193="DESPRECIABLE")),IF(OR(F193&lt;&gt;H193,G193&lt;&gt;I193),"CUMPLE - REANALIZAR SAP","CUMPLE"),"NO CUMPLE")</f>
        <v>CUMPLE</v>
      </c>
    </row>
    <row r="194">
      <c r="A194" s="22" t="inlineStr">
        <is>
          <t>VC6</t>
        </is>
      </c>
      <c r="B194" s="22" t="inlineStr">
        <is>
          <t>933</t>
        </is>
      </c>
      <c r="C194" s="10" t="n">
        <v>1</v>
      </c>
      <c r="D194" s="10" t="n">
        <v>3.9</v>
      </c>
      <c r="E194" s="10" t="n">
        <v>3.9</v>
      </c>
      <c r="F194" s="10" t="n">
        <v>300</v>
      </c>
      <c r="G194" s="10" t="n">
        <v>400</v>
      </c>
      <c r="H194" s="15" t="n">
        <v>300</v>
      </c>
      <c r="I194" s="15" t="n">
        <v>400</v>
      </c>
      <c r="J194" s="16" t="n">
        <v>52.4011</v>
      </c>
      <c r="K194" s="10" t="inlineStr">
        <is>
          <t>933</t>
        </is>
      </c>
      <c r="L194" s="16" t="n">
        <v>40.2653</v>
      </c>
      <c r="M194" s="10" t="inlineStr">
        <is>
          <t>933</t>
        </is>
      </c>
      <c r="N194" s="16" t="n">
        <v>31.773</v>
      </c>
      <c r="O194" s="16" t="n">
        <v>124.695</v>
      </c>
      <c r="P194" s="10" t="inlineStr">
        <is>
          <t>933</t>
        </is>
      </c>
      <c r="Q194" s="16" t="n">
        <v>4.0795</v>
      </c>
      <c r="R194" s="10">
        <f>MAX(MAX(1.4/'Parametros'!$B$3,0.25*SQRT('Parametros'!$B$2)/'Parametros'!$B$3)*H194*U194,(0.85*'Parametros'!$B$2/'Parametros'!$B$3)*(1-SQRT(1-2*(J194*1000000/('Parametros'!$B$5*H194*U194^2))/(0.85*'Parametros'!$B$2)))*H194*U194)</f>
        <v>419.825338496775</v>
      </c>
      <c r="S194" s="17" t="n">
        <v>3</v>
      </c>
      <c r="T194" s="18" t="n">
        <v>1</v>
      </c>
      <c r="U194" s="10">
        <f>IF(T194=1,I194-('Parametros'!$B$7+'Parametros'!$B$9+'Parametros'!$B$12/2),I194-(ROUNDUP(S194/2,0)*('Parametros'!$B$7+'Parametros'!$B$9+'Parametros'!$B$12/2)+ROUNDDOWN(S194/2,0)*('Parametros'!$B$7+'Parametros'!$B$9+'Parametros'!$B$12/2+'Parametros'!$B$12+'Parametros'!$B$10))/S194)</f>
        <v>342.55</v>
      </c>
      <c r="V194" s="10">
        <f>S194*'Parametros'!$B$8</f>
        <v>597</v>
      </c>
      <c r="W194" s="10">
        <f>'Parametros'!$B$5*V194*'Parametros'!$B$3*(U194-(V194*'Parametros'!$B$3/(0.85*'Parametros'!$B$2*H194))/2)/1000000</f>
        <v>73.3394588294118</v>
      </c>
      <c r="X194" s="10" t="str">
        <f>IF(W194&gt;=J194,"CUMPLE","NO CUMPLE")</f>
        <v>CUMPLE</v>
      </c>
      <c r="Y194" s="10">
        <f>MAX(MAX(1.4/'Parametros'!$B$3,0.25*SQRT('Parametros'!$B$2)/'Parametros'!$B$3)*H194*AB194,(0.85*'Parametros'!$B$2/'Parametros'!$B$3)*(1-SQRT(1-2*(L194*1000000/('Parametros'!$B$5*H194*AB194^2))/(0.85*'Parametros'!$B$2)))*H194*AB194)</f>
        <v>342.55</v>
      </c>
      <c r="Z194" s="17" t="n">
        <v>2</v>
      </c>
      <c r="AA194" s="18" t="n">
        <v>1</v>
      </c>
      <c r="AB194" s="10">
        <f>IF(AA194=1,I194-('Parametros'!$B$7+'Parametros'!$B$9+'Parametros'!$B$12/2),I194-(ROUNDUP(Z194/2,0)*('Parametros'!$B$7+'Parametros'!$B$9+'Parametros'!$B$12/2)+ROUNDDOWN(Z194/2,0)*('Parametros'!$B$7+'Parametros'!$B$9+'Parametros'!$B$12/2+'Parametros'!$B$12+'Parametros'!$B$10))/Z194)</f>
        <v>342.55</v>
      </c>
      <c r="AC194" s="10">
        <f>Z194*'Parametros'!$B$8</f>
        <v>398</v>
      </c>
      <c r="AD194" s="10">
        <f>'Parametros'!$B$5*AC194*'Parametros'!$B$3*(AB194-(AC194*'Parametros'!$B$3/(0.85*'Parametros'!$B$2*H194))/2)/1000000</f>
        <v>49.7735124352941</v>
      </c>
      <c r="AE194" s="10" t="str">
        <f>IF(AD194&gt;=L194,"CUMPLE","NO CUMPLE")</f>
        <v>CUMPLE</v>
      </c>
      <c r="AF194" s="10">
        <f>V194*1.25*'Parametros'!$B$3*(U194-(V194*1.25*'Parametros'!$B$3/(0.85*'Parametros'!$B$2*H194))/2)/1000000</f>
        <v>100.484515919118</v>
      </c>
      <c r="AG194" s="10">
        <f>AC194*1.25*'Parametros'!$B$3*(AB194-(AC194*1.25*'Parametros'!$B$3/(0.85*'Parametros'!$B$2*H194))/2)/1000000</f>
        <v>68.5183923529412</v>
      </c>
      <c r="AH194" s="10">
        <f>N194+(AF194+AG194)/D194</f>
        <v>75.1070790441177</v>
      </c>
      <c r="AI194" s="10">
        <f>MIN(O194,MAX(N194,AH194))</f>
        <v>75.1070790441177</v>
      </c>
      <c r="AJ194" s="10">
        <f>0.17*SQRT('Parametros'!$B$2)*H194*MIN(U194,AB194)/1000</f>
        <v>92.4428153837279</v>
      </c>
      <c r="AK194" s="10">
        <f>MAX(AI194/'Parametros'!$B$6-AJ194,0)</f>
        <v>7.69995667509562</v>
      </c>
      <c r="AL194" s="10">
        <f>0.66*SQRT('Parametros'!$B$2)*H194*MIN(U194,AB194)/1000</f>
        <v>358.89563619565</v>
      </c>
      <c r="AM194" s="10" t="str">
        <f>IF(AK194&lt;=AL194,"CUMPLE","NO CUMPLE")</f>
        <v>CUMPLE</v>
      </c>
      <c r="AN194" s="15" t="inlineStr">
        <is>
          <t>Nº3 cerrado</t>
        </is>
      </c>
      <c r="AO194" s="17" t="n">
        <v>2</v>
      </c>
      <c r="AP194" s="10">
        <f>ROUNDDOWN(MIN(IF(AK194=0,1000000000,AO194*'Parametros'!$B$11*'Parametros'!$B$4*MIN(U194,AB194)/(AK194*1000)),IF(AV194=0,1000000000,'Parametros'!$B$11/AV194),MIN(U194,AB194)/4,8*'Parametros'!$B$12,24*'Parametros'!$B$9,300)/10,0)*10</f>
        <v>80</v>
      </c>
      <c r="AQ194" s="10">
        <f>ROUNDDOWN(MIN(IF(AK194=0,1000000000,AO194*'Parametros'!$B$11*'Parametros'!$B$4*MIN(U194,AB194)/(AK194*1000)),IF(AV194=0,1000000000,'Parametros'!$B$11/AV194),MIN(U194,AB194)/2,600)/10,0)*10</f>
        <v>170</v>
      </c>
      <c r="AR194" s="10">
        <f>'Parametros'!$B$6*(AJ194+AO194*'Parametros'!$B$11*'Parametros'!$B$4*MIN(U194,AB194)/AP194/1000)</f>
        <v>260.860380287796</v>
      </c>
      <c r="AS194" s="10" t="str">
        <f>IF(AND(AM194="CUMPLE",AR194&gt;=AI194),"CUMPLE","NO CUMPLE")</f>
        <v>CUMPLE</v>
      </c>
      <c r="AT194" s="10">
        <f>'Parametros'!$B$6*0.083*SQRT('Parametros'!$B$2)*(H194*I194)^2/(2*(H194+I194))/1000000</f>
        <v>3.38807353605471</v>
      </c>
      <c r="AU194" s="10" t="str">
        <f>IF(Q194&lt;=AT194,"DESPRECIABLE","DISEÑAR")</f>
        <v>DISEÑAR</v>
      </c>
      <c r="AV194" s="10">
        <f>IF(Q194&lt;=AT194,0,Q194*1000000/('Parametros'!$B$6*2*0.85*(H194-2*'Parametros'!$B$7)*(I194-2*'Parametros'!$B$7)*'Parametros'!$B$4))</f>
        <v>0.108211845344198</v>
      </c>
      <c r="AW194" s="10">
        <f>AV194*2*((H194-2*'Parametros'!$B$7)+(I194-2*'Parametros'!$B$7))*'Parametros'!$B$4/'Parametros'!$B$3</f>
        <v>116.868792971734</v>
      </c>
      <c r="AX194" s="17" t="n">
        <v>1</v>
      </c>
      <c r="AY194" s="10" t="str">
        <f>IF(AV194=0,"DESPRECIABLE",IF('Parametros'!$B$11/AP194&gt;=AV194,"CUMPLE","NO CUMPLE"))</f>
        <v>CUMPLE</v>
      </c>
      <c r="AZ194" s="10" t="str">
        <f>IF(AND(X194="CUMPLE",AE194="CUMPLE",AS194="CUMPLE",OR(AY194="CUMPLE",AY194="DESPRECIABLE")),IF(OR(F194&lt;&gt;H194,G194&lt;&gt;I194),"CUMPLE - REANALIZAR SAP","CUMPLE"),"NO CUMPLE")</f>
        <v>CUMPLE</v>
      </c>
    </row>
    <row r="195">
      <c r="A195" s="22" t="inlineStr">
        <is>
          <t>VC6</t>
        </is>
      </c>
      <c r="B195" s="22" t="inlineStr">
        <is>
          <t>934</t>
        </is>
      </c>
      <c r="C195" s="10" t="n">
        <v>1</v>
      </c>
      <c r="D195" s="10" t="n">
        <v>3.85</v>
      </c>
      <c r="E195" s="10" t="n">
        <v>3.85</v>
      </c>
      <c r="F195" s="10" t="n">
        <v>300</v>
      </c>
      <c r="G195" s="10" t="n">
        <v>400</v>
      </c>
      <c r="H195" s="15" t="n">
        <v>300</v>
      </c>
      <c r="I195" s="15" t="n">
        <v>400</v>
      </c>
      <c r="J195" s="16" t="n">
        <v>47.4979</v>
      </c>
      <c r="K195" s="10" t="inlineStr">
        <is>
          <t>934</t>
        </is>
      </c>
      <c r="L195" s="16" t="n">
        <v>39.7104</v>
      </c>
      <c r="M195" s="10" t="inlineStr">
        <is>
          <t>934</t>
        </is>
      </c>
      <c r="N195" s="16" t="n">
        <v>28.96</v>
      </c>
      <c r="O195" s="16" t="n">
        <v>114.781</v>
      </c>
      <c r="P195" s="10" t="inlineStr">
        <is>
          <t>934</t>
        </is>
      </c>
      <c r="Q195" s="16" t="n">
        <v>0.4482</v>
      </c>
      <c r="R195" s="10">
        <f>MAX(MAX(1.4/'Parametros'!$B$3,0.25*SQRT('Parametros'!$B$2)/'Parametros'!$B$3)*H195*U195,(0.85*'Parametros'!$B$2/'Parametros'!$B$3)*(1-SQRT(1-2*(J195*1000000/('Parametros'!$B$5*H195*U195^2))/(0.85*'Parametros'!$B$2)))*H195*U195)</f>
        <v>379.168946902839</v>
      </c>
      <c r="S195" s="17" t="n">
        <v>2</v>
      </c>
      <c r="T195" s="18" t="n">
        <v>1</v>
      </c>
      <c r="U195" s="10">
        <f>IF(T195=1,I195-('Parametros'!$B$7+'Parametros'!$B$9+'Parametros'!$B$12/2),I195-(ROUNDUP(S195/2,0)*('Parametros'!$B$7+'Parametros'!$B$9+'Parametros'!$B$12/2)+ROUNDDOWN(S195/2,0)*('Parametros'!$B$7+'Parametros'!$B$9+'Parametros'!$B$12/2+'Parametros'!$B$12+'Parametros'!$B$10))/S195)</f>
        <v>342.55</v>
      </c>
      <c r="V195" s="10">
        <f>S195*'Parametros'!$B$8</f>
        <v>398</v>
      </c>
      <c r="W195" s="10">
        <f>'Parametros'!$B$5*V195*'Parametros'!$B$3*(U195-(V195*'Parametros'!$B$3/(0.85*'Parametros'!$B$2*H195))/2)/1000000</f>
        <v>49.7735124352941</v>
      </c>
      <c r="X195" s="10" t="str">
        <f>IF(W195&gt;=J195,"CUMPLE","NO CUMPLE")</f>
        <v>CUMPLE</v>
      </c>
      <c r="Y195" s="10">
        <f>MAX(MAX(1.4/'Parametros'!$B$3,0.25*SQRT('Parametros'!$B$2)/'Parametros'!$B$3)*H195*AB195,(0.85*'Parametros'!$B$2/'Parametros'!$B$3)*(1-SQRT(1-2*(L195*1000000/('Parametros'!$B$5*H195*AB195^2))/(0.85*'Parametros'!$B$2)))*H195*AB195)</f>
        <v>342.55</v>
      </c>
      <c r="Z195" s="17" t="n">
        <v>2</v>
      </c>
      <c r="AA195" s="18" t="n">
        <v>1</v>
      </c>
      <c r="AB195" s="10">
        <f>IF(AA195=1,I195-('Parametros'!$B$7+'Parametros'!$B$9+'Parametros'!$B$12/2),I195-(ROUNDUP(Z195/2,0)*('Parametros'!$B$7+'Parametros'!$B$9+'Parametros'!$B$12/2)+ROUNDDOWN(Z195/2,0)*('Parametros'!$B$7+'Parametros'!$B$9+'Parametros'!$B$12/2+'Parametros'!$B$12+'Parametros'!$B$10))/Z195)</f>
        <v>342.55</v>
      </c>
      <c r="AC195" s="10">
        <f>Z195*'Parametros'!$B$8</f>
        <v>398</v>
      </c>
      <c r="AD195" s="10">
        <f>'Parametros'!$B$5*AC195*'Parametros'!$B$3*(AB195-(AC195*'Parametros'!$B$3/(0.85*'Parametros'!$B$2*H195))/2)/1000000</f>
        <v>49.7735124352941</v>
      </c>
      <c r="AE195" s="10" t="str">
        <f>IF(AD195&gt;=L195,"CUMPLE","NO CUMPLE")</f>
        <v>CUMPLE</v>
      </c>
      <c r="AF195" s="10">
        <f>V195*1.25*'Parametros'!$B$3*(U195-(V195*1.25*'Parametros'!$B$3/(0.85*'Parametros'!$B$2*H195))/2)/1000000</f>
        <v>68.5183923529412</v>
      </c>
      <c r="AG195" s="10">
        <f>AC195*1.25*'Parametros'!$B$3*(AB195-(AC195*1.25*'Parametros'!$B$3/(0.85*'Parametros'!$B$2*H195))/2)/1000000</f>
        <v>68.5183923529412</v>
      </c>
      <c r="AH195" s="10">
        <f>N195+(AF195+AG195)/D195</f>
        <v>64.553970053476</v>
      </c>
      <c r="AI195" s="10">
        <f>MIN(O195,MAX(N195,AH195))</f>
        <v>64.553970053476</v>
      </c>
      <c r="AJ195" s="10">
        <f>0.17*SQRT('Parametros'!$B$2)*H195*MIN(U195,AB195)/1000</f>
        <v>92.4428153837279</v>
      </c>
      <c r="AK195" s="10">
        <f>MAX(AI195/'Parametros'!$B$6-AJ195,0)</f>
        <v>0</v>
      </c>
      <c r="AL195" s="10">
        <f>0.66*SQRT('Parametros'!$B$2)*H195*MIN(U195,AB195)/1000</f>
        <v>358.89563619565</v>
      </c>
      <c r="AM195" s="10" t="str">
        <f>IF(AK195&lt;=AL195,"CUMPLE","NO CUMPLE")</f>
        <v>CUMPLE</v>
      </c>
      <c r="AN195" s="15" t="inlineStr">
        <is>
          <t>Nº3 cerrado</t>
        </is>
      </c>
      <c r="AO195" s="17" t="n">
        <v>2</v>
      </c>
      <c r="AP195" s="10">
        <f>ROUNDDOWN(MIN(IF(AK195=0,1000000000,AO195*'Parametros'!$B$11*'Parametros'!$B$4*MIN(U195,AB195)/(AK195*1000)),IF(AV195=0,1000000000,'Parametros'!$B$11/AV195),MIN(U195,AB195)/4,8*'Parametros'!$B$12,24*'Parametros'!$B$9,300)/10,0)*10</f>
        <v>80</v>
      </c>
      <c r="AQ195" s="10">
        <f>ROUNDDOWN(MIN(IF(AK195=0,1000000000,AO195*'Parametros'!$B$11*'Parametros'!$B$4*MIN(U195,AB195)/(AK195*1000)),IF(AV195=0,1000000000,'Parametros'!$B$11/AV195),MIN(U195,AB195)/2,600)/10,0)*10</f>
        <v>170</v>
      </c>
      <c r="AR195" s="10">
        <f>'Parametros'!$B$6*(AJ195+AO195*'Parametros'!$B$11*'Parametros'!$B$4*MIN(U195,AB195)/AP195/1000)</f>
        <v>260.860380287796</v>
      </c>
      <c r="AS195" s="10" t="str">
        <f>IF(AND(AM195="CUMPLE",AR195&gt;=AI195),"CUMPLE","NO CUMPLE")</f>
        <v>CUMPLE</v>
      </c>
      <c r="AT195" s="10">
        <f>'Parametros'!$B$6*0.083*SQRT('Parametros'!$B$2)*(H195*I195)^2/(2*(H195+I195))/1000000</f>
        <v>3.38807353605471</v>
      </c>
      <c r="AU195" s="10" t="str">
        <f>IF(Q195&lt;=AT195,"DESPRECIABLE","DISEÑAR")</f>
        <v>DESPRECIABLE</v>
      </c>
      <c r="AV195" s="10">
        <f>IF(Q195&lt;=AT195,0,Q195*1000000/('Parametros'!$B$6*2*0.85*(H195-2*'Parametros'!$B$7)*(I195-2*'Parametros'!$B$7)*'Parametros'!$B$4))</f>
        <v>0</v>
      </c>
      <c r="AW195" s="10">
        <f>AV195*2*((H195-2*'Parametros'!$B$7)+(I195-2*'Parametros'!$B$7))*'Parametros'!$B$4/'Parametros'!$B$3</f>
        <v>0</v>
      </c>
      <c r="AX195" s="17" t="n">
        <v>0</v>
      </c>
      <c r="AY195" s="10" t="str">
        <f>IF(AV195=0,"DESPRECIABLE",IF('Parametros'!$B$11/AP195&gt;=AV195,"CUMPLE","NO CUMPLE"))</f>
        <v>DESPRECIABLE</v>
      </c>
      <c r="AZ195" s="10" t="str">
        <f>IF(AND(X195="CUMPLE",AE195="CUMPLE",AS195="CUMPLE",OR(AY195="CUMPLE",AY195="DESPRECIABLE")),IF(OR(F195&lt;&gt;H195,G195&lt;&gt;I195),"CUMPLE - REANALIZAR SAP","CUMPLE"),"NO CUMPLE")</f>
        <v>CUMPLE</v>
      </c>
    </row>
    <row r="196">
      <c r="A196" s="22" t="inlineStr">
        <is>
          <t>VC6</t>
        </is>
      </c>
      <c r="B196" s="22" t="inlineStr">
        <is>
          <t>1013</t>
        </is>
      </c>
      <c r="C196" s="10" t="n">
        <v>1</v>
      </c>
      <c r="D196" s="10" t="n">
        <v>3.85</v>
      </c>
      <c r="E196" s="10" t="n">
        <v>3.85</v>
      </c>
      <c r="F196" s="10" t="n">
        <v>300</v>
      </c>
      <c r="G196" s="10" t="n">
        <v>400</v>
      </c>
      <c r="H196" s="15" t="n">
        <v>300</v>
      </c>
      <c r="I196" s="15" t="n">
        <v>400</v>
      </c>
      <c r="J196" s="16" t="n">
        <v>27.6489</v>
      </c>
      <c r="K196" s="10" t="inlineStr">
        <is>
          <t>1013</t>
        </is>
      </c>
      <c r="L196" s="16" t="n">
        <v>19.8036</v>
      </c>
      <c r="M196" s="10" t="inlineStr">
        <is>
          <t>1013</t>
        </is>
      </c>
      <c r="N196" s="16" t="n">
        <v>18.693</v>
      </c>
      <c r="O196" s="16" t="n">
        <v>64.361</v>
      </c>
      <c r="P196" s="10" t="inlineStr">
        <is>
          <t>1013</t>
        </is>
      </c>
      <c r="Q196" s="16" t="n">
        <v>0.4244</v>
      </c>
      <c r="R196" s="10">
        <f>MAX(MAX(1.4/'Parametros'!$B$3,0.25*SQRT('Parametros'!$B$2)/'Parametros'!$B$3)*H196*U196,(0.85*'Parametros'!$B$2/'Parametros'!$B$3)*(1-SQRT(1-2*(J196*1000000/('Parametros'!$B$5*H196*U196^2))/(0.85*'Parametros'!$B$2)))*H196*U196)</f>
        <v>342.55</v>
      </c>
      <c r="S196" s="17" t="n">
        <v>2</v>
      </c>
      <c r="T196" s="18" t="n">
        <v>1</v>
      </c>
      <c r="U196" s="10">
        <f>IF(T196=1,I196-('Parametros'!$B$7+'Parametros'!$B$9+'Parametros'!$B$12/2),I196-(ROUNDUP(S196/2,0)*('Parametros'!$B$7+'Parametros'!$B$9+'Parametros'!$B$12/2)+ROUNDDOWN(S196/2,0)*('Parametros'!$B$7+'Parametros'!$B$9+'Parametros'!$B$12/2+'Parametros'!$B$12+'Parametros'!$B$10))/S196)</f>
        <v>342.55</v>
      </c>
      <c r="V196" s="10">
        <f>S196*'Parametros'!$B$8</f>
        <v>398</v>
      </c>
      <c r="W196" s="10">
        <f>'Parametros'!$B$5*V196*'Parametros'!$B$3*(U196-(V196*'Parametros'!$B$3/(0.85*'Parametros'!$B$2*H196))/2)/1000000</f>
        <v>49.7735124352941</v>
      </c>
      <c r="X196" s="10" t="str">
        <f>IF(W196&gt;=J196,"CUMPLE","NO CUMPLE")</f>
        <v>CUMPLE</v>
      </c>
      <c r="Y196" s="10">
        <f>MAX(MAX(1.4/'Parametros'!$B$3,0.25*SQRT('Parametros'!$B$2)/'Parametros'!$B$3)*H196*AB196,(0.85*'Parametros'!$B$2/'Parametros'!$B$3)*(1-SQRT(1-2*(L196*1000000/('Parametros'!$B$5*H196*AB196^2))/(0.85*'Parametros'!$B$2)))*H196*AB196)</f>
        <v>342.55</v>
      </c>
      <c r="Z196" s="17" t="n">
        <v>2</v>
      </c>
      <c r="AA196" s="18" t="n">
        <v>1</v>
      </c>
      <c r="AB196" s="10">
        <f>IF(AA196=1,I196-('Parametros'!$B$7+'Parametros'!$B$9+'Parametros'!$B$12/2),I196-(ROUNDUP(Z196/2,0)*('Parametros'!$B$7+'Parametros'!$B$9+'Parametros'!$B$12/2)+ROUNDDOWN(Z196/2,0)*('Parametros'!$B$7+'Parametros'!$B$9+'Parametros'!$B$12/2+'Parametros'!$B$12+'Parametros'!$B$10))/Z196)</f>
        <v>342.55</v>
      </c>
      <c r="AC196" s="10">
        <f>Z196*'Parametros'!$B$8</f>
        <v>398</v>
      </c>
      <c r="AD196" s="10">
        <f>'Parametros'!$B$5*AC196*'Parametros'!$B$3*(AB196-(AC196*'Parametros'!$B$3/(0.85*'Parametros'!$B$2*H196))/2)/1000000</f>
        <v>49.7735124352941</v>
      </c>
      <c r="AE196" s="10" t="str">
        <f>IF(AD196&gt;=L196,"CUMPLE","NO CUMPLE")</f>
        <v>CUMPLE</v>
      </c>
      <c r="AF196" s="10">
        <f>V196*1.25*'Parametros'!$B$3*(U196-(V196*1.25*'Parametros'!$B$3/(0.85*'Parametros'!$B$2*H196))/2)/1000000</f>
        <v>68.5183923529412</v>
      </c>
      <c r="AG196" s="10">
        <f>AC196*1.25*'Parametros'!$B$3*(AB196-(AC196*1.25*'Parametros'!$B$3/(0.85*'Parametros'!$B$2*H196))/2)/1000000</f>
        <v>68.5183923529412</v>
      </c>
      <c r="AH196" s="10">
        <f>N196+(AF196+AG196)/D196</f>
        <v>54.2869700534759</v>
      </c>
      <c r="AI196" s="10">
        <f>MIN(O196,MAX(N196,AH196))</f>
        <v>54.2869700534759</v>
      </c>
      <c r="AJ196" s="10">
        <f>0.17*SQRT('Parametros'!$B$2)*H196*MIN(U196,AB196)/1000</f>
        <v>92.4428153837279</v>
      </c>
      <c r="AK196" s="10">
        <f>MAX(AI196/'Parametros'!$B$6-AJ196,0)</f>
        <v>0</v>
      </c>
      <c r="AL196" s="10">
        <f>0.66*SQRT('Parametros'!$B$2)*H196*MIN(U196,AB196)/1000</f>
        <v>358.89563619565</v>
      </c>
      <c r="AM196" s="10" t="str">
        <f>IF(AK196&lt;=AL196,"CUMPLE","NO CUMPLE")</f>
        <v>CUMPLE</v>
      </c>
      <c r="AN196" s="15" t="inlineStr">
        <is>
          <t>Nº3 cerrado</t>
        </is>
      </c>
      <c r="AO196" s="17" t="n">
        <v>2</v>
      </c>
      <c r="AP196" s="10">
        <f>ROUNDDOWN(MIN(IF(AK196=0,1000000000,AO196*'Parametros'!$B$11*'Parametros'!$B$4*MIN(U196,AB196)/(AK196*1000)),IF(AV196=0,1000000000,'Parametros'!$B$11/AV196),MIN(U196,AB196)/4,8*'Parametros'!$B$12,24*'Parametros'!$B$9,300)/10,0)*10</f>
        <v>80</v>
      </c>
      <c r="AQ196" s="10">
        <f>ROUNDDOWN(MIN(IF(AK196=0,1000000000,AO196*'Parametros'!$B$11*'Parametros'!$B$4*MIN(U196,AB196)/(AK196*1000)),IF(AV196=0,1000000000,'Parametros'!$B$11/AV196),MIN(U196,AB196)/2,600)/10,0)*10</f>
        <v>170</v>
      </c>
      <c r="AR196" s="10">
        <f>'Parametros'!$B$6*(AJ196+AO196*'Parametros'!$B$11*'Parametros'!$B$4*MIN(U196,AB196)/AP196/1000)</f>
        <v>260.860380287796</v>
      </c>
      <c r="AS196" s="10" t="str">
        <f>IF(AND(AM196="CUMPLE",AR196&gt;=AI196),"CUMPLE","NO CUMPLE")</f>
        <v>CUMPLE</v>
      </c>
      <c r="AT196" s="10">
        <f>'Parametros'!$B$6*0.083*SQRT('Parametros'!$B$2)*(H196*I196)^2/(2*(H196+I196))/1000000</f>
        <v>3.38807353605471</v>
      </c>
      <c r="AU196" s="10" t="str">
        <f>IF(Q196&lt;=AT196,"DESPRECIABLE","DISEÑAR")</f>
        <v>DESPRECIABLE</v>
      </c>
      <c r="AV196" s="10">
        <f>IF(Q196&lt;=AT196,0,Q196*1000000/('Parametros'!$B$6*2*0.85*(H196-2*'Parametros'!$B$7)*(I196-2*'Parametros'!$B$7)*'Parametros'!$B$4))</f>
        <v>0</v>
      </c>
      <c r="AW196" s="10">
        <f>AV196*2*((H196-2*'Parametros'!$B$7)+(I196-2*'Parametros'!$B$7))*'Parametros'!$B$4/'Parametros'!$B$3</f>
        <v>0</v>
      </c>
      <c r="AX196" s="17" t="n">
        <v>0</v>
      </c>
      <c r="AY196" s="10" t="str">
        <f>IF(AV196=0,"DESPRECIABLE",IF('Parametros'!$B$11/AP196&gt;=AV196,"CUMPLE","NO CUMPLE"))</f>
        <v>DESPRECIABLE</v>
      </c>
      <c r="AZ196" s="10" t="str">
        <f>IF(AND(X196="CUMPLE",AE196="CUMPLE",AS196="CUMPLE",OR(AY196="CUMPLE",AY196="DESPRECIABLE")),IF(OR(F196&lt;&gt;H196,G196&lt;&gt;I196),"CUMPLE - REANALIZAR SAP","CUMPLE"),"NO CUMPLE")</f>
        <v>CUMPLE</v>
      </c>
    </row>
    <row r="197">
      <c r="A197" s="22" t="inlineStr">
        <is>
          <t>VC6</t>
        </is>
      </c>
      <c r="B197" s="22" t="inlineStr">
        <is>
          <t>1014</t>
        </is>
      </c>
      <c r="C197" s="10" t="n">
        <v>1</v>
      </c>
      <c r="D197" s="10" t="n">
        <v>3.9</v>
      </c>
      <c r="E197" s="10" t="n">
        <v>3.9</v>
      </c>
      <c r="F197" s="10" t="n">
        <v>300</v>
      </c>
      <c r="G197" s="10" t="n">
        <v>400</v>
      </c>
      <c r="H197" s="15" t="n">
        <v>300</v>
      </c>
      <c r="I197" s="15" t="n">
        <v>400</v>
      </c>
      <c r="J197" s="16" t="n">
        <v>32.6146</v>
      </c>
      <c r="K197" s="10" t="inlineStr">
        <is>
          <t>1014</t>
        </is>
      </c>
      <c r="L197" s="16" t="n">
        <v>21.3848</v>
      </c>
      <c r="M197" s="10" t="inlineStr">
        <is>
          <t>1014</t>
        </is>
      </c>
      <c r="N197" s="16" t="n">
        <v>21.603</v>
      </c>
      <c r="O197" s="16" t="n">
        <v>73.616</v>
      </c>
      <c r="P197" s="10" t="inlineStr">
        <is>
          <t>1014</t>
        </is>
      </c>
      <c r="Q197" s="16" t="n">
        <v>1.9159</v>
      </c>
      <c r="R197" s="10">
        <f>MAX(MAX(1.4/'Parametros'!$B$3,0.25*SQRT('Parametros'!$B$2)/'Parametros'!$B$3)*H197*U197,(0.85*'Parametros'!$B$2/'Parametros'!$B$3)*(1-SQRT(1-2*(J197*1000000/('Parametros'!$B$5*H197*U197^2))/(0.85*'Parametros'!$B$2)))*H197*U197)</f>
        <v>342.55</v>
      </c>
      <c r="S197" s="17" t="n">
        <v>2</v>
      </c>
      <c r="T197" s="18" t="n">
        <v>1</v>
      </c>
      <c r="U197" s="10">
        <f>IF(T197=1,I197-('Parametros'!$B$7+'Parametros'!$B$9+'Parametros'!$B$12/2),I197-(ROUNDUP(S197/2,0)*('Parametros'!$B$7+'Parametros'!$B$9+'Parametros'!$B$12/2)+ROUNDDOWN(S197/2,0)*('Parametros'!$B$7+'Parametros'!$B$9+'Parametros'!$B$12/2+'Parametros'!$B$12+'Parametros'!$B$10))/S197)</f>
        <v>342.55</v>
      </c>
      <c r="V197" s="10">
        <f>S197*'Parametros'!$B$8</f>
        <v>398</v>
      </c>
      <c r="W197" s="10">
        <f>'Parametros'!$B$5*V197*'Parametros'!$B$3*(U197-(V197*'Parametros'!$B$3/(0.85*'Parametros'!$B$2*H197))/2)/1000000</f>
        <v>49.7735124352941</v>
      </c>
      <c r="X197" s="10" t="str">
        <f>IF(W197&gt;=J197,"CUMPLE","NO CUMPLE")</f>
        <v>CUMPLE</v>
      </c>
      <c r="Y197" s="10">
        <f>MAX(MAX(1.4/'Parametros'!$B$3,0.25*SQRT('Parametros'!$B$2)/'Parametros'!$B$3)*H197*AB197,(0.85*'Parametros'!$B$2/'Parametros'!$B$3)*(1-SQRT(1-2*(L197*1000000/('Parametros'!$B$5*H197*AB197^2))/(0.85*'Parametros'!$B$2)))*H197*AB197)</f>
        <v>342.55</v>
      </c>
      <c r="Z197" s="17" t="n">
        <v>2</v>
      </c>
      <c r="AA197" s="18" t="n">
        <v>1</v>
      </c>
      <c r="AB197" s="10">
        <f>IF(AA197=1,I197-('Parametros'!$B$7+'Parametros'!$B$9+'Parametros'!$B$12/2),I197-(ROUNDUP(Z197/2,0)*('Parametros'!$B$7+'Parametros'!$B$9+'Parametros'!$B$12/2)+ROUNDDOWN(Z197/2,0)*('Parametros'!$B$7+'Parametros'!$B$9+'Parametros'!$B$12/2+'Parametros'!$B$12+'Parametros'!$B$10))/Z197)</f>
        <v>342.55</v>
      </c>
      <c r="AC197" s="10">
        <f>Z197*'Parametros'!$B$8</f>
        <v>398</v>
      </c>
      <c r="AD197" s="10">
        <f>'Parametros'!$B$5*AC197*'Parametros'!$B$3*(AB197-(AC197*'Parametros'!$B$3/(0.85*'Parametros'!$B$2*H197))/2)/1000000</f>
        <v>49.7735124352941</v>
      </c>
      <c r="AE197" s="10" t="str">
        <f>IF(AD197&gt;=L197,"CUMPLE","NO CUMPLE")</f>
        <v>CUMPLE</v>
      </c>
      <c r="AF197" s="10">
        <f>V197*1.25*'Parametros'!$B$3*(U197-(V197*1.25*'Parametros'!$B$3/(0.85*'Parametros'!$B$2*H197))/2)/1000000</f>
        <v>68.5183923529412</v>
      </c>
      <c r="AG197" s="10">
        <f>AC197*1.25*'Parametros'!$B$3*(AB197-(AC197*1.25*'Parametros'!$B$3/(0.85*'Parametros'!$B$2*H197))/2)/1000000</f>
        <v>68.5183923529412</v>
      </c>
      <c r="AH197" s="10">
        <f>N197+(AF197+AG197)/D197</f>
        <v>56.7406371040724</v>
      </c>
      <c r="AI197" s="10">
        <f>MIN(O197,MAX(N197,AH197))</f>
        <v>56.7406371040724</v>
      </c>
      <c r="AJ197" s="10">
        <f>0.17*SQRT('Parametros'!$B$2)*H197*MIN(U197,AB197)/1000</f>
        <v>92.4428153837279</v>
      </c>
      <c r="AK197" s="10">
        <f>MAX(AI197/'Parametros'!$B$6-AJ197,0)</f>
        <v>0</v>
      </c>
      <c r="AL197" s="10">
        <f>0.66*SQRT('Parametros'!$B$2)*H197*MIN(U197,AB197)/1000</f>
        <v>358.89563619565</v>
      </c>
      <c r="AM197" s="10" t="str">
        <f>IF(AK197&lt;=AL197,"CUMPLE","NO CUMPLE")</f>
        <v>CUMPLE</v>
      </c>
      <c r="AN197" s="15" t="inlineStr">
        <is>
          <t>Nº3 cerrado</t>
        </is>
      </c>
      <c r="AO197" s="17" t="n">
        <v>2</v>
      </c>
      <c r="AP197" s="10">
        <f>ROUNDDOWN(MIN(IF(AK197=0,1000000000,AO197*'Parametros'!$B$11*'Parametros'!$B$4*MIN(U197,AB197)/(AK197*1000)),IF(AV197=0,1000000000,'Parametros'!$B$11/AV197),MIN(U197,AB197)/4,8*'Parametros'!$B$12,24*'Parametros'!$B$9,300)/10,0)*10</f>
        <v>80</v>
      </c>
      <c r="AQ197" s="10">
        <f>ROUNDDOWN(MIN(IF(AK197=0,1000000000,AO197*'Parametros'!$B$11*'Parametros'!$B$4*MIN(U197,AB197)/(AK197*1000)),IF(AV197=0,1000000000,'Parametros'!$B$11/AV197),MIN(U197,AB197)/2,600)/10,0)*10</f>
        <v>170</v>
      </c>
      <c r="AR197" s="10">
        <f>'Parametros'!$B$6*(AJ197+AO197*'Parametros'!$B$11*'Parametros'!$B$4*MIN(U197,AB197)/AP197/1000)</f>
        <v>260.860380287796</v>
      </c>
      <c r="AS197" s="10" t="str">
        <f>IF(AND(AM197="CUMPLE",AR197&gt;=AI197),"CUMPLE","NO CUMPLE")</f>
        <v>CUMPLE</v>
      </c>
      <c r="AT197" s="10">
        <f>'Parametros'!$B$6*0.083*SQRT('Parametros'!$B$2)*(H197*I197)^2/(2*(H197+I197))/1000000</f>
        <v>3.38807353605471</v>
      </c>
      <c r="AU197" s="10" t="str">
        <f>IF(Q197&lt;=AT197,"DESPRECIABLE","DISEÑAR")</f>
        <v>DESPRECIABLE</v>
      </c>
      <c r="AV197" s="10">
        <f>IF(Q197&lt;=AT197,0,Q197*1000000/('Parametros'!$B$6*2*0.85*(H197-2*'Parametros'!$B$7)*(I197-2*'Parametros'!$B$7)*'Parametros'!$B$4))</f>
        <v>0</v>
      </c>
      <c r="AW197" s="10">
        <f>AV197*2*((H197-2*'Parametros'!$B$7)+(I197-2*'Parametros'!$B$7))*'Parametros'!$B$4/'Parametros'!$B$3</f>
        <v>0</v>
      </c>
      <c r="AX197" s="17" t="n">
        <v>0</v>
      </c>
      <c r="AY197" s="10" t="str">
        <f>IF(AV197=0,"DESPRECIABLE",IF('Parametros'!$B$11/AP197&gt;=AV197,"CUMPLE","NO CUMPLE"))</f>
        <v>DESPRECIABLE</v>
      </c>
      <c r="AZ197" s="10" t="str">
        <f>IF(AND(X197="CUMPLE",AE197="CUMPLE",AS197="CUMPLE",OR(AY197="CUMPLE",AY197="DESPRECIABLE")),IF(OR(F197&lt;&gt;H197,G197&lt;&gt;I197),"CUMPLE - REANALIZAR SAP","CUMPLE"),"NO CUMPLE")</f>
        <v>CUMPLE</v>
      </c>
    </row>
    <row r="198">
      <c r="A198" s="22" t="inlineStr">
        <is>
          <t>VC6</t>
        </is>
      </c>
      <c r="B198" s="22" t="inlineStr">
        <is>
          <t>1015</t>
        </is>
      </c>
      <c r="C198" s="10" t="n">
        <v>1</v>
      </c>
      <c r="D198" s="10" t="n">
        <v>3.9</v>
      </c>
      <c r="E198" s="10" t="n">
        <v>3.9</v>
      </c>
      <c r="F198" s="10" t="n">
        <v>300</v>
      </c>
      <c r="G198" s="10" t="n">
        <v>400</v>
      </c>
      <c r="H198" s="15" t="n">
        <v>300</v>
      </c>
      <c r="I198" s="15" t="n">
        <v>400</v>
      </c>
      <c r="J198" s="16" t="n">
        <v>32.5916</v>
      </c>
      <c r="K198" s="10" t="inlineStr">
        <is>
          <t>1015</t>
        </is>
      </c>
      <c r="L198" s="16" t="n">
        <v>21.3783</v>
      </c>
      <c r="M198" s="10" t="inlineStr">
        <is>
          <t>1015</t>
        </is>
      </c>
      <c r="N198" s="16" t="n">
        <v>21.59</v>
      </c>
      <c r="O198" s="16" t="n">
        <v>73.605</v>
      </c>
      <c r="P198" s="10" t="inlineStr">
        <is>
          <t>1015</t>
        </is>
      </c>
      <c r="Q198" s="16" t="n">
        <v>1.915</v>
      </c>
      <c r="R198" s="10">
        <f>MAX(MAX(1.4/'Parametros'!$B$3,0.25*SQRT('Parametros'!$B$2)/'Parametros'!$B$3)*H198*U198,(0.85*'Parametros'!$B$2/'Parametros'!$B$3)*(1-SQRT(1-2*(J198*1000000/('Parametros'!$B$5*H198*U198^2))/(0.85*'Parametros'!$B$2)))*H198*U198)</f>
        <v>342.55</v>
      </c>
      <c r="S198" s="17" t="n">
        <v>2</v>
      </c>
      <c r="T198" s="18" t="n">
        <v>1</v>
      </c>
      <c r="U198" s="10">
        <f>IF(T198=1,I198-('Parametros'!$B$7+'Parametros'!$B$9+'Parametros'!$B$12/2),I198-(ROUNDUP(S198/2,0)*('Parametros'!$B$7+'Parametros'!$B$9+'Parametros'!$B$12/2)+ROUNDDOWN(S198/2,0)*('Parametros'!$B$7+'Parametros'!$B$9+'Parametros'!$B$12/2+'Parametros'!$B$12+'Parametros'!$B$10))/S198)</f>
        <v>342.55</v>
      </c>
      <c r="V198" s="10">
        <f>S198*'Parametros'!$B$8</f>
        <v>398</v>
      </c>
      <c r="W198" s="10">
        <f>'Parametros'!$B$5*V198*'Parametros'!$B$3*(U198-(V198*'Parametros'!$B$3/(0.85*'Parametros'!$B$2*H198))/2)/1000000</f>
        <v>49.7735124352941</v>
      </c>
      <c r="X198" s="10" t="str">
        <f>IF(W198&gt;=J198,"CUMPLE","NO CUMPLE")</f>
        <v>CUMPLE</v>
      </c>
      <c r="Y198" s="10">
        <f>MAX(MAX(1.4/'Parametros'!$B$3,0.25*SQRT('Parametros'!$B$2)/'Parametros'!$B$3)*H198*AB198,(0.85*'Parametros'!$B$2/'Parametros'!$B$3)*(1-SQRT(1-2*(L198*1000000/('Parametros'!$B$5*H198*AB198^2))/(0.85*'Parametros'!$B$2)))*H198*AB198)</f>
        <v>342.55</v>
      </c>
      <c r="Z198" s="17" t="n">
        <v>2</v>
      </c>
      <c r="AA198" s="18" t="n">
        <v>1</v>
      </c>
      <c r="AB198" s="10">
        <f>IF(AA198=1,I198-('Parametros'!$B$7+'Parametros'!$B$9+'Parametros'!$B$12/2),I198-(ROUNDUP(Z198/2,0)*('Parametros'!$B$7+'Parametros'!$B$9+'Parametros'!$B$12/2)+ROUNDDOWN(Z198/2,0)*('Parametros'!$B$7+'Parametros'!$B$9+'Parametros'!$B$12/2+'Parametros'!$B$12+'Parametros'!$B$10))/Z198)</f>
        <v>342.55</v>
      </c>
      <c r="AC198" s="10">
        <f>Z198*'Parametros'!$B$8</f>
        <v>398</v>
      </c>
      <c r="AD198" s="10">
        <f>'Parametros'!$B$5*AC198*'Parametros'!$B$3*(AB198-(AC198*'Parametros'!$B$3/(0.85*'Parametros'!$B$2*H198))/2)/1000000</f>
        <v>49.7735124352941</v>
      </c>
      <c r="AE198" s="10" t="str">
        <f>IF(AD198&gt;=L198,"CUMPLE","NO CUMPLE")</f>
        <v>CUMPLE</v>
      </c>
      <c r="AF198" s="10">
        <f>V198*1.25*'Parametros'!$B$3*(U198-(V198*1.25*'Parametros'!$B$3/(0.85*'Parametros'!$B$2*H198))/2)/1000000</f>
        <v>68.5183923529412</v>
      </c>
      <c r="AG198" s="10">
        <f>AC198*1.25*'Parametros'!$B$3*(AB198-(AC198*1.25*'Parametros'!$B$3/(0.85*'Parametros'!$B$2*H198))/2)/1000000</f>
        <v>68.5183923529412</v>
      </c>
      <c r="AH198" s="10">
        <f>N198+(AF198+AG198)/D198</f>
        <v>56.7276371040724</v>
      </c>
      <c r="AI198" s="10">
        <f>MIN(O198,MAX(N198,AH198))</f>
        <v>56.7276371040724</v>
      </c>
      <c r="AJ198" s="10">
        <f>0.17*SQRT('Parametros'!$B$2)*H198*MIN(U198,AB198)/1000</f>
        <v>92.4428153837279</v>
      </c>
      <c r="AK198" s="10">
        <f>MAX(AI198/'Parametros'!$B$6-AJ198,0)</f>
        <v>0</v>
      </c>
      <c r="AL198" s="10">
        <f>0.66*SQRT('Parametros'!$B$2)*H198*MIN(U198,AB198)/1000</f>
        <v>358.89563619565</v>
      </c>
      <c r="AM198" s="10" t="str">
        <f>IF(AK198&lt;=AL198,"CUMPLE","NO CUMPLE")</f>
        <v>CUMPLE</v>
      </c>
      <c r="AN198" s="15" t="inlineStr">
        <is>
          <t>Nº3 cerrado</t>
        </is>
      </c>
      <c r="AO198" s="17" t="n">
        <v>2</v>
      </c>
      <c r="AP198" s="10">
        <f>ROUNDDOWN(MIN(IF(AK198=0,1000000000,AO198*'Parametros'!$B$11*'Parametros'!$B$4*MIN(U198,AB198)/(AK198*1000)),IF(AV198=0,1000000000,'Parametros'!$B$11/AV198),MIN(U198,AB198)/4,8*'Parametros'!$B$12,24*'Parametros'!$B$9,300)/10,0)*10</f>
        <v>80</v>
      </c>
      <c r="AQ198" s="10">
        <f>ROUNDDOWN(MIN(IF(AK198=0,1000000000,AO198*'Parametros'!$B$11*'Parametros'!$B$4*MIN(U198,AB198)/(AK198*1000)),IF(AV198=0,1000000000,'Parametros'!$B$11/AV198),MIN(U198,AB198)/2,600)/10,0)*10</f>
        <v>170</v>
      </c>
      <c r="AR198" s="10">
        <f>'Parametros'!$B$6*(AJ198+AO198*'Parametros'!$B$11*'Parametros'!$B$4*MIN(U198,AB198)/AP198/1000)</f>
        <v>260.860380287796</v>
      </c>
      <c r="AS198" s="10" t="str">
        <f>IF(AND(AM198="CUMPLE",AR198&gt;=AI198),"CUMPLE","NO CUMPLE")</f>
        <v>CUMPLE</v>
      </c>
      <c r="AT198" s="10">
        <f>'Parametros'!$B$6*0.083*SQRT('Parametros'!$B$2)*(H198*I198)^2/(2*(H198+I198))/1000000</f>
        <v>3.38807353605471</v>
      </c>
      <c r="AU198" s="10" t="str">
        <f>IF(Q198&lt;=AT198,"DESPRECIABLE","DISEÑAR")</f>
        <v>DESPRECIABLE</v>
      </c>
      <c r="AV198" s="10">
        <f>IF(Q198&lt;=AT198,0,Q198*1000000/('Parametros'!$B$6*2*0.85*(H198-2*'Parametros'!$B$7)*(I198-2*'Parametros'!$B$7)*'Parametros'!$B$4))</f>
        <v>0</v>
      </c>
      <c r="AW198" s="10">
        <f>AV198*2*((H198-2*'Parametros'!$B$7)+(I198-2*'Parametros'!$B$7))*'Parametros'!$B$4/'Parametros'!$B$3</f>
        <v>0</v>
      </c>
      <c r="AX198" s="17" t="n">
        <v>0</v>
      </c>
      <c r="AY198" s="10" t="str">
        <f>IF(AV198=0,"DESPRECIABLE",IF('Parametros'!$B$11/AP198&gt;=AV198,"CUMPLE","NO CUMPLE"))</f>
        <v>DESPRECIABLE</v>
      </c>
      <c r="AZ198" s="10" t="str">
        <f>IF(AND(X198="CUMPLE",AE198="CUMPLE",AS198="CUMPLE",OR(AY198="CUMPLE",AY198="DESPRECIABLE")),IF(OR(F198&lt;&gt;H198,G198&lt;&gt;I198),"CUMPLE - REANALIZAR SAP","CUMPLE"),"NO CUMPLE")</f>
        <v>CUMPLE</v>
      </c>
    </row>
    <row r="199">
      <c r="A199" s="22" t="inlineStr">
        <is>
          <t>VC6</t>
        </is>
      </c>
      <c r="B199" s="22" t="inlineStr">
        <is>
          <t>1016</t>
        </is>
      </c>
      <c r="C199" s="10" t="n">
        <v>1</v>
      </c>
      <c r="D199" s="10" t="n">
        <v>3.85</v>
      </c>
      <c r="E199" s="10" t="n">
        <v>3.85</v>
      </c>
      <c r="F199" s="10" t="n">
        <v>300</v>
      </c>
      <c r="G199" s="10" t="n">
        <v>400</v>
      </c>
      <c r="H199" s="15" t="n">
        <v>300</v>
      </c>
      <c r="I199" s="15" t="n">
        <v>400</v>
      </c>
      <c r="J199" s="16" t="n">
        <v>27.6664</v>
      </c>
      <c r="K199" s="10" t="inlineStr">
        <is>
          <t>1016</t>
        </is>
      </c>
      <c r="L199" s="16" t="n">
        <v>19.812</v>
      </c>
      <c r="M199" s="10" t="inlineStr">
        <is>
          <t>1016</t>
        </is>
      </c>
      <c r="N199" s="16" t="n">
        <v>18.702</v>
      </c>
      <c r="O199" s="16" t="n">
        <v>64.37</v>
      </c>
      <c r="P199" s="10" t="inlineStr">
        <is>
          <t>1016</t>
        </is>
      </c>
      <c r="Q199" s="16" t="n">
        <v>0.4253</v>
      </c>
      <c r="R199" s="10">
        <f>MAX(MAX(1.4/'Parametros'!$B$3,0.25*SQRT('Parametros'!$B$2)/'Parametros'!$B$3)*H199*U199,(0.85*'Parametros'!$B$2/'Parametros'!$B$3)*(1-SQRT(1-2*(J199*1000000/('Parametros'!$B$5*H199*U199^2))/(0.85*'Parametros'!$B$2)))*H199*U199)</f>
        <v>342.55</v>
      </c>
      <c r="S199" s="17" t="n">
        <v>2</v>
      </c>
      <c r="T199" s="18" t="n">
        <v>1</v>
      </c>
      <c r="U199" s="10">
        <f>IF(T199=1,I199-('Parametros'!$B$7+'Parametros'!$B$9+'Parametros'!$B$12/2),I199-(ROUNDUP(S199/2,0)*('Parametros'!$B$7+'Parametros'!$B$9+'Parametros'!$B$12/2)+ROUNDDOWN(S199/2,0)*('Parametros'!$B$7+'Parametros'!$B$9+'Parametros'!$B$12/2+'Parametros'!$B$12+'Parametros'!$B$10))/S199)</f>
        <v>342.55</v>
      </c>
      <c r="V199" s="10">
        <f>S199*'Parametros'!$B$8</f>
        <v>398</v>
      </c>
      <c r="W199" s="10">
        <f>'Parametros'!$B$5*V199*'Parametros'!$B$3*(U199-(V199*'Parametros'!$B$3/(0.85*'Parametros'!$B$2*H199))/2)/1000000</f>
        <v>49.7735124352941</v>
      </c>
      <c r="X199" s="10" t="str">
        <f>IF(W199&gt;=J199,"CUMPLE","NO CUMPLE")</f>
        <v>CUMPLE</v>
      </c>
      <c r="Y199" s="10">
        <f>MAX(MAX(1.4/'Parametros'!$B$3,0.25*SQRT('Parametros'!$B$2)/'Parametros'!$B$3)*H199*AB199,(0.85*'Parametros'!$B$2/'Parametros'!$B$3)*(1-SQRT(1-2*(L199*1000000/('Parametros'!$B$5*H199*AB199^2))/(0.85*'Parametros'!$B$2)))*H199*AB199)</f>
        <v>342.55</v>
      </c>
      <c r="Z199" s="17" t="n">
        <v>2</v>
      </c>
      <c r="AA199" s="18" t="n">
        <v>1</v>
      </c>
      <c r="AB199" s="10">
        <f>IF(AA199=1,I199-('Parametros'!$B$7+'Parametros'!$B$9+'Parametros'!$B$12/2),I199-(ROUNDUP(Z199/2,0)*('Parametros'!$B$7+'Parametros'!$B$9+'Parametros'!$B$12/2)+ROUNDDOWN(Z199/2,0)*('Parametros'!$B$7+'Parametros'!$B$9+'Parametros'!$B$12/2+'Parametros'!$B$12+'Parametros'!$B$10))/Z199)</f>
        <v>342.55</v>
      </c>
      <c r="AC199" s="10">
        <f>Z199*'Parametros'!$B$8</f>
        <v>398</v>
      </c>
      <c r="AD199" s="10">
        <f>'Parametros'!$B$5*AC199*'Parametros'!$B$3*(AB199-(AC199*'Parametros'!$B$3/(0.85*'Parametros'!$B$2*H199))/2)/1000000</f>
        <v>49.7735124352941</v>
      </c>
      <c r="AE199" s="10" t="str">
        <f>IF(AD199&gt;=L199,"CUMPLE","NO CUMPLE")</f>
        <v>CUMPLE</v>
      </c>
      <c r="AF199" s="10">
        <f>V199*1.25*'Parametros'!$B$3*(U199-(V199*1.25*'Parametros'!$B$3/(0.85*'Parametros'!$B$2*H199))/2)/1000000</f>
        <v>68.5183923529412</v>
      </c>
      <c r="AG199" s="10">
        <f>AC199*1.25*'Parametros'!$B$3*(AB199-(AC199*1.25*'Parametros'!$B$3/(0.85*'Parametros'!$B$2*H199))/2)/1000000</f>
        <v>68.5183923529412</v>
      </c>
      <c r="AH199" s="10">
        <f>N199+(AF199+AG199)/D199</f>
        <v>54.2959700534759</v>
      </c>
      <c r="AI199" s="10">
        <f>MIN(O199,MAX(N199,AH199))</f>
        <v>54.2959700534759</v>
      </c>
      <c r="AJ199" s="10">
        <f>0.17*SQRT('Parametros'!$B$2)*H199*MIN(U199,AB199)/1000</f>
        <v>92.4428153837279</v>
      </c>
      <c r="AK199" s="10">
        <f>MAX(AI199/'Parametros'!$B$6-AJ199,0)</f>
        <v>0</v>
      </c>
      <c r="AL199" s="10">
        <f>0.66*SQRT('Parametros'!$B$2)*H199*MIN(U199,AB199)/1000</f>
        <v>358.89563619565</v>
      </c>
      <c r="AM199" s="10" t="str">
        <f>IF(AK199&lt;=AL199,"CUMPLE","NO CUMPLE")</f>
        <v>CUMPLE</v>
      </c>
      <c r="AN199" s="15" t="inlineStr">
        <is>
          <t>Nº3 cerrado</t>
        </is>
      </c>
      <c r="AO199" s="17" t="n">
        <v>2</v>
      </c>
      <c r="AP199" s="10">
        <f>ROUNDDOWN(MIN(IF(AK199=0,1000000000,AO199*'Parametros'!$B$11*'Parametros'!$B$4*MIN(U199,AB199)/(AK199*1000)),IF(AV199=0,1000000000,'Parametros'!$B$11/AV199),MIN(U199,AB199)/4,8*'Parametros'!$B$12,24*'Parametros'!$B$9,300)/10,0)*10</f>
        <v>80</v>
      </c>
      <c r="AQ199" s="10">
        <f>ROUNDDOWN(MIN(IF(AK199=0,1000000000,AO199*'Parametros'!$B$11*'Parametros'!$B$4*MIN(U199,AB199)/(AK199*1000)),IF(AV199=0,1000000000,'Parametros'!$B$11/AV199),MIN(U199,AB199)/2,600)/10,0)*10</f>
        <v>170</v>
      </c>
      <c r="AR199" s="10">
        <f>'Parametros'!$B$6*(AJ199+AO199*'Parametros'!$B$11*'Parametros'!$B$4*MIN(U199,AB199)/AP199/1000)</f>
        <v>260.860380287796</v>
      </c>
      <c r="AS199" s="10" t="str">
        <f>IF(AND(AM199="CUMPLE",AR199&gt;=AI199),"CUMPLE","NO CUMPLE")</f>
        <v>CUMPLE</v>
      </c>
      <c r="AT199" s="10">
        <f>'Parametros'!$B$6*0.083*SQRT('Parametros'!$B$2)*(H199*I199)^2/(2*(H199+I199))/1000000</f>
        <v>3.38807353605471</v>
      </c>
      <c r="AU199" s="10" t="str">
        <f>IF(Q199&lt;=AT199,"DESPRECIABLE","DISEÑAR")</f>
        <v>DESPRECIABLE</v>
      </c>
      <c r="AV199" s="10">
        <f>IF(Q199&lt;=AT199,0,Q199*1000000/('Parametros'!$B$6*2*0.85*(H199-2*'Parametros'!$B$7)*(I199-2*'Parametros'!$B$7)*'Parametros'!$B$4))</f>
        <v>0</v>
      </c>
      <c r="AW199" s="10">
        <f>AV199*2*((H199-2*'Parametros'!$B$7)+(I199-2*'Parametros'!$B$7))*'Parametros'!$B$4/'Parametros'!$B$3</f>
        <v>0</v>
      </c>
      <c r="AX199" s="17" t="n">
        <v>0</v>
      </c>
      <c r="AY199" s="10" t="str">
        <f>IF(AV199=0,"DESPRECIABLE",IF('Parametros'!$B$11/AP199&gt;=AV199,"CUMPLE","NO CUMPLE"))</f>
        <v>DESPRECIABLE</v>
      </c>
      <c r="AZ199" s="10" t="str">
        <f>IF(AND(X199="CUMPLE",AE199="CUMPLE",AS199="CUMPLE",OR(AY199="CUMPLE",AY199="DESPRECIABLE")),IF(OR(F199&lt;&gt;H199,G199&lt;&gt;I199),"CUMPLE - REANALIZAR SAP","CUMPLE"),"NO CUMPLE")</f>
        <v>CUMPLE</v>
      </c>
    </row>
    <row r="200">
      <c r="A200" s="22" t="inlineStr">
        <is>
          <t>VC6</t>
        </is>
      </c>
      <c r="B200" s="22" t="inlineStr">
        <is>
          <t>1025</t>
        </is>
      </c>
      <c r="C200" s="10" t="n">
        <v>1</v>
      </c>
      <c r="D200" s="10" t="n">
        <v>3.85</v>
      </c>
      <c r="E200" s="10" t="n">
        <v>3.85</v>
      </c>
      <c r="F200" s="10" t="n">
        <v>300</v>
      </c>
      <c r="G200" s="10" t="n">
        <v>400</v>
      </c>
      <c r="H200" s="15" t="n">
        <v>300</v>
      </c>
      <c r="I200" s="15" t="n">
        <v>400</v>
      </c>
      <c r="J200" s="16" t="n">
        <v>27.6649</v>
      </c>
      <c r="K200" s="10" t="inlineStr">
        <is>
          <t>1025</t>
        </is>
      </c>
      <c r="L200" s="16" t="n">
        <v>19.8141</v>
      </c>
      <c r="M200" s="10" t="inlineStr">
        <is>
          <t>1025</t>
        </is>
      </c>
      <c r="N200" s="16" t="n">
        <v>18.703</v>
      </c>
      <c r="O200" s="16" t="n">
        <v>64.378</v>
      </c>
      <c r="P200" s="10" t="inlineStr">
        <is>
          <t>1025</t>
        </is>
      </c>
      <c r="Q200" s="16" t="n">
        <v>0.4261</v>
      </c>
      <c r="R200" s="10">
        <f>MAX(MAX(1.4/'Parametros'!$B$3,0.25*SQRT('Parametros'!$B$2)/'Parametros'!$B$3)*H200*U200,(0.85*'Parametros'!$B$2/'Parametros'!$B$3)*(1-SQRT(1-2*(J200*1000000/('Parametros'!$B$5*H200*U200^2))/(0.85*'Parametros'!$B$2)))*H200*U200)</f>
        <v>342.55</v>
      </c>
      <c r="S200" s="17" t="n">
        <v>2</v>
      </c>
      <c r="T200" s="18" t="n">
        <v>1</v>
      </c>
      <c r="U200" s="10">
        <f>IF(T200=1,I200-('Parametros'!$B$7+'Parametros'!$B$9+'Parametros'!$B$12/2),I200-(ROUNDUP(S200/2,0)*('Parametros'!$B$7+'Parametros'!$B$9+'Parametros'!$B$12/2)+ROUNDDOWN(S200/2,0)*('Parametros'!$B$7+'Parametros'!$B$9+'Parametros'!$B$12/2+'Parametros'!$B$12+'Parametros'!$B$10))/S200)</f>
        <v>342.55</v>
      </c>
      <c r="V200" s="10">
        <f>S200*'Parametros'!$B$8</f>
        <v>398</v>
      </c>
      <c r="W200" s="10">
        <f>'Parametros'!$B$5*V200*'Parametros'!$B$3*(U200-(V200*'Parametros'!$B$3/(0.85*'Parametros'!$B$2*H200))/2)/1000000</f>
        <v>49.7735124352941</v>
      </c>
      <c r="X200" s="10" t="str">
        <f>IF(W200&gt;=J200,"CUMPLE","NO CUMPLE")</f>
        <v>CUMPLE</v>
      </c>
      <c r="Y200" s="10">
        <f>MAX(MAX(1.4/'Parametros'!$B$3,0.25*SQRT('Parametros'!$B$2)/'Parametros'!$B$3)*H200*AB200,(0.85*'Parametros'!$B$2/'Parametros'!$B$3)*(1-SQRT(1-2*(L200*1000000/('Parametros'!$B$5*H200*AB200^2))/(0.85*'Parametros'!$B$2)))*H200*AB200)</f>
        <v>342.55</v>
      </c>
      <c r="Z200" s="17" t="n">
        <v>2</v>
      </c>
      <c r="AA200" s="18" t="n">
        <v>1</v>
      </c>
      <c r="AB200" s="10">
        <f>IF(AA200=1,I200-('Parametros'!$B$7+'Parametros'!$B$9+'Parametros'!$B$12/2),I200-(ROUNDUP(Z200/2,0)*('Parametros'!$B$7+'Parametros'!$B$9+'Parametros'!$B$12/2)+ROUNDDOWN(Z200/2,0)*('Parametros'!$B$7+'Parametros'!$B$9+'Parametros'!$B$12/2+'Parametros'!$B$12+'Parametros'!$B$10))/Z200)</f>
        <v>342.55</v>
      </c>
      <c r="AC200" s="10">
        <f>Z200*'Parametros'!$B$8</f>
        <v>398</v>
      </c>
      <c r="AD200" s="10">
        <f>'Parametros'!$B$5*AC200*'Parametros'!$B$3*(AB200-(AC200*'Parametros'!$B$3/(0.85*'Parametros'!$B$2*H200))/2)/1000000</f>
        <v>49.7735124352941</v>
      </c>
      <c r="AE200" s="10" t="str">
        <f>IF(AD200&gt;=L200,"CUMPLE","NO CUMPLE")</f>
        <v>CUMPLE</v>
      </c>
      <c r="AF200" s="10">
        <f>V200*1.25*'Parametros'!$B$3*(U200-(V200*1.25*'Parametros'!$B$3/(0.85*'Parametros'!$B$2*H200))/2)/1000000</f>
        <v>68.5183923529412</v>
      </c>
      <c r="AG200" s="10">
        <f>AC200*1.25*'Parametros'!$B$3*(AB200-(AC200*1.25*'Parametros'!$B$3/(0.85*'Parametros'!$B$2*H200))/2)/1000000</f>
        <v>68.5183923529412</v>
      </c>
      <c r="AH200" s="10">
        <f>N200+(AF200+AG200)/D200</f>
        <v>54.2969700534759</v>
      </c>
      <c r="AI200" s="10">
        <f>MIN(O200,MAX(N200,AH200))</f>
        <v>54.2969700534759</v>
      </c>
      <c r="AJ200" s="10">
        <f>0.17*SQRT('Parametros'!$B$2)*H200*MIN(U200,AB200)/1000</f>
        <v>92.4428153837279</v>
      </c>
      <c r="AK200" s="10">
        <f>MAX(AI200/'Parametros'!$B$6-AJ200,0)</f>
        <v>0</v>
      </c>
      <c r="AL200" s="10">
        <f>0.66*SQRT('Parametros'!$B$2)*H200*MIN(U200,AB200)/1000</f>
        <v>358.89563619565</v>
      </c>
      <c r="AM200" s="10" t="str">
        <f>IF(AK200&lt;=AL200,"CUMPLE","NO CUMPLE")</f>
        <v>CUMPLE</v>
      </c>
      <c r="AN200" s="15" t="inlineStr">
        <is>
          <t>Nº3 cerrado</t>
        </is>
      </c>
      <c r="AO200" s="17" t="n">
        <v>2</v>
      </c>
      <c r="AP200" s="10">
        <f>ROUNDDOWN(MIN(IF(AK200=0,1000000000,AO200*'Parametros'!$B$11*'Parametros'!$B$4*MIN(U200,AB200)/(AK200*1000)),IF(AV200=0,1000000000,'Parametros'!$B$11/AV200),MIN(U200,AB200)/4,8*'Parametros'!$B$12,24*'Parametros'!$B$9,300)/10,0)*10</f>
        <v>80</v>
      </c>
      <c r="AQ200" s="10">
        <f>ROUNDDOWN(MIN(IF(AK200=0,1000000000,AO200*'Parametros'!$B$11*'Parametros'!$B$4*MIN(U200,AB200)/(AK200*1000)),IF(AV200=0,1000000000,'Parametros'!$B$11/AV200),MIN(U200,AB200)/2,600)/10,0)*10</f>
        <v>170</v>
      </c>
      <c r="AR200" s="10">
        <f>'Parametros'!$B$6*(AJ200+AO200*'Parametros'!$B$11*'Parametros'!$B$4*MIN(U200,AB200)/AP200/1000)</f>
        <v>260.860380287796</v>
      </c>
      <c r="AS200" s="10" t="str">
        <f>IF(AND(AM200="CUMPLE",AR200&gt;=AI200),"CUMPLE","NO CUMPLE")</f>
        <v>CUMPLE</v>
      </c>
      <c r="AT200" s="10">
        <f>'Parametros'!$B$6*0.083*SQRT('Parametros'!$B$2)*(H200*I200)^2/(2*(H200+I200))/1000000</f>
        <v>3.38807353605471</v>
      </c>
      <c r="AU200" s="10" t="str">
        <f>IF(Q200&lt;=AT200,"DESPRECIABLE","DISEÑAR")</f>
        <v>DESPRECIABLE</v>
      </c>
      <c r="AV200" s="10">
        <f>IF(Q200&lt;=AT200,0,Q200*1000000/('Parametros'!$B$6*2*0.85*(H200-2*'Parametros'!$B$7)*(I200-2*'Parametros'!$B$7)*'Parametros'!$B$4))</f>
        <v>0</v>
      </c>
      <c r="AW200" s="10">
        <f>AV200*2*((H200-2*'Parametros'!$B$7)+(I200-2*'Parametros'!$B$7))*'Parametros'!$B$4/'Parametros'!$B$3</f>
        <v>0</v>
      </c>
      <c r="AX200" s="17" t="n">
        <v>0</v>
      </c>
      <c r="AY200" s="10" t="str">
        <f>IF(AV200=0,"DESPRECIABLE",IF('Parametros'!$B$11/AP200&gt;=AV200,"CUMPLE","NO CUMPLE"))</f>
        <v>DESPRECIABLE</v>
      </c>
      <c r="AZ200" s="10" t="str">
        <f>IF(AND(X200="CUMPLE",AE200="CUMPLE",AS200="CUMPLE",OR(AY200="CUMPLE",AY200="DESPRECIABLE")),IF(OR(F200&lt;&gt;H200,G200&lt;&gt;I200),"CUMPLE - REANALIZAR SAP","CUMPLE"),"NO CUMPLE")</f>
        <v>CUMPLE</v>
      </c>
    </row>
    <row r="201">
      <c r="A201" s="22" t="inlineStr">
        <is>
          <t>VC6</t>
        </is>
      </c>
      <c r="B201" s="22" t="inlineStr">
        <is>
          <t>1026</t>
        </is>
      </c>
      <c r="C201" s="10" t="n">
        <v>1</v>
      </c>
      <c r="D201" s="10" t="n">
        <v>3.9</v>
      </c>
      <c r="E201" s="10" t="n">
        <v>3.9</v>
      </c>
      <c r="F201" s="10" t="n">
        <v>300</v>
      </c>
      <c r="G201" s="10" t="n">
        <v>400</v>
      </c>
      <c r="H201" s="15" t="n">
        <v>300</v>
      </c>
      <c r="I201" s="15" t="n">
        <v>400</v>
      </c>
      <c r="J201" s="16" t="n">
        <v>32.5901</v>
      </c>
      <c r="K201" s="10" t="inlineStr">
        <is>
          <t>1026</t>
        </is>
      </c>
      <c r="L201" s="16" t="n">
        <v>21.3852</v>
      </c>
      <c r="M201" s="10" t="inlineStr">
        <is>
          <t>1026</t>
        </is>
      </c>
      <c r="N201" s="16" t="n">
        <v>21.589</v>
      </c>
      <c r="O201" s="16" t="n">
        <v>73.60599999999999</v>
      </c>
      <c r="P201" s="10" t="inlineStr">
        <is>
          <t>1026</t>
        </is>
      </c>
      <c r="Q201" s="16" t="n">
        <v>1.8984</v>
      </c>
      <c r="R201" s="10">
        <f>MAX(MAX(1.4/'Parametros'!$B$3,0.25*SQRT('Parametros'!$B$2)/'Parametros'!$B$3)*H201*U201,(0.85*'Parametros'!$B$2/'Parametros'!$B$3)*(1-SQRT(1-2*(J201*1000000/('Parametros'!$B$5*H201*U201^2))/(0.85*'Parametros'!$B$2)))*H201*U201)</f>
        <v>342.55</v>
      </c>
      <c r="S201" s="17" t="n">
        <v>2</v>
      </c>
      <c r="T201" s="18" t="n">
        <v>1</v>
      </c>
      <c r="U201" s="10">
        <f>IF(T201=1,I201-('Parametros'!$B$7+'Parametros'!$B$9+'Parametros'!$B$12/2),I201-(ROUNDUP(S201/2,0)*('Parametros'!$B$7+'Parametros'!$B$9+'Parametros'!$B$12/2)+ROUNDDOWN(S201/2,0)*('Parametros'!$B$7+'Parametros'!$B$9+'Parametros'!$B$12/2+'Parametros'!$B$12+'Parametros'!$B$10))/S201)</f>
        <v>342.55</v>
      </c>
      <c r="V201" s="10">
        <f>S201*'Parametros'!$B$8</f>
        <v>398</v>
      </c>
      <c r="W201" s="10">
        <f>'Parametros'!$B$5*V201*'Parametros'!$B$3*(U201-(V201*'Parametros'!$B$3/(0.85*'Parametros'!$B$2*H201))/2)/1000000</f>
        <v>49.7735124352941</v>
      </c>
      <c r="X201" s="10" t="str">
        <f>IF(W201&gt;=J201,"CUMPLE","NO CUMPLE")</f>
        <v>CUMPLE</v>
      </c>
      <c r="Y201" s="10">
        <f>MAX(MAX(1.4/'Parametros'!$B$3,0.25*SQRT('Parametros'!$B$2)/'Parametros'!$B$3)*H201*AB201,(0.85*'Parametros'!$B$2/'Parametros'!$B$3)*(1-SQRT(1-2*(L201*1000000/('Parametros'!$B$5*H201*AB201^2))/(0.85*'Parametros'!$B$2)))*H201*AB201)</f>
        <v>342.55</v>
      </c>
      <c r="Z201" s="17" t="n">
        <v>2</v>
      </c>
      <c r="AA201" s="18" t="n">
        <v>1</v>
      </c>
      <c r="AB201" s="10">
        <f>IF(AA201=1,I201-('Parametros'!$B$7+'Parametros'!$B$9+'Parametros'!$B$12/2),I201-(ROUNDUP(Z201/2,0)*('Parametros'!$B$7+'Parametros'!$B$9+'Parametros'!$B$12/2)+ROUNDDOWN(Z201/2,0)*('Parametros'!$B$7+'Parametros'!$B$9+'Parametros'!$B$12/2+'Parametros'!$B$12+'Parametros'!$B$10))/Z201)</f>
        <v>342.55</v>
      </c>
      <c r="AC201" s="10">
        <f>Z201*'Parametros'!$B$8</f>
        <v>398</v>
      </c>
      <c r="AD201" s="10">
        <f>'Parametros'!$B$5*AC201*'Parametros'!$B$3*(AB201-(AC201*'Parametros'!$B$3/(0.85*'Parametros'!$B$2*H201))/2)/1000000</f>
        <v>49.7735124352941</v>
      </c>
      <c r="AE201" s="10" t="str">
        <f>IF(AD201&gt;=L201,"CUMPLE","NO CUMPLE")</f>
        <v>CUMPLE</v>
      </c>
      <c r="AF201" s="10">
        <f>V201*1.25*'Parametros'!$B$3*(U201-(V201*1.25*'Parametros'!$B$3/(0.85*'Parametros'!$B$2*H201))/2)/1000000</f>
        <v>68.5183923529412</v>
      </c>
      <c r="AG201" s="10">
        <f>AC201*1.25*'Parametros'!$B$3*(AB201-(AC201*1.25*'Parametros'!$B$3/(0.85*'Parametros'!$B$2*H201))/2)/1000000</f>
        <v>68.5183923529412</v>
      </c>
      <c r="AH201" s="10">
        <f>N201+(AF201+AG201)/D201</f>
        <v>56.7266371040724</v>
      </c>
      <c r="AI201" s="10">
        <f>MIN(O201,MAX(N201,AH201))</f>
        <v>56.7266371040724</v>
      </c>
      <c r="AJ201" s="10">
        <f>0.17*SQRT('Parametros'!$B$2)*H201*MIN(U201,AB201)/1000</f>
        <v>92.4428153837279</v>
      </c>
      <c r="AK201" s="10">
        <f>MAX(AI201/'Parametros'!$B$6-AJ201,0)</f>
        <v>0</v>
      </c>
      <c r="AL201" s="10">
        <f>0.66*SQRT('Parametros'!$B$2)*H201*MIN(U201,AB201)/1000</f>
        <v>358.89563619565</v>
      </c>
      <c r="AM201" s="10" t="str">
        <f>IF(AK201&lt;=AL201,"CUMPLE","NO CUMPLE")</f>
        <v>CUMPLE</v>
      </c>
      <c r="AN201" s="15" t="inlineStr">
        <is>
          <t>Nº3 cerrado</t>
        </is>
      </c>
      <c r="AO201" s="17" t="n">
        <v>2</v>
      </c>
      <c r="AP201" s="10">
        <f>ROUNDDOWN(MIN(IF(AK201=0,1000000000,AO201*'Parametros'!$B$11*'Parametros'!$B$4*MIN(U201,AB201)/(AK201*1000)),IF(AV201=0,1000000000,'Parametros'!$B$11/AV201),MIN(U201,AB201)/4,8*'Parametros'!$B$12,24*'Parametros'!$B$9,300)/10,0)*10</f>
        <v>80</v>
      </c>
      <c r="AQ201" s="10">
        <f>ROUNDDOWN(MIN(IF(AK201=0,1000000000,AO201*'Parametros'!$B$11*'Parametros'!$B$4*MIN(U201,AB201)/(AK201*1000)),IF(AV201=0,1000000000,'Parametros'!$B$11/AV201),MIN(U201,AB201)/2,600)/10,0)*10</f>
        <v>170</v>
      </c>
      <c r="AR201" s="10">
        <f>'Parametros'!$B$6*(AJ201+AO201*'Parametros'!$B$11*'Parametros'!$B$4*MIN(U201,AB201)/AP201/1000)</f>
        <v>260.860380287796</v>
      </c>
      <c r="AS201" s="10" t="str">
        <f>IF(AND(AM201="CUMPLE",AR201&gt;=AI201),"CUMPLE","NO CUMPLE")</f>
        <v>CUMPLE</v>
      </c>
      <c r="AT201" s="10">
        <f>'Parametros'!$B$6*0.083*SQRT('Parametros'!$B$2)*(H201*I201)^2/(2*(H201+I201))/1000000</f>
        <v>3.38807353605471</v>
      </c>
      <c r="AU201" s="10" t="str">
        <f>IF(Q201&lt;=AT201,"DESPRECIABLE","DISEÑAR")</f>
        <v>DESPRECIABLE</v>
      </c>
      <c r="AV201" s="10">
        <f>IF(Q201&lt;=AT201,0,Q201*1000000/('Parametros'!$B$6*2*0.85*(H201-2*'Parametros'!$B$7)*(I201-2*'Parametros'!$B$7)*'Parametros'!$B$4))</f>
        <v>0</v>
      </c>
      <c r="AW201" s="10">
        <f>AV201*2*((H201-2*'Parametros'!$B$7)+(I201-2*'Parametros'!$B$7))*'Parametros'!$B$4/'Parametros'!$B$3</f>
        <v>0</v>
      </c>
      <c r="AX201" s="17" t="n">
        <v>0</v>
      </c>
      <c r="AY201" s="10" t="str">
        <f>IF(AV201=0,"DESPRECIABLE",IF('Parametros'!$B$11/AP201&gt;=AV201,"CUMPLE","NO CUMPLE"))</f>
        <v>DESPRECIABLE</v>
      </c>
      <c r="AZ201" s="10" t="str">
        <f>IF(AND(X201="CUMPLE",AE201="CUMPLE",AS201="CUMPLE",OR(AY201="CUMPLE",AY201="DESPRECIABLE")),IF(OR(F201&lt;&gt;H201,G201&lt;&gt;I201),"CUMPLE - REANALIZAR SAP","CUMPLE"),"NO CUMPLE")</f>
        <v>CUMPLE</v>
      </c>
    </row>
    <row r="202">
      <c r="A202" s="22" t="inlineStr">
        <is>
          <t>VC6</t>
        </is>
      </c>
      <c r="B202" s="22" t="inlineStr">
        <is>
          <t>1027</t>
        </is>
      </c>
      <c r="C202" s="10" t="n">
        <v>1</v>
      </c>
      <c r="D202" s="10" t="n">
        <v>3.9</v>
      </c>
      <c r="E202" s="10" t="n">
        <v>3.9</v>
      </c>
      <c r="F202" s="10" t="n">
        <v>300</v>
      </c>
      <c r="G202" s="10" t="n">
        <v>400</v>
      </c>
      <c r="H202" s="15" t="n">
        <v>300</v>
      </c>
      <c r="I202" s="15" t="n">
        <v>400</v>
      </c>
      <c r="J202" s="16" t="n">
        <v>32.602</v>
      </c>
      <c r="K202" s="10" t="inlineStr">
        <is>
          <t>1027</t>
        </is>
      </c>
      <c r="L202" s="16" t="n">
        <v>21.3856</v>
      </c>
      <c r="M202" s="10" t="inlineStr">
        <is>
          <t>1027</t>
        </is>
      </c>
      <c r="N202" s="16" t="n">
        <v>21.596</v>
      </c>
      <c r="O202" s="16" t="n">
        <v>73.61199999999999</v>
      </c>
      <c r="P202" s="10" t="inlineStr">
        <is>
          <t>1027</t>
        </is>
      </c>
      <c r="Q202" s="16" t="n">
        <v>1.8996</v>
      </c>
      <c r="R202" s="10">
        <f>MAX(MAX(1.4/'Parametros'!$B$3,0.25*SQRT('Parametros'!$B$2)/'Parametros'!$B$3)*H202*U202,(0.85*'Parametros'!$B$2/'Parametros'!$B$3)*(1-SQRT(1-2*(J202*1000000/('Parametros'!$B$5*H202*U202^2))/(0.85*'Parametros'!$B$2)))*H202*U202)</f>
        <v>342.55</v>
      </c>
      <c r="S202" s="17" t="n">
        <v>2</v>
      </c>
      <c r="T202" s="18" t="n">
        <v>1</v>
      </c>
      <c r="U202" s="10">
        <f>IF(T202=1,I202-('Parametros'!$B$7+'Parametros'!$B$9+'Parametros'!$B$12/2),I202-(ROUNDUP(S202/2,0)*('Parametros'!$B$7+'Parametros'!$B$9+'Parametros'!$B$12/2)+ROUNDDOWN(S202/2,0)*('Parametros'!$B$7+'Parametros'!$B$9+'Parametros'!$B$12/2+'Parametros'!$B$12+'Parametros'!$B$10))/S202)</f>
        <v>342.55</v>
      </c>
      <c r="V202" s="10">
        <f>S202*'Parametros'!$B$8</f>
        <v>398</v>
      </c>
      <c r="W202" s="10">
        <f>'Parametros'!$B$5*V202*'Parametros'!$B$3*(U202-(V202*'Parametros'!$B$3/(0.85*'Parametros'!$B$2*H202))/2)/1000000</f>
        <v>49.7735124352941</v>
      </c>
      <c r="X202" s="10" t="str">
        <f>IF(W202&gt;=J202,"CUMPLE","NO CUMPLE")</f>
        <v>CUMPLE</v>
      </c>
      <c r="Y202" s="10">
        <f>MAX(MAX(1.4/'Parametros'!$B$3,0.25*SQRT('Parametros'!$B$2)/'Parametros'!$B$3)*H202*AB202,(0.85*'Parametros'!$B$2/'Parametros'!$B$3)*(1-SQRT(1-2*(L202*1000000/('Parametros'!$B$5*H202*AB202^2))/(0.85*'Parametros'!$B$2)))*H202*AB202)</f>
        <v>342.55</v>
      </c>
      <c r="Z202" s="17" t="n">
        <v>2</v>
      </c>
      <c r="AA202" s="18" t="n">
        <v>1</v>
      </c>
      <c r="AB202" s="10">
        <f>IF(AA202=1,I202-('Parametros'!$B$7+'Parametros'!$B$9+'Parametros'!$B$12/2),I202-(ROUNDUP(Z202/2,0)*('Parametros'!$B$7+'Parametros'!$B$9+'Parametros'!$B$12/2)+ROUNDDOWN(Z202/2,0)*('Parametros'!$B$7+'Parametros'!$B$9+'Parametros'!$B$12/2+'Parametros'!$B$12+'Parametros'!$B$10))/Z202)</f>
        <v>342.55</v>
      </c>
      <c r="AC202" s="10">
        <f>Z202*'Parametros'!$B$8</f>
        <v>398</v>
      </c>
      <c r="AD202" s="10">
        <f>'Parametros'!$B$5*AC202*'Parametros'!$B$3*(AB202-(AC202*'Parametros'!$B$3/(0.85*'Parametros'!$B$2*H202))/2)/1000000</f>
        <v>49.7735124352941</v>
      </c>
      <c r="AE202" s="10" t="str">
        <f>IF(AD202&gt;=L202,"CUMPLE","NO CUMPLE")</f>
        <v>CUMPLE</v>
      </c>
      <c r="AF202" s="10">
        <f>V202*1.25*'Parametros'!$B$3*(U202-(V202*1.25*'Parametros'!$B$3/(0.85*'Parametros'!$B$2*H202))/2)/1000000</f>
        <v>68.5183923529412</v>
      </c>
      <c r="AG202" s="10">
        <f>AC202*1.25*'Parametros'!$B$3*(AB202-(AC202*1.25*'Parametros'!$B$3/(0.85*'Parametros'!$B$2*H202))/2)/1000000</f>
        <v>68.5183923529412</v>
      </c>
      <c r="AH202" s="10">
        <f>N202+(AF202+AG202)/D202</f>
        <v>56.7336371040724</v>
      </c>
      <c r="AI202" s="10">
        <f>MIN(O202,MAX(N202,AH202))</f>
        <v>56.7336371040724</v>
      </c>
      <c r="AJ202" s="10">
        <f>0.17*SQRT('Parametros'!$B$2)*H202*MIN(U202,AB202)/1000</f>
        <v>92.4428153837279</v>
      </c>
      <c r="AK202" s="10">
        <f>MAX(AI202/'Parametros'!$B$6-AJ202,0)</f>
        <v>0</v>
      </c>
      <c r="AL202" s="10">
        <f>0.66*SQRT('Parametros'!$B$2)*H202*MIN(U202,AB202)/1000</f>
        <v>358.89563619565</v>
      </c>
      <c r="AM202" s="10" t="str">
        <f>IF(AK202&lt;=AL202,"CUMPLE","NO CUMPLE")</f>
        <v>CUMPLE</v>
      </c>
      <c r="AN202" s="15" t="inlineStr">
        <is>
          <t>Nº3 cerrado</t>
        </is>
      </c>
      <c r="AO202" s="17" t="n">
        <v>2</v>
      </c>
      <c r="AP202" s="10">
        <f>ROUNDDOWN(MIN(IF(AK202=0,1000000000,AO202*'Parametros'!$B$11*'Parametros'!$B$4*MIN(U202,AB202)/(AK202*1000)),IF(AV202=0,1000000000,'Parametros'!$B$11/AV202),MIN(U202,AB202)/4,8*'Parametros'!$B$12,24*'Parametros'!$B$9,300)/10,0)*10</f>
        <v>80</v>
      </c>
      <c r="AQ202" s="10">
        <f>ROUNDDOWN(MIN(IF(AK202=0,1000000000,AO202*'Parametros'!$B$11*'Parametros'!$B$4*MIN(U202,AB202)/(AK202*1000)),IF(AV202=0,1000000000,'Parametros'!$B$11/AV202),MIN(U202,AB202)/2,600)/10,0)*10</f>
        <v>170</v>
      </c>
      <c r="AR202" s="10">
        <f>'Parametros'!$B$6*(AJ202+AO202*'Parametros'!$B$11*'Parametros'!$B$4*MIN(U202,AB202)/AP202/1000)</f>
        <v>260.860380287796</v>
      </c>
      <c r="AS202" s="10" t="str">
        <f>IF(AND(AM202="CUMPLE",AR202&gt;=AI202),"CUMPLE","NO CUMPLE")</f>
        <v>CUMPLE</v>
      </c>
      <c r="AT202" s="10">
        <f>'Parametros'!$B$6*0.083*SQRT('Parametros'!$B$2)*(H202*I202)^2/(2*(H202+I202))/1000000</f>
        <v>3.38807353605471</v>
      </c>
      <c r="AU202" s="10" t="str">
        <f>IF(Q202&lt;=AT202,"DESPRECIABLE","DISEÑAR")</f>
        <v>DESPRECIABLE</v>
      </c>
      <c r="AV202" s="10">
        <f>IF(Q202&lt;=AT202,0,Q202*1000000/('Parametros'!$B$6*2*0.85*(H202-2*'Parametros'!$B$7)*(I202-2*'Parametros'!$B$7)*'Parametros'!$B$4))</f>
        <v>0</v>
      </c>
      <c r="AW202" s="10">
        <f>AV202*2*((H202-2*'Parametros'!$B$7)+(I202-2*'Parametros'!$B$7))*'Parametros'!$B$4/'Parametros'!$B$3</f>
        <v>0</v>
      </c>
      <c r="AX202" s="17" t="n">
        <v>0</v>
      </c>
      <c r="AY202" s="10" t="str">
        <f>IF(AV202=0,"DESPRECIABLE",IF('Parametros'!$B$11/AP202&gt;=AV202,"CUMPLE","NO CUMPLE"))</f>
        <v>DESPRECIABLE</v>
      </c>
      <c r="AZ202" s="10" t="str">
        <f>IF(AND(X202="CUMPLE",AE202="CUMPLE",AS202="CUMPLE",OR(AY202="CUMPLE",AY202="DESPRECIABLE")),IF(OR(F202&lt;&gt;H202,G202&lt;&gt;I202),"CUMPLE - REANALIZAR SAP","CUMPLE"),"NO CUMPLE")</f>
        <v>CUMPLE</v>
      </c>
    </row>
    <row r="203">
      <c r="A203" s="22" t="inlineStr">
        <is>
          <t>VC6</t>
        </is>
      </c>
      <c r="B203" s="22" t="inlineStr">
        <is>
          <t>1028</t>
        </is>
      </c>
      <c r="C203" s="10" t="n">
        <v>1</v>
      </c>
      <c r="D203" s="10" t="n">
        <v>3.85</v>
      </c>
      <c r="E203" s="10" t="n">
        <v>3.85</v>
      </c>
      <c r="F203" s="10" t="n">
        <v>300</v>
      </c>
      <c r="G203" s="10" t="n">
        <v>400</v>
      </c>
      <c r="H203" s="15" t="n">
        <v>300</v>
      </c>
      <c r="I203" s="15" t="n">
        <v>400</v>
      </c>
      <c r="J203" s="16" t="n">
        <v>27.6593</v>
      </c>
      <c r="K203" s="10" t="inlineStr">
        <is>
          <t>1028</t>
        </is>
      </c>
      <c r="L203" s="16" t="n">
        <v>19.8113</v>
      </c>
      <c r="M203" s="10" t="inlineStr">
        <is>
          <t>1028</t>
        </is>
      </c>
      <c r="N203" s="16" t="n">
        <v>18.7</v>
      </c>
      <c r="O203" s="16" t="n">
        <v>64.375</v>
      </c>
      <c r="P203" s="10" t="inlineStr">
        <is>
          <t>1028</t>
        </is>
      </c>
      <c r="Q203" s="16" t="n">
        <v>0.4254</v>
      </c>
      <c r="R203" s="10">
        <f>MAX(MAX(1.4/'Parametros'!$B$3,0.25*SQRT('Parametros'!$B$2)/'Parametros'!$B$3)*H203*U203,(0.85*'Parametros'!$B$2/'Parametros'!$B$3)*(1-SQRT(1-2*(J203*1000000/('Parametros'!$B$5*H203*U203^2))/(0.85*'Parametros'!$B$2)))*H203*U203)</f>
        <v>342.55</v>
      </c>
      <c r="S203" s="17" t="n">
        <v>2</v>
      </c>
      <c r="T203" s="18" t="n">
        <v>1</v>
      </c>
      <c r="U203" s="10">
        <f>IF(T203=1,I203-('Parametros'!$B$7+'Parametros'!$B$9+'Parametros'!$B$12/2),I203-(ROUNDUP(S203/2,0)*('Parametros'!$B$7+'Parametros'!$B$9+'Parametros'!$B$12/2)+ROUNDDOWN(S203/2,0)*('Parametros'!$B$7+'Parametros'!$B$9+'Parametros'!$B$12/2+'Parametros'!$B$12+'Parametros'!$B$10))/S203)</f>
        <v>342.55</v>
      </c>
      <c r="V203" s="10">
        <f>S203*'Parametros'!$B$8</f>
        <v>398</v>
      </c>
      <c r="W203" s="10">
        <f>'Parametros'!$B$5*V203*'Parametros'!$B$3*(U203-(V203*'Parametros'!$B$3/(0.85*'Parametros'!$B$2*H203))/2)/1000000</f>
        <v>49.7735124352941</v>
      </c>
      <c r="X203" s="10" t="str">
        <f>IF(W203&gt;=J203,"CUMPLE","NO CUMPLE")</f>
        <v>CUMPLE</v>
      </c>
      <c r="Y203" s="10">
        <f>MAX(MAX(1.4/'Parametros'!$B$3,0.25*SQRT('Parametros'!$B$2)/'Parametros'!$B$3)*H203*AB203,(0.85*'Parametros'!$B$2/'Parametros'!$B$3)*(1-SQRT(1-2*(L203*1000000/('Parametros'!$B$5*H203*AB203^2))/(0.85*'Parametros'!$B$2)))*H203*AB203)</f>
        <v>342.55</v>
      </c>
      <c r="Z203" s="17" t="n">
        <v>2</v>
      </c>
      <c r="AA203" s="18" t="n">
        <v>1</v>
      </c>
      <c r="AB203" s="10">
        <f>IF(AA203=1,I203-('Parametros'!$B$7+'Parametros'!$B$9+'Parametros'!$B$12/2),I203-(ROUNDUP(Z203/2,0)*('Parametros'!$B$7+'Parametros'!$B$9+'Parametros'!$B$12/2)+ROUNDDOWN(Z203/2,0)*('Parametros'!$B$7+'Parametros'!$B$9+'Parametros'!$B$12/2+'Parametros'!$B$12+'Parametros'!$B$10))/Z203)</f>
        <v>342.55</v>
      </c>
      <c r="AC203" s="10">
        <f>Z203*'Parametros'!$B$8</f>
        <v>398</v>
      </c>
      <c r="AD203" s="10">
        <f>'Parametros'!$B$5*AC203*'Parametros'!$B$3*(AB203-(AC203*'Parametros'!$B$3/(0.85*'Parametros'!$B$2*H203))/2)/1000000</f>
        <v>49.7735124352941</v>
      </c>
      <c r="AE203" s="10" t="str">
        <f>IF(AD203&gt;=L203,"CUMPLE","NO CUMPLE")</f>
        <v>CUMPLE</v>
      </c>
      <c r="AF203" s="10">
        <f>V203*1.25*'Parametros'!$B$3*(U203-(V203*1.25*'Parametros'!$B$3/(0.85*'Parametros'!$B$2*H203))/2)/1000000</f>
        <v>68.5183923529412</v>
      </c>
      <c r="AG203" s="10">
        <f>AC203*1.25*'Parametros'!$B$3*(AB203-(AC203*1.25*'Parametros'!$B$3/(0.85*'Parametros'!$B$2*H203))/2)/1000000</f>
        <v>68.5183923529412</v>
      </c>
      <c r="AH203" s="10">
        <f>N203+(AF203+AG203)/D203</f>
        <v>54.2939700534759</v>
      </c>
      <c r="AI203" s="10">
        <f>MIN(O203,MAX(N203,AH203))</f>
        <v>54.2939700534759</v>
      </c>
      <c r="AJ203" s="10">
        <f>0.17*SQRT('Parametros'!$B$2)*H203*MIN(U203,AB203)/1000</f>
        <v>92.4428153837279</v>
      </c>
      <c r="AK203" s="10">
        <f>MAX(AI203/'Parametros'!$B$6-AJ203,0)</f>
        <v>0</v>
      </c>
      <c r="AL203" s="10">
        <f>0.66*SQRT('Parametros'!$B$2)*H203*MIN(U203,AB203)/1000</f>
        <v>358.89563619565</v>
      </c>
      <c r="AM203" s="10" t="str">
        <f>IF(AK203&lt;=AL203,"CUMPLE","NO CUMPLE")</f>
        <v>CUMPLE</v>
      </c>
      <c r="AN203" s="15" t="inlineStr">
        <is>
          <t>Nº3 cerrado</t>
        </is>
      </c>
      <c r="AO203" s="17" t="n">
        <v>2</v>
      </c>
      <c r="AP203" s="10">
        <f>ROUNDDOWN(MIN(IF(AK203=0,1000000000,AO203*'Parametros'!$B$11*'Parametros'!$B$4*MIN(U203,AB203)/(AK203*1000)),IF(AV203=0,1000000000,'Parametros'!$B$11/AV203),MIN(U203,AB203)/4,8*'Parametros'!$B$12,24*'Parametros'!$B$9,300)/10,0)*10</f>
        <v>80</v>
      </c>
      <c r="AQ203" s="10">
        <f>ROUNDDOWN(MIN(IF(AK203=0,1000000000,AO203*'Parametros'!$B$11*'Parametros'!$B$4*MIN(U203,AB203)/(AK203*1000)),IF(AV203=0,1000000000,'Parametros'!$B$11/AV203),MIN(U203,AB203)/2,600)/10,0)*10</f>
        <v>170</v>
      </c>
      <c r="AR203" s="10">
        <f>'Parametros'!$B$6*(AJ203+AO203*'Parametros'!$B$11*'Parametros'!$B$4*MIN(U203,AB203)/AP203/1000)</f>
        <v>260.860380287796</v>
      </c>
      <c r="AS203" s="10" t="str">
        <f>IF(AND(AM203="CUMPLE",AR203&gt;=AI203),"CUMPLE","NO CUMPLE")</f>
        <v>CUMPLE</v>
      </c>
      <c r="AT203" s="10">
        <f>'Parametros'!$B$6*0.083*SQRT('Parametros'!$B$2)*(H203*I203)^2/(2*(H203+I203))/1000000</f>
        <v>3.38807353605471</v>
      </c>
      <c r="AU203" s="10" t="str">
        <f>IF(Q203&lt;=AT203,"DESPRECIABLE","DISEÑAR")</f>
        <v>DESPRECIABLE</v>
      </c>
      <c r="AV203" s="10">
        <f>IF(Q203&lt;=AT203,0,Q203*1000000/('Parametros'!$B$6*2*0.85*(H203-2*'Parametros'!$B$7)*(I203-2*'Parametros'!$B$7)*'Parametros'!$B$4))</f>
        <v>0</v>
      </c>
      <c r="AW203" s="10">
        <f>AV203*2*((H203-2*'Parametros'!$B$7)+(I203-2*'Parametros'!$B$7))*'Parametros'!$B$4/'Parametros'!$B$3</f>
        <v>0</v>
      </c>
      <c r="AX203" s="17" t="n">
        <v>0</v>
      </c>
      <c r="AY203" s="10" t="str">
        <f>IF(AV203=0,"DESPRECIABLE",IF('Parametros'!$B$11/AP203&gt;=AV203,"CUMPLE","NO CUMPLE"))</f>
        <v>DESPRECIABLE</v>
      </c>
      <c r="AZ203" s="10" t="str">
        <f>IF(AND(X203="CUMPLE",AE203="CUMPLE",AS203="CUMPLE",OR(AY203="CUMPLE",AY203="DESPRECIABLE")),IF(OR(F203&lt;&gt;H203,G203&lt;&gt;I203),"CUMPLE - REANALIZAR SAP","CUMPLE"),"NO CUMPLE")</f>
        <v>CUMPLE</v>
      </c>
    </row>
    <row r="204">
      <c r="A204" s="23" t="inlineStr">
        <is>
          <t>VC7</t>
        </is>
      </c>
      <c r="B204" s="23" t="inlineStr">
        <is>
          <t>71</t>
        </is>
      </c>
      <c r="C204" s="10" t="n">
        <v>1</v>
      </c>
      <c r="D204" s="10" t="n">
        <v>2.65</v>
      </c>
      <c r="E204" s="10" t="n">
        <v>2.65</v>
      </c>
      <c r="F204" s="10" t="n">
        <v>300</v>
      </c>
      <c r="G204" s="10" t="n">
        <v>400</v>
      </c>
      <c r="H204" s="15" t="n">
        <v>300</v>
      </c>
      <c r="I204" s="15" t="n">
        <v>400</v>
      </c>
      <c r="J204" s="16" t="n">
        <v>93.6374</v>
      </c>
      <c r="K204" s="10" t="inlineStr">
        <is>
          <t>71</t>
        </is>
      </c>
      <c r="L204" s="16" t="n">
        <v>83.88630000000001</v>
      </c>
      <c r="M204" s="10" t="inlineStr">
        <is>
          <t>71</t>
        </is>
      </c>
      <c r="N204" s="16" t="n">
        <v>66.59699999999999</v>
      </c>
      <c r="O204" s="16" t="n">
        <v>304.32</v>
      </c>
      <c r="P204" s="10" t="inlineStr">
        <is>
          <t>71</t>
        </is>
      </c>
      <c r="Q204" s="16" t="n">
        <v>8.896100000000001</v>
      </c>
      <c r="R204" s="10">
        <f>MAX(MAX(1.4/'Parametros'!$B$3,0.25*SQRT('Parametros'!$B$2)/'Parametros'!$B$3)*H204*U204,(0.85*'Parametros'!$B$2/'Parametros'!$B$3)*(1-SQRT(1-2*(J204*1000000/('Parametros'!$B$5*H204*U204^2))/(0.85*'Parametros'!$B$2)))*H204*U204)</f>
        <v>774.687446185538</v>
      </c>
      <c r="S204" s="17" t="n">
        <v>4</v>
      </c>
      <c r="T204" s="18" t="n">
        <v>1</v>
      </c>
      <c r="U204" s="10">
        <f>IF(T204=1,I204-('Parametros'!$B$7+'Parametros'!$B$9+'Parametros'!$B$12/2),I204-(ROUNDUP(S204/2,0)*('Parametros'!$B$7+'Parametros'!$B$9+'Parametros'!$B$12/2)+ROUNDDOWN(S204/2,0)*('Parametros'!$B$7+'Parametros'!$B$9+'Parametros'!$B$12/2+'Parametros'!$B$12+'Parametros'!$B$10))/S204)</f>
        <v>342.55</v>
      </c>
      <c r="V204" s="10">
        <f>S204*'Parametros'!$B$8</f>
        <v>796</v>
      </c>
      <c r="W204" s="10">
        <f>'Parametros'!$B$5*V204*'Parametros'!$B$3*(U204-(V204*'Parametros'!$B$3/(0.85*'Parametros'!$B$2*H204))/2)/1000000</f>
        <v>96.0248653411765</v>
      </c>
      <c r="X204" s="10" t="str">
        <f>IF(W204&gt;=J204,"CUMPLE","NO CUMPLE")</f>
        <v>CUMPLE</v>
      </c>
      <c r="Y204" s="10">
        <f>MAX(MAX(1.4/'Parametros'!$B$3,0.25*SQRT('Parametros'!$B$2)/'Parametros'!$B$3)*H204*AB204,(0.85*'Parametros'!$B$2/'Parametros'!$B$3)*(1-SQRT(1-2*(L204*1000000/('Parametros'!$B$5*H204*AB204^2))/(0.85*'Parametros'!$B$2)))*H204*AB204)</f>
        <v>688.559191109006</v>
      </c>
      <c r="Z204" s="17" t="n">
        <v>4</v>
      </c>
      <c r="AA204" s="18" t="n">
        <v>1</v>
      </c>
      <c r="AB204" s="10">
        <f>IF(AA204=1,I204-('Parametros'!$B$7+'Parametros'!$B$9+'Parametros'!$B$12/2),I204-(ROUNDUP(Z204/2,0)*('Parametros'!$B$7+'Parametros'!$B$9+'Parametros'!$B$12/2)+ROUNDDOWN(Z204/2,0)*('Parametros'!$B$7+'Parametros'!$B$9+'Parametros'!$B$12/2+'Parametros'!$B$12+'Parametros'!$B$10))/Z204)</f>
        <v>342.55</v>
      </c>
      <c r="AC204" s="10">
        <f>Z204*'Parametros'!$B$8</f>
        <v>796</v>
      </c>
      <c r="AD204" s="10">
        <f>'Parametros'!$B$5*AC204*'Parametros'!$B$3*(AB204-(AC204*'Parametros'!$B$3/(0.85*'Parametros'!$B$2*H204))/2)/1000000</f>
        <v>96.0248653411765</v>
      </c>
      <c r="AE204" s="10" t="str">
        <f>IF(AD204&gt;=L204,"CUMPLE","NO CUMPLE")</f>
        <v>CUMPLE</v>
      </c>
      <c r="AF204" s="10">
        <f>V204*1.25*'Parametros'!$B$3*(U204-(V204*1.25*'Parametros'!$B$3/(0.85*'Parametros'!$B$2*H204))/2)/1000000</f>
        <v>130.921924411765</v>
      </c>
      <c r="AG204" s="10">
        <f>AC204*1.25*'Parametros'!$B$3*(AB204-(AC204*1.25*'Parametros'!$B$3/(0.85*'Parametros'!$B$2*H204))/2)/1000000</f>
        <v>130.921924411765</v>
      </c>
      <c r="AH204" s="10">
        <f>N204+(AF204+AG204)/D204</f>
        <v>165.405999556049</v>
      </c>
      <c r="AI204" s="10">
        <f>MIN(O204,MAX(N204,AH204))</f>
        <v>165.405999556049</v>
      </c>
      <c r="AJ204" s="10">
        <f>0.17*SQRT('Parametros'!$B$2)*H204*MIN(U204,AB204)/1000</f>
        <v>92.4428153837279</v>
      </c>
      <c r="AK204" s="10">
        <f>MAX(AI204/'Parametros'!$B$6-AJ204,0)</f>
        <v>128.09851735767</v>
      </c>
      <c r="AL204" s="10">
        <f>0.66*SQRT('Parametros'!$B$2)*H204*MIN(U204,AB204)/1000</f>
        <v>358.89563619565</v>
      </c>
      <c r="AM204" s="10" t="str">
        <f>IF(AK204&lt;=AL204,"CUMPLE","NO CUMPLE")</f>
        <v>CUMPLE</v>
      </c>
      <c r="AN204" s="15" t="inlineStr">
        <is>
          <t>Nº3 cerrado</t>
        </is>
      </c>
      <c r="AO204" s="17" t="n">
        <v>2</v>
      </c>
      <c r="AP204" s="10">
        <f>ROUNDDOWN(MIN(IF(AK204=0,1000000000,AO204*'Parametros'!$B$11*'Parametros'!$B$4*MIN(U204,AB204)/(AK204*1000)),IF(AV204=0,1000000000,'Parametros'!$B$11/AV204),MIN(U204,AB204)/4,8*'Parametros'!$B$12,24*'Parametros'!$B$9,300)/10,0)*10</f>
        <v>80</v>
      </c>
      <c r="AQ204" s="10">
        <f>ROUNDDOWN(MIN(IF(AK204=0,1000000000,AO204*'Parametros'!$B$11*'Parametros'!$B$4*MIN(U204,AB204)/(AK204*1000)),IF(AV204=0,1000000000,'Parametros'!$B$11/AV204),MIN(U204,AB204)/2,600)/10,0)*10</f>
        <v>150</v>
      </c>
      <c r="AR204" s="10">
        <f>'Parametros'!$B$6*(AJ204+AO204*'Parametros'!$B$11*'Parametros'!$B$4*MIN(U204,AB204)/AP204/1000)</f>
        <v>260.860380287796</v>
      </c>
      <c r="AS204" s="10" t="str">
        <f>IF(AND(AM204="CUMPLE",AR204&gt;=AI204),"CUMPLE","NO CUMPLE")</f>
        <v>CUMPLE</v>
      </c>
      <c r="AT204" s="10">
        <f>'Parametros'!$B$6*0.083*SQRT('Parametros'!$B$2)*(H204*I204)^2/(2*(H204+I204))/1000000</f>
        <v>3.38807353605471</v>
      </c>
      <c r="AU204" s="10" t="str">
        <f>IF(Q204&lt;=AT204,"DESPRECIABLE","DISEÑAR")</f>
        <v>DISEÑAR</v>
      </c>
      <c r="AV204" s="10">
        <f>IF(Q204&lt;=AT204,0,Q204*1000000/('Parametros'!$B$6*2*0.85*(H204-2*'Parametros'!$B$7)*(I204-2*'Parametros'!$B$7)*'Parametros'!$B$4))</f>
        <v>0.23597582972583</v>
      </c>
      <c r="AW204" s="10">
        <f>AV204*2*((H204-2*'Parametros'!$B$7)+(I204-2*'Parametros'!$B$7))*'Parametros'!$B$4/'Parametros'!$B$3</f>
        <v>254.853896103896</v>
      </c>
      <c r="AX204" s="17" t="n">
        <v>2</v>
      </c>
      <c r="AY204" s="10" t="str">
        <f>IF(AV204=0,"DESPRECIABLE",IF('Parametros'!$B$11/AP204&gt;=AV204,"CUMPLE","NO CUMPLE"))</f>
        <v>CUMPLE</v>
      </c>
      <c r="AZ204" s="10" t="str">
        <f>IF(AND(X204="CUMPLE",AE204="CUMPLE",AS204="CUMPLE",OR(AY204="CUMPLE",AY204="DESPRECIABLE")),IF(OR(F204&lt;&gt;H204,G204&lt;&gt;I204),"CUMPLE - REANALIZAR SAP","CUMPLE"),"NO CUMPLE")</f>
        <v>CUMPLE</v>
      </c>
    </row>
    <row r="205">
      <c r="A205" s="23" t="inlineStr">
        <is>
          <t>VC7</t>
        </is>
      </c>
      <c r="B205" s="23" t="inlineStr">
        <is>
          <t>72</t>
        </is>
      </c>
      <c r="C205" s="10" t="n">
        <v>1</v>
      </c>
      <c r="D205" s="10" t="n">
        <v>5.1</v>
      </c>
      <c r="E205" s="10" t="n">
        <v>5.1</v>
      </c>
      <c r="F205" s="10" t="n">
        <v>300</v>
      </c>
      <c r="G205" s="10" t="n">
        <v>400</v>
      </c>
      <c r="H205" s="15" t="n">
        <v>300</v>
      </c>
      <c r="I205" s="15" t="n">
        <v>400</v>
      </c>
      <c r="J205" s="16" t="n">
        <v>70.9325</v>
      </c>
      <c r="K205" s="10" t="inlineStr">
        <is>
          <t>72</t>
        </is>
      </c>
      <c r="L205" s="16" t="n">
        <v>57.8954</v>
      </c>
      <c r="M205" s="10" t="inlineStr">
        <is>
          <t>72</t>
        </is>
      </c>
      <c r="N205" s="16" t="n">
        <v>33.775</v>
      </c>
      <c r="O205" s="16" t="n">
        <v>130.136</v>
      </c>
      <c r="P205" s="10" t="inlineStr">
        <is>
          <t>72</t>
        </is>
      </c>
      <c r="Q205" s="16" t="n">
        <v>0.9776</v>
      </c>
      <c r="R205" s="10">
        <f>MAX(MAX(1.4/'Parametros'!$B$3,0.25*SQRT('Parametros'!$B$2)/'Parametros'!$B$3)*H205*U205,(0.85*'Parametros'!$B$2/'Parametros'!$B$3)*(1-SQRT(1-2*(J205*1000000/('Parametros'!$B$5*H205*U205^2))/(0.85*'Parametros'!$B$2)))*H205*U205)</f>
        <v>576.328629276602</v>
      </c>
      <c r="S205" s="17" t="n">
        <v>3</v>
      </c>
      <c r="T205" s="18" t="n">
        <v>1</v>
      </c>
      <c r="U205" s="10">
        <f>IF(T205=1,I205-('Parametros'!$B$7+'Parametros'!$B$9+'Parametros'!$B$12/2),I205-(ROUNDUP(S205/2,0)*('Parametros'!$B$7+'Parametros'!$B$9+'Parametros'!$B$12/2)+ROUNDDOWN(S205/2,0)*('Parametros'!$B$7+'Parametros'!$B$9+'Parametros'!$B$12/2+'Parametros'!$B$12+'Parametros'!$B$10))/S205)</f>
        <v>342.55</v>
      </c>
      <c r="V205" s="10">
        <f>S205*'Parametros'!$B$8</f>
        <v>597</v>
      </c>
      <c r="W205" s="10">
        <f>'Parametros'!$B$5*V205*'Parametros'!$B$3*(U205-(V205*'Parametros'!$B$3/(0.85*'Parametros'!$B$2*H205))/2)/1000000</f>
        <v>73.3394588294118</v>
      </c>
      <c r="X205" s="10" t="str">
        <f>IF(W205&gt;=J205,"CUMPLE","NO CUMPLE")</f>
        <v>CUMPLE</v>
      </c>
      <c r="Y205" s="10">
        <f>MAX(MAX(1.4/'Parametros'!$B$3,0.25*SQRT('Parametros'!$B$2)/'Parametros'!$B$3)*H205*AB205,(0.85*'Parametros'!$B$2/'Parametros'!$B$3)*(1-SQRT(1-2*(L205*1000000/('Parametros'!$B$5*H205*AB205^2))/(0.85*'Parametros'!$B$2)))*H205*AB205)</f>
        <v>465.74956032766</v>
      </c>
      <c r="Z205" s="17" t="n">
        <v>3</v>
      </c>
      <c r="AA205" s="18" t="n">
        <v>1</v>
      </c>
      <c r="AB205" s="10">
        <f>IF(AA205=1,I205-('Parametros'!$B$7+'Parametros'!$B$9+'Parametros'!$B$12/2),I205-(ROUNDUP(Z205/2,0)*('Parametros'!$B$7+'Parametros'!$B$9+'Parametros'!$B$12/2)+ROUNDDOWN(Z205/2,0)*('Parametros'!$B$7+'Parametros'!$B$9+'Parametros'!$B$12/2+'Parametros'!$B$12+'Parametros'!$B$10))/Z205)</f>
        <v>342.55</v>
      </c>
      <c r="AC205" s="10">
        <f>Z205*'Parametros'!$B$8</f>
        <v>597</v>
      </c>
      <c r="AD205" s="10">
        <f>'Parametros'!$B$5*AC205*'Parametros'!$B$3*(AB205-(AC205*'Parametros'!$B$3/(0.85*'Parametros'!$B$2*H205))/2)/1000000</f>
        <v>73.3394588294118</v>
      </c>
      <c r="AE205" s="10" t="str">
        <f>IF(AD205&gt;=L205,"CUMPLE","NO CUMPLE")</f>
        <v>CUMPLE</v>
      </c>
      <c r="AF205" s="10">
        <f>V205*1.25*'Parametros'!$B$3*(U205-(V205*1.25*'Parametros'!$B$3/(0.85*'Parametros'!$B$2*H205))/2)/1000000</f>
        <v>100.484515919118</v>
      </c>
      <c r="AG205" s="10">
        <f>AC205*1.25*'Parametros'!$B$3*(AB205-(AC205*1.25*'Parametros'!$B$3/(0.85*'Parametros'!$B$2*H205))/2)/1000000</f>
        <v>100.484515919118</v>
      </c>
      <c r="AH205" s="10">
        <f>N205+(AF205+AG205)/D205</f>
        <v>73.180692517301</v>
      </c>
      <c r="AI205" s="10">
        <f>MIN(O205,MAX(N205,AH205))</f>
        <v>73.180692517301</v>
      </c>
      <c r="AJ205" s="10">
        <f>0.17*SQRT('Parametros'!$B$2)*H205*MIN(U205,AB205)/1000</f>
        <v>92.4428153837279</v>
      </c>
      <c r="AK205" s="10">
        <f>MAX(AI205/'Parametros'!$B$6-AJ205,0)</f>
        <v>5.13144130600681</v>
      </c>
      <c r="AL205" s="10">
        <f>0.66*SQRT('Parametros'!$B$2)*H205*MIN(U205,AB205)/1000</f>
        <v>358.89563619565</v>
      </c>
      <c r="AM205" s="10" t="str">
        <f>IF(AK205&lt;=AL205,"CUMPLE","NO CUMPLE")</f>
        <v>CUMPLE</v>
      </c>
      <c r="AN205" s="15" t="inlineStr">
        <is>
          <t>Nº3 cerrado</t>
        </is>
      </c>
      <c r="AO205" s="17" t="n">
        <v>2</v>
      </c>
      <c r="AP205" s="10">
        <f>ROUNDDOWN(MIN(IF(AK205=0,1000000000,AO205*'Parametros'!$B$11*'Parametros'!$B$4*MIN(U205,AB205)/(AK205*1000)),IF(AV205=0,1000000000,'Parametros'!$B$11/AV205),MIN(U205,AB205)/4,8*'Parametros'!$B$12,24*'Parametros'!$B$9,300)/10,0)*10</f>
        <v>80</v>
      </c>
      <c r="AQ205" s="10">
        <f>ROUNDDOWN(MIN(IF(AK205=0,1000000000,AO205*'Parametros'!$B$11*'Parametros'!$B$4*MIN(U205,AB205)/(AK205*1000)),IF(AV205=0,1000000000,'Parametros'!$B$11/AV205),MIN(U205,AB205)/2,600)/10,0)*10</f>
        <v>170</v>
      </c>
      <c r="AR205" s="10">
        <f>'Parametros'!$B$6*(AJ205+AO205*'Parametros'!$B$11*'Parametros'!$B$4*MIN(U205,AB205)/AP205/1000)</f>
        <v>260.860380287796</v>
      </c>
      <c r="AS205" s="10" t="str">
        <f>IF(AND(AM205="CUMPLE",AR205&gt;=AI205),"CUMPLE","NO CUMPLE")</f>
        <v>CUMPLE</v>
      </c>
      <c r="AT205" s="10">
        <f>'Parametros'!$B$6*0.083*SQRT('Parametros'!$B$2)*(H205*I205)^2/(2*(H205+I205))/1000000</f>
        <v>3.38807353605471</v>
      </c>
      <c r="AU205" s="10" t="str">
        <f>IF(Q205&lt;=AT205,"DESPRECIABLE","DISEÑAR")</f>
        <v>DESPRECIABLE</v>
      </c>
      <c r="AV205" s="10">
        <f>IF(Q205&lt;=AT205,0,Q205*1000000/('Parametros'!$B$6*2*0.85*(H205-2*'Parametros'!$B$7)*(I205-2*'Parametros'!$B$7)*'Parametros'!$B$4))</f>
        <v>0</v>
      </c>
      <c r="AW205" s="10">
        <f>AV205*2*((H205-2*'Parametros'!$B$7)+(I205-2*'Parametros'!$B$7))*'Parametros'!$B$4/'Parametros'!$B$3</f>
        <v>0</v>
      </c>
      <c r="AX205" s="17" t="n">
        <v>0</v>
      </c>
      <c r="AY205" s="10" t="str">
        <f>IF(AV205=0,"DESPRECIABLE",IF('Parametros'!$B$11/AP205&gt;=AV205,"CUMPLE","NO CUMPLE"))</f>
        <v>DESPRECIABLE</v>
      </c>
      <c r="AZ205" s="10" t="str">
        <f>IF(AND(X205="CUMPLE",AE205="CUMPLE",AS205="CUMPLE",OR(AY205="CUMPLE",AY205="DESPRECIABLE")),IF(OR(F205&lt;&gt;H205,G205&lt;&gt;I205),"CUMPLE - REANALIZAR SAP","CUMPLE"),"NO CUMPLE")</f>
        <v>CUMPLE</v>
      </c>
    </row>
    <row r="206">
      <c r="A206" s="23" t="inlineStr">
        <is>
          <t>VC7</t>
        </is>
      </c>
      <c r="B206" s="23" t="inlineStr">
        <is>
          <t>73</t>
        </is>
      </c>
      <c r="C206" s="10" t="n">
        <v>1</v>
      </c>
      <c r="D206" s="10" t="n">
        <v>5.1</v>
      </c>
      <c r="E206" s="10" t="n">
        <v>5.1</v>
      </c>
      <c r="F206" s="10" t="n">
        <v>300</v>
      </c>
      <c r="G206" s="10" t="n">
        <v>400</v>
      </c>
      <c r="H206" s="15" t="n">
        <v>300</v>
      </c>
      <c r="I206" s="15" t="n">
        <v>400</v>
      </c>
      <c r="J206" s="16" t="n">
        <v>70.93519999999999</v>
      </c>
      <c r="K206" s="10" t="inlineStr">
        <is>
          <t>73</t>
        </is>
      </c>
      <c r="L206" s="16" t="n">
        <v>57.8972</v>
      </c>
      <c r="M206" s="10" t="inlineStr">
        <is>
          <t>73</t>
        </is>
      </c>
      <c r="N206" s="16" t="n">
        <v>33.777</v>
      </c>
      <c r="O206" s="16" t="n">
        <v>130.137</v>
      </c>
      <c r="P206" s="10" t="inlineStr">
        <is>
          <t>73</t>
        </is>
      </c>
      <c r="Q206" s="16" t="n">
        <v>0.9772999999999999</v>
      </c>
      <c r="R206" s="10">
        <f>MAX(MAX(1.4/'Parametros'!$B$3,0.25*SQRT('Parametros'!$B$2)/'Parametros'!$B$3)*H206*U206,(0.85*'Parametros'!$B$2/'Parametros'!$B$3)*(1-SQRT(1-2*(J206*1000000/('Parametros'!$B$5*H206*U206^2))/(0.85*'Parametros'!$B$2)))*H206*U206)</f>
        <v>576.351771709353</v>
      </c>
      <c r="S206" s="17" t="n">
        <v>3</v>
      </c>
      <c r="T206" s="18" t="n">
        <v>1</v>
      </c>
      <c r="U206" s="10">
        <f>IF(T206=1,I206-('Parametros'!$B$7+'Parametros'!$B$9+'Parametros'!$B$12/2),I206-(ROUNDUP(S206/2,0)*('Parametros'!$B$7+'Parametros'!$B$9+'Parametros'!$B$12/2)+ROUNDDOWN(S206/2,0)*('Parametros'!$B$7+'Parametros'!$B$9+'Parametros'!$B$12/2+'Parametros'!$B$12+'Parametros'!$B$10))/S206)</f>
        <v>342.55</v>
      </c>
      <c r="V206" s="10">
        <f>S206*'Parametros'!$B$8</f>
        <v>597</v>
      </c>
      <c r="W206" s="10">
        <f>'Parametros'!$B$5*V206*'Parametros'!$B$3*(U206-(V206*'Parametros'!$B$3/(0.85*'Parametros'!$B$2*H206))/2)/1000000</f>
        <v>73.3394588294118</v>
      </c>
      <c r="X206" s="10" t="str">
        <f>IF(W206&gt;=J206,"CUMPLE","NO CUMPLE")</f>
        <v>CUMPLE</v>
      </c>
      <c r="Y206" s="10">
        <f>MAX(MAX(1.4/'Parametros'!$B$3,0.25*SQRT('Parametros'!$B$2)/'Parametros'!$B$3)*H206*AB206,(0.85*'Parametros'!$B$2/'Parametros'!$B$3)*(1-SQRT(1-2*(L206*1000000/('Parametros'!$B$5*H206*AB206^2))/(0.85*'Parametros'!$B$2)))*H206*AB206)</f>
        <v>465.764670169467</v>
      </c>
      <c r="Z206" s="17" t="n">
        <v>3</v>
      </c>
      <c r="AA206" s="18" t="n">
        <v>1</v>
      </c>
      <c r="AB206" s="10">
        <f>IF(AA206=1,I206-('Parametros'!$B$7+'Parametros'!$B$9+'Parametros'!$B$12/2),I206-(ROUNDUP(Z206/2,0)*('Parametros'!$B$7+'Parametros'!$B$9+'Parametros'!$B$12/2)+ROUNDDOWN(Z206/2,0)*('Parametros'!$B$7+'Parametros'!$B$9+'Parametros'!$B$12/2+'Parametros'!$B$12+'Parametros'!$B$10))/Z206)</f>
        <v>342.55</v>
      </c>
      <c r="AC206" s="10">
        <f>Z206*'Parametros'!$B$8</f>
        <v>597</v>
      </c>
      <c r="AD206" s="10">
        <f>'Parametros'!$B$5*AC206*'Parametros'!$B$3*(AB206-(AC206*'Parametros'!$B$3/(0.85*'Parametros'!$B$2*H206))/2)/1000000</f>
        <v>73.3394588294118</v>
      </c>
      <c r="AE206" s="10" t="str">
        <f>IF(AD206&gt;=L206,"CUMPLE","NO CUMPLE")</f>
        <v>CUMPLE</v>
      </c>
      <c r="AF206" s="10">
        <f>V206*1.25*'Parametros'!$B$3*(U206-(V206*1.25*'Parametros'!$B$3/(0.85*'Parametros'!$B$2*H206))/2)/1000000</f>
        <v>100.484515919118</v>
      </c>
      <c r="AG206" s="10">
        <f>AC206*1.25*'Parametros'!$B$3*(AB206-(AC206*1.25*'Parametros'!$B$3/(0.85*'Parametros'!$B$2*H206))/2)/1000000</f>
        <v>100.484515919118</v>
      </c>
      <c r="AH206" s="10">
        <f>N206+(AF206+AG206)/D206</f>
        <v>73.182692517301</v>
      </c>
      <c r="AI206" s="10">
        <f>MIN(O206,MAX(N206,AH206))</f>
        <v>73.182692517301</v>
      </c>
      <c r="AJ206" s="10">
        <f>0.17*SQRT('Parametros'!$B$2)*H206*MIN(U206,AB206)/1000</f>
        <v>92.4428153837279</v>
      </c>
      <c r="AK206" s="10">
        <f>MAX(AI206/'Parametros'!$B$6-AJ206,0)</f>
        <v>5.13410797267346</v>
      </c>
      <c r="AL206" s="10">
        <f>0.66*SQRT('Parametros'!$B$2)*H206*MIN(U206,AB206)/1000</f>
        <v>358.89563619565</v>
      </c>
      <c r="AM206" s="10" t="str">
        <f>IF(AK206&lt;=AL206,"CUMPLE","NO CUMPLE")</f>
        <v>CUMPLE</v>
      </c>
      <c r="AN206" s="15" t="inlineStr">
        <is>
          <t>Nº3 cerrado</t>
        </is>
      </c>
      <c r="AO206" s="17" t="n">
        <v>2</v>
      </c>
      <c r="AP206" s="10">
        <f>ROUNDDOWN(MIN(IF(AK206=0,1000000000,AO206*'Parametros'!$B$11*'Parametros'!$B$4*MIN(U206,AB206)/(AK206*1000)),IF(AV206=0,1000000000,'Parametros'!$B$11/AV206),MIN(U206,AB206)/4,8*'Parametros'!$B$12,24*'Parametros'!$B$9,300)/10,0)*10</f>
        <v>80</v>
      </c>
      <c r="AQ206" s="10">
        <f>ROUNDDOWN(MIN(IF(AK206=0,1000000000,AO206*'Parametros'!$B$11*'Parametros'!$B$4*MIN(U206,AB206)/(AK206*1000)),IF(AV206=0,1000000000,'Parametros'!$B$11/AV206),MIN(U206,AB206)/2,600)/10,0)*10</f>
        <v>170</v>
      </c>
      <c r="AR206" s="10">
        <f>'Parametros'!$B$6*(AJ206+AO206*'Parametros'!$B$11*'Parametros'!$B$4*MIN(U206,AB206)/AP206/1000)</f>
        <v>260.860380287796</v>
      </c>
      <c r="AS206" s="10" t="str">
        <f>IF(AND(AM206="CUMPLE",AR206&gt;=AI206),"CUMPLE","NO CUMPLE")</f>
        <v>CUMPLE</v>
      </c>
      <c r="AT206" s="10">
        <f>'Parametros'!$B$6*0.083*SQRT('Parametros'!$B$2)*(H206*I206)^2/(2*(H206+I206))/1000000</f>
        <v>3.38807353605471</v>
      </c>
      <c r="AU206" s="10" t="str">
        <f>IF(Q206&lt;=AT206,"DESPRECIABLE","DISEÑAR")</f>
        <v>DESPRECIABLE</v>
      </c>
      <c r="AV206" s="10">
        <f>IF(Q206&lt;=AT206,0,Q206*1000000/('Parametros'!$B$6*2*0.85*(H206-2*'Parametros'!$B$7)*(I206-2*'Parametros'!$B$7)*'Parametros'!$B$4))</f>
        <v>0</v>
      </c>
      <c r="AW206" s="10">
        <f>AV206*2*((H206-2*'Parametros'!$B$7)+(I206-2*'Parametros'!$B$7))*'Parametros'!$B$4/'Parametros'!$B$3</f>
        <v>0</v>
      </c>
      <c r="AX206" s="17" t="n">
        <v>0</v>
      </c>
      <c r="AY206" s="10" t="str">
        <f>IF(AV206=0,"DESPRECIABLE",IF('Parametros'!$B$11/AP206&gt;=AV206,"CUMPLE","NO CUMPLE"))</f>
        <v>DESPRECIABLE</v>
      </c>
      <c r="AZ206" s="10" t="str">
        <f>IF(AND(X206="CUMPLE",AE206="CUMPLE",AS206="CUMPLE",OR(AY206="CUMPLE",AY206="DESPRECIABLE")),IF(OR(F206&lt;&gt;H206,G206&lt;&gt;I206),"CUMPLE - REANALIZAR SAP","CUMPLE"),"NO CUMPLE")</f>
        <v>CUMPLE</v>
      </c>
    </row>
    <row r="207">
      <c r="A207" s="23" t="inlineStr">
        <is>
          <t>VC7</t>
        </is>
      </c>
      <c r="B207" s="23" t="inlineStr">
        <is>
          <t>74</t>
        </is>
      </c>
      <c r="C207" s="10" t="n">
        <v>1</v>
      </c>
      <c r="D207" s="10" t="n">
        <v>2.65</v>
      </c>
      <c r="E207" s="10" t="n">
        <v>2.65</v>
      </c>
      <c r="F207" s="10" t="n">
        <v>300</v>
      </c>
      <c r="G207" s="10" t="n">
        <v>400</v>
      </c>
      <c r="H207" s="15" t="n">
        <v>300</v>
      </c>
      <c r="I207" s="15" t="n">
        <v>400</v>
      </c>
      <c r="J207" s="16" t="n">
        <v>93.6353</v>
      </c>
      <c r="K207" s="10" t="inlineStr">
        <is>
          <t>74</t>
        </is>
      </c>
      <c r="L207" s="16" t="n">
        <v>83.8879</v>
      </c>
      <c r="M207" s="10" t="inlineStr">
        <is>
          <t>74</t>
        </is>
      </c>
      <c r="N207" s="16" t="n">
        <v>66.596</v>
      </c>
      <c r="O207" s="16" t="n">
        <v>304.318</v>
      </c>
      <c r="P207" s="10" t="inlineStr">
        <is>
          <t>74</t>
        </is>
      </c>
      <c r="Q207" s="16" t="n">
        <v>8.895799999999999</v>
      </c>
      <c r="R207" s="10">
        <f>MAX(MAX(1.4/'Parametros'!$B$3,0.25*SQRT('Parametros'!$B$2)/'Parametros'!$B$3)*H207*U207,(0.85*'Parametros'!$B$2/'Parametros'!$B$3)*(1-SQRT(1-2*(J207*1000000/('Parametros'!$B$5*H207*U207^2))/(0.85*'Parametros'!$B$2)))*H207*U207)</f>
        <v>774.668739395677</v>
      </c>
      <c r="S207" s="17" t="n">
        <v>4</v>
      </c>
      <c r="T207" s="18" t="n">
        <v>1</v>
      </c>
      <c r="U207" s="10">
        <f>IF(T207=1,I207-('Parametros'!$B$7+'Parametros'!$B$9+'Parametros'!$B$12/2),I207-(ROUNDUP(S207/2,0)*('Parametros'!$B$7+'Parametros'!$B$9+'Parametros'!$B$12/2)+ROUNDDOWN(S207/2,0)*('Parametros'!$B$7+'Parametros'!$B$9+'Parametros'!$B$12/2+'Parametros'!$B$12+'Parametros'!$B$10))/S207)</f>
        <v>342.55</v>
      </c>
      <c r="V207" s="10">
        <f>S207*'Parametros'!$B$8</f>
        <v>796</v>
      </c>
      <c r="W207" s="10">
        <f>'Parametros'!$B$5*V207*'Parametros'!$B$3*(U207-(V207*'Parametros'!$B$3/(0.85*'Parametros'!$B$2*H207))/2)/1000000</f>
        <v>96.0248653411765</v>
      </c>
      <c r="X207" s="10" t="str">
        <f>IF(W207&gt;=J207,"CUMPLE","NO CUMPLE")</f>
        <v>CUMPLE</v>
      </c>
      <c r="Y207" s="10">
        <f>MAX(MAX(1.4/'Parametros'!$B$3,0.25*SQRT('Parametros'!$B$2)/'Parametros'!$B$3)*H207*AB207,(0.85*'Parametros'!$B$2/'Parametros'!$B$3)*(1-SQRT(1-2*(L207*1000000/('Parametros'!$B$5*H207*AB207^2))/(0.85*'Parametros'!$B$2)))*H207*AB207)</f>
        <v>688.573204877596</v>
      </c>
      <c r="Z207" s="17" t="n">
        <v>4</v>
      </c>
      <c r="AA207" s="18" t="n">
        <v>1</v>
      </c>
      <c r="AB207" s="10">
        <f>IF(AA207=1,I207-('Parametros'!$B$7+'Parametros'!$B$9+'Parametros'!$B$12/2),I207-(ROUNDUP(Z207/2,0)*('Parametros'!$B$7+'Parametros'!$B$9+'Parametros'!$B$12/2)+ROUNDDOWN(Z207/2,0)*('Parametros'!$B$7+'Parametros'!$B$9+'Parametros'!$B$12/2+'Parametros'!$B$12+'Parametros'!$B$10))/Z207)</f>
        <v>342.55</v>
      </c>
      <c r="AC207" s="10">
        <f>Z207*'Parametros'!$B$8</f>
        <v>796</v>
      </c>
      <c r="AD207" s="10">
        <f>'Parametros'!$B$5*AC207*'Parametros'!$B$3*(AB207-(AC207*'Parametros'!$B$3/(0.85*'Parametros'!$B$2*H207))/2)/1000000</f>
        <v>96.0248653411765</v>
      </c>
      <c r="AE207" s="10" t="str">
        <f>IF(AD207&gt;=L207,"CUMPLE","NO CUMPLE")</f>
        <v>CUMPLE</v>
      </c>
      <c r="AF207" s="10">
        <f>V207*1.25*'Parametros'!$B$3*(U207-(V207*1.25*'Parametros'!$B$3/(0.85*'Parametros'!$B$2*H207))/2)/1000000</f>
        <v>130.921924411765</v>
      </c>
      <c r="AG207" s="10">
        <f>AC207*1.25*'Parametros'!$B$3*(AB207-(AC207*1.25*'Parametros'!$B$3/(0.85*'Parametros'!$B$2*H207))/2)/1000000</f>
        <v>130.921924411765</v>
      </c>
      <c r="AH207" s="10">
        <f>N207+(AF207+AG207)/D207</f>
        <v>165.404999556049</v>
      </c>
      <c r="AI207" s="10">
        <f>MIN(O207,MAX(N207,AH207))</f>
        <v>165.404999556049</v>
      </c>
      <c r="AJ207" s="10">
        <f>0.17*SQRT('Parametros'!$B$2)*H207*MIN(U207,AB207)/1000</f>
        <v>92.4428153837279</v>
      </c>
      <c r="AK207" s="10">
        <f>MAX(AI207/'Parametros'!$B$6-AJ207,0)</f>
        <v>128.097184024337</v>
      </c>
      <c r="AL207" s="10">
        <f>0.66*SQRT('Parametros'!$B$2)*H207*MIN(U207,AB207)/1000</f>
        <v>358.89563619565</v>
      </c>
      <c r="AM207" s="10" t="str">
        <f>IF(AK207&lt;=AL207,"CUMPLE","NO CUMPLE")</f>
        <v>CUMPLE</v>
      </c>
      <c r="AN207" s="15" t="inlineStr">
        <is>
          <t>Nº3 cerrado</t>
        </is>
      </c>
      <c r="AO207" s="17" t="n">
        <v>2</v>
      </c>
      <c r="AP207" s="10">
        <f>ROUNDDOWN(MIN(IF(AK207=0,1000000000,AO207*'Parametros'!$B$11*'Parametros'!$B$4*MIN(U207,AB207)/(AK207*1000)),IF(AV207=0,1000000000,'Parametros'!$B$11/AV207),MIN(U207,AB207)/4,8*'Parametros'!$B$12,24*'Parametros'!$B$9,300)/10,0)*10</f>
        <v>80</v>
      </c>
      <c r="AQ207" s="10">
        <f>ROUNDDOWN(MIN(IF(AK207=0,1000000000,AO207*'Parametros'!$B$11*'Parametros'!$B$4*MIN(U207,AB207)/(AK207*1000)),IF(AV207=0,1000000000,'Parametros'!$B$11/AV207),MIN(U207,AB207)/2,600)/10,0)*10</f>
        <v>150</v>
      </c>
      <c r="AR207" s="10">
        <f>'Parametros'!$B$6*(AJ207+AO207*'Parametros'!$B$11*'Parametros'!$B$4*MIN(U207,AB207)/AP207/1000)</f>
        <v>260.860380287796</v>
      </c>
      <c r="AS207" s="10" t="str">
        <f>IF(AND(AM207="CUMPLE",AR207&gt;=AI207),"CUMPLE","NO CUMPLE")</f>
        <v>CUMPLE</v>
      </c>
      <c r="AT207" s="10">
        <f>'Parametros'!$B$6*0.083*SQRT('Parametros'!$B$2)*(H207*I207)^2/(2*(H207+I207))/1000000</f>
        <v>3.38807353605471</v>
      </c>
      <c r="AU207" s="10" t="str">
        <f>IF(Q207&lt;=AT207,"DESPRECIABLE","DISEÑAR")</f>
        <v>DISEÑAR</v>
      </c>
      <c r="AV207" s="10">
        <f>IF(Q207&lt;=AT207,0,Q207*1000000/('Parametros'!$B$6*2*0.85*(H207-2*'Parametros'!$B$7)*(I207-2*'Parametros'!$B$7)*'Parametros'!$B$4))</f>
        <v>0.235967871997284</v>
      </c>
      <c r="AW207" s="10">
        <f>AV207*2*((H207-2*'Parametros'!$B$7)+(I207-2*'Parametros'!$B$7))*'Parametros'!$B$4/'Parametros'!$B$3</f>
        <v>254.845301757066</v>
      </c>
      <c r="AX207" s="17" t="n">
        <v>2</v>
      </c>
      <c r="AY207" s="10" t="str">
        <f>IF(AV207=0,"DESPRECIABLE",IF('Parametros'!$B$11/AP207&gt;=AV207,"CUMPLE","NO CUMPLE"))</f>
        <v>CUMPLE</v>
      </c>
      <c r="AZ207" s="10" t="str">
        <f>IF(AND(X207="CUMPLE",AE207="CUMPLE",AS207="CUMPLE",OR(AY207="CUMPLE",AY207="DESPRECIABLE")),IF(OR(F207&lt;&gt;H207,G207&lt;&gt;I207),"CUMPLE - REANALIZAR SAP","CUMPLE"),"NO CUMPLE")</f>
        <v>CUMPLE</v>
      </c>
    </row>
    <row r="208">
      <c r="A208" s="23" t="inlineStr">
        <is>
          <t>VC7</t>
        </is>
      </c>
      <c r="B208" s="23" t="inlineStr">
        <is>
          <t>75</t>
        </is>
      </c>
      <c r="C208" s="10" t="n">
        <v>1</v>
      </c>
      <c r="D208" s="10" t="n">
        <v>2.65</v>
      </c>
      <c r="E208" s="10" t="n">
        <v>2.65</v>
      </c>
      <c r="F208" s="10" t="n">
        <v>300</v>
      </c>
      <c r="G208" s="10" t="n">
        <v>400</v>
      </c>
      <c r="H208" s="15" t="n">
        <v>300</v>
      </c>
      <c r="I208" s="15" t="n">
        <v>400</v>
      </c>
      <c r="J208" s="16" t="n">
        <v>93.8321</v>
      </c>
      <c r="K208" s="10" t="inlineStr">
        <is>
          <t>75</t>
        </is>
      </c>
      <c r="L208" s="16" t="n">
        <v>83.893</v>
      </c>
      <c r="M208" s="10" t="inlineStr">
        <is>
          <t>75</t>
        </is>
      </c>
      <c r="N208" s="16" t="n">
        <v>66.724</v>
      </c>
      <c r="O208" s="16" t="n">
        <v>304.629</v>
      </c>
      <c r="P208" s="10" t="inlineStr">
        <is>
          <t>75</t>
        </is>
      </c>
      <c r="Q208" s="16" t="n">
        <v>8.8756</v>
      </c>
      <c r="R208" s="10">
        <f>MAX(MAX(1.4/'Parametros'!$B$3,0.25*SQRT('Parametros'!$B$2)/'Parametros'!$B$3)*H208*U208,(0.85*'Parametros'!$B$2/'Parametros'!$B$3)*(1-SQRT(1-2*(J208*1000000/('Parametros'!$B$5*H208*U208^2))/(0.85*'Parametros'!$B$2)))*H208*U208)</f>
        <v>776.422134072485</v>
      </c>
      <c r="S208" s="17" t="n">
        <v>4</v>
      </c>
      <c r="T208" s="18" t="n">
        <v>1</v>
      </c>
      <c r="U208" s="10">
        <f>IF(T208=1,I208-('Parametros'!$B$7+'Parametros'!$B$9+'Parametros'!$B$12/2),I208-(ROUNDUP(S208/2,0)*('Parametros'!$B$7+'Parametros'!$B$9+'Parametros'!$B$12/2)+ROUNDDOWN(S208/2,0)*('Parametros'!$B$7+'Parametros'!$B$9+'Parametros'!$B$12/2+'Parametros'!$B$12+'Parametros'!$B$10))/S208)</f>
        <v>342.55</v>
      </c>
      <c r="V208" s="10">
        <f>S208*'Parametros'!$B$8</f>
        <v>796</v>
      </c>
      <c r="W208" s="10">
        <f>'Parametros'!$B$5*V208*'Parametros'!$B$3*(U208-(V208*'Parametros'!$B$3/(0.85*'Parametros'!$B$2*H208))/2)/1000000</f>
        <v>96.0248653411765</v>
      </c>
      <c r="X208" s="10" t="str">
        <f>IF(W208&gt;=J208,"CUMPLE","NO CUMPLE")</f>
        <v>CUMPLE</v>
      </c>
      <c r="Y208" s="10">
        <f>MAX(MAX(1.4/'Parametros'!$B$3,0.25*SQRT('Parametros'!$B$2)/'Parametros'!$B$3)*H208*AB208,(0.85*'Parametros'!$B$2/'Parametros'!$B$3)*(1-SQRT(1-2*(L208*1000000/('Parametros'!$B$5*H208*AB208^2))/(0.85*'Parametros'!$B$2)))*H208*AB208)</f>
        <v>688.617874020225</v>
      </c>
      <c r="Z208" s="17" t="n">
        <v>4</v>
      </c>
      <c r="AA208" s="18" t="n">
        <v>1</v>
      </c>
      <c r="AB208" s="10">
        <f>IF(AA208=1,I208-('Parametros'!$B$7+'Parametros'!$B$9+'Parametros'!$B$12/2),I208-(ROUNDUP(Z208/2,0)*('Parametros'!$B$7+'Parametros'!$B$9+'Parametros'!$B$12/2)+ROUNDDOWN(Z208/2,0)*('Parametros'!$B$7+'Parametros'!$B$9+'Parametros'!$B$12/2+'Parametros'!$B$12+'Parametros'!$B$10))/Z208)</f>
        <v>342.55</v>
      </c>
      <c r="AC208" s="10">
        <f>Z208*'Parametros'!$B$8</f>
        <v>796</v>
      </c>
      <c r="AD208" s="10">
        <f>'Parametros'!$B$5*AC208*'Parametros'!$B$3*(AB208-(AC208*'Parametros'!$B$3/(0.85*'Parametros'!$B$2*H208))/2)/1000000</f>
        <v>96.0248653411765</v>
      </c>
      <c r="AE208" s="10" t="str">
        <f>IF(AD208&gt;=L208,"CUMPLE","NO CUMPLE")</f>
        <v>CUMPLE</v>
      </c>
      <c r="AF208" s="10">
        <f>V208*1.25*'Parametros'!$B$3*(U208-(V208*1.25*'Parametros'!$B$3/(0.85*'Parametros'!$B$2*H208))/2)/1000000</f>
        <v>130.921924411765</v>
      </c>
      <c r="AG208" s="10">
        <f>AC208*1.25*'Parametros'!$B$3*(AB208-(AC208*1.25*'Parametros'!$B$3/(0.85*'Parametros'!$B$2*H208))/2)/1000000</f>
        <v>130.921924411765</v>
      </c>
      <c r="AH208" s="10">
        <f>N208+(AF208+AG208)/D208</f>
        <v>165.532999556049</v>
      </c>
      <c r="AI208" s="10">
        <f>MIN(O208,MAX(N208,AH208))</f>
        <v>165.532999556049</v>
      </c>
      <c r="AJ208" s="10">
        <f>0.17*SQRT('Parametros'!$B$2)*H208*MIN(U208,AB208)/1000</f>
        <v>92.4428153837279</v>
      </c>
      <c r="AK208" s="10">
        <f>MAX(AI208/'Parametros'!$B$6-AJ208,0)</f>
        <v>128.267850691004</v>
      </c>
      <c r="AL208" s="10">
        <f>0.66*SQRT('Parametros'!$B$2)*H208*MIN(U208,AB208)/1000</f>
        <v>358.89563619565</v>
      </c>
      <c r="AM208" s="10" t="str">
        <f>IF(AK208&lt;=AL208,"CUMPLE","NO CUMPLE")</f>
        <v>CUMPLE</v>
      </c>
      <c r="AN208" s="15" t="inlineStr">
        <is>
          <t>Nº3 cerrado</t>
        </is>
      </c>
      <c r="AO208" s="17" t="n">
        <v>2</v>
      </c>
      <c r="AP208" s="10">
        <f>ROUNDDOWN(MIN(IF(AK208=0,1000000000,AO208*'Parametros'!$B$11*'Parametros'!$B$4*MIN(U208,AB208)/(AK208*1000)),IF(AV208=0,1000000000,'Parametros'!$B$11/AV208),MIN(U208,AB208)/4,8*'Parametros'!$B$12,24*'Parametros'!$B$9,300)/10,0)*10</f>
        <v>80</v>
      </c>
      <c r="AQ208" s="10">
        <f>ROUNDDOWN(MIN(IF(AK208=0,1000000000,AO208*'Parametros'!$B$11*'Parametros'!$B$4*MIN(U208,AB208)/(AK208*1000)),IF(AV208=0,1000000000,'Parametros'!$B$11/AV208),MIN(U208,AB208)/2,600)/10,0)*10</f>
        <v>150</v>
      </c>
      <c r="AR208" s="10">
        <f>'Parametros'!$B$6*(AJ208+AO208*'Parametros'!$B$11*'Parametros'!$B$4*MIN(U208,AB208)/AP208/1000)</f>
        <v>260.860380287796</v>
      </c>
      <c r="AS208" s="10" t="str">
        <f>IF(AND(AM208="CUMPLE",AR208&gt;=AI208),"CUMPLE","NO CUMPLE")</f>
        <v>CUMPLE</v>
      </c>
      <c r="AT208" s="10">
        <f>'Parametros'!$B$6*0.083*SQRT('Parametros'!$B$2)*(H208*I208)^2/(2*(H208+I208))/1000000</f>
        <v>3.38807353605471</v>
      </c>
      <c r="AU208" s="10" t="str">
        <f>IF(Q208&lt;=AT208,"DESPRECIABLE","DISEÑAR")</f>
        <v>DISEÑAR</v>
      </c>
      <c r="AV208" s="10">
        <f>IF(Q208&lt;=AT208,0,Q208*1000000/('Parametros'!$B$6*2*0.85*(H208-2*'Parametros'!$B$7)*(I208-2*'Parametros'!$B$7)*'Parametros'!$B$4))</f>
        <v>0.235432051608522</v>
      </c>
      <c r="AW208" s="10">
        <f>AV208*2*((H208-2*'Parametros'!$B$7)+(I208-2*'Parametros'!$B$7))*'Parametros'!$B$4/'Parametros'!$B$3</f>
        <v>254.266615737204</v>
      </c>
      <c r="AX208" s="17" t="n">
        <v>2</v>
      </c>
      <c r="AY208" s="10" t="str">
        <f>IF(AV208=0,"DESPRECIABLE",IF('Parametros'!$B$11/AP208&gt;=AV208,"CUMPLE","NO CUMPLE"))</f>
        <v>CUMPLE</v>
      </c>
      <c r="AZ208" s="10" t="str">
        <f>IF(AND(X208="CUMPLE",AE208="CUMPLE",AS208="CUMPLE",OR(AY208="CUMPLE",AY208="DESPRECIABLE")),IF(OR(F208&lt;&gt;H208,G208&lt;&gt;I208),"CUMPLE - REANALIZAR SAP","CUMPLE"),"NO CUMPLE")</f>
        <v>CUMPLE</v>
      </c>
    </row>
    <row r="209">
      <c r="A209" s="23" t="inlineStr">
        <is>
          <t>VC7</t>
        </is>
      </c>
      <c r="B209" s="23" t="inlineStr">
        <is>
          <t>76</t>
        </is>
      </c>
      <c r="C209" s="10" t="n">
        <v>1</v>
      </c>
      <c r="D209" s="10" t="n">
        <v>5.1</v>
      </c>
      <c r="E209" s="10" t="n">
        <v>5.1</v>
      </c>
      <c r="F209" s="10" t="n">
        <v>300</v>
      </c>
      <c r="G209" s="10" t="n">
        <v>400</v>
      </c>
      <c r="H209" s="15" t="n">
        <v>300</v>
      </c>
      <c r="I209" s="15" t="n">
        <v>400</v>
      </c>
      <c r="J209" s="16" t="n">
        <v>70.99939999999999</v>
      </c>
      <c r="K209" s="10" t="inlineStr">
        <is>
          <t>76</t>
        </is>
      </c>
      <c r="L209" s="16" t="n">
        <v>57.9539</v>
      </c>
      <c r="M209" s="10" t="inlineStr">
        <is>
          <t>76</t>
        </is>
      </c>
      <c r="N209" s="16" t="n">
        <v>33.806</v>
      </c>
      <c r="O209" s="16" t="n">
        <v>130.189</v>
      </c>
      <c r="P209" s="10" t="inlineStr">
        <is>
          <t>76</t>
        </is>
      </c>
      <c r="Q209" s="16" t="n">
        <v>1.0234</v>
      </c>
      <c r="R209" s="10">
        <f>MAX(MAX(1.4/'Parametros'!$B$3,0.25*SQRT('Parametros'!$B$2)/'Parametros'!$B$3)*H209*U209,(0.85*'Parametros'!$B$2/'Parametros'!$B$3)*(1-SQRT(1-2*(J209*1000000/('Parametros'!$B$5*H209*U209^2))/(0.85*'Parametros'!$B$2)))*H209*U209)</f>
        <v>576.902077404124</v>
      </c>
      <c r="S209" s="17" t="n">
        <v>3</v>
      </c>
      <c r="T209" s="18" t="n">
        <v>1</v>
      </c>
      <c r="U209" s="10">
        <f>IF(T209=1,I209-('Parametros'!$B$7+'Parametros'!$B$9+'Parametros'!$B$12/2),I209-(ROUNDUP(S209/2,0)*('Parametros'!$B$7+'Parametros'!$B$9+'Parametros'!$B$12/2)+ROUNDDOWN(S209/2,0)*('Parametros'!$B$7+'Parametros'!$B$9+'Parametros'!$B$12/2+'Parametros'!$B$12+'Parametros'!$B$10))/S209)</f>
        <v>342.55</v>
      </c>
      <c r="V209" s="10">
        <f>S209*'Parametros'!$B$8</f>
        <v>597</v>
      </c>
      <c r="W209" s="10">
        <f>'Parametros'!$B$5*V209*'Parametros'!$B$3*(U209-(V209*'Parametros'!$B$3/(0.85*'Parametros'!$B$2*H209))/2)/1000000</f>
        <v>73.3394588294118</v>
      </c>
      <c r="X209" s="10" t="str">
        <f>IF(W209&gt;=J209,"CUMPLE","NO CUMPLE")</f>
        <v>CUMPLE</v>
      </c>
      <c r="Y209" s="10">
        <f>MAX(MAX(1.4/'Parametros'!$B$3,0.25*SQRT('Parametros'!$B$2)/'Parametros'!$B$3)*H209*AB209,(0.85*'Parametros'!$B$2/'Parametros'!$B$3)*(1-SQRT(1-2*(L209*1000000/('Parametros'!$B$5*H209*AB209^2))/(0.85*'Parametros'!$B$2)))*H209*AB209)</f>
        <v>466.240652001273</v>
      </c>
      <c r="Z209" s="17" t="n">
        <v>3</v>
      </c>
      <c r="AA209" s="18" t="n">
        <v>1</v>
      </c>
      <c r="AB209" s="10">
        <f>IF(AA209=1,I209-('Parametros'!$B$7+'Parametros'!$B$9+'Parametros'!$B$12/2),I209-(ROUNDUP(Z209/2,0)*('Parametros'!$B$7+'Parametros'!$B$9+'Parametros'!$B$12/2)+ROUNDDOWN(Z209/2,0)*('Parametros'!$B$7+'Parametros'!$B$9+'Parametros'!$B$12/2+'Parametros'!$B$12+'Parametros'!$B$10))/Z209)</f>
        <v>342.55</v>
      </c>
      <c r="AC209" s="10">
        <f>Z209*'Parametros'!$B$8</f>
        <v>597</v>
      </c>
      <c r="AD209" s="10">
        <f>'Parametros'!$B$5*AC209*'Parametros'!$B$3*(AB209-(AC209*'Parametros'!$B$3/(0.85*'Parametros'!$B$2*H209))/2)/1000000</f>
        <v>73.3394588294118</v>
      </c>
      <c r="AE209" s="10" t="str">
        <f>IF(AD209&gt;=L209,"CUMPLE","NO CUMPLE")</f>
        <v>CUMPLE</v>
      </c>
      <c r="AF209" s="10">
        <f>V209*1.25*'Parametros'!$B$3*(U209-(V209*1.25*'Parametros'!$B$3/(0.85*'Parametros'!$B$2*H209))/2)/1000000</f>
        <v>100.484515919118</v>
      </c>
      <c r="AG209" s="10">
        <f>AC209*1.25*'Parametros'!$B$3*(AB209-(AC209*1.25*'Parametros'!$B$3/(0.85*'Parametros'!$B$2*H209))/2)/1000000</f>
        <v>100.484515919118</v>
      </c>
      <c r="AH209" s="10">
        <f>N209+(AF209+AG209)/D209</f>
        <v>73.211692517301</v>
      </c>
      <c r="AI209" s="10">
        <f>MIN(O209,MAX(N209,AH209))</f>
        <v>73.211692517301</v>
      </c>
      <c r="AJ209" s="10">
        <f>0.17*SQRT('Parametros'!$B$2)*H209*MIN(U209,AB209)/1000</f>
        <v>92.4428153837279</v>
      </c>
      <c r="AK209" s="10">
        <f>MAX(AI209/'Parametros'!$B$6-AJ209,0)</f>
        <v>5.17277463934012</v>
      </c>
      <c r="AL209" s="10">
        <f>0.66*SQRT('Parametros'!$B$2)*H209*MIN(U209,AB209)/1000</f>
        <v>358.89563619565</v>
      </c>
      <c r="AM209" s="10" t="str">
        <f>IF(AK209&lt;=AL209,"CUMPLE","NO CUMPLE")</f>
        <v>CUMPLE</v>
      </c>
      <c r="AN209" s="15" t="inlineStr">
        <is>
          <t>Nº3 cerrado</t>
        </is>
      </c>
      <c r="AO209" s="17" t="n">
        <v>2</v>
      </c>
      <c r="AP209" s="10">
        <f>ROUNDDOWN(MIN(IF(AK209=0,1000000000,AO209*'Parametros'!$B$11*'Parametros'!$B$4*MIN(U209,AB209)/(AK209*1000)),IF(AV209=0,1000000000,'Parametros'!$B$11/AV209),MIN(U209,AB209)/4,8*'Parametros'!$B$12,24*'Parametros'!$B$9,300)/10,0)*10</f>
        <v>80</v>
      </c>
      <c r="AQ209" s="10">
        <f>ROUNDDOWN(MIN(IF(AK209=0,1000000000,AO209*'Parametros'!$B$11*'Parametros'!$B$4*MIN(U209,AB209)/(AK209*1000)),IF(AV209=0,1000000000,'Parametros'!$B$11/AV209),MIN(U209,AB209)/2,600)/10,0)*10</f>
        <v>170</v>
      </c>
      <c r="AR209" s="10">
        <f>'Parametros'!$B$6*(AJ209+AO209*'Parametros'!$B$11*'Parametros'!$B$4*MIN(U209,AB209)/AP209/1000)</f>
        <v>260.860380287796</v>
      </c>
      <c r="AS209" s="10" t="str">
        <f>IF(AND(AM209="CUMPLE",AR209&gt;=AI209),"CUMPLE","NO CUMPLE")</f>
        <v>CUMPLE</v>
      </c>
      <c r="AT209" s="10">
        <f>'Parametros'!$B$6*0.083*SQRT('Parametros'!$B$2)*(H209*I209)^2/(2*(H209+I209))/1000000</f>
        <v>3.38807353605471</v>
      </c>
      <c r="AU209" s="10" t="str">
        <f>IF(Q209&lt;=AT209,"DESPRECIABLE","DISEÑAR")</f>
        <v>DESPRECIABLE</v>
      </c>
      <c r="AV209" s="10">
        <f>IF(Q209&lt;=AT209,0,Q209*1000000/('Parametros'!$B$6*2*0.85*(H209-2*'Parametros'!$B$7)*(I209-2*'Parametros'!$B$7)*'Parametros'!$B$4))</f>
        <v>0</v>
      </c>
      <c r="AW209" s="10">
        <f>AV209*2*((H209-2*'Parametros'!$B$7)+(I209-2*'Parametros'!$B$7))*'Parametros'!$B$4/'Parametros'!$B$3</f>
        <v>0</v>
      </c>
      <c r="AX209" s="17" t="n">
        <v>0</v>
      </c>
      <c r="AY209" s="10" t="str">
        <f>IF(AV209=0,"DESPRECIABLE",IF('Parametros'!$B$11/AP209&gt;=AV209,"CUMPLE","NO CUMPLE"))</f>
        <v>DESPRECIABLE</v>
      </c>
      <c r="AZ209" s="10" t="str">
        <f>IF(AND(X209="CUMPLE",AE209="CUMPLE",AS209="CUMPLE",OR(AY209="CUMPLE",AY209="DESPRECIABLE")),IF(OR(F209&lt;&gt;H209,G209&lt;&gt;I209),"CUMPLE - REANALIZAR SAP","CUMPLE"),"NO CUMPLE")</f>
        <v>CUMPLE</v>
      </c>
    </row>
    <row r="210">
      <c r="A210" s="23" t="inlineStr">
        <is>
          <t>VC7</t>
        </is>
      </c>
      <c r="B210" s="23" t="inlineStr">
        <is>
          <t>77</t>
        </is>
      </c>
      <c r="C210" s="10" t="n">
        <v>1</v>
      </c>
      <c r="D210" s="10" t="n">
        <v>5.1</v>
      </c>
      <c r="E210" s="10" t="n">
        <v>5.1</v>
      </c>
      <c r="F210" s="10" t="n">
        <v>300</v>
      </c>
      <c r="G210" s="10" t="n">
        <v>400</v>
      </c>
      <c r="H210" s="15" t="n">
        <v>300</v>
      </c>
      <c r="I210" s="15" t="n">
        <v>400</v>
      </c>
      <c r="J210" s="16" t="n">
        <v>70.99679999999999</v>
      </c>
      <c r="K210" s="10" t="inlineStr">
        <is>
          <t>77</t>
        </is>
      </c>
      <c r="L210" s="16" t="n">
        <v>57.9523</v>
      </c>
      <c r="M210" s="10" t="inlineStr">
        <is>
          <t>77</t>
        </is>
      </c>
      <c r="N210" s="16" t="n">
        <v>33.805</v>
      </c>
      <c r="O210" s="16" t="n">
        <v>130.188</v>
      </c>
      <c r="P210" s="10" t="inlineStr">
        <is>
          <t>77</t>
        </is>
      </c>
      <c r="Q210" s="16" t="n">
        <v>1.0238</v>
      </c>
      <c r="R210" s="10">
        <f>MAX(MAX(1.4/'Parametros'!$B$3,0.25*SQRT('Parametros'!$B$2)/'Parametros'!$B$3)*H210*U210,(0.85*'Parametros'!$B$2/'Parametros'!$B$3)*(1-SQRT(1-2*(J210*1000000/('Parametros'!$B$5*H210*U210^2))/(0.85*'Parametros'!$B$2)))*H210*U210)</f>
        <v>576.879789759172</v>
      </c>
      <c r="S210" s="17" t="n">
        <v>3</v>
      </c>
      <c r="T210" s="18" t="n">
        <v>1</v>
      </c>
      <c r="U210" s="10">
        <f>IF(T210=1,I210-('Parametros'!$B$7+'Parametros'!$B$9+'Parametros'!$B$12/2),I210-(ROUNDUP(S210/2,0)*('Parametros'!$B$7+'Parametros'!$B$9+'Parametros'!$B$12/2)+ROUNDDOWN(S210/2,0)*('Parametros'!$B$7+'Parametros'!$B$9+'Parametros'!$B$12/2+'Parametros'!$B$12+'Parametros'!$B$10))/S210)</f>
        <v>342.55</v>
      </c>
      <c r="V210" s="10">
        <f>S210*'Parametros'!$B$8</f>
        <v>597</v>
      </c>
      <c r="W210" s="10">
        <f>'Parametros'!$B$5*V210*'Parametros'!$B$3*(U210-(V210*'Parametros'!$B$3/(0.85*'Parametros'!$B$2*H210))/2)/1000000</f>
        <v>73.3394588294118</v>
      </c>
      <c r="X210" s="10" t="str">
        <f>IF(W210&gt;=J210,"CUMPLE","NO CUMPLE")</f>
        <v>CUMPLE</v>
      </c>
      <c r="Y210" s="10">
        <f>MAX(MAX(1.4/'Parametros'!$B$3,0.25*SQRT('Parametros'!$B$2)/'Parametros'!$B$3)*H210*AB210,(0.85*'Parametros'!$B$2/'Parametros'!$B$3)*(1-SQRT(1-2*(L210*1000000/('Parametros'!$B$5*H210*AB210^2))/(0.85*'Parametros'!$B$2)))*H210*AB210)</f>
        <v>466.227219835328</v>
      </c>
      <c r="Z210" s="17" t="n">
        <v>3</v>
      </c>
      <c r="AA210" s="18" t="n">
        <v>1</v>
      </c>
      <c r="AB210" s="10">
        <f>IF(AA210=1,I210-('Parametros'!$B$7+'Parametros'!$B$9+'Parametros'!$B$12/2),I210-(ROUNDUP(Z210/2,0)*('Parametros'!$B$7+'Parametros'!$B$9+'Parametros'!$B$12/2)+ROUNDDOWN(Z210/2,0)*('Parametros'!$B$7+'Parametros'!$B$9+'Parametros'!$B$12/2+'Parametros'!$B$12+'Parametros'!$B$10))/Z210)</f>
        <v>342.55</v>
      </c>
      <c r="AC210" s="10">
        <f>Z210*'Parametros'!$B$8</f>
        <v>597</v>
      </c>
      <c r="AD210" s="10">
        <f>'Parametros'!$B$5*AC210*'Parametros'!$B$3*(AB210-(AC210*'Parametros'!$B$3/(0.85*'Parametros'!$B$2*H210))/2)/1000000</f>
        <v>73.3394588294118</v>
      </c>
      <c r="AE210" s="10" t="str">
        <f>IF(AD210&gt;=L210,"CUMPLE","NO CUMPLE")</f>
        <v>CUMPLE</v>
      </c>
      <c r="AF210" s="10">
        <f>V210*1.25*'Parametros'!$B$3*(U210-(V210*1.25*'Parametros'!$B$3/(0.85*'Parametros'!$B$2*H210))/2)/1000000</f>
        <v>100.484515919118</v>
      </c>
      <c r="AG210" s="10">
        <f>AC210*1.25*'Parametros'!$B$3*(AB210-(AC210*1.25*'Parametros'!$B$3/(0.85*'Parametros'!$B$2*H210))/2)/1000000</f>
        <v>100.484515919118</v>
      </c>
      <c r="AH210" s="10">
        <f>N210+(AF210+AG210)/D210</f>
        <v>73.210692517301</v>
      </c>
      <c r="AI210" s="10">
        <f>MIN(O210,MAX(N210,AH210))</f>
        <v>73.210692517301</v>
      </c>
      <c r="AJ210" s="10">
        <f>0.17*SQRT('Parametros'!$B$2)*H210*MIN(U210,AB210)/1000</f>
        <v>92.4428153837279</v>
      </c>
      <c r="AK210" s="10">
        <f>MAX(AI210/'Parametros'!$B$6-AJ210,0)</f>
        <v>5.1714413060068</v>
      </c>
      <c r="AL210" s="10">
        <f>0.66*SQRT('Parametros'!$B$2)*H210*MIN(U210,AB210)/1000</f>
        <v>358.89563619565</v>
      </c>
      <c r="AM210" s="10" t="str">
        <f>IF(AK210&lt;=AL210,"CUMPLE","NO CUMPLE")</f>
        <v>CUMPLE</v>
      </c>
      <c r="AN210" s="15" t="inlineStr">
        <is>
          <t>Nº3 cerrado</t>
        </is>
      </c>
      <c r="AO210" s="17" t="n">
        <v>2</v>
      </c>
      <c r="AP210" s="10">
        <f>ROUNDDOWN(MIN(IF(AK210=0,1000000000,AO210*'Parametros'!$B$11*'Parametros'!$B$4*MIN(U210,AB210)/(AK210*1000)),IF(AV210=0,1000000000,'Parametros'!$B$11/AV210),MIN(U210,AB210)/4,8*'Parametros'!$B$12,24*'Parametros'!$B$9,300)/10,0)*10</f>
        <v>80</v>
      </c>
      <c r="AQ210" s="10">
        <f>ROUNDDOWN(MIN(IF(AK210=0,1000000000,AO210*'Parametros'!$B$11*'Parametros'!$B$4*MIN(U210,AB210)/(AK210*1000)),IF(AV210=0,1000000000,'Parametros'!$B$11/AV210),MIN(U210,AB210)/2,600)/10,0)*10</f>
        <v>170</v>
      </c>
      <c r="AR210" s="10">
        <f>'Parametros'!$B$6*(AJ210+AO210*'Parametros'!$B$11*'Parametros'!$B$4*MIN(U210,AB210)/AP210/1000)</f>
        <v>260.860380287796</v>
      </c>
      <c r="AS210" s="10" t="str">
        <f>IF(AND(AM210="CUMPLE",AR210&gt;=AI210),"CUMPLE","NO CUMPLE")</f>
        <v>CUMPLE</v>
      </c>
      <c r="AT210" s="10">
        <f>'Parametros'!$B$6*0.083*SQRT('Parametros'!$B$2)*(H210*I210)^2/(2*(H210+I210))/1000000</f>
        <v>3.38807353605471</v>
      </c>
      <c r="AU210" s="10" t="str">
        <f>IF(Q210&lt;=AT210,"DESPRECIABLE","DISEÑAR")</f>
        <v>DESPRECIABLE</v>
      </c>
      <c r="AV210" s="10">
        <f>IF(Q210&lt;=AT210,0,Q210*1000000/('Parametros'!$B$6*2*0.85*(H210-2*'Parametros'!$B$7)*(I210-2*'Parametros'!$B$7)*'Parametros'!$B$4))</f>
        <v>0</v>
      </c>
      <c r="AW210" s="10">
        <f>AV210*2*((H210-2*'Parametros'!$B$7)+(I210-2*'Parametros'!$B$7))*'Parametros'!$B$4/'Parametros'!$B$3</f>
        <v>0</v>
      </c>
      <c r="AX210" s="17" t="n">
        <v>0</v>
      </c>
      <c r="AY210" s="10" t="str">
        <f>IF(AV210=0,"DESPRECIABLE",IF('Parametros'!$B$11/AP210&gt;=AV210,"CUMPLE","NO CUMPLE"))</f>
        <v>DESPRECIABLE</v>
      </c>
      <c r="AZ210" s="10" t="str">
        <f>IF(AND(X210="CUMPLE",AE210="CUMPLE",AS210="CUMPLE",OR(AY210="CUMPLE",AY210="DESPRECIABLE")),IF(OR(F210&lt;&gt;H210,G210&lt;&gt;I210),"CUMPLE - REANALIZAR SAP","CUMPLE"),"NO CUMPLE")</f>
        <v>CUMPLE</v>
      </c>
    </row>
    <row r="211">
      <c r="A211" s="23" t="inlineStr">
        <is>
          <t>VC7</t>
        </is>
      </c>
      <c r="B211" s="23" t="inlineStr">
        <is>
          <t>78</t>
        </is>
      </c>
      <c r="C211" s="10" t="n">
        <v>1</v>
      </c>
      <c r="D211" s="10" t="n">
        <v>2.65</v>
      </c>
      <c r="E211" s="10" t="n">
        <v>2.65</v>
      </c>
      <c r="F211" s="10" t="n">
        <v>300</v>
      </c>
      <c r="G211" s="10" t="n">
        <v>400</v>
      </c>
      <c r="H211" s="15" t="n">
        <v>300</v>
      </c>
      <c r="I211" s="15" t="n">
        <v>400</v>
      </c>
      <c r="J211" s="16" t="n">
        <v>93.8347</v>
      </c>
      <c r="K211" s="10" t="inlineStr">
        <is>
          <t>78</t>
        </is>
      </c>
      <c r="L211" s="16" t="n">
        <v>83.8914</v>
      </c>
      <c r="M211" s="10" t="inlineStr">
        <is>
          <t>78</t>
        </is>
      </c>
      <c r="N211" s="16" t="n">
        <v>66.726</v>
      </c>
      <c r="O211" s="16" t="n">
        <v>304.631</v>
      </c>
      <c r="P211" s="10" t="inlineStr">
        <is>
          <t>78</t>
        </is>
      </c>
      <c r="Q211" s="16" t="n">
        <v>8.8759</v>
      </c>
      <c r="R211" s="10">
        <f>MAX(MAX(1.4/'Parametros'!$B$3,0.25*SQRT('Parametros'!$B$2)/'Parametros'!$B$3)*H211*U211,(0.85*'Parametros'!$B$2/'Parametros'!$B$3)*(1-SQRT(1-2*(J211*1000000/('Parametros'!$B$5*H211*U211^2))/(0.85*'Parametros'!$B$2)))*H211*U211)</f>
        <v>776.445302916668</v>
      </c>
      <c r="S211" s="17" t="n">
        <v>4</v>
      </c>
      <c r="T211" s="18" t="n">
        <v>1</v>
      </c>
      <c r="U211" s="10">
        <f>IF(T211=1,I211-('Parametros'!$B$7+'Parametros'!$B$9+'Parametros'!$B$12/2),I211-(ROUNDUP(S211/2,0)*('Parametros'!$B$7+'Parametros'!$B$9+'Parametros'!$B$12/2)+ROUNDDOWN(S211/2,0)*('Parametros'!$B$7+'Parametros'!$B$9+'Parametros'!$B$12/2+'Parametros'!$B$12+'Parametros'!$B$10))/S211)</f>
        <v>342.55</v>
      </c>
      <c r="V211" s="10">
        <f>S211*'Parametros'!$B$8</f>
        <v>796</v>
      </c>
      <c r="W211" s="10">
        <f>'Parametros'!$B$5*V211*'Parametros'!$B$3*(U211-(V211*'Parametros'!$B$3/(0.85*'Parametros'!$B$2*H211))/2)/1000000</f>
        <v>96.0248653411765</v>
      </c>
      <c r="X211" s="10" t="str">
        <f>IF(W211&gt;=J211,"CUMPLE","NO CUMPLE")</f>
        <v>CUMPLE</v>
      </c>
      <c r="Y211" s="10">
        <f>MAX(MAX(1.4/'Parametros'!$B$3,0.25*SQRT('Parametros'!$B$2)/'Parametros'!$B$3)*H211*AB211,(0.85*'Parametros'!$B$2/'Parametros'!$B$3)*(1-SQRT(1-2*(L211*1000000/('Parametros'!$B$5*H211*AB211^2))/(0.85*'Parametros'!$B$2)))*H211*AB211)</f>
        <v>688.603860129725</v>
      </c>
      <c r="Z211" s="17" t="n">
        <v>4</v>
      </c>
      <c r="AA211" s="18" t="n">
        <v>1</v>
      </c>
      <c r="AB211" s="10">
        <f>IF(AA211=1,I211-('Parametros'!$B$7+'Parametros'!$B$9+'Parametros'!$B$12/2),I211-(ROUNDUP(Z211/2,0)*('Parametros'!$B$7+'Parametros'!$B$9+'Parametros'!$B$12/2)+ROUNDDOWN(Z211/2,0)*('Parametros'!$B$7+'Parametros'!$B$9+'Parametros'!$B$12/2+'Parametros'!$B$12+'Parametros'!$B$10))/Z211)</f>
        <v>342.55</v>
      </c>
      <c r="AC211" s="10">
        <f>Z211*'Parametros'!$B$8</f>
        <v>796</v>
      </c>
      <c r="AD211" s="10">
        <f>'Parametros'!$B$5*AC211*'Parametros'!$B$3*(AB211-(AC211*'Parametros'!$B$3/(0.85*'Parametros'!$B$2*H211))/2)/1000000</f>
        <v>96.0248653411765</v>
      </c>
      <c r="AE211" s="10" t="str">
        <f>IF(AD211&gt;=L211,"CUMPLE","NO CUMPLE")</f>
        <v>CUMPLE</v>
      </c>
      <c r="AF211" s="10">
        <f>V211*1.25*'Parametros'!$B$3*(U211-(V211*1.25*'Parametros'!$B$3/(0.85*'Parametros'!$B$2*H211))/2)/1000000</f>
        <v>130.921924411765</v>
      </c>
      <c r="AG211" s="10">
        <f>AC211*1.25*'Parametros'!$B$3*(AB211-(AC211*1.25*'Parametros'!$B$3/(0.85*'Parametros'!$B$2*H211))/2)/1000000</f>
        <v>130.921924411765</v>
      </c>
      <c r="AH211" s="10">
        <f>N211+(AF211+AG211)/D211</f>
        <v>165.534999556049</v>
      </c>
      <c r="AI211" s="10">
        <f>MIN(O211,MAX(N211,AH211))</f>
        <v>165.534999556049</v>
      </c>
      <c r="AJ211" s="10">
        <f>0.17*SQRT('Parametros'!$B$2)*H211*MIN(U211,AB211)/1000</f>
        <v>92.4428153837279</v>
      </c>
      <c r="AK211" s="10">
        <f>MAX(AI211/'Parametros'!$B$6-AJ211,0)</f>
        <v>128.270517357671</v>
      </c>
      <c r="AL211" s="10">
        <f>0.66*SQRT('Parametros'!$B$2)*H211*MIN(U211,AB211)/1000</f>
        <v>358.89563619565</v>
      </c>
      <c r="AM211" s="10" t="str">
        <f>IF(AK211&lt;=AL211,"CUMPLE","NO CUMPLE")</f>
        <v>CUMPLE</v>
      </c>
      <c r="AN211" s="15" t="inlineStr">
        <is>
          <t>Nº3 cerrado</t>
        </is>
      </c>
      <c r="AO211" s="17" t="n">
        <v>2</v>
      </c>
      <c r="AP211" s="10">
        <f>ROUNDDOWN(MIN(IF(AK211=0,1000000000,AO211*'Parametros'!$B$11*'Parametros'!$B$4*MIN(U211,AB211)/(AK211*1000)),IF(AV211=0,1000000000,'Parametros'!$B$11/AV211),MIN(U211,AB211)/4,8*'Parametros'!$B$12,24*'Parametros'!$B$9,300)/10,0)*10</f>
        <v>80</v>
      </c>
      <c r="AQ211" s="10">
        <f>ROUNDDOWN(MIN(IF(AK211=0,1000000000,AO211*'Parametros'!$B$11*'Parametros'!$B$4*MIN(U211,AB211)/(AK211*1000)),IF(AV211=0,1000000000,'Parametros'!$B$11/AV211),MIN(U211,AB211)/2,600)/10,0)*10</f>
        <v>150</v>
      </c>
      <c r="AR211" s="10">
        <f>'Parametros'!$B$6*(AJ211+AO211*'Parametros'!$B$11*'Parametros'!$B$4*MIN(U211,AB211)/AP211/1000)</f>
        <v>260.860380287796</v>
      </c>
      <c r="AS211" s="10" t="str">
        <f>IF(AND(AM211="CUMPLE",AR211&gt;=AI211),"CUMPLE","NO CUMPLE")</f>
        <v>CUMPLE</v>
      </c>
      <c r="AT211" s="10">
        <f>'Parametros'!$B$6*0.083*SQRT('Parametros'!$B$2)*(H211*I211)^2/(2*(H211+I211))/1000000</f>
        <v>3.38807353605471</v>
      </c>
      <c r="AU211" s="10" t="str">
        <f>IF(Q211&lt;=AT211,"DESPRECIABLE","DISEÑAR")</f>
        <v>DISEÑAR</v>
      </c>
      <c r="AV211" s="10">
        <f>IF(Q211&lt;=AT211,0,Q211*1000000/('Parametros'!$B$6*2*0.85*(H211-2*'Parametros'!$B$7)*(I211-2*'Parametros'!$B$7)*'Parametros'!$B$4))</f>
        <v>0.235440009337068</v>
      </c>
      <c r="AW211" s="10">
        <f>AV211*2*((H211-2*'Parametros'!$B$7)+(I211-2*'Parametros'!$B$7))*'Parametros'!$B$4/'Parametros'!$B$3</f>
        <v>254.275210084034</v>
      </c>
      <c r="AX211" s="17" t="n">
        <v>2</v>
      </c>
      <c r="AY211" s="10" t="str">
        <f>IF(AV211=0,"DESPRECIABLE",IF('Parametros'!$B$11/AP211&gt;=AV211,"CUMPLE","NO CUMPLE"))</f>
        <v>CUMPLE</v>
      </c>
      <c r="AZ211" s="10" t="str">
        <f>IF(AND(X211="CUMPLE",AE211="CUMPLE",AS211="CUMPLE",OR(AY211="CUMPLE",AY211="DESPRECIABLE")),IF(OR(F211&lt;&gt;H211,G211&lt;&gt;I211),"CUMPLE - REANALIZAR SAP","CUMPLE"),"NO CUMPLE")</f>
        <v>CUMPLE</v>
      </c>
    </row>
    <row r="212">
      <c r="A212" s="23" t="inlineStr">
        <is>
          <t>VC7</t>
        </is>
      </c>
      <c r="B212" s="23" t="inlineStr">
        <is>
          <t>271</t>
        </is>
      </c>
      <c r="C212" s="10" t="n">
        <v>1</v>
      </c>
      <c r="D212" s="10" t="n">
        <v>2.65</v>
      </c>
      <c r="E212" s="10" t="n">
        <v>2.65</v>
      </c>
      <c r="F212" s="10" t="n">
        <v>300</v>
      </c>
      <c r="G212" s="10" t="n">
        <v>400</v>
      </c>
      <c r="H212" s="15" t="n">
        <v>300</v>
      </c>
      <c r="I212" s="15" t="n">
        <v>400</v>
      </c>
      <c r="J212" s="16" t="n">
        <v>92.4324</v>
      </c>
      <c r="K212" s="10" t="inlineStr">
        <is>
          <t>271</t>
        </is>
      </c>
      <c r="L212" s="16" t="n">
        <v>84.9894</v>
      </c>
      <c r="M212" s="10" t="inlineStr">
        <is>
          <t>271</t>
        </is>
      </c>
      <c r="N212" s="16" t="n">
        <v>67.27</v>
      </c>
      <c r="O212" s="16" t="n">
        <v>310.945</v>
      </c>
      <c r="P212" s="10" t="inlineStr">
        <is>
          <t>271</t>
        </is>
      </c>
      <c r="Q212" s="16" t="n">
        <v>5.0179</v>
      </c>
      <c r="R212" s="10">
        <f>MAX(MAX(1.4/'Parametros'!$B$3,0.25*SQRT('Parametros'!$B$2)/'Parametros'!$B$3)*H212*U212,(0.85*'Parametros'!$B$2/'Parametros'!$B$3)*(1-SQRT(1-2*(J212*1000000/('Parametros'!$B$5*H212*U212^2))/(0.85*'Parametros'!$B$2)))*H212*U212)</f>
        <v>763.964679066774</v>
      </c>
      <c r="S212" s="17" t="n">
        <v>4</v>
      </c>
      <c r="T212" s="18" t="n">
        <v>1</v>
      </c>
      <c r="U212" s="10">
        <f>IF(T212=1,I212-('Parametros'!$B$7+'Parametros'!$B$9+'Parametros'!$B$12/2),I212-(ROUNDUP(S212/2,0)*('Parametros'!$B$7+'Parametros'!$B$9+'Parametros'!$B$12/2)+ROUNDDOWN(S212/2,0)*('Parametros'!$B$7+'Parametros'!$B$9+'Parametros'!$B$12/2+'Parametros'!$B$12+'Parametros'!$B$10))/S212)</f>
        <v>342.55</v>
      </c>
      <c r="V212" s="10">
        <f>S212*'Parametros'!$B$8</f>
        <v>796</v>
      </c>
      <c r="W212" s="10">
        <f>'Parametros'!$B$5*V212*'Parametros'!$B$3*(U212-(V212*'Parametros'!$B$3/(0.85*'Parametros'!$B$2*H212))/2)/1000000</f>
        <v>96.0248653411765</v>
      </c>
      <c r="X212" s="10" t="str">
        <f>IF(W212&gt;=J212,"CUMPLE","NO CUMPLE")</f>
        <v>CUMPLE</v>
      </c>
      <c r="Y212" s="10">
        <f>MAX(MAX(1.4/'Parametros'!$B$3,0.25*SQRT('Parametros'!$B$2)/'Parametros'!$B$3)*H212*AB212,(0.85*'Parametros'!$B$2/'Parametros'!$B$3)*(1-SQRT(1-2*(L212*1000000/('Parametros'!$B$5*H212*AB212^2))/(0.85*'Parametros'!$B$2)))*H212*AB212)</f>
        <v>698.229902270505</v>
      </c>
      <c r="Z212" s="17" t="n">
        <v>4</v>
      </c>
      <c r="AA212" s="18" t="n">
        <v>1</v>
      </c>
      <c r="AB212" s="10">
        <f>IF(AA212=1,I212-('Parametros'!$B$7+'Parametros'!$B$9+'Parametros'!$B$12/2),I212-(ROUNDUP(Z212/2,0)*('Parametros'!$B$7+'Parametros'!$B$9+'Parametros'!$B$12/2)+ROUNDDOWN(Z212/2,0)*('Parametros'!$B$7+'Parametros'!$B$9+'Parametros'!$B$12/2+'Parametros'!$B$12+'Parametros'!$B$10))/Z212)</f>
        <v>342.55</v>
      </c>
      <c r="AC212" s="10">
        <f>Z212*'Parametros'!$B$8</f>
        <v>796</v>
      </c>
      <c r="AD212" s="10">
        <f>'Parametros'!$B$5*AC212*'Parametros'!$B$3*(AB212-(AC212*'Parametros'!$B$3/(0.85*'Parametros'!$B$2*H212))/2)/1000000</f>
        <v>96.0248653411765</v>
      </c>
      <c r="AE212" s="10" t="str">
        <f>IF(AD212&gt;=L212,"CUMPLE","NO CUMPLE")</f>
        <v>CUMPLE</v>
      </c>
      <c r="AF212" s="10">
        <f>V212*1.25*'Parametros'!$B$3*(U212-(V212*1.25*'Parametros'!$B$3/(0.85*'Parametros'!$B$2*H212))/2)/1000000</f>
        <v>130.921924411765</v>
      </c>
      <c r="AG212" s="10">
        <f>AC212*1.25*'Parametros'!$B$3*(AB212-(AC212*1.25*'Parametros'!$B$3/(0.85*'Parametros'!$B$2*H212))/2)/1000000</f>
        <v>130.921924411765</v>
      </c>
      <c r="AH212" s="10">
        <f>N212+(AF212+AG212)/D212</f>
        <v>166.078999556049</v>
      </c>
      <c r="AI212" s="10">
        <f>MIN(O212,MAX(N212,AH212))</f>
        <v>166.078999556049</v>
      </c>
      <c r="AJ212" s="10">
        <f>0.17*SQRT('Parametros'!$B$2)*H212*MIN(U212,AB212)/1000</f>
        <v>92.4428153837279</v>
      </c>
      <c r="AK212" s="10">
        <f>MAX(AI212/'Parametros'!$B$6-AJ212,0)</f>
        <v>128.995850691004</v>
      </c>
      <c r="AL212" s="10">
        <f>0.66*SQRT('Parametros'!$B$2)*H212*MIN(U212,AB212)/1000</f>
        <v>358.89563619565</v>
      </c>
      <c r="AM212" s="10" t="str">
        <f>IF(AK212&lt;=AL212,"CUMPLE","NO CUMPLE")</f>
        <v>CUMPLE</v>
      </c>
      <c r="AN212" s="15" t="inlineStr">
        <is>
          <t>Nº3 cerrado</t>
        </is>
      </c>
      <c r="AO212" s="17" t="n">
        <v>2</v>
      </c>
      <c r="AP212" s="10">
        <f>ROUNDDOWN(MIN(IF(AK212=0,1000000000,AO212*'Parametros'!$B$11*'Parametros'!$B$4*MIN(U212,AB212)/(AK212*1000)),IF(AV212=0,1000000000,'Parametros'!$B$11/AV212),MIN(U212,AB212)/4,8*'Parametros'!$B$12,24*'Parametros'!$B$9,300)/10,0)*10</f>
        <v>80</v>
      </c>
      <c r="AQ212" s="10">
        <f>ROUNDDOWN(MIN(IF(AK212=0,1000000000,AO212*'Parametros'!$B$11*'Parametros'!$B$4*MIN(U212,AB212)/(AK212*1000)),IF(AV212=0,1000000000,'Parametros'!$B$11/AV212),MIN(U212,AB212)/2,600)/10,0)*10</f>
        <v>150</v>
      </c>
      <c r="AR212" s="10">
        <f>'Parametros'!$B$6*(AJ212+AO212*'Parametros'!$B$11*'Parametros'!$B$4*MIN(U212,AB212)/AP212/1000)</f>
        <v>260.860380287796</v>
      </c>
      <c r="AS212" s="10" t="str">
        <f>IF(AND(AM212="CUMPLE",AR212&gt;=AI212),"CUMPLE","NO CUMPLE")</f>
        <v>CUMPLE</v>
      </c>
      <c r="AT212" s="10">
        <f>'Parametros'!$B$6*0.083*SQRT('Parametros'!$B$2)*(H212*I212)^2/(2*(H212+I212))/1000000</f>
        <v>3.38807353605471</v>
      </c>
      <c r="AU212" s="10" t="str">
        <f>IF(Q212&lt;=AT212,"DESPRECIABLE","DISEÑAR")</f>
        <v>DISEÑAR</v>
      </c>
      <c r="AV212" s="10">
        <f>IF(Q212&lt;=AT212,0,Q212*1000000/('Parametros'!$B$6*2*0.85*(H212-2*'Parametros'!$B$7)*(I212-2*'Parametros'!$B$7)*'Parametros'!$B$4))</f>
        <v>0.133103620235973</v>
      </c>
      <c r="AW212" s="10">
        <f>AV212*2*((H212-2*'Parametros'!$B$7)+(I212-2*'Parametros'!$B$7))*'Parametros'!$B$4/'Parametros'!$B$3</f>
        <v>143.751909854851</v>
      </c>
      <c r="AX212" s="17" t="n">
        <v>1</v>
      </c>
      <c r="AY212" s="10" t="str">
        <f>IF(AV212=0,"DESPRECIABLE",IF('Parametros'!$B$11/AP212&gt;=AV212,"CUMPLE","NO CUMPLE"))</f>
        <v>CUMPLE</v>
      </c>
      <c r="AZ212" s="10" t="str">
        <f>IF(AND(X212="CUMPLE",AE212="CUMPLE",AS212="CUMPLE",OR(AY212="CUMPLE",AY212="DESPRECIABLE")),IF(OR(F212&lt;&gt;H212,G212&lt;&gt;I212),"CUMPLE - REANALIZAR SAP","CUMPLE"),"NO CUMPLE")</f>
        <v>CUMPLE</v>
      </c>
    </row>
    <row r="213">
      <c r="A213" s="23" t="inlineStr">
        <is>
          <t>VC7</t>
        </is>
      </c>
      <c r="B213" s="23" t="inlineStr">
        <is>
          <t>272</t>
        </is>
      </c>
      <c r="C213" s="10" t="n">
        <v>1</v>
      </c>
      <c r="D213" s="10" t="n">
        <v>5.1</v>
      </c>
      <c r="E213" s="10" t="n">
        <v>5.1</v>
      </c>
      <c r="F213" s="10" t="n">
        <v>300</v>
      </c>
      <c r="G213" s="10" t="n">
        <v>400</v>
      </c>
      <c r="H213" s="15" t="n">
        <v>300</v>
      </c>
      <c r="I213" s="15" t="n">
        <v>400</v>
      </c>
      <c r="J213" s="16" t="n">
        <v>74.40309999999999</v>
      </c>
      <c r="K213" s="10" t="inlineStr">
        <is>
          <t>272</t>
        </is>
      </c>
      <c r="L213" s="16" t="n">
        <v>60.7274</v>
      </c>
      <c r="M213" s="10" t="inlineStr">
        <is>
          <t>272</t>
        </is>
      </c>
      <c r="N213" s="16" t="n">
        <v>35.149</v>
      </c>
      <c r="O213" s="16" t="n">
        <v>133.29</v>
      </c>
      <c r="P213" s="10" t="inlineStr">
        <is>
          <t>272</t>
        </is>
      </c>
      <c r="Q213" s="16" t="n">
        <v>0.8157</v>
      </c>
      <c r="R213" s="10">
        <f>MAX(MAX(1.4/'Parametros'!$B$3,0.25*SQRT('Parametros'!$B$2)/'Parametros'!$B$3)*H213*U213,(0.85*'Parametros'!$B$2/'Parametros'!$B$3)*(1-SQRT(1-2*(J213*1000000/('Parametros'!$B$5*H213*U213^2))/(0.85*'Parametros'!$B$2)))*H213*U213)</f>
        <v>606.160824355928</v>
      </c>
      <c r="S213" s="17" t="n">
        <v>4</v>
      </c>
      <c r="T213" s="18" t="n">
        <v>1</v>
      </c>
      <c r="U213" s="10">
        <f>IF(T213=1,I213-('Parametros'!$B$7+'Parametros'!$B$9+'Parametros'!$B$12/2),I213-(ROUNDUP(S213/2,0)*('Parametros'!$B$7+'Parametros'!$B$9+'Parametros'!$B$12/2)+ROUNDDOWN(S213/2,0)*('Parametros'!$B$7+'Parametros'!$B$9+'Parametros'!$B$12/2+'Parametros'!$B$12+'Parametros'!$B$10))/S213)</f>
        <v>342.55</v>
      </c>
      <c r="V213" s="10">
        <f>S213*'Parametros'!$B$8</f>
        <v>796</v>
      </c>
      <c r="W213" s="10">
        <f>'Parametros'!$B$5*V213*'Parametros'!$B$3*(U213-(V213*'Parametros'!$B$3/(0.85*'Parametros'!$B$2*H213))/2)/1000000</f>
        <v>96.0248653411765</v>
      </c>
      <c r="X213" s="10" t="str">
        <f>IF(W213&gt;=J213,"CUMPLE","NO CUMPLE")</f>
        <v>CUMPLE</v>
      </c>
      <c r="Y213" s="10">
        <f>MAX(MAX(1.4/'Parametros'!$B$3,0.25*SQRT('Parametros'!$B$2)/'Parametros'!$B$3)*H213*AB213,(0.85*'Parametros'!$B$2/'Parametros'!$B$3)*(1-SQRT(1-2*(L213*1000000/('Parametros'!$B$5*H213*AB213^2))/(0.85*'Parametros'!$B$2)))*H213*AB213)</f>
        <v>489.575322302498</v>
      </c>
      <c r="Z213" s="17" t="n">
        <v>3</v>
      </c>
      <c r="AA213" s="18" t="n">
        <v>1</v>
      </c>
      <c r="AB213" s="10">
        <f>IF(AA213=1,I213-('Parametros'!$B$7+'Parametros'!$B$9+'Parametros'!$B$12/2),I213-(ROUNDUP(Z213/2,0)*('Parametros'!$B$7+'Parametros'!$B$9+'Parametros'!$B$12/2)+ROUNDDOWN(Z213/2,0)*('Parametros'!$B$7+'Parametros'!$B$9+'Parametros'!$B$12/2+'Parametros'!$B$12+'Parametros'!$B$10))/Z213)</f>
        <v>342.55</v>
      </c>
      <c r="AC213" s="10">
        <f>Z213*'Parametros'!$B$8</f>
        <v>597</v>
      </c>
      <c r="AD213" s="10">
        <f>'Parametros'!$B$5*AC213*'Parametros'!$B$3*(AB213-(AC213*'Parametros'!$B$3/(0.85*'Parametros'!$B$2*H213))/2)/1000000</f>
        <v>73.3394588294118</v>
      </c>
      <c r="AE213" s="10" t="str">
        <f>IF(AD213&gt;=L213,"CUMPLE","NO CUMPLE")</f>
        <v>CUMPLE</v>
      </c>
      <c r="AF213" s="10">
        <f>V213*1.25*'Parametros'!$B$3*(U213-(V213*1.25*'Parametros'!$B$3/(0.85*'Parametros'!$B$2*H213))/2)/1000000</f>
        <v>130.921924411765</v>
      </c>
      <c r="AG213" s="10">
        <f>AC213*1.25*'Parametros'!$B$3*(AB213-(AC213*1.25*'Parametros'!$B$3/(0.85*'Parametros'!$B$2*H213))/2)/1000000</f>
        <v>100.484515919118</v>
      </c>
      <c r="AH213" s="10">
        <f>N213+(AF213+AG213)/D213</f>
        <v>80.5228118295848</v>
      </c>
      <c r="AI213" s="10">
        <f>MIN(O213,MAX(N213,AH213))</f>
        <v>80.5228118295848</v>
      </c>
      <c r="AJ213" s="10">
        <f>0.17*SQRT('Parametros'!$B$2)*H213*MIN(U213,AB213)/1000</f>
        <v>92.4428153837279</v>
      </c>
      <c r="AK213" s="10">
        <f>MAX(AI213/'Parametros'!$B$6-AJ213,0)</f>
        <v>14.9209337223851</v>
      </c>
      <c r="AL213" s="10">
        <f>0.66*SQRT('Parametros'!$B$2)*H213*MIN(U213,AB213)/1000</f>
        <v>358.89563619565</v>
      </c>
      <c r="AM213" s="10" t="str">
        <f>IF(AK213&lt;=AL213,"CUMPLE","NO CUMPLE")</f>
        <v>CUMPLE</v>
      </c>
      <c r="AN213" s="15" t="inlineStr">
        <is>
          <t>Nº3 cerrado</t>
        </is>
      </c>
      <c r="AO213" s="17" t="n">
        <v>2</v>
      </c>
      <c r="AP213" s="10">
        <f>ROUNDDOWN(MIN(IF(AK213=0,1000000000,AO213*'Parametros'!$B$11*'Parametros'!$B$4*MIN(U213,AB213)/(AK213*1000)),IF(AV213=0,1000000000,'Parametros'!$B$11/AV213),MIN(U213,AB213)/4,8*'Parametros'!$B$12,24*'Parametros'!$B$9,300)/10,0)*10</f>
        <v>80</v>
      </c>
      <c r="AQ213" s="10">
        <f>ROUNDDOWN(MIN(IF(AK213=0,1000000000,AO213*'Parametros'!$B$11*'Parametros'!$B$4*MIN(U213,AB213)/(AK213*1000)),IF(AV213=0,1000000000,'Parametros'!$B$11/AV213),MIN(U213,AB213)/2,600)/10,0)*10</f>
        <v>170</v>
      </c>
      <c r="AR213" s="10">
        <f>'Parametros'!$B$6*(AJ213+AO213*'Parametros'!$B$11*'Parametros'!$B$4*MIN(U213,AB213)/AP213/1000)</f>
        <v>260.860380287796</v>
      </c>
      <c r="AS213" s="10" t="str">
        <f>IF(AND(AM213="CUMPLE",AR213&gt;=AI213),"CUMPLE","NO CUMPLE")</f>
        <v>CUMPLE</v>
      </c>
      <c r="AT213" s="10">
        <f>'Parametros'!$B$6*0.083*SQRT('Parametros'!$B$2)*(H213*I213)^2/(2*(H213+I213))/1000000</f>
        <v>3.38807353605471</v>
      </c>
      <c r="AU213" s="10" t="str">
        <f>IF(Q213&lt;=AT213,"DESPRECIABLE","DISEÑAR")</f>
        <v>DESPRECIABLE</v>
      </c>
      <c r="AV213" s="10">
        <f>IF(Q213&lt;=AT213,0,Q213*1000000/('Parametros'!$B$6*2*0.85*(H213-2*'Parametros'!$B$7)*(I213-2*'Parametros'!$B$7)*'Parametros'!$B$4))</f>
        <v>0</v>
      </c>
      <c r="AW213" s="10">
        <f>AV213*2*((H213-2*'Parametros'!$B$7)+(I213-2*'Parametros'!$B$7))*'Parametros'!$B$4/'Parametros'!$B$3</f>
        <v>0</v>
      </c>
      <c r="AX213" s="17" t="n">
        <v>0</v>
      </c>
      <c r="AY213" s="10" t="str">
        <f>IF(AV213=0,"DESPRECIABLE",IF('Parametros'!$B$11/AP213&gt;=AV213,"CUMPLE","NO CUMPLE"))</f>
        <v>DESPRECIABLE</v>
      </c>
      <c r="AZ213" s="10" t="str">
        <f>IF(AND(X213="CUMPLE",AE213="CUMPLE",AS213="CUMPLE",OR(AY213="CUMPLE",AY213="DESPRECIABLE")),IF(OR(F213&lt;&gt;H213,G213&lt;&gt;I213),"CUMPLE - REANALIZAR SAP","CUMPLE"),"NO CUMPLE")</f>
        <v>CUMPLE</v>
      </c>
    </row>
    <row r="214">
      <c r="A214" s="23" t="inlineStr">
        <is>
          <t>VC7</t>
        </is>
      </c>
      <c r="B214" s="23" t="inlineStr">
        <is>
          <t>273</t>
        </is>
      </c>
      <c r="C214" s="10" t="n">
        <v>1</v>
      </c>
      <c r="D214" s="10" t="n">
        <v>5.1</v>
      </c>
      <c r="E214" s="10" t="n">
        <v>5.1</v>
      </c>
      <c r="F214" s="10" t="n">
        <v>300</v>
      </c>
      <c r="G214" s="10" t="n">
        <v>400</v>
      </c>
      <c r="H214" s="15" t="n">
        <v>300</v>
      </c>
      <c r="I214" s="15" t="n">
        <v>400</v>
      </c>
      <c r="J214" s="16" t="n">
        <v>74.40519999999999</v>
      </c>
      <c r="K214" s="10" t="inlineStr">
        <is>
          <t>273</t>
        </is>
      </c>
      <c r="L214" s="16" t="n">
        <v>60.7296</v>
      </c>
      <c r="M214" s="10" t="inlineStr">
        <is>
          <t>273</t>
        </is>
      </c>
      <c r="N214" s="16" t="n">
        <v>35.149</v>
      </c>
      <c r="O214" s="16" t="n">
        <v>133.29</v>
      </c>
      <c r="P214" s="10" t="inlineStr">
        <is>
          <t>273</t>
        </is>
      </c>
      <c r="Q214" s="16" t="n">
        <v>0.8152</v>
      </c>
      <c r="R214" s="10">
        <f>MAX(MAX(1.4/'Parametros'!$B$3,0.25*SQRT('Parametros'!$B$2)/'Parametros'!$B$3)*H214*U214,(0.85*'Parametros'!$B$2/'Parametros'!$B$3)*(1-SQRT(1-2*(J214*1000000/('Parametros'!$B$5*H214*U214^2))/(0.85*'Parametros'!$B$2)))*H214*U214)</f>
        <v>606.178926940503</v>
      </c>
      <c r="S214" s="17" t="n">
        <v>4</v>
      </c>
      <c r="T214" s="18" t="n">
        <v>1</v>
      </c>
      <c r="U214" s="10">
        <f>IF(T214=1,I214-('Parametros'!$B$7+'Parametros'!$B$9+'Parametros'!$B$12/2),I214-(ROUNDUP(S214/2,0)*('Parametros'!$B$7+'Parametros'!$B$9+'Parametros'!$B$12/2)+ROUNDDOWN(S214/2,0)*('Parametros'!$B$7+'Parametros'!$B$9+'Parametros'!$B$12/2+'Parametros'!$B$12+'Parametros'!$B$10))/S214)</f>
        <v>342.55</v>
      </c>
      <c r="V214" s="10">
        <f>S214*'Parametros'!$B$8</f>
        <v>796</v>
      </c>
      <c r="W214" s="10">
        <f>'Parametros'!$B$5*V214*'Parametros'!$B$3*(U214-(V214*'Parametros'!$B$3/(0.85*'Parametros'!$B$2*H214))/2)/1000000</f>
        <v>96.0248653411765</v>
      </c>
      <c r="X214" s="10" t="str">
        <f>IF(W214&gt;=J214,"CUMPLE","NO CUMPLE")</f>
        <v>CUMPLE</v>
      </c>
      <c r="Y214" s="10">
        <f>MAX(MAX(1.4/'Parametros'!$B$3,0.25*SQRT('Parametros'!$B$2)/'Parametros'!$B$3)*H214*AB214,(0.85*'Parametros'!$B$2/'Parametros'!$B$3)*(1-SQRT(1-2*(L214*1000000/('Parametros'!$B$5*H214*AB214^2))/(0.85*'Parametros'!$B$2)))*H214*AB214)</f>
        <v>489.593872387002</v>
      </c>
      <c r="Z214" s="17" t="n">
        <v>3</v>
      </c>
      <c r="AA214" s="18" t="n">
        <v>1</v>
      </c>
      <c r="AB214" s="10">
        <f>IF(AA214=1,I214-('Parametros'!$B$7+'Parametros'!$B$9+'Parametros'!$B$12/2),I214-(ROUNDUP(Z214/2,0)*('Parametros'!$B$7+'Parametros'!$B$9+'Parametros'!$B$12/2)+ROUNDDOWN(Z214/2,0)*('Parametros'!$B$7+'Parametros'!$B$9+'Parametros'!$B$12/2+'Parametros'!$B$12+'Parametros'!$B$10))/Z214)</f>
        <v>342.55</v>
      </c>
      <c r="AC214" s="10">
        <f>Z214*'Parametros'!$B$8</f>
        <v>597</v>
      </c>
      <c r="AD214" s="10">
        <f>'Parametros'!$B$5*AC214*'Parametros'!$B$3*(AB214-(AC214*'Parametros'!$B$3/(0.85*'Parametros'!$B$2*H214))/2)/1000000</f>
        <v>73.3394588294118</v>
      </c>
      <c r="AE214" s="10" t="str">
        <f>IF(AD214&gt;=L214,"CUMPLE","NO CUMPLE")</f>
        <v>CUMPLE</v>
      </c>
      <c r="AF214" s="10">
        <f>V214*1.25*'Parametros'!$B$3*(U214-(V214*1.25*'Parametros'!$B$3/(0.85*'Parametros'!$B$2*H214))/2)/1000000</f>
        <v>130.921924411765</v>
      </c>
      <c r="AG214" s="10">
        <f>AC214*1.25*'Parametros'!$B$3*(AB214-(AC214*1.25*'Parametros'!$B$3/(0.85*'Parametros'!$B$2*H214))/2)/1000000</f>
        <v>100.484515919118</v>
      </c>
      <c r="AH214" s="10">
        <f>N214+(AF214+AG214)/D214</f>
        <v>80.5228118295848</v>
      </c>
      <c r="AI214" s="10">
        <f>MIN(O214,MAX(N214,AH214))</f>
        <v>80.5228118295848</v>
      </c>
      <c r="AJ214" s="10">
        <f>0.17*SQRT('Parametros'!$B$2)*H214*MIN(U214,AB214)/1000</f>
        <v>92.4428153837279</v>
      </c>
      <c r="AK214" s="10">
        <f>MAX(AI214/'Parametros'!$B$6-AJ214,0)</f>
        <v>14.9209337223851</v>
      </c>
      <c r="AL214" s="10">
        <f>0.66*SQRT('Parametros'!$B$2)*H214*MIN(U214,AB214)/1000</f>
        <v>358.89563619565</v>
      </c>
      <c r="AM214" s="10" t="str">
        <f>IF(AK214&lt;=AL214,"CUMPLE","NO CUMPLE")</f>
        <v>CUMPLE</v>
      </c>
      <c r="AN214" s="15" t="inlineStr">
        <is>
          <t>Nº3 cerrado</t>
        </is>
      </c>
      <c r="AO214" s="17" t="n">
        <v>2</v>
      </c>
      <c r="AP214" s="10">
        <f>ROUNDDOWN(MIN(IF(AK214=0,1000000000,AO214*'Parametros'!$B$11*'Parametros'!$B$4*MIN(U214,AB214)/(AK214*1000)),IF(AV214=0,1000000000,'Parametros'!$B$11/AV214),MIN(U214,AB214)/4,8*'Parametros'!$B$12,24*'Parametros'!$B$9,300)/10,0)*10</f>
        <v>80</v>
      </c>
      <c r="AQ214" s="10">
        <f>ROUNDDOWN(MIN(IF(AK214=0,1000000000,AO214*'Parametros'!$B$11*'Parametros'!$B$4*MIN(U214,AB214)/(AK214*1000)),IF(AV214=0,1000000000,'Parametros'!$B$11/AV214),MIN(U214,AB214)/2,600)/10,0)*10</f>
        <v>170</v>
      </c>
      <c r="AR214" s="10">
        <f>'Parametros'!$B$6*(AJ214+AO214*'Parametros'!$B$11*'Parametros'!$B$4*MIN(U214,AB214)/AP214/1000)</f>
        <v>260.860380287796</v>
      </c>
      <c r="AS214" s="10" t="str">
        <f>IF(AND(AM214="CUMPLE",AR214&gt;=AI214),"CUMPLE","NO CUMPLE")</f>
        <v>CUMPLE</v>
      </c>
      <c r="AT214" s="10">
        <f>'Parametros'!$B$6*0.083*SQRT('Parametros'!$B$2)*(H214*I214)^2/(2*(H214+I214))/1000000</f>
        <v>3.38807353605471</v>
      </c>
      <c r="AU214" s="10" t="str">
        <f>IF(Q214&lt;=AT214,"DESPRECIABLE","DISEÑAR")</f>
        <v>DESPRECIABLE</v>
      </c>
      <c r="AV214" s="10">
        <f>IF(Q214&lt;=AT214,0,Q214*1000000/('Parametros'!$B$6*2*0.85*(H214-2*'Parametros'!$B$7)*(I214-2*'Parametros'!$B$7)*'Parametros'!$B$4))</f>
        <v>0</v>
      </c>
      <c r="AW214" s="10">
        <f>AV214*2*((H214-2*'Parametros'!$B$7)+(I214-2*'Parametros'!$B$7))*'Parametros'!$B$4/'Parametros'!$B$3</f>
        <v>0</v>
      </c>
      <c r="AX214" s="17" t="n">
        <v>0</v>
      </c>
      <c r="AY214" s="10" t="str">
        <f>IF(AV214=0,"DESPRECIABLE",IF('Parametros'!$B$11/AP214&gt;=AV214,"CUMPLE","NO CUMPLE"))</f>
        <v>DESPRECIABLE</v>
      </c>
      <c r="AZ214" s="10" t="str">
        <f>IF(AND(X214="CUMPLE",AE214="CUMPLE",AS214="CUMPLE",OR(AY214="CUMPLE",AY214="DESPRECIABLE")),IF(OR(F214&lt;&gt;H214,G214&lt;&gt;I214),"CUMPLE - REANALIZAR SAP","CUMPLE"),"NO CUMPLE")</f>
        <v>CUMPLE</v>
      </c>
    </row>
    <row r="215">
      <c r="A215" s="23" t="inlineStr">
        <is>
          <t>VC7</t>
        </is>
      </c>
      <c r="B215" s="23" t="inlineStr">
        <is>
          <t>274</t>
        </is>
      </c>
      <c r="C215" s="10" t="n">
        <v>1</v>
      </c>
      <c r="D215" s="10" t="n">
        <v>2.65</v>
      </c>
      <c r="E215" s="10" t="n">
        <v>2.65</v>
      </c>
      <c r="F215" s="10" t="n">
        <v>300</v>
      </c>
      <c r="G215" s="10" t="n">
        <v>400</v>
      </c>
      <c r="H215" s="15" t="n">
        <v>300</v>
      </c>
      <c r="I215" s="15" t="n">
        <v>400</v>
      </c>
      <c r="J215" s="16" t="n">
        <v>92.4324</v>
      </c>
      <c r="K215" s="10" t="inlineStr">
        <is>
          <t>274</t>
        </is>
      </c>
      <c r="L215" s="16" t="n">
        <v>84.9896</v>
      </c>
      <c r="M215" s="10" t="inlineStr">
        <is>
          <t>274</t>
        </is>
      </c>
      <c r="N215" s="16" t="n">
        <v>67.27</v>
      </c>
      <c r="O215" s="16" t="n">
        <v>310.944</v>
      </c>
      <c r="P215" s="10" t="inlineStr">
        <is>
          <t>274</t>
        </is>
      </c>
      <c r="Q215" s="16" t="n">
        <v>5.0179</v>
      </c>
      <c r="R215" s="10">
        <f>MAX(MAX(1.4/'Parametros'!$B$3,0.25*SQRT('Parametros'!$B$2)/'Parametros'!$B$3)*H215*U215,(0.85*'Parametros'!$B$2/'Parametros'!$B$3)*(1-SQRT(1-2*(J215*1000000/('Parametros'!$B$5*H215*U215^2))/(0.85*'Parametros'!$B$2)))*H215*U215)</f>
        <v>763.964679066774</v>
      </c>
      <c r="S215" s="17" t="n">
        <v>4</v>
      </c>
      <c r="T215" s="18" t="n">
        <v>1</v>
      </c>
      <c r="U215" s="10">
        <f>IF(T215=1,I215-('Parametros'!$B$7+'Parametros'!$B$9+'Parametros'!$B$12/2),I215-(ROUNDUP(S215/2,0)*('Parametros'!$B$7+'Parametros'!$B$9+'Parametros'!$B$12/2)+ROUNDDOWN(S215/2,0)*('Parametros'!$B$7+'Parametros'!$B$9+'Parametros'!$B$12/2+'Parametros'!$B$12+'Parametros'!$B$10))/S215)</f>
        <v>342.55</v>
      </c>
      <c r="V215" s="10">
        <f>S215*'Parametros'!$B$8</f>
        <v>796</v>
      </c>
      <c r="W215" s="10">
        <f>'Parametros'!$B$5*V215*'Parametros'!$B$3*(U215-(V215*'Parametros'!$B$3/(0.85*'Parametros'!$B$2*H215))/2)/1000000</f>
        <v>96.0248653411765</v>
      </c>
      <c r="X215" s="10" t="str">
        <f>IF(W215&gt;=J215,"CUMPLE","NO CUMPLE")</f>
        <v>CUMPLE</v>
      </c>
      <c r="Y215" s="10">
        <f>MAX(MAX(1.4/'Parametros'!$B$3,0.25*SQRT('Parametros'!$B$2)/'Parametros'!$B$3)*H215*AB215,(0.85*'Parametros'!$B$2/'Parametros'!$B$3)*(1-SQRT(1-2*(L215*1000000/('Parametros'!$B$5*H215*AB215^2))/(0.85*'Parametros'!$B$2)))*H215*AB215)</f>
        <v>698.231657294848</v>
      </c>
      <c r="Z215" s="17" t="n">
        <v>4</v>
      </c>
      <c r="AA215" s="18" t="n">
        <v>1</v>
      </c>
      <c r="AB215" s="10">
        <f>IF(AA215=1,I215-('Parametros'!$B$7+'Parametros'!$B$9+'Parametros'!$B$12/2),I215-(ROUNDUP(Z215/2,0)*('Parametros'!$B$7+'Parametros'!$B$9+'Parametros'!$B$12/2)+ROUNDDOWN(Z215/2,0)*('Parametros'!$B$7+'Parametros'!$B$9+'Parametros'!$B$12/2+'Parametros'!$B$12+'Parametros'!$B$10))/Z215)</f>
        <v>342.55</v>
      </c>
      <c r="AC215" s="10">
        <f>Z215*'Parametros'!$B$8</f>
        <v>796</v>
      </c>
      <c r="AD215" s="10">
        <f>'Parametros'!$B$5*AC215*'Parametros'!$B$3*(AB215-(AC215*'Parametros'!$B$3/(0.85*'Parametros'!$B$2*H215))/2)/1000000</f>
        <v>96.0248653411765</v>
      </c>
      <c r="AE215" s="10" t="str">
        <f>IF(AD215&gt;=L215,"CUMPLE","NO CUMPLE")</f>
        <v>CUMPLE</v>
      </c>
      <c r="AF215" s="10">
        <f>V215*1.25*'Parametros'!$B$3*(U215-(V215*1.25*'Parametros'!$B$3/(0.85*'Parametros'!$B$2*H215))/2)/1000000</f>
        <v>130.921924411765</v>
      </c>
      <c r="AG215" s="10">
        <f>AC215*1.25*'Parametros'!$B$3*(AB215-(AC215*1.25*'Parametros'!$B$3/(0.85*'Parametros'!$B$2*H215))/2)/1000000</f>
        <v>130.921924411765</v>
      </c>
      <c r="AH215" s="10">
        <f>N215+(AF215+AG215)/D215</f>
        <v>166.078999556049</v>
      </c>
      <c r="AI215" s="10">
        <f>MIN(O215,MAX(N215,AH215))</f>
        <v>166.078999556049</v>
      </c>
      <c r="AJ215" s="10">
        <f>0.17*SQRT('Parametros'!$B$2)*H215*MIN(U215,AB215)/1000</f>
        <v>92.4428153837279</v>
      </c>
      <c r="AK215" s="10">
        <f>MAX(AI215/'Parametros'!$B$6-AJ215,0)</f>
        <v>128.995850691004</v>
      </c>
      <c r="AL215" s="10">
        <f>0.66*SQRT('Parametros'!$B$2)*H215*MIN(U215,AB215)/1000</f>
        <v>358.89563619565</v>
      </c>
      <c r="AM215" s="10" t="str">
        <f>IF(AK215&lt;=AL215,"CUMPLE","NO CUMPLE")</f>
        <v>CUMPLE</v>
      </c>
      <c r="AN215" s="15" t="inlineStr">
        <is>
          <t>Nº3 cerrado</t>
        </is>
      </c>
      <c r="AO215" s="17" t="n">
        <v>2</v>
      </c>
      <c r="AP215" s="10">
        <f>ROUNDDOWN(MIN(IF(AK215=0,1000000000,AO215*'Parametros'!$B$11*'Parametros'!$B$4*MIN(U215,AB215)/(AK215*1000)),IF(AV215=0,1000000000,'Parametros'!$B$11/AV215),MIN(U215,AB215)/4,8*'Parametros'!$B$12,24*'Parametros'!$B$9,300)/10,0)*10</f>
        <v>80</v>
      </c>
      <c r="AQ215" s="10">
        <f>ROUNDDOWN(MIN(IF(AK215=0,1000000000,AO215*'Parametros'!$B$11*'Parametros'!$B$4*MIN(U215,AB215)/(AK215*1000)),IF(AV215=0,1000000000,'Parametros'!$B$11/AV215),MIN(U215,AB215)/2,600)/10,0)*10</f>
        <v>150</v>
      </c>
      <c r="AR215" s="10">
        <f>'Parametros'!$B$6*(AJ215+AO215*'Parametros'!$B$11*'Parametros'!$B$4*MIN(U215,AB215)/AP215/1000)</f>
        <v>260.860380287796</v>
      </c>
      <c r="AS215" s="10" t="str">
        <f>IF(AND(AM215="CUMPLE",AR215&gt;=AI215),"CUMPLE","NO CUMPLE")</f>
        <v>CUMPLE</v>
      </c>
      <c r="AT215" s="10">
        <f>'Parametros'!$B$6*0.083*SQRT('Parametros'!$B$2)*(H215*I215)^2/(2*(H215+I215))/1000000</f>
        <v>3.38807353605471</v>
      </c>
      <c r="AU215" s="10" t="str">
        <f>IF(Q215&lt;=AT215,"DESPRECIABLE","DISEÑAR")</f>
        <v>DISEÑAR</v>
      </c>
      <c r="AV215" s="10">
        <f>IF(Q215&lt;=AT215,0,Q215*1000000/('Parametros'!$B$6*2*0.85*(H215-2*'Parametros'!$B$7)*(I215-2*'Parametros'!$B$7)*'Parametros'!$B$4))</f>
        <v>0.133103620235973</v>
      </c>
      <c r="AW215" s="10">
        <f>AV215*2*((H215-2*'Parametros'!$B$7)+(I215-2*'Parametros'!$B$7))*'Parametros'!$B$4/'Parametros'!$B$3</f>
        <v>143.751909854851</v>
      </c>
      <c r="AX215" s="17" t="n">
        <v>1</v>
      </c>
      <c r="AY215" s="10" t="str">
        <f>IF(AV215=0,"DESPRECIABLE",IF('Parametros'!$B$11/AP215&gt;=AV215,"CUMPLE","NO CUMPLE"))</f>
        <v>CUMPLE</v>
      </c>
      <c r="AZ215" s="10" t="str">
        <f>IF(AND(X215="CUMPLE",AE215="CUMPLE",AS215="CUMPLE",OR(AY215="CUMPLE",AY215="DESPRECIABLE")),IF(OR(F215&lt;&gt;H215,G215&lt;&gt;I215),"CUMPLE - REANALIZAR SAP","CUMPLE"),"NO CUMPLE")</f>
        <v>CUMPLE</v>
      </c>
    </row>
    <row r="216">
      <c r="A216" s="23" t="inlineStr">
        <is>
          <t>VC7</t>
        </is>
      </c>
      <c r="B216" s="23" t="inlineStr">
        <is>
          <t>275</t>
        </is>
      </c>
      <c r="C216" s="10" t="n">
        <v>1</v>
      </c>
      <c r="D216" s="10" t="n">
        <v>2.65</v>
      </c>
      <c r="E216" s="10" t="n">
        <v>2.65</v>
      </c>
      <c r="F216" s="10" t="n">
        <v>300</v>
      </c>
      <c r="G216" s="10" t="n">
        <v>400</v>
      </c>
      <c r="H216" s="15" t="n">
        <v>300</v>
      </c>
      <c r="I216" s="15" t="n">
        <v>400</v>
      </c>
      <c r="J216" s="16" t="n">
        <v>92.72</v>
      </c>
      <c r="K216" s="10" t="inlineStr">
        <is>
          <t>275</t>
        </is>
      </c>
      <c r="L216" s="16" t="n">
        <v>84.94459999999999</v>
      </c>
      <c r="M216" s="10" t="inlineStr">
        <is>
          <t>275</t>
        </is>
      </c>
      <c r="N216" s="16" t="n">
        <v>67.464</v>
      </c>
      <c r="O216" s="16" t="n">
        <v>311.343</v>
      </c>
      <c r="P216" s="10" t="inlineStr">
        <is>
          <t>275</t>
        </is>
      </c>
      <c r="Q216" s="16" t="n">
        <v>4.9689</v>
      </c>
      <c r="R216" s="10">
        <f>MAX(MAX(1.4/'Parametros'!$B$3,0.25*SQRT('Parametros'!$B$2)/'Parametros'!$B$3)*H216*U216,(0.85*'Parametros'!$B$2/'Parametros'!$B$3)*(1-SQRT(1-2*(J216*1000000/('Parametros'!$B$5*H216*U216^2))/(0.85*'Parametros'!$B$2)))*H216*U216)</f>
        <v>766.521839719505</v>
      </c>
      <c r="S216" s="17" t="n">
        <v>4</v>
      </c>
      <c r="T216" s="18" t="n">
        <v>1</v>
      </c>
      <c r="U216" s="10">
        <f>IF(T216=1,I216-('Parametros'!$B$7+'Parametros'!$B$9+'Parametros'!$B$12/2),I216-(ROUNDUP(S216/2,0)*('Parametros'!$B$7+'Parametros'!$B$9+'Parametros'!$B$12/2)+ROUNDDOWN(S216/2,0)*('Parametros'!$B$7+'Parametros'!$B$9+'Parametros'!$B$12/2+'Parametros'!$B$12+'Parametros'!$B$10))/S216)</f>
        <v>342.55</v>
      </c>
      <c r="V216" s="10">
        <f>S216*'Parametros'!$B$8</f>
        <v>796</v>
      </c>
      <c r="W216" s="10">
        <f>'Parametros'!$B$5*V216*'Parametros'!$B$3*(U216-(V216*'Parametros'!$B$3/(0.85*'Parametros'!$B$2*H216))/2)/1000000</f>
        <v>96.0248653411765</v>
      </c>
      <c r="X216" s="10" t="str">
        <f>IF(W216&gt;=J216,"CUMPLE","NO CUMPLE")</f>
        <v>CUMPLE</v>
      </c>
      <c r="Y216" s="10">
        <f>MAX(MAX(1.4/'Parametros'!$B$3,0.25*SQRT('Parametros'!$B$2)/'Parametros'!$B$3)*H216*AB216,(0.85*'Parametros'!$B$2/'Parametros'!$B$3)*(1-SQRT(1-2*(L216*1000000/('Parametros'!$B$5*H216*AB216^2))/(0.85*'Parametros'!$B$2)))*H216*AB216)</f>
        <v>697.836791961177</v>
      </c>
      <c r="Z216" s="17" t="n">
        <v>4</v>
      </c>
      <c r="AA216" s="18" t="n">
        <v>1</v>
      </c>
      <c r="AB216" s="10">
        <f>IF(AA216=1,I216-('Parametros'!$B$7+'Parametros'!$B$9+'Parametros'!$B$12/2),I216-(ROUNDUP(Z216/2,0)*('Parametros'!$B$7+'Parametros'!$B$9+'Parametros'!$B$12/2)+ROUNDDOWN(Z216/2,0)*('Parametros'!$B$7+'Parametros'!$B$9+'Parametros'!$B$12/2+'Parametros'!$B$12+'Parametros'!$B$10))/Z216)</f>
        <v>342.55</v>
      </c>
      <c r="AC216" s="10">
        <f>Z216*'Parametros'!$B$8</f>
        <v>796</v>
      </c>
      <c r="AD216" s="10">
        <f>'Parametros'!$B$5*AC216*'Parametros'!$B$3*(AB216-(AC216*'Parametros'!$B$3/(0.85*'Parametros'!$B$2*H216))/2)/1000000</f>
        <v>96.0248653411765</v>
      </c>
      <c r="AE216" s="10" t="str">
        <f>IF(AD216&gt;=L216,"CUMPLE","NO CUMPLE")</f>
        <v>CUMPLE</v>
      </c>
      <c r="AF216" s="10">
        <f>V216*1.25*'Parametros'!$B$3*(U216-(V216*1.25*'Parametros'!$B$3/(0.85*'Parametros'!$B$2*H216))/2)/1000000</f>
        <v>130.921924411765</v>
      </c>
      <c r="AG216" s="10">
        <f>AC216*1.25*'Parametros'!$B$3*(AB216-(AC216*1.25*'Parametros'!$B$3/(0.85*'Parametros'!$B$2*H216))/2)/1000000</f>
        <v>130.921924411765</v>
      </c>
      <c r="AH216" s="10">
        <f>N216+(AF216+AG216)/D216</f>
        <v>166.272999556049</v>
      </c>
      <c r="AI216" s="10">
        <f>MIN(O216,MAX(N216,AH216))</f>
        <v>166.272999556049</v>
      </c>
      <c r="AJ216" s="10">
        <f>0.17*SQRT('Parametros'!$B$2)*H216*MIN(U216,AB216)/1000</f>
        <v>92.4428153837279</v>
      </c>
      <c r="AK216" s="10">
        <f>MAX(AI216/'Parametros'!$B$6-AJ216,0)</f>
        <v>129.254517357671</v>
      </c>
      <c r="AL216" s="10">
        <f>0.66*SQRT('Parametros'!$B$2)*H216*MIN(U216,AB216)/1000</f>
        <v>358.89563619565</v>
      </c>
      <c r="AM216" s="10" t="str">
        <f>IF(AK216&lt;=AL216,"CUMPLE","NO CUMPLE")</f>
        <v>CUMPLE</v>
      </c>
      <c r="AN216" s="15" t="inlineStr">
        <is>
          <t>Nº3 cerrado</t>
        </is>
      </c>
      <c r="AO216" s="17" t="n">
        <v>2</v>
      </c>
      <c r="AP216" s="10">
        <f>ROUNDDOWN(MIN(IF(AK216=0,1000000000,AO216*'Parametros'!$B$11*'Parametros'!$B$4*MIN(U216,AB216)/(AK216*1000)),IF(AV216=0,1000000000,'Parametros'!$B$11/AV216),MIN(U216,AB216)/4,8*'Parametros'!$B$12,24*'Parametros'!$B$9,300)/10,0)*10</f>
        <v>80</v>
      </c>
      <c r="AQ216" s="10">
        <f>ROUNDDOWN(MIN(IF(AK216=0,1000000000,AO216*'Parametros'!$B$11*'Parametros'!$B$4*MIN(U216,AB216)/(AK216*1000)),IF(AV216=0,1000000000,'Parametros'!$B$11/AV216),MIN(U216,AB216)/2,600)/10,0)*10</f>
        <v>150</v>
      </c>
      <c r="AR216" s="10">
        <f>'Parametros'!$B$6*(AJ216+AO216*'Parametros'!$B$11*'Parametros'!$B$4*MIN(U216,AB216)/AP216/1000)</f>
        <v>260.860380287796</v>
      </c>
      <c r="AS216" s="10" t="str">
        <f>IF(AND(AM216="CUMPLE",AR216&gt;=AI216),"CUMPLE","NO CUMPLE")</f>
        <v>CUMPLE</v>
      </c>
      <c r="AT216" s="10">
        <f>'Parametros'!$B$6*0.083*SQRT('Parametros'!$B$2)*(H216*I216)^2/(2*(H216+I216))/1000000</f>
        <v>3.38807353605471</v>
      </c>
      <c r="AU216" s="10" t="str">
        <f>IF(Q216&lt;=AT216,"DESPRECIABLE","DISEÑAR")</f>
        <v>DISEÑAR</v>
      </c>
      <c r="AV216" s="10">
        <f>IF(Q216&lt;=AT216,0,Q216*1000000/('Parametros'!$B$6*2*0.85*(H216-2*'Parametros'!$B$7)*(I216-2*'Parametros'!$B$7)*'Parametros'!$B$4))</f>
        <v>0.131803857906799</v>
      </c>
      <c r="AW216" s="10">
        <f>AV216*2*((H216-2*'Parametros'!$B$7)+(I216-2*'Parametros'!$B$7))*'Parametros'!$B$4/'Parametros'!$B$3</f>
        <v>142.348166539343</v>
      </c>
      <c r="AX216" s="17" t="n">
        <v>1</v>
      </c>
      <c r="AY216" s="10" t="str">
        <f>IF(AV216=0,"DESPRECIABLE",IF('Parametros'!$B$11/AP216&gt;=AV216,"CUMPLE","NO CUMPLE"))</f>
        <v>CUMPLE</v>
      </c>
      <c r="AZ216" s="10" t="str">
        <f>IF(AND(X216="CUMPLE",AE216="CUMPLE",AS216="CUMPLE",OR(AY216="CUMPLE",AY216="DESPRECIABLE")),IF(OR(F216&lt;&gt;H216,G216&lt;&gt;I216),"CUMPLE - REANALIZAR SAP","CUMPLE"),"NO CUMPLE")</f>
        <v>CUMPLE</v>
      </c>
    </row>
    <row r="217">
      <c r="A217" s="23" t="inlineStr">
        <is>
          <t>VC7</t>
        </is>
      </c>
      <c r="B217" s="23" t="inlineStr">
        <is>
          <t>276</t>
        </is>
      </c>
      <c r="C217" s="10" t="n">
        <v>1</v>
      </c>
      <c r="D217" s="10" t="n">
        <v>5.1</v>
      </c>
      <c r="E217" s="10" t="n">
        <v>5.1</v>
      </c>
      <c r="F217" s="10" t="n">
        <v>300</v>
      </c>
      <c r="G217" s="10" t="n">
        <v>400</v>
      </c>
      <c r="H217" s="15" t="n">
        <v>300</v>
      </c>
      <c r="I217" s="15" t="n">
        <v>400</v>
      </c>
      <c r="J217" s="16" t="n">
        <v>74.532</v>
      </c>
      <c r="K217" s="10" t="inlineStr">
        <is>
          <t>276</t>
        </is>
      </c>
      <c r="L217" s="16" t="n">
        <v>60.8492</v>
      </c>
      <c r="M217" s="10" t="inlineStr">
        <is>
          <t>276</t>
        </is>
      </c>
      <c r="N217" s="16" t="n">
        <v>35.198</v>
      </c>
      <c r="O217" s="16" t="n">
        <v>133.379</v>
      </c>
      <c r="P217" s="10" t="inlineStr">
        <is>
          <t>276</t>
        </is>
      </c>
      <c r="Q217" s="16" t="n">
        <v>0.8417</v>
      </c>
      <c r="R217" s="10">
        <f>MAX(MAX(1.4/'Parametros'!$B$3,0.25*SQRT('Parametros'!$B$2)/'Parametros'!$B$3)*H217*U217,(0.85*'Parametros'!$B$2/'Parametros'!$B$3)*(1-SQRT(1-2*(J217*1000000/('Parametros'!$B$5*H217*U217^2))/(0.85*'Parametros'!$B$2)))*H217*U217)</f>
        <v>607.272094661211</v>
      </c>
      <c r="S217" s="17" t="n">
        <v>4</v>
      </c>
      <c r="T217" s="18" t="n">
        <v>1</v>
      </c>
      <c r="U217" s="10">
        <f>IF(T217=1,I217-('Parametros'!$B$7+'Parametros'!$B$9+'Parametros'!$B$12/2),I217-(ROUNDUP(S217/2,0)*('Parametros'!$B$7+'Parametros'!$B$9+'Parametros'!$B$12/2)+ROUNDDOWN(S217/2,0)*('Parametros'!$B$7+'Parametros'!$B$9+'Parametros'!$B$12/2+'Parametros'!$B$12+'Parametros'!$B$10))/S217)</f>
        <v>342.55</v>
      </c>
      <c r="V217" s="10">
        <f>S217*'Parametros'!$B$8</f>
        <v>796</v>
      </c>
      <c r="W217" s="10">
        <f>'Parametros'!$B$5*V217*'Parametros'!$B$3*(U217-(V217*'Parametros'!$B$3/(0.85*'Parametros'!$B$2*H217))/2)/1000000</f>
        <v>96.0248653411765</v>
      </c>
      <c r="X217" s="10" t="str">
        <f>IF(W217&gt;=J217,"CUMPLE","NO CUMPLE")</f>
        <v>CUMPLE</v>
      </c>
      <c r="Y217" s="10">
        <f>MAX(MAX(1.4/'Parametros'!$B$3,0.25*SQRT('Parametros'!$B$2)/'Parametros'!$B$3)*H217*AB217,(0.85*'Parametros'!$B$2/'Parametros'!$B$3)*(1-SQRT(1-2*(L217*1000000/('Parametros'!$B$5*H217*AB217^2))/(0.85*'Parametros'!$B$2)))*H217*AB217)</f>
        <v>490.60241954098</v>
      </c>
      <c r="Z217" s="17" t="n">
        <v>3</v>
      </c>
      <c r="AA217" s="18" t="n">
        <v>1</v>
      </c>
      <c r="AB217" s="10">
        <f>IF(AA217=1,I217-('Parametros'!$B$7+'Parametros'!$B$9+'Parametros'!$B$12/2),I217-(ROUNDUP(Z217/2,0)*('Parametros'!$B$7+'Parametros'!$B$9+'Parametros'!$B$12/2)+ROUNDDOWN(Z217/2,0)*('Parametros'!$B$7+'Parametros'!$B$9+'Parametros'!$B$12/2+'Parametros'!$B$12+'Parametros'!$B$10))/Z217)</f>
        <v>342.55</v>
      </c>
      <c r="AC217" s="10">
        <f>Z217*'Parametros'!$B$8</f>
        <v>597</v>
      </c>
      <c r="AD217" s="10">
        <f>'Parametros'!$B$5*AC217*'Parametros'!$B$3*(AB217-(AC217*'Parametros'!$B$3/(0.85*'Parametros'!$B$2*H217))/2)/1000000</f>
        <v>73.3394588294118</v>
      </c>
      <c r="AE217" s="10" t="str">
        <f>IF(AD217&gt;=L217,"CUMPLE","NO CUMPLE")</f>
        <v>CUMPLE</v>
      </c>
      <c r="AF217" s="10">
        <f>V217*1.25*'Parametros'!$B$3*(U217-(V217*1.25*'Parametros'!$B$3/(0.85*'Parametros'!$B$2*H217))/2)/1000000</f>
        <v>130.921924411765</v>
      </c>
      <c r="AG217" s="10">
        <f>AC217*1.25*'Parametros'!$B$3*(AB217-(AC217*1.25*'Parametros'!$B$3/(0.85*'Parametros'!$B$2*H217))/2)/1000000</f>
        <v>100.484515919118</v>
      </c>
      <c r="AH217" s="10">
        <f>N217+(AF217+AG217)/D217</f>
        <v>80.5718118295848</v>
      </c>
      <c r="AI217" s="10">
        <f>MIN(O217,MAX(N217,AH217))</f>
        <v>80.5718118295848</v>
      </c>
      <c r="AJ217" s="10">
        <f>0.17*SQRT('Parametros'!$B$2)*H217*MIN(U217,AB217)/1000</f>
        <v>92.4428153837279</v>
      </c>
      <c r="AK217" s="10">
        <f>MAX(AI217/'Parametros'!$B$6-AJ217,0)</f>
        <v>14.9862670557185</v>
      </c>
      <c r="AL217" s="10">
        <f>0.66*SQRT('Parametros'!$B$2)*H217*MIN(U217,AB217)/1000</f>
        <v>358.89563619565</v>
      </c>
      <c r="AM217" s="10" t="str">
        <f>IF(AK217&lt;=AL217,"CUMPLE","NO CUMPLE")</f>
        <v>CUMPLE</v>
      </c>
      <c r="AN217" s="15" t="inlineStr">
        <is>
          <t>Nº3 cerrado</t>
        </is>
      </c>
      <c r="AO217" s="17" t="n">
        <v>2</v>
      </c>
      <c r="AP217" s="10">
        <f>ROUNDDOWN(MIN(IF(AK217=0,1000000000,AO217*'Parametros'!$B$11*'Parametros'!$B$4*MIN(U217,AB217)/(AK217*1000)),IF(AV217=0,1000000000,'Parametros'!$B$11/AV217),MIN(U217,AB217)/4,8*'Parametros'!$B$12,24*'Parametros'!$B$9,300)/10,0)*10</f>
        <v>80</v>
      </c>
      <c r="AQ217" s="10">
        <f>ROUNDDOWN(MIN(IF(AK217=0,1000000000,AO217*'Parametros'!$B$11*'Parametros'!$B$4*MIN(U217,AB217)/(AK217*1000)),IF(AV217=0,1000000000,'Parametros'!$B$11/AV217),MIN(U217,AB217)/2,600)/10,0)*10</f>
        <v>170</v>
      </c>
      <c r="AR217" s="10">
        <f>'Parametros'!$B$6*(AJ217+AO217*'Parametros'!$B$11*'Parametros'!$B$4*MIN(U217,AB217)/AP217/1000)</f>
        <v>260.860380287796</v>
      </c>
      <c r="AS217" s="10" t="str">
        <f>IF(AND(AM217="CUMPLE",AR217&gt;=AI217),"CUMPLE","NO CUMPLE")</f>
        <v>CUMPLE</v>
      </c>
      <c r="AT217" s="10">
        <f>'Parametros'!$B$6*0.083*SQRT('Parametros'!$B$2)*(H217*I217)^2/(2*(H217+I217))/1000000</f>
        <v>3.38807353605471</v>
      </c>
      <c r="AU217" s="10" t="str">
        <f>IF(Q217&lt;=AT217,"DESPRECIABLE","DISEÑAR")</f>
        <v>DESPRECIABLE</v>
      </c>
      <c r="AV217" s="10">
        <f>IF(Q217&lt;=AT217,0,Q217*1000000/('Parametros'!$B$6*2*0.85*(H217-2*'Parametros'!$B$7)*(I217-2*'Parametros'!$B$7)*'Parametros'!$B$4))</f>
        <v>0</v>
      </c>
      <c r="AW217" s="10">
        <f>AV217*2*((H217-2*'Parametros'!$B$7)+(I217-2*'Parametros'!$B$7))*'Parametros'!$B$4/'Parametros'!$B$3</f>
        <v>0</v>
      </c>
      <c r="AX217" s="17" t="n">
        <v>0</v>
      </c>
      <c r="AY217" s="10" t="str">
        <f>IF(AV217=0,"DESPRECIABLE",IF('Parametros'!$B$11/AP217&gt;=AV217,"CUMPLE","NO CUMPLE"))</f>
        <v>DESPRECIABLE</v>
      </c>
      <c r="AZ217" s="10" t="str">
        <f>IF(AND(X217="CUMPLE",AE217="CUMPLE",AS217="CUMPLE",OR(AY217="CUMPLE",AY217="DESPRECIABLE")),IF(OR(F217&lt;&gt;H217,G217&lt;&gt;I217),"CUMPLE - REANALIZAR SAP","CUMPLE"),"NO CUMPLE")</f>
        <v>CUMPLE</v>
      </c>
    </row>
    <row r="218">
      <c r="A218" s="23" t="inlineStr">
        <is>
          <t>VC7</t>
        </is>
      </c>
      <c r="B218" s="23" t="inlineStr">
        <is>
          <t>277</t>
        </is>
      </c>
      <c r="C218" s="10" t="n">
        <v>1</v>
      </c>
      <c r="D218" s="10" t="n">
        <v>5.1</v>
      </c>
      <c r="E218" s="10" t="n">
        <v>5.1</v>
      </c>
      <c r="F218" s="10" t="n">
        <v>300</v>
      </c>
      <c r="G218" s="10" t="n">
        <v>400</v>
      </c>
      <c r="H218" s="15" t="n">
        <v>300</v>
      </c>
      <c r="I218" s="15" t="n">
        <v>400</v>
      </c>
      <c r="J218" s="16" t="n">
        <v>74.5271</v>
      </c>
      <c r="K218" s="10" t="inlineStr">
        <is>
          <t>277</t>
        </is>
      </c>
      <c r="L218" s="16" t="n">
        <v>60.8442</v>
      </c>
      <c r="M218" s="10" t="inlineStr">
        <is>
          <t>277</t>
        </is>
      </c>
      <c r="N218" s="16" t="n">
        <v>35.196</v>
      </c>
      <c r="O218" s="16" t="n">
        <v>133.377</v>
      </c>
      <c r="P218" s="10" t="inlineStr">
        <is>
          <t>277</t>
        </is>
      </c>
      <c r="Q218" s="16" t="n">
        <v>0.8421</v>
      </c>
      <c r="R218" s="10">
        <f>MAX(MAX(1.4/'Parametros'!$B$3,0.25*SQRT('Parametros'!$B$2)/'Parametros'!$B$3)*H218*U218,(0.85*'Parametros'!$B$2/'Parametros'!$B$3)*(1-SQRT(1-2*(J218*1000000/('Parametros'!$B$5*H218*U218^2))/(0.85*'Parametros'!$B$2)))*H218*U218)</f>
        <v>607.229846542621</v>
      </c>
      <c r="S218" s="17" t="n">
        <v>4</v>
      </c>
      <c r="T218" s="18" t="n">
        <v>1</v>
      </c>
      <c r="U218" s="10">
        <f>IF(T218=1,I218-('Parametros'!$B$7+'Parametros'!$B$9+'Parametros'!$B$12/2),I218-(ROUNDUP(S218/2,0)*('Parametros'!$B$7+'Parametros'!$B$9+'Parametros'!$B$12/2)+ROUNDDOWN(S218/2,0)*('Parametros'!$B$7+'Parametros'!$B$9+'Parametros'!$B$12/2+'Parametros'!$B$12+'Parametros'!$B$10))/S218)</f>
        <v>342.55</v>
      </c>
      <c r="V218" s="10">
        <f>S218*'Parametros'!$B$8</f>
        <v>796</v>
      </c>
      <c r="W218" s="10">
        <f>'Parametros'!$B$5*V218*'Parametros'!$B$3*(U218-(V218*'Parametros'!$B$3/(0.85*'Parametros'!$B$2*H218))/2)/1000000</f>
        <v>96.0248653411765</v>
      </c>
      <c r="X218" s="10" t="str">
        <f>IF(W218&gt;=J218,"CUMPLE","NO CUMPLE")</f>
        <v>CUMPLE</v>
      </c>
      <c r="Y218" s="10">
        <f>MAX(MAX(1.4/'Parametros'!$B$3,0.25*SQRT('Parametros'!$B$2)/'Parametros'!$B$3)*H218*AB218,(0.85*'Parametros'!$B$2/'Parametros'!$B$3)*(1-SQRT(1-2*(L218*1000000/('Parametros'!$B$5*H218*AB218^2))/(0.85*'Parametros'!$B$2)))*H218*AB218)</f>
        <v>490.560252378098</v>
      </c>
      <c r="Z218" s="17" t="n">
        <v>3</v>
      </c>
      <c r="AA218" s="18" t="n">
        <v>1</v>
      </c>
      <c r="AB218" s="10">
        <f>IF(AA218=1,I218-('Parametros'!$B$7+'Parametros'!$B$9+'Parametros'!$B$12/2),I218-(ROUNDUP(Z218/2,0)*('Parametros'!$B$7+'Parametros'!$B$9+'Parametros'!$B$12/2)+ROUNDDOWN(Z218/2,0)*('Parametros'!$B$7+'Parametros'!$B$9+'Parametros'!$B$12/2+'Parametros'!$B$12+'Parametros'!$B$10))/Z218)</f>
        <v>342.55</v>
      </c>
      <c r="AC218" s="10">
        <f>Z218*'Parametros'!$B$8</f>
        <v>597</v>
      </c>
      <c r="AD218" s="10">
        <f>'Parametros'!$B$5*AC218*'Parametros'!$B$3*(AB218-(AC218*'Parametros'!$B$3/(0.85*'Parametros'!$B$2*H218))/2)/1000000</f>
        <v>73.3394588294118</v>
      </c>
      <c r="AE218" s="10" t="str">
        <f>IF(AD218&gt;=L218,"CUMPLE","NO CUMPLE")</f>
        <v>CUMPLE</v>
      </c>
      <c r="AF218" s="10">
        <f>V218*1.25*'Parametros'!$B$3*(U218-(V218*1.25*'Parametros'!$B$3/(0.85*'Parametros'!$B$2*H218))/2)/1000000</f>
        <v>130.921924411765</v>
      </c>
      <c r="AG218" s="10">
        <f>AC218*1.25*'Parametros'!$B$3*(AB218-(AC218*1.25*'Parametros'!$B$3/(0.85*'Parametros'!$B$2*H218))/2)/1000000</f>
        <v>100.484515919118</v>
      </c>
      <c r="AH218" s="10">
        <f>N218+(AF218+AG218)/D218</f>
        <v>80.5698118295848</v>
      </c>
      <c r="AI218" s="10">
        <f>MIN(O218,MAX(N218,AH218))</f>
        <v>80.5698118295848</v>
      </c>
      <c r="AJ218" s="10">
        <f>0.17*SQRT('Parametros'!$B$2)*H218*MIN(U218,AB218)/1000</f>
        <v>92.4428153837279</v>
      </c>
      <c r="AK218" s="10">
        <f>MAX(AI218/'Parametros'!$B$6-AJ218,0)</f>
        <v>14.9836003890518</v>
      </c>
      <c r="AL218" s="10">
        <f>0.66*SQRT('Parametros'!$B$2)*H218*MIN(U218,AB218)/1000</f>
        <v>358.89563619565</v>
      </c>
      <c r="AM218" s="10" t="str">
        <f>IF(AK218&lt;=AL218,"CUMPLE","NO CUMPLE")</f>
        <v>CUMPLE</v>
      </c>
      <c r="AN218" s="15" t="inlineStr">
        <is>
          <t>Nº3 cerrado</t>
        </is>
      </c>
      <c r="AO218" s="17" t="n">
        <v>2</v>
      </c>
      <c r="AP218" s="10">
        <f>ROUNDDOWN(MIN(IF(AK218=0,1000000000,AO218*'Parametros'!$B$11*'Parametros'!$B$4*MIN(U218,AB218)/(AK218*1000)),IF(AV218=0,1000000000,'Parametros'!$B$11/AV218),MIN(U218,AB218)/4,8*'Parametros'!$B$12,24*'Parametros'!$B$9,300)/10,0)*10</f>
        <v>80</v>
      </c>
      <c r="AQ218" s="10">
        <f>ROUNDDOWN(MIN(IF(AK218=0,1000000000,AO218*'Parametros'!$B$11*'Parametros'!$B$4*MIN(U218,AB218)/(AK218*1000)),IF(AV218=0,1000000000,'Parametros'!$B$11/AV218),MIN(U218,AB218)/2,600)/10,0)*10</f>
        <v>170</v>
      </c>
      <c r="AR218" s="10">
        <f>'Parametros'!$B$6*(AJ218+AO218*'Parametros'!$B$11*'Parametros'!$B$4*MIN(U218,AB218)/AP218/1000)</f>
        <v>260.860380287796</v>
      </c>
      <c r="AS218" s="10" t="str">
        <f>IF(AND(AM218="CUMPLE",AR218&gt;=AI218),"CUMPLE","NO CUMPLE")</f>
        <v>CUMPLE</v>
      </c>
      <c r="AT218" s="10">
        <f>'Parametros'!$B$6*0.083*SQRT('Parametros'!$B$2)*(H218*I218)^2/(2*(H218+I218))/1000000</f>
        <v>3.38807353605471</v>
      </c>
      <c r="AU218" s="10" t="str">
        <f>IF(Q218&lt;=AT218,"DESPRECIABLE","DISEÑAR")</f>
        <v>DESPRECIABLE</v>
      </c>
      <c r="AV218" s="10">
        <f>IF(Q218&lt;=AT218,0,Q218*1000000/('Parametros'!$B$6*2*0.85*(H218-2*'Parametros'!$B$7)*(I218-2*'Parametros'!$B$7)*'Parametros'!$B$4))</f>
        <v>0</v>
      </c>
      <c r="AW218" s="10">
        <f>AV218*2*((H218-2*'Parametros'!$B$7)+(I218-2*'Parametros'!$B$7))*'Parametros'!$B$4/'Parametros'!$B$3</f>
        <v>0</v>
      </c>
      <c r="AX218" s="17" t="n">
        <v>0</v>
      </c>
      <c r="AY218" s="10" t="str">
        <f>IF(AV218=0,"DESPRECIABLE",IF('Parametros'!$B$11/AP218&gt;=AV218,"CUMPLE","NO CUMPLE"))</f>
        <v>DESPRECIABLE</v>
      </c>
      <c r="AZ218" s="10" t="str">
        <f>IF(AND(X218="CUMPLE",AE218="CUMPLE",AS218="CUMPLE",OR(AY218="CUMPLE",AY218="DESPRECIABLE")),IF(OR(F218&lt;&gt;H218,G218&lt;&gt;I218),"CUMPLE - REANALIZAR SAP","CUMPLE"),"NO CUMPLE")</f>
        <v>CUMPLE</v>
      </c>
    </row>
    <row r="219">
      <c r="A219" s="23" t="inlineStr">
        <is>
          <t>VC7</t>
        </is>
      </c>
      <c r="B219" s="23" t="inlineStr">
        <is>
          <t>278</t>
        </is>
      </c>
      <c r="C219" s="10" t="n">
        <v>1</v>
      </c>
      <c r="D219" s="10" t="n">
        <v>2.65</v>
      </c>
      <c r="E219" s="10" t="n">
        <v>2.65</v>
      </c>
      <c r="F219" s="10" t="n">
        <v>300</v>
      </c>
      <c r="G219" s="10" t="n">
        <v>400</v>
      </c>
      <c r="H219" s="15" t="n">
        <v>300</v>
      </c>
      <c r="I219" s="15" t="n">
        <v>400</v>
      </c>
      <c r="J219" s="16" t="n">
        <v>92.7253</v>
      </c>
      <c r="K219" s="10" t="inlineStr">
        <is>
          <t>278</t>
        </is>
      </c>
      <c r="L219" s="16" t="n">
        <v>84.94159999999999</v>
      </c>
      <c r="M219" s="10" t="inlineStr">
        <is>
          <t>278</t>
        </is>
      </c>
      <c r="N219" s="16" t="n">
        <v>67.467</v>
      </c>
      <c r="O219" s="16" t="n">
        <v>311.347</v>
      </c>
      <c r="P219" s="10" t="inlineStr">
        <is>
          <t>278</t>
        </is>
      </c>
      <c r="Q219" s="16" t="n">
        <v>4.9689</v>
      </c>
      <c r="R219" s="10">
        <f>MAX(MAX(1.4/'Parametros'!$B$3,0.25*SQRT('Parametros'!$B$2)/'Parametros'!$B$3)*H219*U219,(0.85*'Parametros'!$B$2/'Parametros'!$B$3)*(1-SQRT(1-2*(J219*1000000/('Parametros'!$B$5*H219*U219^2))/(0.85*'Parametros'!$B$2)))*H219*U219)</f>
        <v>766.568976163878</v>
      </c>
      <c r="S219" s="17" t="n">
        <v>4</v>
      </c>
      <c r="T219" s="18" t="n">
        <v>1</v>
      </c>
      <c r="U219" s="10">
        <f>IF(T219=1,I219-('Parametros'!$B$7+'Parametros'!$B$9+'Parametros'!$B$12/2),I219-(ROUNDUP(S219/2,0)*('Parametros'!$B$7+'Parametros'!$B$9+'Parametros'!$B$12/2)+ROUNDDOWN(S219/2,0)*('Parametros'!$B$7+'Parametros'!$B$9+'Parametros'!$B$12/2+'Parametros'!$B$12+'Parametros'!$B$10))/S219)</f>
        <v>342.55</v>
      </c>
      <c r="V219" s="10">
        <f>S219*'Parametros'!$B$8</f>
        <v>796</v>
      </c>
      <c r="W219" s="10">
        <f>'Parametros'!$B$5*V219*'Parametros'!$B$3*(U219-(V219*'Parametros'!$B$3/(0.85*'Parametros'!$B$2*H219))/2)/1000000</f>
        <v>96.0248653411765</v>
      </c>
      <c r="X219" s="10" t="str">
        <f>IF(W219&gt;=J219,"CUMPLE","NO CUMPLE")</f>
        <v>CUMPLE</v>
      </c>
      <c r="Y219" s="10">
        <f>MAX(MAX(1.4/'Parametros'!$B$3,0.25*SQRT('Parametros'!$B$2)/'Parametros'!$B$3)*H219*AB219,(0.85*'Parametros'!$B$2/'Parametros'!$B$3)*(1-SQRT(1-2*(L219*1000000/('Parametros'!$B$5*H219*AB219^2))/(0.85*'Parametros'!$B$2)))*H219*AB219)</f>
        <v>697.810468687198</v>
      </c>
      <c r="Z219" s="17" t="n">
        <v>4</v>
      </c>
      <c r="AA219" s="18" t="n">
        <v>1</v>
      </c>
      <c r="AB219" s="10">
        <f>IF(AA219=1,I219-('Parametros'!$B$7+'Parametros'!$B$9+'Parametros'!$B$12/2),I219-(ROUNDUP(Z219/2,0)*('Parametros'!$B$7+'Parametros'!$B$9+'Parametros'!$B$12/2)+ROUNDDOWN(Z219/2,0)*('Parametros'!$B$7+'Parametros'!$B$9+'Parametros'!$B$12/2+'Parametros'!$B$12+'Parametros'!$B$10))/Z219)</f>
        <v>342.55</v>
      </c>
      <c r="AC219" s="10">
        <f>Z219*'Parametros'!$B$8</f>
        <v>796</v>
      </c>
      <c r="AD219" s="10">
        <f>'Parametros'!$B$5*AC219*'Parametros'!$B$3*(AB219-(AC219*'Parametros'!$B$3/(0.85*'Parametros'!$B$2*H219))/2)/1000000</f>
        <v>96.0248653411765</v>
      </c>
      <c r="AE219" s="10" t="str">
        <f>IF(AD219&gt;=L219,"CUMPLE","NO CUMPLE")</f>
        <v>CUMPLE</v>
      </c>
      <c r="AF219" s="10">
        <f>V219*1.25*'Parametros'!$B$3*(U219-(V219*1.25*'Parametros'!$B$3/(0.85*'Parametros'!$B$2*H219))/2)/1000000</f>
        <v>130.921924411765</v>
      </c>
      <c r="AG219" s="10">
        <f>AC219*1.25*'Parametros'!$B$3*(AB219-(AC219*1.25*'Parametros'!$B$3/(0.85*'Parametros'!$B$2*H219))/2)/1000000</f>
        <v>130.921924411765</v>
      </c>
      <c r="AH219" s="10">
        <f>N219+(AF219+AG219)/D219</f>
        <v>166.275999556049</v>
      </c>
      <c r="AI219" s="10">
        <f>MIN(O219,MAX(N219,AH219))</f>
        <v>166.275999556049</v>
      </c>
      <c r="AJ219" s="10">
        <f>0.17*SQRT('Parametros'!$B$2)*H219*MIN(U219,AB219)/1000</f>
        <v>92.4428153837279</v>
      </c>
      <c r="AK219" s="10">
        <f>MAX(AI219/'Parametros'!$B$6-AJ219,0)</f>
        <v>129.258517357671</v>
      </c>
      <c r="AL219" s="10">
        <f>0.66*SQRT('Parametros'!$B$2)*H219*MIN(U219,AB219)/1000</f>
        <v>358.89563619565</v>
      </c>
      <c r="AM219" s="10" t="str">
        <f>IF(AK219&lt;=AL219,"CUMPLE","NO CUMPLE")</f>
        <v>CUMPLE</v>
      </c>
      <c r="AN219" s="15" t="inlineStr">
        <is>
          <t>Nº3 cerrado</t>
        </is>
      </c>
      <c r="AO219" s="17" t="n">
        <v>2</v>
      </c>
      <c r="AP219" s="10">
        <f>ROUNDDOWN(MIN(IF(AK219=0,1000000000,AO219*'Parametros'!$B$11*'Parametros'!$B$4*MIN(U219,AB219)/(AK219*1000)),IF(AV219=0,1000000000,'Parametros'!$B$11/AV219),MIN(U219,AB219)/4,8*'Parametros'!$B$12,24*'Parametros'!$B$9,300)/10,0)*10</f>
        <v>80</v>
      </c>
      <c r="AQ219" s="10">
        <f>ROUNDDOWN(MIN(IF(AK219=0,1000000000,AO219*'Parametros'!$B$11*'Parametros'!$B$4*MIN(U219,AB219)/(AK219*1000)),IF(AV219=0,1000000000,'Parametros'!$B$11/AV219),MIN(U219,AB219)/2,600)/10,0)*10</f>
        <v>150</v>
      </c>
      <c r="AR219" s="10">
        <f>'Parametros'!$B$6*(AJ219+AO219*'Parametros'!$B$11*'Parametros'!$B$4*MIN(U219,AB219)/AP219/1000)</f>
        <v>260.860380287796</v>
      </c>
      <c r="AS219" s="10" t="str">
        <f>IF(AND(AM219="CUMPLE",AR219&gt;=AI219),"CUMPLE","NO CUMPLE")</f>
        <v>CUMPLE</v>
      </c>
      <c r="AT219" s="10">
        <f>'Parametros'!$B$6*0.083*SQRT('Parametros'!$B$2)*(H219*I219)^2/(2*(H219+I219))/1000000</f>
        <v>3.38807353605471</v>
      </c>
      <c r="AU219" s="10" t="str">
        <f>IF(Q219&lt;=AT219,"DESPRECIABLE","DISEÑAR")</f>
        <v>DISEÑAR</v>
      </c>
      <c r="AV219" s="10">
        <f>IF(Q219&lt;=AT219,0,Q219*1000000/('Parametros'!$B$6*2*0.85*(H219-2*'Parametros'!$B$7)*(I219-2*'Parametros'!$B$7)*'Parametros'!$B$4))</f>
        <v>0.131803857906799</v>
      </c>
      <c r="AW219" s="10">
        <f>AV219*2*((H219-2*'Parametros'!$B$7)+(I219-2*'Parametros'!$B$7))*'Parametros'!$B$4/'Parametros'!$B$3</f>
        <v>142.348166539343</v>
      </c>
      <c r="AX219" s="17" t="n">
        <v>1</v>
      </c>
      <c r="AY219" s="10" t="str">
        <f>IF(AV219=0,"DESPRECIABLE",IF('Parametros'!$B$11/AP219&gt;=AV219,"CUMPLE","NO CUMPLE"))</f>
        <v>CUMPLE</v>
      </c>
      <c r="AZ219" s="10" t="str">
        <f>IF(AND(X219="CUMPLE",AE219="CUMPLE",AS219="CUMPLE",OR(AY219="CUMPLE",AY219="DESPRECIABLE")),IF(OR(F219&lt;&gt;H219,G219&lt;&gt;I219),"CUMPLE - REANALIZAR SAP","CUMPLE"),"NO CUMPLE")</f>
        <v>CUMPLE</v>
      </c>
    </row>
    <row r="220">
      <c r="A220" s="23" t="inlineStr">
        <is>
          <t>VC7</t>
        </is>
      </c>
      <c r="B220" s="23" t="inlineStr">
        <is>
          <t>829</t>
        </is>
      </c>
      <c r="C220" s="10" t="n">
        <v>1</v>
      </c>
      <c r="D220" s="10" t="n">
        <v>2.65</v>
      </c>
      <c r="E220" s="10" t="n">
        <v>2.65</v>
      </c>
      <c r="F220" s="10" t="n">
        <v>300</v>
      </c>
      <c r="G220" s="10" t="n">
        <v>400</v>
      </c>
      <c r="H220" s="15" t="n">
        <v>300</v>
      </c>
      <c r="I220" s="15" t="n">
        <v>400</v>
      </c>
      <c r="J220" s="16" t="n">
        <v>72.0611</v>
      </c>
      <c r="K220" s="10" t="inlineStr">
        <is>
          <t>829</t>
        </is>
      </c>
      <c r="L220" s="16" t="n">
        <v>65.88720000000001</v>
      </c>
      <c r="M220" s="10" t="inlineStr">
        <is>
          <t>829</t>
        </is>
      </c>
      <c r="N220" s="16" t="n">
        <v>52.979</v>
      </c>
      <c r="O220" s="16" t="n">
        <v>241.745</v>
      </c>
      <c r="P220" s="10" t="inlineStr">
        <is>
          <t>829</t>
        </is>
      </c>
      <c r="Q220" s="16" t="n">
        <v>3.9494</v>
      </c>
      <c r="R220" s="10">
        <f>MAX(MAX(1.4/'Parametros'!$B$3,0.25*SQRT('Parametros'!$B$2)/'Parametros'!$B$3)*H220*U220,(0.85*'Parametros'!$B$2/'Parametros'!$B$3)*(1-SQRT(1-2*(J220*1000000/('Parametros'!$B$5*H220*U220^2))/(0.85*'Parametros'!$B$2)))*H220*U220)</f>
        <v>586.011078456564</v>
      </c>
      <c r="S220" s="17" t="n">
        <v>3</v>
      </c>
      <c r="T220" s="18" t="n">
        <v>1</v>
      </c>
      <c r="U220" s="10">
        <f>IF(T220=1,I220-('Parametros'!$B$7+'Parametros'!$B$9+'Parametros'!$B$12/2),I220-(ROUNDUP(S220/2,0)*('Parametros'!$B$7+'Parametros'!$B$9+'Parametros'!$B$12/2)+ROUNDDOWN(S220/2,0)*('Parametros'!$B$7+'Parametros'!$B$9+'Parametros'!$B$12/2+'Parametros'!$B$12+'Parametros'!$B$10))/S220)</f>
        <v>342.55</v>
      </c>
      <c r="V220" s="10">
        <f>S220*'Parametros'!$B$8</f>
        <v>597</v>
      </c>
      <c r="W220" s="10">
        <f>'Parametros'!$B$5*V220*'Parametros'!$B$3*(U220-(V220*'Parametros'!$B$3/(0.85*'Parametros'!$B$2*H220))/2)/1000000</f>
        <v>73.3394588294118</v>
      </c>
      <c r="X220" s="10" t="str">
        <f>IF(W220&gt;=J220,"CUMPLE","NO CUMPLE")</f>
        <v>CUMPLE</v>
      </c>
      <c r="Y220" s="10">
        <f>MAX(MAX(1.4/'Parametros'!$B$3,0.25*SQRT('Parametros'!$B$2)/'Parametros'!$B$3)*H220*AB220,(0.85*'Parametros'!$B$2/'Parametros'!$B$3)*(1-SQRT(1-2*(L220*1000000/('Parametros'!$B$5*H220*AB220^2))/(0.85*'Parametros'!$B$2)))*H220*AB220)</f>
        <v>533.260840284628</v>
      </c>
      <c r="Z220" s="17" t="n">
        <v>3</v>
      </c>
      <c r="AA220" s="18" t="n">
        <v>1</v>
      </c>
      <c r="AB220" s="10">
        <f>IF(AA220=1,I220-('Parametros'!$B$7+'Parametros'!$B$9+'Parametros'!$B$12/2),I220-(ROUNDUP(Z220/2,0)*('Parametros'!$B$7+'Parametros'!$B$9+'Parametros'!$B$12/2)+ROUNDDOWN(Z220/2,0)*('Parametros'!$B$7+'Parametros'!$B$9+'Parametros'!$B$12/2+'Parametros'!$B$12+'Parametros'!$B$10))/Z220)</f>
        <v>342.55</v>
      </c>
      <c r="AC220" s="10">
        <f>Z220*'Parametros'!$B$8</f>
        <v>597</v>
      </c>
      <c r="AD220" s="10">
        <f>'Parametros'!$B$5*AC220*'Parametros'!$B$3*(AB220-(AC220*'Parametros'!$B$3/(0.85*'Parametros'!$B$2*H220))/2)/1000000</f>
        <v>73.3394588294118</v>
      </c>
      <c r="AE220" s="10" t="str">
        <f>IF(AD220&gt;=L220,"CUMPLE","NO CUMPLE")</f>
        <v>CUMPLE</v>
      </c>
      <c r="AF220" s="10">
        <f>V220*1.25*'Parametros'!$B$3*(U220-(V220*1.25*'Parametros'!$B$3/(0.85*'Parametros'!$B$2*H220))/2)/1000000</f>
        <v>100.484515919118</v>
      </c>
      <c r="AG220" s="10">
        <f>AC220*1.25*'Parametros'!$B$3*(AB220-(AC220*1.25*'Parametros'!$B$3/(0.85*'Parametros'!$B$2*H220))/2)/1000000</f>
        <v>100.484515919118</v>
      </c>
      <c r="AH220" s="10">
        <f>N220+(AF220+AG220)/D220</f>
        <v>128.816370504994</v>
      </c>
      <c r="AI220" s="10">
        <f>MIN(O220,MAX(N220,AH220))</f>
        <v>128.816370504994</v>
      </c>
      <c r="AJ220" s="10">
        <f>0.17*SQRT('Parametros'!$B$2)*H220*MIN(U220,AB220)/1000</f>
        <v>92.4428153837279</v>
      </c>
      <c r="AK220" s="10">
        <f>MAX(AI220/'Parametros'!$B$6-AJ220,0)</f>
        <v>79.312345289598</v>
      </c>
      <c r="AL220" s="10">
        <f>0.66*SQRT('Parametros'!$B$2)*H220*MIN(U220,AB220)/1000</f>
        <v>358.89563619565</v>
      </c>
      <c r="AM220" s="10" t="str">
        <f>IF(AK220&lt;=AL220,"CUMPLE","NO CUMPLE")</f>
        <v>CUMPLE</v>
      </c>
      <c r="AN220" s="15" t="inlineStr">
        <is>
          <t>Nº3 cerrado</t>
        </is>
      </c>
      <c r="AO220" s="17" t="n">
        <v>2</v>
      </c>
      <c r="AP220" s="10">
        <f>ROUNDDOWN(MIN(IF(AK220=0,1000000000,AO220*'Parametros'!$B$11*'Parametros'!$B$4*MIN(U220,AB220)/(AK220*1000)),IF(AV220=0,1000000000,'Parametros'!$B$11/AV220),MIN(U220,AB220)/4,8*'Parametros'!$B$12,24*'Parametros'!$B$9,300)/10,0)*10</f>
        <v>80</v>
      </c>
      <c r="AQ220" s="10">
        <f>ROUNDDOWN(MIN(IF(AK220=0,1000000000,AO220*'Parametros'!$B$11*'Parametros'!$B$4*MIN(U220,AB220)/(AK220*1000)),IF(AV220=0,1000000000,'Parametros'!$B$11/AV220),MIN(U220,AB220)/2,600)/10,0)*10</f>
        <v>170</v>
      </c>
      <c r="AR220" s="10">
        <f>'Parametros'!$B$6*(AJ220+AO220*'Parametros'!$B$11*'Parametros'!$B$4*MIN(U220,AB220)/AP220/1000)</f>
        <v>260.860380287796</v>
      </c>
      <c r="AS220" s="10" t="str">
        <f>IF(AND(AM220="CUMPLE",AR220&gt;=AI220),"CUMPLE","NO CUMPLE")</f>
        <v>CUMPLE</v>
      </c>
      <c r="AT220" s="10">
        <f>'Parametros'!$B$6*0.083*SQRT('Parametros'!$B$2)*(H220*I220)^2/(2*(H220+I220))/1000000</f>
        <v>3.38807353605471</v>
      </c>
      <c r="AU220" s="10" t="str">
        <f>IF(Q220&lt;=AT220,"DESPRECIABLE","DISEÑAR")</f>
        <v>DISEÑAR</v>
      </c>
      <c r="AV220" s="10">
        <f>IF(Q220&lt;=AT220,0,Q220*1000000/('Parametros'!$B$6*2*0.85*(H220-2*'Parametros'!$B$7)*(I220-2*'Parametros'!$B$7)*'Parametros'!$B$4))</f>
        <v>0.104760843731432</v>
      </c>
      <c r="AW220" s="10">
        <f>AV220*2*((H220-2*'Parametros'!$B$7)+(I220-2*'Parametros'!$B$7))*'Parametros'!$B$4/'Parametros'!$B$3</f>
        <v>113.141711229947</v>
      </c>
      <c r="AX220" s="17" t="n">
        <v>1</v>
      </c>
      <c r="AY220" s="10" t="str">
        <f>IF(AV220=0,"DESPRECIABLE",IF('Parametros'!$B$11/AP220&gt;=AV220,"CUMPLE","NO CUMPLE"))</f>
        <v>CUMPLE</v>
      </c>
      <c r="AZ220" s="10" t="str">
        <f>IF(AND(X220="CUMPLE",AE220="CUMPLE",AS220="CUMPLE",OR(AY220="CUMPLE",AY220="DESPRECIABLE")),IF(OR(F220&lt;&gt;H220,G220&lt;&gt;I220),"CUMPLE - REANALIZAR SAP","CUMPLE"),"NO CUMPLE")</f>
        <v>CUMPLE</v>
      </c>
    </row>
    <row r="221">
      <c r="A221" s="23" t="inlineStr">
        <is>
          <t>VC7</t>
        </is>
      </c>
      <c r="B221" s="23" t="inlineStr">
        <is>
          <t>830</t>
        </is>
      </c>
      <c r="C221" s="10" t="n">
        <v>1</v>
      </c>
      <c r="D221" s="10" t="n">
        <v>5.1</v>
      </c>
      <c r="E221" s="10" t="n">
        <v>5.1</v>
      </c>
      <c r="F221" s="10" t="n">
        <v>300</v>
      </c>
      <c r="G221" s="10" t="n">
        <v>400</v>
      </c>
      <c r="H221" s="15" t="n">
        <v>300</v>
      </c>
      <c r="I221" s="15" t="n">
        <v>400</v>
      </c>
      <c r="J221" s="16" t="n">
        <v>65.4123</v>
      </c>
      <c r="K221" s="10" t="inlineStr">
        <is>
          <t>830</t>
        </is>
      </c>
      <c r="L221" s="16" t="n">
        <v>51.5647</v>
      </c>
      <c r="M221" s="10" t="inlineStr">
        <is>
          <t>830</t>
        </is>
      </c>
      <c r="N221" s="16" t="n">
        <v>31.589</v>
      </c>
      <c r="O221" s="16" t="n">
        <v>112.944</v>
      </c>
      <c r="P221" s="10" t="inlineStr">
        <is>
          <t>830</t>
        </is>
      </c>
      <c r="Q221" s="16" t="n">
        <v>0.869</v>
      </c>
      <c r="R221" s="10">
        <f>MAX(MAX(1.4/'Parametros'!$B$3,0.25*SQRT('Parametros'!$B$2)/'Parametros'!$B$3)*H221*U221,(0.85*'Parametros'!$B$2/'Parametros'!$B$3)*(1-SQRT(1-2*(J221*1000000/('Parametros'!$B$5*H221*U221^2))/(0.85*'Parametros'!$B$2)))*H221*U221)</f>
        <v>529.225030682222</v>
      </c>
      <c r="S221" s="17" t="n">
        <v>3</v>
      </c>
      <c r="T221" s="18" t="n">
        <v>1</v>
      </c>
      <c r="U221" s="10">
        <f>IF(T221=1,I221-('Parametros'!$B$7+'Parametros'!$B$9+'Parametros'!$B$12/2),I221-(ROUNDUP(S221/2,0)*('Parametros'!$B$7+'Parametros'!$B$9+'Parametros'!$B$12/2)+ROUNDDOWN(S221/2,0)*('Parametros'!$B$7+'Parametros'!$B$9+'Parametros'!$B$12/2+'Parametros'!$B$12+'Parametros'!$B$10))/S221)</f>
        <v>342.55</v>
      </c>
      <c r="V221" s="10">
        <f>S221*'Parametros'!$B$8</f>
        <v>597</v>
      </c>
      <c r="W221" s="10">
        <f>'Parametros'!$B$5*V221*'Parametros'!$B$3*(U221-(V221*'Parametros'!$B$3/(0.85*'Parametros'!$B$2*H221))/2)/1000000</f>
        <v>73.3394588294118</v>
      </c>
      <c r="X221" s="10" t="str">
        <f>IF(W221&gt;=J221,"CUMPLE","NO CUMPLE")</f>
        <v>CUMPLE</v>
      </c>
      <c r="Y221" s="10">
        <f>MAX(MAX(1.4/'Parametros'!$B$3,0.25*SQRT('Parametros'!$B$2)/'Parametros'!$B$3)*H221*AB221,(0.85*'Parametros'!$B$2/'Parametros'!$B$3)*(1-SQRT(1-2*(L221*1000000/('Parametros'!$B$5*H221*AB221^2))/(0.85*'Parametros'!$B$2)))*H221*AB221)</f>
        <v>412.868458260366</v>
      </c>
      <c r="Z221" s="17" t="n">
        <v>3</v>
      </c>
      <c r="AA221" s="18" t="n">
        <v>1</v>
      </c>
      <c r="AB221" s="10">
        <f>IF(AA221=1,I221-('Parametros'!$B$7+'Parametros'!$B$9+'Parametros'!$B$12/2),I221-(ROUNDUP(Z221/2,0)*('Parametros'!$B$7+'Parametros'!$B$9+'Parametros'!$B$12/2)+ROUNDDOWN(Z221/2,0)*('Parametros'!$B$7+'Parametros'!$B$9+'Parametros'!$B$12/2+'Parametros'!$B$12+'Parametros'!$B$10))/Z221)</f>
        <v>342.55</v>
      </c>
      <c r="AC221" s="10">
        <f>Z221*'Parametros'!$B$8</f>
        <v>597</v>
      </c>
      <c r="AD221" s="10">
        <f>'Parametros'!$B$5*AC221*'Parametros'!$B$3*(AB221-(AC221*'Parametros'!$B$3/(0.85*'Parametros'!$B$2*H221))/2)/1000000</f>
        <v>73.3394588294118</v>
      </c>
      <c r="AE221" s="10" t="str">
        <f>IF(AD221&gt;=L221,"CUMPLE","NO CUMPLE")</f>
        <v>CUMPLE</v>
      </c>
      <c r="AF221" s="10">
        <f>V221*1.25*'Parametros'!$B$3*(U221-(V221*1.25*'Parametros'!$B$3/(0.85*'Parametros'!$B$2*H221))/2)/1000000</f>
        <v>100.484515919118</v>
      </c>
      <c r="AG221" s="10">
        <f>AC221*1.25*'Parametros'!$B$3*(AB221-(AC221*1.25*'Parametros'!$B$3/(0.85*'Parametros'!$B$2*H221))/2)/1000000</f>
        <v>100.484515919118</v>
      </c>
      <c r="AH221" s="10">
        <f>N221+(AF221+AG221)/D221</f>
        <v>70.994692517301</v>
      </c>
      <c r="AI221" s="10">
        <f>MIN(O221,MAX(N221,AH221))</f>
        <v>70.994692517301</v>
      </c>
      <c r="AJ221" s="10">
        <f>0.17*SQRT('Parametros'!$B$2)*H221*MIN(U221,AB221)/1000</f>
        <v>92.4428153837279</v>
      </c>
      <c r="AK221" s="10">
        <f>MAX(AI221/'Parametros'!$B$6-AJ221,0)</f>
        <v>2.21677463934014</v>
      </c>
      <c r="AL221" s="10">
        <f>0.66*SQRT('Parametros'!$B$2)*H221*MIN(U221,AB221)/1000</f>
        <v>358.89563619565</v>
      </c>
      <c r="AM221" s="10" t="str">
        <f>IF(AK221&lt;=AL221,"CUMPLE","NO CUMPLE")</f>
        <v>CUMPLE</v>
      </c>
      <c r="AN221" s="15" t="inlineStr">
        <is>
          <t>Nº3 cerrado</t>
        </is>
      </c>
      <c r="AO221" s="17" t="n">
        <v>2</v>
      </c>
      <c r="AP221" s="10">
        <f>ROUNDDOWN(MIN(IF(AK221=0,1000000000,AO221*'Parametros'!$B$11*'Parametros'!$B$4*MIN(U221,AB221)/(AK221*1000)),IF(AV221=0,1000000000,'Parametros'!$B$11/AV221),MIN(U221,AB221)/4,8*'Parametros'!$B$12,24*'Parametros'!$B$9,300)/10,0)*10</f>
        <v>80</v>
      </c>
      <c r="AQ221" s="10">
        <f>ROUNDDOWN(MIN(IF(AK221=0,1000000000,AO221*'Parametros'!$B$11*'Parametros'!$B$4*MIN(U221,AB221)/(AK221*1000)),IF(AV221=0,1000000000,'Parametros'!$B$11/AV221),MIN(U221,AB221)/2,600)/10,0)*10</f>
        <v>170</v>
      </c>
      <c r="AR221" s="10">
        <f>'Parametros'!$B$6*(AJ221+AO221*'Parametros'!$B$11*'Parametros'!$B$4*MIN(U221,AB221)/AP221/1000)</f>
        <v>260.860380287796</v>
      </c>
      <c r="AS221" s="10" t="str">
        <f>IF(AND(AM221="CUMPLE",AR221&gt;=AI221),"CUMPLE","NO CUMPLE")</f>
        <v>CUMPLE</v>
      </c>
      <c r="AT221" s="10">
        <f>'Parametros'!$B$6*0.083*SQRT('Parametros'!$B$2)*(H221*I221)^2/(2*(H221+I221))/1000000</f>
        <v>3.38807353605471</v>
      </c>
      <c r="AU221" s="10" t="str">
        <f>IF(Q221&lt;=AT221,"DESPRECIABLE","DISEÑAR")</f>
        <v>DESPRECIABLE</v>
      </c>
      <c r="AV221" s="10">
        <f>IF(Q221&lt;=AT221,0,Q221*1000000/('Parametros'!$B$6*2*0.85*(H221-2*'Parametros'!$B$7)*(I221-2*'Parametros'!$B$7)*'Parametros'!$B$4))</f>
        <v>0</v>
      </c>
      <c r="AW221" s="10">
        <f>AV221*2*((H221-2*'Parametros'!$B$7)+(I221-2*'Parametros'!$B$7))*'Parametros'!$B$4/'Parametros'!$B$3</f>
        <v>0</v>
      </c>
      <c r="AX221" s="17" t="n">
        <v>0</v>
      </c>
      <c r="AY221" s="10" t="str">
        <f>IF(AV221=0,"DESPRECIABLE",IF('Parametros'!$B$11/AP221&gt;=AV221,"CUMPLE","NO CUMPLE"))</f>
        <v>DESPRECIABLE</v>
      </c>
      <c r="AZ221" s="10" t="str">
        <f>IF(AND(X221="CUMPLE",AE221="CUMPLE",AS221="CUMPLE",OR(AY221="CUMPLE",AY221="DESPRECIABLE")),IF(OR(F221&lt;&gt;H221,G221&lt;&gt;I221),"CUMPLE - REANALIZAR SAP","CUMPLE"),"NO CUMPLE")</f>
        <v>CUMPLE</v>
      </c>
    </row>
    <row r="222">
      <c r="A222" s="23" t="inlineStr">
        <is>
          <t>VC7</t>
        </is>
      </c>
      <c r="B222" s="23" t="inlineStr">
        <is>
          <t>831</t>
        </is>
      </c>
      <c r="C222" s="10" t="n">
        <v>1</v>
      </c>
      <c r="D222" s="10" t="n">
        <v>5.1</v>
      </c>
      <c r="E222" s="10" t="n">
        <v>5.1</v>
      </c>
      <c r="F222" s="10" t="n">
        <v>300</v>
      </c>
      <c r="G222" s="10" t="n">
        <v>400</v>
      </c>
      <c r="H222" s="15" t="n">
        <v>300</v>
      </c>
      <c r="I222" s="15" t="n">
        <v>400</v>
      </c>
      <c r="J222" s="16" t="n">
        <v>65.4188</v>
      </c>
      <c r="K222" s="10" t="inlineStr">
        <is>
          <t>831</t>
        </is>
      </c>
      <c r="L222" s="16" t="n">
        <v>51.5712</v>
      </c>
      <c r="M222" s="10" t="inlineStr">
        <is>
          <t>831</t>
        </is>
      </c>
      <c r="N222" s="16" t="n">
        <v>31.592</v>
      </c>
      <c r="O222" s="16" t="n">
        <v>112.947</v>
      </c>
      <c r="P222" s="10" t="inlineStr">
        <is>
          <t>831</t>
        </is>
      </c>
      <c r="Q222" s="16" t="n">
        <v>0.8685</v>
      </c>
      <c r="R222" s="10">
        <f>MAX(MAX(1.4/'Parametros'!$B$3,0.25*SQRT('Parametros'!$B$2)/'Parametros'!$B$3)*H222*U222,(0.85*'Parametros'!$B$2/'Parametros'!$B$3)*(1-SQRT(1-2*(J222*1000000/('Parametros'!$B$5*H222*U222^2))/(0.85*'Parametros'!$B$2)))*H222*U222)</f>
        <v>529.280248412918</v>
      </c>
      <c r="S222" s="17" t="n">
        <v>3</v>
      </c>
      <c r="T222" s="18" t="n">
        <v>1</v>
      </c>
      <c r="U222" s="10">
        <f>IF(T222=1,I222-('Parametros'!$B$7+'Parametros'!$B$9+'Parametros'!$B$12/2),I222-(ROUNDUP(S222/2,0)*('Parametros'!$B$7+'Parametros'!$B$9+'Parametros'!$B$12/2)+ROUNDDOWN(S222/2,0)*('Parametros'!$B$7+'Parametros'!$B$9+'Parametros'!$B$12/2+'Parametros'!$B$12+'Parametros'!$B$10))/S222)</f>
        <v>342.55</v>
      </c>
      <c r="V222" s="10">
        <f>S222*'Parametros'!$B$8</f>
        <v>597</v>
      </c>
      <c r="W222" s="10">
        <f>'Parametros'!$B$5*V222*'Parametros'!$B$3*(U222-(V222*'Parametros'!$B$3/(0.85*'Parametros'!$B$2*H222))/2)/1000000</f>
        <v>73.3394588294118</v>
      </c>
      <c r="X222" s="10" t="str">
        <f>IF(W222&gt;=J222,"CUMPLE","NO CUMPLE")</f>
        <v>CUMPLE</v>
      </c>
      <c r="Y222" s="10">
        <f>MAX(MAX(1.4/'Parametros'!$B$3,0.25*SQRT('Parametros'!$B$2)/'Parametros'!$B$3)*H222*AB222,(0.85*'Parametros'!$B$2/'Parametros'!$B$3)*(1-SQRT(1-2*(L222*1000000/('Parametros'!$B$5*H222*AB222^2))/(0.85*'Parametros'!$B$2)))*H222*AB222)</f>
        <v>412.922488479248</v>
      </c>
      <c r="Z222" s="17" t="n">
        <v>3</v>
      </c>
      <c r="AA222" s="18" t="n">
        <v>1</v>
      </c>
      <c r="AB222" s="10">
        <f>IF(AA222=1,I222-('Parametros'!$B$7+'Parametros'!$B$9+'Parametros'!$B$12/2),I222-(ROUNDUP(Z222/2,0)*('Parametros'!$B$7+'Parametros'!$B$9+'Parametros'!$B$12/2)+ROUNDDOWN(Z222/2,0)*('Parametros'!$B$7+'Parametros'!$B$9+'Parametros'!$B$12/2+'Parametros'!$B$12+'Parametros'!$B$10))/Z222)</f>
        <v>342.55</v>
      </c>
      <c r="AC222" s="10">
        <f>Z222*'Parametros'!$B$8</f>
        <v>597</v>
      </c>
      <c r="AD222" s="10">
        <f>'Parametros'!$B$5*AC222*'Parametros'!$B$3*(AB222-(AC222*'Parametros'!$B$3/(0.85*'Parametros'!$B$2*H222))/2)/1000000</f>
        <v>73.3394588294118</v>
      </c>
      <c r="AE222" s="10" t="str">
        <f>IF(AD222&gt;=L222,"CUMPLE","NO CUMPLE")</f>
        <v>CUMPLE</v>
      </c>
      <c r="AF222" s="10">
        <f>V222*1.25*'Parametros'!$B$3*(U222-(V222*1.25*'Parametros'!$B$3/(0.85*'Parametros'!$B$2*H222))/2)/1000000</f>
        <v>100.484515919118</v>
      </c>
      <c r="AG222" s="10">
        <f>AC222*1.25*'Parametros'!$B$3*(AB222-(AC222*1.25*'Parametros'!$B$3/(0.85*'Parametros'!$B$2*H222))/2)/1000000</f>
        <v>100.484515919118</v>
      </c>
      <c r="AH222" s="10">
        <f>N222+(AF222+AG222)/D222</f>
        <v>70.997692517301</v>
      </c>
      <c r="AI222" s="10">
        <f>MIN(O222,MAX(N222,AH222))</f>
        <v>70.997692517301</v>
      </c>
      <c r="AJ222" s="10">
        <f>0.17*SQRT('Parametros'!$B$2)*H222*MIN(U222,AB222)/1000</f>
        <v>92.4428153837279</v>
      </c>
      <c r="AK222" s="10">
        <f>MAX(AI222/'Parametros'!$B$6-AJ222,0)</f>
        <v>2.22077463934012</v>
      </c>
      <c r="AL222" s="10">
        <f>0.66*SQRT('Parametros'!$B$2)*H222*MIN(U222,AB222)/1000</f>
        <v>358.89563619565</v>
      </c>
      <c r="AM222" s="10" t="str">
        <f>IF(AK222&lt;=AL222,"CUMPLE","NO CUMPLE")</f>
        <v>CUMPLE</v>
      </c>
      <c r="AN222" s="15" t="inlineStr">
        <is>
          <t>Nº3 cerrado</t>
        </is>
      </c>
      <c r="AO222" s="17" t="n">
        <v>2</v>
      </c>
      <c r="AP222" s="10">
        <f>ROUNDDOWN(MIN(IF(AK222=0,1000000000,AO222*'Parametros'!$B$11*'Parametros'!$B$4*MIN(U222,AB222)/(AK222*1000)),IF(AV222=0,1000000000,'Parametros'!$B$11/AV222),MIN(U222,AB222)/4,8*'Parametros'!$B$12,24*'Parametros'!$B$9,300)/10,0)*10</f>
        <v>80</v>
      </c>
      <c r="AQ222" s="10">
        <f>ROUNDDOWN(MIN(IF(AK222=0,1000000000,AO222*'Parametros'!$B$11*'Parametros'!$B$4*MIN(U222,AB222)/(AK222*1000)),IF(AV222=0,1000000000,'Parametros'!$B$11/AV222),MIN(U222,AB222)/2,600)/10,0)*10</f>
        <v>170</v>
      </c>
      <c r="AR222" s="10">
        <f>'Parametros'!$B$6*(AJ222+AO222*'Parametros'!$B$11*'Parametros'!$B$4*MIN(U222,AB222)/AP222/1000)</f>
        <v>260.860380287796</v>
      </c>
      <c r="AS222" s="10" t="str">
        <f>IF(AND(AM222="CUMPLE",AR222&gt;=AI222),"CUMPLE","NO CUMPLE")</f>
        <v>CUMPLE</v>
      </c>
      <c r="AT222" s="10">
        <f>'Parametros'!$B$6*0.083*SQRT('Parametros'!$B$2)*(H222*I222)^2/(2*(H222+I222))/1000000</f>
        <v>3.38807353605471</v>
      </c>
      <c r="AU222" s="10" t="str">
        <f>IF(Q222&lt;=AT222,"DESPRECIABLE","DISEÑAR")</f>
        <v>DESPRECIABLE</v>
      </c>
      <c r="AV222" s="10">
        <f>IF(Q222&lt;=AT222,0,Q222*1000000/('Parametros'!$B$6*2*0.85*(H222-2*'Parametros'!$B$7)*(I222-2*'Parametros'!$B$7)*'Parametros'!$B$4))</f>
        <v>0</v>
      </c>
      <c r="AW222" s="10">
        <f>AV222*2*((H222-2*'Parametros'!$B$7)+(I222-2*'Parametros'!$B$7))*'Parametros'!$B$4/'Parametros'!$B$3</f>
        <v>0</v>
      </c>
      <c r="AX222" s="17" t="n">
        <v>0</v>
      </c>
      <c r="AY222" s="10" t="str">
        <f>IF(AV222=0,"DESPRECIABLE",IF('Parametros'!$B$11/AP222&gt;=AV222,"CUMPLE","NO CUMPLE"))</f>
        <v>DESPRECIABLE</v>
      </c>
      <c r="AZ222" s="10" t="str">
        <f>IF(AND(X222="CUMPLE",AE222="CUMPLE",AS222="CUMPLE",OR(AY222="CUMPLE",AY222="DESPRECIABLE")),IF(OR(F222&lt;&gt;H222,G222&lt;&gt;I222),"CUMPLE - REANALIZAR SAP","CUMPLE"),"NO CUMPLE")</f>
        <v>CUMPLE</v>
      </c>
    </row>
    <row r="223">
      <c r="A223" s="23" t="inlineStr">
        <is>
          <t>VC7</t>
        </is>
      </c>
      <c r="B223" s="23" t="inlineStr">
        <is>
          <t>832</t>
        </is>
      </c>
      <c r="C223" s="10" t="n">
        <v>1</v>
      </c>
      <c r="D223" s="10" t="n">
        <v>2.65</v>
      </c>
      <c r="E223" s="10" t="n">
        <v>2.65</v>
      </c>
      <c r="F223" s="10" t="n">
        <v>300</v>
      </c>
      <c r="G223" s="10" t="n">
        <v>400</v>
      </c>
      <c r="H223" s="15" t="n">
        <v>300</v>
      </c>
      <c r="I223" s="15" t="n">
        <v>400</v>
      </c>
      <c r="J223" s="16" t="n">
        <v>72.0558</v>
      </c>
      <c r="K223" s="10" t="inlineStr">
        <is>
          <t>832</t>
        </is>
      </c>
      <c r="L223" s="16" t="n">
        <v>65.8903</v>
      </c>
      <c r="M223" s="10" t="inlineStr">
        <is>
          <t>832</t>
        </is>
      </c>
      <c r="N223" s="16" t="n">
        <v>52.975</v>
      </c>
      <c r="O223" s="16" t="n">
        <v>241.741</v>
      </c>
      <c r="P223" s="10" t="inlineStr">
        <is>
          <t>832</t>
        </is>
      </c>
      <c r="Q223" s="16" t="n">
        <v>3.9494</v>
      </c>
      <c r="R223" s="10">
        <f>MAX(MAX(1.4/'Parametros'!$B$3,0.25*SQRT('Parametros'!$B$2)/'Parametros'!$B$3)*H223*U223,(0.85*'Parametros'!$B$2/'Parametros'!$B$3)*(1-SQRT(1-2*(J223*1000000/('Parametros'!$B$5*H223*U223^2))/(0.85*'Parametros'!$B$2)))*H223*U223)</f>
        <v>585.965567032483</v>
      </c>
      <c r="S223" s="17" t="n">
        <v>3</v>
      </c>
      <c r="T223" s="18" t="n">
        <v>1</v>
      </c>
      <c r="U223" s="10">
        <f>IF(T223=1,I223-('Parametros'!$B$7+'Parametros'!$B$9+'Parametros'!$B$12/2),I223-(ROUNDUP(S223/2,0)*('Parametros'!$B$7+'Parametros'!$B$9+'Parametros'!$B$12/2)+ROUNDDOWN(S223/2,0)*('Parametros'!$B$7+'Parametros'!$B$9+'Parametros'!$B$12/2+'Parametros'!$B$12+'Parametros'!$B$10))/S223)</f>
        <v>342.55</v>
      </c>
      <c r="V223" s="10">
        <f>S223*'Parametros'!$B$8</f>
        <v>597</v>
      </c>
      <c r="W223" s="10">
        <f>'Parametros'!$B$5*V223*'Parametros'!$B$3*(U223-(V223*'Parametros'!$B$3/(0.85*'Parametros'!$B$2*H223))/2)/1000000</f>
        <v>73.3394588294118</v>
      </c>
      <c r="X223" s="10" t="str">
        <f>IF(W223&gt;=J223,"CUMPLE","NO CUMPLE")</f>
        <v>CUMPLE</v>
      </c>
      <c r="Y223" s="10">
        <f>MAX(MAX(1.4/'Parametros'!$B$3,0.25*SQRT('Parametros'!$B$2)/'Parametros'!$B$3)*H223*AB223,(0.85*'Parametros'!$B$2/'Parametros'!$B$3)*(1-SQRT(1-2*(L223*1000000/('Parametros'!$B$5*H223*AB223^2))/(0.85*'Parametros'!$B$2)))*H223*AB223)</f>
        <v>533.287194913537</v>
      </c>
      <c r="Z223" s="17" t="n">
        <v>3</v>
      </c>
      <c r="AA223" s="18" t="n">
        <v>1</v>
      </c>
      <c r="AB223" s="10">
        <f>IF(AA223=1,I223-('Parametros'!$B$7+'Parametros'!$B$9+'Parametros'!$B$12/2),I223-(ROUNDUP(Z223/2,0)*('Parametros'!$B$7+'Parametros'!$B$9+'Parametros'!$B$12/2)+ROUNDDOWN(Z223/2,0)*('Parametros'!$B$7+'Parametros'!$B$9+'Parametros'!$B$12/2+'Parametros'!$B$12+'Parametros'!$B$10))/Z223)</f>
        <v>342.55</v>
      </c>
      <c r="AC223" s="10">
        <f>Z223*'Parametros'!$B$8</f>
        <v>597</v>
      </c>
      <c r="AD223" s="10">
        <f>'Parametros'!$B$5*AC223*'Parametros'!$B$3*(AB223-(AC223*'Parametros'!$B$3/(0.85*'Parametros'!$B$2*H223))/2)/1000000</f>
        <v>73.3394588294118</v>
      </c>
      <c r="AE223" s="10" t="str">
        <f>IF(AD223&gt;=L223,"CUMPLE","NO CUMPLE")</f>
        <v>CUMPLE</v>
      </c>
      <c r="AF223" s="10">
        <f>V223*1.25*'Parametros'!$B$3*(U223-(V223*1.25*'Parametros'!$B$3/(0.85*'Parametros'!$B$2*H223))/2)/1000000</f>
        <v>100.484515919118</v>
      </c>
      <c r="AG223" s="10">
        <f>AC223*1.25*'Parametros'!$B$3*(AB223-(AC223*1.25*'Parametros'!$B$3/(0.85*'Parametros'!$B$2*H223))/2)/1000000</f>
        <v>100.484515919118</v>
      </c>
      <c r="AH223" s="10">
        <f>N223+(AF223+AG223)/D223</f>
        <v>128.812370504994</v>
      </c>
      <c r="AI223" s="10">
        <f>MIN(O223,MAX(N223,AH223))</f>
        <v>128.812370504994</v>
      </c>
      <c r="AJ223" s="10">
        <f>0.17*SQRT('Parametros'!$B$2)*H223*MIN(U223,AB223)/1000</f>
        <v>92.4428153837279</v>
      </c>
      <c r="AK223" s="10">
        <f>MAX(AI223/'Parametros'!$B$6-AJ223,0)</f>
        <v>79.3070119562647</v>
      </c>
      <c r="AL223" s="10">
        <f>0.66*SQRT('Parametros'!$B$2)*H223*MIN(U223,AB223)/1000</f>
        <v>358.89563619565</v>
      </c>
      <c r="AM223" s="10" t="str">
        <f>IF(AK223&lt;=AL223,"CUMPLE","NO CUMPLE")</f>
        <v>CUMPLE</v>
      </c>
      <c r="AN223" s="15" t="inlineStr">
        <is>
          <t>Nº3 cerrado</t>
        </is>
      </c>
      <c r="AO223" s="17" t="n">
        <v>2</v>
      </c>
      <c r="AP223" s="10">
        <f>ROUNDDOWN(MIN(IF(AK223=0,1000000000,AO223*'Parametros'!$B$11*'Parametros'!$B$4*MIN(U223,AB223)/(AK223*1000)),IF(AV223=0,1000000000,'Parametros'!$B$11/AV223),MIN(U223,AB223)/4,8*'Parametros'!$B$12,24*'Parametros'!$B$9,300)/10,0)*10</f>
        <v>80</v>
      </c>
      <c r="AQ223" s="10">
        <f>ROUNDDOWN(MIN(IF(AK223=0,1000000000,AO223*'Parametros'!$B$11*'Parametros'!$B$4*MIN(U223,AB223)/(AK223*1000)),IF(AV223=0,1000000000,'Parametros'!$B$11/AV223),MIN(U223,AB223)/2,600)/10,0)*10</f>
        <v>170</v>
      </c>
      <c r="AR223" s="10">
        <f>'Parametros'!$B$6*(AJ223+AO223*'Parametros'!$B$11*'Parametros'!$B$4*MIN(U223,AB223)/AP223/1000)</f>
        <v>260.860380287796</v>
      </c>
      <c r="AS223" s="10" t="str">
        <f>IF(AND(AM223="CUMPLE",AR223&gt;=AI223),"CUMPLE","NO CUMPLE")</f>
        <v>CUMPLE</v>
      </c>
      <c r="AT223" s="10">
        <f>'Parametros'!$B$6*0.083*SQRT('Parametros'!$B$2)*(H223*I223)^2/(2*(H223+I223))/1000000</f>
        <v>3.38807353605471</v>
      </c>
      <c r="AU223" s="10" t="str">
        <f>IF(Q223&lt;=AT223,"DESPRECIABLE","DISEÑAR")</f>
        <v>DISEÑAR</v>
      </c>
      <c r="AV223" s="10">
        <f>IF(Q223&lt;=AT223,0,Q223*1000000/('Parametros'!$B$6*2*0.85*(H223-2*'Parametros'!$B$7)*(I223-2*'Parametros'!$B$7)*'Parametros'!$B$4))</f>
        <v>0.104760843731432</v>
      </c>
      <c r="AW223" s="10">
        <f>AV223*2*((H223-2*'Parametros'!$B$7)+(I223-2*'Parametros'!$B$7))*'Parametros'!$B$4/'Parametros'!$B$3</f>
        <v>113.141711229947</v>
      </c>
      <c r="AX223" s="17" t="n">
        <v>1</v>
      </c>
      <c r="AY223" s="10" t="str">
        <f>IF(AV223=0,"DESPRECIABLE",IF('Parametros'!$B$11/AP223&gt;=AV223,"CUMPLE","NO CUMPLE"))</f>
        <v>CUMPLE</v>
      </c>
      <c r="AZ223" s="10" t="str">
        <f>IF(AND(X223="CUMPLE",AE223="CUMPLE",AS223="CUMPLE",OR(AY223="CUMPLE",AY223="DESPRECIABLE")),IF(OR(F223&lt;&gt;H223,G223&lt;&gt;I223),"CUMPLE - REANALIZAR SAP","CUMPLE"),"NO CUMPLE")</f>
        <v>CUMPLE</v>
      </c>
    </row>
    <row r="224">
      <c r="A224" s="23" t="inlineStr">
        <is>
          <t>VC7</t>
        </is>
      </c>
      <c r="B224" s="23" t="inlineStr">
        <is>
          <t>833</t>
        </is>
      </c>
      <c r="C224" s="10" t="n">
        <v>1</v>
      </c>
      <c r="D224" s="10" t="n">
        <v>2.65</v>
      </c>
      <c r="E224" s="10" t="n">
        <v>2.65</v>
      </c>
      <c r="F224" s="10" t="n">
        <v>300</v>
      </c>
      <c r="G224" s="10" t="n">
        <v>400</v>
      </c>
      <c r="H224" s="15" t="n">
        <v>300</v>
      </c>
      <c r="I224" s="15" t="n">
        <v>400</v>
      </c>
      <c r="J224" s="16" t="n">
        <v>72.4191</v>
      </c>
      <c r="K224" s="10" t="inlineStr">
        <is>
          <t>833</t>
        </is>
      </c>
      <c r="L224" s="16" t="n">
        <v>65.81480000000001</v>
      </c>
      <c r="M224" s="10" t="inlineStr">
        <is>
          <t>833</t>
        </is>
      </c>
      <c r="N224" s="16" t="n">
        <v>53.22</v>
      </c>
      <c r="O224" s="16" t="n">
        <v>242.21</v>
      </c>
      <c r="P224" s="10" t="inlineStr">
        <is>
          <t>833</t>
        </is>
      </c>
      <c r="Q224" s="16" t="n">
        <v>3.9069</v>
      </c>
      <c r="R224" s="10">
        <f>MAX(MAX(1.4/'Parametros'!$B$3,0.25*SQRT('Parametros'!$B$2)/'Parametros'!$B$3)*H224*U224,(0.85*'Parametros'!$B$2/'Parametros'!$B$3)*(1-SQRT(1-2*(J224*1000000/('Parametros'!$B$5*H224*U224^2))/(0.85*'Parametros'!$B$2)))*H224*U224)</f>
        <v>589.08616246633</v>
      </c>
      <c r="S224" s="17" t="n">
        <v>3</v>
      </c>
      <c r="T224" s="18" t="n">
        <v>1</v>
      </c>
      <c r="U224" s="10">
        <f>IF(T224=1,I224-('Parametros'!$B$7+'Parametros'!$B$9+'Parametros'!$B$12/2),I224-(ROUNDUP(S224/2,0)*('Parametros'!$B$7+'Parametros'!$B$9+'Parametros'!$B$12/2)+ROUNDDOWN(S224/2,0)*('Parametros'!$B$7+'Parametros'!$B$9+'Parametros'!$B$12/2+'Parametros'!$B$12+'Parametros'!$B$10))/S224)</f>
        <v>342.55</v>
      </c>
      <c r="V224" s="10">
        <f>S224*'Parametros'!$B$8</f>
        <v>597</v>
      </c>
      <c r="W224" s="10">
        <f>'Parametros'!$B$5*V224*'Parametros'!$B$3*(U224-(V224*'Parametros'!$B$3/(0.85*'Parametros'!$B$2*H224))/2)/1000000</f>
        <v>73.3394588294118</v>
      </c>
      <c r="X224" s="10" t="str">
        <f>IF(W224&gt;=J224,"CUMPLE","NO CUMPLE")</f>
        <v>CUMPLE</v>
      </c>
      <c r="Y224" s="10">
        <f>MAX(MAX(1.4/'Parametros'!$B$3,0.25*SQRT('Parametros'!$B$2)/'Parametros'!$B$3)*H224*AB224,(0.85*'Parametros'!$B$2/'Parametros'!$B$3)*(1-SQRT(1-2*(L224*1000000/('Parametros'!$B$5*H224*AB224^2))/(0.85*'Parametros'!$B$2)))*H224*AB224)</f>
        <v>532.645369513597</v>
      </c>
      <c r="Z224" s="17" t="n">
        <v>3</v>
      </c>
      <c r="AA224" s="18" t="n">
        <v>1</v>
      </c>
      <c r="AB224" s="10">
        <f>IF(AA224=1,I224-('Parametros'!$B$7+'Parametros'!$B$9+'Parametros'!$B$12/2),I224-(ROUNDUP(Z224/2,0)*('Parametros'!$B$7+'Parametros'!$B$9+'Parametros'!$B$12/2)+ROUNDDOWN(Z224/2,0)*('Parametros'!$B$7+'Parametros'!$B$9+'Parametros'!$B$12/2+'Parametros'!$B$12+'Parametros'!$B$10))/Z224)</f>
        <v>342.55</v>
      </c>
      <c r="AC224" s="10">
        <f>Z224*'Parametros'!$B$8</f>
        <v>597</v>
      </c>
      <c r="AD224" s="10">
        <f>'Parametros'!$B$5*AC224*'Parametros'!$B$3*(AB224-(AC224*'Parametros'!$B$3/(0.85*'Parametros'!$B$2*H224))/2)/1000000</f>
        <v>73.3394588294118</v>
      </c>
      <c r="AE224" s="10" t="str">
        <f>IF(AD224&gt;=L224,"CUMPLE","NO CUMPLE")</f>
        <v>CUMPLE</v>
      </c>
      <c r="AF224" s="10">
        <f>V224*1.25*'Parametros'!$B$3*(U224-(V224*1.25*'Parametros'!$B$3/(0.85*'Parametros'!$B$2*H224))/2)/1000000</f>
        <v>100.484515919118</v>
      </c>
      <c r="AG224" s="10">
        <f>AC224*1.25*'Parametros'!$B$3*(AB224-(AC224*1.25*'Parametros'!$B$3/(0.85*'Parametros'!$B$2*H224))/2)/1000000</f>
        <v>100.484515919118</v>
      </c>
      <c r="AH224" s="10">
        <f>N224+(AF224+AG224)/D224</f>
        <v>129.057370504994</v>
      </c>
      <c r="AI224" s="10">
        <f>MIN(O224,MAX(N224,AH224))</f>
        <v>129.057370504994</v>
      </c>
      <c r="AJ224" s="10">
        <f>0.17*SQRT('Parametros'!$B$2)*H224*MIN(U224,AB224)/1000</f>
        <v>92.4428153837279</v>
      </c>
      <c r="AK224" s="10">
        <f>MAX(AI224/'Parametros'!$B$6-AJ224,0)</f>
        <v>79.6336786229313</v>
      </c>
      <c r="AL224" s="10">
        <f>0.66*SQRT('Parametros'!$B$2)*H224*MIN(U224,AB224)/1000</f>
        <v>358.89563619565</v>
      </c>
      <c r="AM224" s="10" t="str">
        <f>IF(AK224&lt;=AL224,"CUMPLE","NO CUMPLE")</f>
        <v>CUMPLE</v>
      </c>
      <c r="AN224" s="15" t="inlineStr">
        <is>
          <t>Nº3 cerrado</t>
        </is>
      </c>
      <c r="AO224" s="17" t="n">
        <v>2</v>
      </c>
      <c r="AP224" s="10">
        <f>ROUNDDOWN(MIN(IF(AK224=0,1000000000,AO224*'Parametros'!$B$11*'Parametros'!$B$4*MIN(U224,AB224)/(AK224*1000)),IF(AV224=0,1000000000,'Parametros'!$B$11/AV224),MIN(U224,AB224)/4,8*'Parametros'!$B$12,24*'Parametros'!$B$9,300)/10,0)*10</f>
        <v>80</v>
      </c>
      <c r="AQ224" s="10">
        <f>ROUNDDOWN(MIN(IF(AK224=0,1000000000,AO224*'Parametros'!$B$11*'Parametros'!$B$4*MIN(U224,AB224)/(AK224*1000)),IF(AV224=0,1000000000,'Parametros'!$B$11/AV224),MIN(U224,AB224)/2,600)/10,0)*10</f>
        <v>170</v>
      </c>
      <c r="AR224" s="10">
        <f>'Parametros'!$B$6*(AJ224+AO224*'Parametros'!$B$11*'Parametros'!$B$4*MIN(U224,AB224)/AP224/1000)</f>
        <v>260.860380287796</v>
      </c>
      <c r="AS224" s="10" t="str">
        <f>IF(AND(AM224="CUMPLE",AR224&gt;=AI224),"CUMPLE","NO CUMPLE")</f>
        <v>CUMPLE</v>
      </c>
      <c r="AT224" s="10">
        <f>'Parametros'!$B$6*0.083*SQRT('Parametros'!$B$2)*(H224*I224)^2/(2*(H224+I224))/1000000</f>
        <v>3.38807353605471</v>
      </c>
      <c r="AU224" s="10" t="str">
        <f>IF(Q224&lt;=AT224,"DESPRECIABLE","DISEÑAR")</f>
        <v>DISEÑAR</v>
      </c>
      <c r="AV224" s="10">
        <f>IF(Q224&lt;=AT224,0,Q224*1000000/('Parametros'!$B$6*2*0.85*(H224-2*'Parametros'!$B$7)*(I224-2*'Parametros'!$B$7)*'Parametros'!$B$4))</f>
        <v>0.103633498854087</v>
      </c>
      <c r="AW224" s="10">
        <f>AV224*2*((H224-2*'Parametros'!$B$7)+(I224-2*'Parametros'!$B$7))*'Parametros'!$B$4/'Parametros'!$B$3</f>
        <v>111.924178762414</v>
      </c>
      <c r="AX224" s="17" t="n">
        <v>1</v>
      </c>
      <c r="AY224" s="10" t="str">
        <f>IF(AV224=0,"DESPRECIABLE",IF('Parametros'!$B$11/AP224&gt;=AV224,"CUMPLE","NO CUMPLE"))</f>
        <v>CUMPLE</v>
      </c>
      <c r="AZ224" s="10" t="str">
        <f>IF(AND(X224="CUMPLE",AE224="CUMPLE",AS224="CUMPLE",OR(AY224="CUMPLE",AY224="DESPRECIABLE")),IF(OR(F224&lt;&gt;H224,G224&lt;&gt;I224),"CUMPLE - REANALIZAR SAP","CUMPLE"),"NO CUMPLE")</f>
        <v>CUMPLE</v>
      </c>
    </row>
    <row r="225">
      <c r="A225" s="23" t="inlineStr">
        <is>
          <t>VC7</t>
        </is>
      </c>
      <c r="B225" s="23" t="inlineStr">
        <is>
          <t>834</t>
        </is>
      </c>
      <c r="C225" s="10" t="n">
        <v>1</v>
      </c>
      <c r="D225" s="10" t="n">
        <v>5.1</v>
      </c>
      <c r="E225" s="10" t="n">
        <v>5.1</v>
      </c>
      <c r="F225" s="10" t="n">
        <v>300</v>
      </c>
      <c r="G225" s="10" t="n">
        <v>400</v>
      </c>
      <c r="H225" s="15" t="n">
        <v>300</v>
      </c>
      <c r="I225" s="15" t="n">
        <v>400</v>
      </c>
      <c r="J225" s="16" t="n">
        <v>65.57550000000001</v>
      </c>
      <c r="K225" s="10" t="inlineStr">
        <is>
          <t>834</t>
        </is>
      </c>
      <c r="L225" s="16" t="n">
        <v>51.7186</v>
      </c>
      <c r="M225" s="10" t="inlineStr">
        <is>
          <t>834</t>
        </is>
      </c>
      <c r="N225" s="16" t="n">
        <v>31.651</v>
      </c>
      <c r="O225" s="16" t="n">
        <v>113.05</v>
      </c>
      <c r="P225" s="10" t="inlineStr">
        <is>
          <t>834</t>
        </is>
      </c>
      <c r="Q225" s="16" t="n">
        <v>0.8915</v>
      </c>
      <c r="R225" s="10">
        <f>MAX(MAX(1.4/'Parametros'!$B$3,0.25*SQRT('Parametros'!$B$2)/'Parametros'!$B$3)*H225*U225,(0.85*'Parametros'!$B$2/'Parametros'!$B$3)*(1-SQRT(1-2*(J225*1000000/('Parametros'!$B$5*H225*U225^2))/(0.85*'Parametros'!$B$2)))*H225*U225)</f>
        <v>530.611594819313</v>
      </c>
      <c r="S225" s="17" t="n">
        <v>3</v>
      </c>
      <c r="T225" s="18" t="n">
        <v>1</v>
      </c>
      <c r="U225" s="10">
        <f>IF(T225=1,I225-('Parametros'!$B$7+'Parametros'!$B$9+'Parametros'!$B$12/2),I225-(ROUNDUP(S225/2,0)*('Parametros'!$B$7+'Parametros'!$B$9+'Parametros'!$B$12/2)+ROUNDDOWN(S225/2,0)*('Parametros'!$B$7+'Parametros'!$B$9+'Parametros'!$B$12/2+'Parametros'!$B$12+'Parametros'!$B$10))/S225)</f>
        <v>342.55</v>
      </c>
      <c r="V225" s="10">
        <f>S225*'Parametros'!$B$8</f>
        <v>597</v>
      </c>
      <c r="W225" s="10">
        <f>'Parametros'!$B$5*V225*'Parametros'!$B$3*(U225-(V225*'Parametros'!$B$3/(0.85*'Parametros'!$B$2*H225))/2)/1000000</f>
        <v>73.3394588294118</v>
      </c>
      <c r="X225" s="10" t="str">
        <f>IF(W225&gt;=J225,"CUMPLE","NO CUMPLE")</f>
        <v>CUMPLE</v>
      </c>
      <c r="Y225" s="10">
        <f>MAX(MAX(1.4/'Parametros'!$B$3,0.25*SQRT('Parametros'!$B$2)/'Parametros'!$B$3)*H225*AB225,(0.85*'Parametros'!$B$2/'Parametros'!$B$3)*(1-SQRT(1-2*(L225*1000000/('Parametros'!$B$5*H225*AB225^2))/(0.85*'Parametros'!$B$2)))*H225*AB225)</f>
        <v>414.147872480413</v>
      </c>
      <c r="Z225" s="17" t="n">
        <v>3</v>
      </c>
      <c r="AA225" s="18" t="n">
        <v>1</v>
      </c>
      <c r="AB225" s="10">
        <f>IF(AA225=1,I225-('Parametros'!$B$7+'Parametros'!$B$9+'Parametros'!$B$12/2),I225-(ROUNDUP(Z225/2,0)*('Parametros'!$B$7+'Parametros'!$B$9+'Parametros'!$B$12/2)+ROUNDDOWN(Z225/2,0)*('Parametros'!$B$7+'Parametros'!$B$9+'Parametros'!$B$12/2+'Parametros'!$B$12+'Parametros'!$B$10))/Z225)</f>
        <v>342.55</v>
      </c>
      <c r="AC225" s="10">
        <f>Z225*'Parametros'!$B$8</f>
        <v>597</v>
      </c>
      <c r="AD225" s="10">
        <f>'Parametros'!$B$5*AC225*'Parametros'!$B$3*(AB225-(AC225*'Parametros'!$B$3/(0.85*'Parametros'!$B$2*H225))/2)/1000000</f>
        <v>73.3394588294118</v>
      </c>
      <c r="AE225" s="10" t="str">
        <f>IF(AD225&gt;=L225,"CUMPLE","NO CUMPLE")</f>
        <v>CUMPLE</v>
      </c>
      <c r="AF225" s="10">
        <f>V225*1.25*'Parametros'!$B$3*(U225-(V225*1.25*'Parametros'!$B$3/(0.85*'Parametros'!$B$2*H225))/2)/1000000</f>
        <v>100.484515919118</v>
      </c>
      <c r="AG225" s="10">
        <f>AC225*1.25*'Parametros'!$B$3*(AB225-(AC225*1.25*'Parametros'!$B$3/(0.85*'Parametros'!$B$2*H225))/2)/1000000</f>
        <v>100.484515919118</v>
      </c>
      <c r="AH225" s="10">
        <f>N225+(AF225+AG225)/D225</f>
        <v>71.056692517301</v>
      </c>
      <c r="AI225" s="10">
        <f>MIN(O225,MAX(N225,AH225))</f>
        <v>71.056692517301</v>
      </c>
      <c r="AJ225" s="10">
        <f>0.17*SQRT('Parametros'!$B$2)*H225*MIN(U225,AB225)/1000</f>
        <v>92.4428153837279</v>
      </c>
      <c r="AK225" s="10">
        <f>MAX(AI225/'Parametros'!$B$6-AJ225,0)</f>
        <v>2.29944130600681</v>
      </c>
      <c r="AL225" s="10">
        <f>0.66*SQRT('Parametros'!$B$2)*H225*MIN(U225,AB225)/1000</f>
        <v>358.89563619565</v>
      </c>
      <c r="AM225" s="10" t="str">
        <f>IF(AK225&lt;=AL225,"CUMPLE","NO CUMPLE")</f>
        <v>CUMPLE</v>
      </c>
      <c r="AN225" s="15" t="inlineStr">
        <is>
          <t>Nº3 cerrado</t>
        </is>
      </c>
      <c r="AO225" s="17" t="n">
        <v>2</v>
      </c>
      <c r="AP225" s="10">
        <f>ROUNDDOWN(MIN(IF(AK225=0,1000000000,AO225*'Parametros'!$B$11*'Parametros'!$B$4*MIN(U225,AB225)/(AK225*1000)),IF(AV225=0,1000000000,'Parametros'!$B$11/AV225),MIN(U225,AB225)/4,8*'Parametros'!$B$12,24*'Parametros'!$B$9,300)/10,0)*10</f>
        <v>80</v>
      </c>
      <c r="AQ225" s="10">
        <f>ROUNDDOWN(MIN(IF(AK225=0,1000000000,AO225*'Parametros'!$B$11*'Parametros'!$B$4*MIN(U225,AB225)/(AK225*1000)),IF(AV225=0,1000000000,'Parametros'!$B$11/AV225),MIN(U225,AB225)/2,600)/10,0)*10</f>
        <v>170</v>
      </c>
      <c r="AR225" s="10">
        <f>'Parametros'!$B$6*(AJ225+AO225*'Parametros'!$B$11*'Parametros'!$B$4*MIN(U225,AB225)/AP225/1000)</f>
        <v>260.860380287796</v>
      </c>
      <c r="AS225" s="10" t="str">
        <f>IF(AND(AM225="CUMPLE",AR225&gt;=AI225),"CUMPLE","NO CUMPLE")</f>
        <v>CUMPLE</v>
      </c>
      <c r="AT225" s="10">
        <f>'Parametros'!$B$6*0.083*SQRT('Parametros'!$B$2)*(H225*I225)^2/(2*(H225+I225))/1000000</f>
        <v>3.38807353605471</v>
      </c>
      <c r="AU225" s="10" t="str">
        <f>IF(Q225&lt;=AT225,"DESPRECIABLE","DISEÑAR")</f>
        <v>DESPRECIABLE</v>
      </c>
      <c r="AV225" s="10">
        <f>IF(Q225&lt;=AT225,0,Q225*1000000/('Parametros'!$B$6*2*0.85*(H225-2*'Parametros'!$B$7)*(I225-2*'Parametros'!$B$7)*'Parametros'!$B$4))</f>
        <v>0</v>
      </c>
      <c r="AW225" s="10">
        <f>AV225*2*((H225-2*'Parametros'!$B$7)+(I225-2*'Parametros'!$B$7))*'Parametros'!$B$4/'Parametros'!$B$3</f>
        <v>0</v>
      </c>
      <c r="AX225" s="17" t="n">
        <v>0</v>
      </c>
      <c r="AY225" s="10" t="str">
        <f>IF(AV225=0,"DESPRECIABLE",IF('Parametros'!$B$11/AP225&gt;=AV225,"CUMPLE","NO CUMPLE"))</f>
        <v>DESPRECIABLE</v>
      </c>
      <c r="AZ225" s="10" t="str">
        <f>IF(AND(X225="CUMPLE",AE225="CUMPLE",AS225="CUMPLE",OR(AY225="CUMPLE",AY225="DESPRECIABLE")),IF(OR(F225&lt;&gt;H225,G225&lt;&gt;I225),"CUMPLE - REANALIZAR SAP","CUMPLE"),"NO CUMPLE")</f>
        <v>CUMPLE</v>
      </c>
    </row>
    <row r="226">
      <c r="A226" s="23" t="inlineStr">
        <is>
          <t>VC7</t>
        </is>
      </c>
      <c r="B226" s="23" t="inlineStr">
        <is>
          <t>835</t>
        </is>
      </c>
      <c r="C226" s="10" t="n">
        <v>1</v>
      </c>
      <c r="D226" s="10" t="n">
        <v>5.1</v>
      </c>
      <c r="E226" s="10" t="n">
        <v>5.1</v>
      </c>
      <c r="F226" s="10" t="n">
        <v>300</v>
      </c>
      <c r="G226" s="10" t="n">
        <v>400</v>
      </c>
      <c r="H226" s="15" t="n">
        <v>300</v>
      </c>
      <c r="I226" s="15" t="n">
        <v>400</v>
      </c>
      <c r="J226" s="16" t="n">
        <v>65.5731</v>
      </c>
      <c r="K226" s="10" t="inlineStr">
        <is>
          <t>835</t>
        </is>
      </c>
      <c r="L226" s="16" t="n">
        <v>51.7161</v>
      </c>
      <c r="M226" s="10" t="inlineStr">
        <is>
          <t>835</t>
        </is>
      </c>
      <c r="N226" s="16" t="n">
        <v>31.65</v>
      </c>
      <c r="O226" s="16" t="n">
        <v>113.049</v>
      </c>
      <c r="P226" s="10" t="inlineStr">
        <is>
          <t>835</t>
        </is>
      </c>
      <c r="Q226" s="16" t="n">
        <v>0.8921</v>
      </c>
      <c r="R226" s="10">
        <f>MAX(MAX(1.4/'Parametros'!$B$3,0.25*SQRT('Parametros'!$B$2)/'Parametros'!$B$3)*H226*U226,(0.85*'Parametros'!$B$2/'Parametros'!$B$3)*(1-SQRT(1-2*(J226*1000000/('Parametros'!$B$5*H226*U226^2))/(0.85*'Parametros'!$B$2)))*H226*U226)</f>
        <v>530.591201538608</v>
      </c>
      <c r="S226" s="17" t="n">
        <v>3</v>
      </c>
      <c r="T226" s="18" t="n">
        <v>1</v>
      </c>
      <c r="U226" s="10">
        <f>IF(T226=1,I226-('Parametros'!$B$7+'Parametros'!$B$9+'Parametros'!$B$12/2),I226-(ROUNDUP(S226/2,0)*('Parametros'!$B$7+'Parametros'!$B$9+'Parametros'!$B$12/2)+ROUNDDOWN(S226/2,0)*('Parametros'!$B$7+'Parametros'!$B$9+'Parametros'!$B$12/2+'Parametros'!$B$12+'Parametros'!$B$10))/S226)</f>
        <v>342.55</v>
      </c>
      <c r="V226" s="10">
        <f>S226*'Parametros'!$B$8</f>
        <v>597</v>
      </c>
      <c r="W226" s="10">
        <f>'Parametros'!$B$5*V226*'Parametros'!$B$3*(U226-(V226*'Parametros'!$B$3/(0.85*'Parametros'!$B$2*H226))/2)/1000000</f>
        <v>73.3394588294118</v>
      </c>
      <c r="X226" s="10" t="str">
        <f>IF(W226&gt;=J226,"CUMPLE","NO CUMPLE")</f>
        <v>CUMPLE</v>
      </c>
      <c r="Y226" s="10">
        <f>MAX(MAX(1.4/'Parametros'!$B$3,0.25*SQRT('Parametros'!$B$2)/'Parametros'!$B$3)*H226*AB226,(0.85*'Parametros'!$B$2/'Parametros'!$B$3)*(1-SQRT(1-2*(L226*1000000/('Parametros'!$B$5*H226*AB226^2))/(0.85*'Parametros'!$B$2)))*H226*AB226)</f>
        <v>414.127086855516</v>
      </c>
      <c r="Z226" s="17" t="n">
        <v>3</v>
      </c>
      <c r="AA226" s="18" t="n">
        <v>1</v>
      </c>
      <c r="AB226" s="10">
        <f>IF(AA226=1,I226-('Parametros'!$B$7+'Parametros'!$B$9+'Parametros'!$B$12/2),I226-(ROUNDUP(Z226/2,0)*('Parametros'!$B$7+'Parametros'!$B$9+'Parametros'!$B$12/2)+ROUNDDOWN(Z226/2,0)*('Parametros'!$B$7+'Parametros'!$B$9+'Parametros'!$B$12/2+'Parametros'!$B$12+'Parametros'!$B$10))/Z226)</f>
        <v>342.55</v>
      </c>
      <c r="AC226" s="10">
        <f>Z226*'Parametros'!$B$8</f>
        <v>597</v>
      </c>
      <c r="AD226" s="10">
        <f>'Parametros'!$B$5*AC226*'Parametros'!$B$3*(AB226-(AC226*'Parametros'!$B$3/(0.85*'Parametros'!$B$2*H226))/2)/1000000</f>
        <v>73.3394588294118</v>
      </c>
      <c r="AE226" s="10" t="str">
        <f>IF(AD226&gt;=L226,"CUMPLE","NO CUMPLE")</f>
        <v>CUMPLE</v>
      </c>
      <c r="AF226" s="10">
        <f>V226*1.25*'Parametros'!$B$3*(U226-(V226*1.25*'Parametros'!$B$3/(0.85*'Parametros'!$B$2*H226))/2)/1000000</f>
        <v>100.484515919118</v>
      </c>
      <c r="AG226" s="10">
        <f>AC226*1.25*'Parametros'!$B$3*(AB226-(AC226*1.25*'Parametros'!$B$3/(0.85*'Parametros'!$B$2*H226))/2)/1000000</f>
        <v>100.484515919118</v>
      </c>
      <c r="AH226" s="10">
        <f>N226+(AF226+AG226)/D226</f>
        <v>71.055692517301</v>
      </c>
      <c r="AI226" s="10">
        <f>MIN(O226,MAX(N226,AH226))</f>
        <v>71.055692517301</v>
      </c>
      <c r="AJ226" s="10">
        <f>0.17*SQRT('Parametros'!$B$2)*H226*MIN(U226,AB226)/1000</f>
        <v>92.4428153837279</v>
      </c>
      <c r="AK226" s="10">
        <f>MAX(AI226/'Parametros'!$B$6-AJ226,0)</f>
        <v>2.29810797267346</v>
      </c>
      <c r="AL226" s="10">
        <f>0.66*SQRT('Parametros'!$B$2)*H226*MIN(U226,AB226)/1000</f>
        <v>358.89563619565</v>
      </c>
      <c r="AM226" s="10" t="str">
        <f>IF(AK226&lt;=AL226,"CUMPLE","NO CUMPLE")</f>
        <v>CUMPLE</v>
      </c>
      <c r="AN226" s="15" t="inlineStr">
        <is>
          <t>Nº3 cerrado</t>
        </is>
      </c>
      <c r="AO226" s="17" t="n">
        <v>2</v>
      </c>
      <c r="AP226" s="10">
        <f>ROUNDDOWN(MIN(IF(AK226=0,1000000000,AO226*'Parametros'!$B$11*'Parametros'!$B$4*MIN(U226,AB226)/(AK226*1000)),IF(AV226=0,1000000000,'Parametros'!$B$11/AV226),MIN(U226,AB226)/4,8*'Parametros'!$B$12,24*'Parametros'!$B$9,300)/10,0)*10</f>
        <v>80</v>
      </c>
      <c r="AQ226" s="10">
        <f>ROUNDDOWN(MIN(IF(AK226=0,1000000000,AO226*'Parametros'!$B$11*'Parametros'!$B$4*MIN(U226,AB226)/(AK226*1000)),IF(AV226=0,1000000000,'Parametros'!$B$11/AV226),MIN(U226,AB226)/2,600)/10,0)*10</f>
        <v>170</v>
      </c>
      <c r="AR226" s="10">
        <f>'Parametros'!$B$6*(AJ226+AO226*'Parametros'!$B$11*'Parametros'!$B$4*MIN(U226,AB226)/AP226/1000)</f>
        <v>260.860380287796</v>
      </c>
      <c r="AS226" s="10" t="str">
        <f>IF(AND(AM226="CUMPLE",AR226&gt;=AI226),"CUMPLE","NO CUMPLE")</f>
        <v>CUMPLE</v>
      </c>
      <c r="AT226" s="10">
        <f>'Parametros'!$B$6*0.083*SQRT('Parametros'!$B$2)*(H226*I226)^2/(2*(H226+I226))/1000000</f>
        <v>3.38807353605471</v>
      </c>
      <c r="AU226" s="10" t="str">
        <f>IF(Q226&lt;=AT226,"DESPRECIABLE","DISEÑAR")</f>
        <v>DESPRECIABLE</v>
      </c>
      <c r="AV226" s="10">
        <f>IF(Q226&lt;=AT226,0,Q226*1000000/('Parametros'!$B$6*2*0.85*(H226-2*'Parametros'!$B$7)*(I226-2*'Parametros'!$B$7)*'Parametros'!$B$4))</f>
        <v>0</v>
      </c>
      <c r="AW226" s="10">
        <f>AV226*2*((H226-2*'Parametros'!$B$7)+(I226-2*'Parametros'!$B$7))*'Parametros'!$B$4/'Parametros'!$B$3</f>
        <v>0</v>
      </c>
      <c r="AX226" s="17" t="n">
        <v>0</v>
      </c>
      <c r="AY226" s="10" t="str">
        <f>IF(AV226=0,"DESPRECIABLE",IF('Parametros'!$B$11/AP226&gt;=AV226,"CUMPLE","NO CUMPLE"))</f>
        <v>DESPRECIABLE</v>
      </c>
      <c r="AZ226" s="10" t="str">
        <f>IF(AND(X226="CUMPLE",AE226="CUMPLE",AS226="CUMPLE",OR(AY226="CUMPLE",AY226="DESPRECIABLE")),IF(OR(F226&lt;&gt;H226,G226&lt;&gt;I226),"CUMPLE - REANALIZAR SAP","CUMPLE"),"NO CUMPLE")</f>
        <v>CUMPLE</v>
      </c>
    </row>
    <row r="227">
      <c r="A227" s="23" t="inlineStr">
        <is>
          <t>VC7</t>
        </is>
      </c>
      <c r="B227" s="23" t="inlineStr">
        <is>
          <t>836</t>
        </is>
      </c>
      <c r="C227" s="10" t="n">
        <v>1</v>
      </c>
      <c r="D227" s="10" t="n">
        <v>2.65</v>
      </c>
      <c r="E227" s="10" t="n">
        <v>2.65</v>
      </c>
      <c r="F227" s="10" t="n">
        <v>300</v>
      </c>
      <c r="G227" s="10" t="n">
        <v>400</v>
      </c>
      <c r="H227" s="15" t="n">
        <v>300</v>
      </c>
      <c r="I227" s="15" t="n">
        <v>400</v>
      </c>
      <c r="J227" s="16" t="n">
        <v>72.4199</v>
      </c>
      <c r="K227" s="10" t="inlineStr">
        <is>
          <t>836</t>
        </is>
      </c>
      <c r="L227" s="16" t="n">
        <v>65.8143</v>
      </c>
      <c r="M227" s="10" t="inlineStr">
        <is>
          <t>836</t>
        </is>
      </c>
      <c r="N227" s="16" t="n">
        <v>53.221</v>
      </c>
      <c r="O227" s="16" t="n">
        <v>242.211</v>
      </c>
      <c r="P227" s="10" t="inlineStr">
        <is>
          <t>836</t>
        </is>
      </c>
      <c r="Q227" s="16" t="n">
        <v>3.9069</v>
      </c>
      <c r="R227" s="10">
        <f>MAX(MAX(1.4/'Parametros'!$B$3,0.25*SQRT('Parametros'!$B$2)/'Parametros'!$B$3)*H227*U227,(0.85*'Parametros'!$B$2/'Parametros'!$B$3)*(1-SQRT(1-2*(J227*1000000/('Parametros'!$B$5*H227*U227^2))/(0.85*'Parametros'!$B$2)))*H227*U227)</f>
        <v>589.093036185486</v>
      </c>
      <c r="S227" s="17" t="n">
        <v>3</v>
      </c>
      <c r="T227" s="18" t="n">
        <v>1</v>
      </c>
      <c r="U227" s="10">
        <f>IF(T227=1,I227-('Parametros'!$B$7+'Parametros'!$B$9+'Parametros'!$B$12/2),I227-(ROUNDUP(S227/2,0)*('Parametros'!$B$7+'Parametros'!$B$9+'Parametros'!$B$12/2)+ROUNDDOWN(S227/2,0)*('Parametros'!$B$7+'Parametros'!$B$9+'Parametros'!$B$12/2+'Parametros'!$B$12+'Parametros'!$B$10))/S227)</f>
        <v>342.55</v>
      </c>
      <c r="V227" s="10">
        <f>S227*'Parametros'!$B$8</f>
        <v>597</v>
      </c>
      <c r="W227" s="10">
        <f>'Parametros'!$B$5*V227*'Parametros'!$B$3*(U227-(V227*'Parametros'!$B$3/(0.85*'Parametros'!$B$2*H227))/2)/1000000</f>
        <v>73.3394588294118</v>
      </c>
      <c r="X227" s="10" t="str">
        <f>IF(W227&gt;=J227,"CUMPLE","NO CUMPLE")</f>
        <v>CUMPLE</v>
      </c>
      <c r="Y227" s="10">
        <f>MAX(MAX(1.4/'Parametros'!$B$3,0.25*SQRT('Parametros'!$B$2)/'Parametros'!$B$3)*H227*AB227,(0.85*'Parametros'!$B$2/'Parametros'!$B$3)*(1-SQRT(1-2*(L227*1000000/('Parametros'!$B$5*H227*AB227^2))/(0.85*'Parametros'!$B$2)))*H227*AB227)</f>
        <v>532.641119273785</v>
      </c>
      <c r="Z227" s="17" t="n">
        <v>3</v>
      </c>
      <c r="AA227" s="18" t="n">
        <v>1</v>
      </c>
      <c r="AB227" s="10">
        <f>IF(AA227=1,I227-('Parametros'!$B$7+'Parametros'!$B$9+'Parametros'!$B$12/2),I227-(ROUNDUP(Z227/2,0)*('Parametros'!$B$7+'Parametros'!$B$9+'Parametros'!$B$12/2)+ROUNDDOWN(Z227/2,0)*('Parametros'!$B$7+'Parametros'!$B$9+'Parametros'!$B$12/2+'Parametros'!$B$12+'Parametros'!$B$10))/Z227)</f>
        <v>342.55</v>
      </c>
      <c r="AC227" s="10">
        <f>Z227*'Parametros'!$B$8</f>
        <v>597</v>
      </c>
      <c r="AD227" s="10">
        <f>'Parametros'!$B$5*AC227*'Parametros'!$B$3*(AB227-(AC227*'Parametros'!$B$3/(0.85*'Parametros'!$B$2*H227))/2)/1000000</f>
        <v>73.3394588294118</v>
      </c>
      <c r="AE227" s="10" t="str">
        <f>IF(AD227&gt;=L227,"CUMPLE","NO CUMPLE")</f>
        <v>CUMPLE</v>
      </c>
      <c r="AF227" s="10">
        <f>V227*1.25*'Parametros'!$B$3*(U227-(V227*1.25*'Parametros'!$B$3/(0.85*'Parametros'!$B$2*H227))/2)/1000000</f>
        <v>100.484515919118</v>
      </c>
      <c r="AG227" s="10">
        <f>AC227*1.25*'Parametros'!$B$3*(AB227-(AC227*1.25*'Parametros'!$B$3/(0.85*'Parametros'!$B$2*H227))/2)/1000000</f>
        <v>100.484515919118</v>
      </c>
      <c r="AH227" s="10">
        <f>N227+(AF227+AG227)/D227</f>
        <v>129.058370504994</v>
      </c>
      <c r="AI227" s="10">
        <f>MIN(O227,MAX(N227,AH227))</f>
        <v>129.058370504994</v>
      </c>
      <c r="AJ227" s="10">
        <f>0.17*SQRT('Parametros'!$B$2)*H227*MIN(U227,AB227)/1000</f>
        <v>92.4428153837279</v>
      </c>
      <c r="AK227" s="10">
        <f>MAX(AI227/'Parametros'!$B$6-AJ227,0)</f>
        <v>79.6350119562647</v>
      </c>
      <c r="AL227" s="10">
        <f>0.66*SQRT('Parametros'!$B$2)*H227*MIN(U227,AB227)/1000</f>
        <v>358.89563619565</v>
      </c>
      <c r="AM227" s="10" t="str">
        <f>IF(AK227&lt;=AL227,"CUMPLE","NO CUMPLE")</f>
        <v>CUMPLE</v>
      </c>
      <c r="AN227" s="15" t="inlineStr">
        <is>
          <t>Nº3 cerrado</t>
        </is>
      </c>
      <c r="AO227" s="17" t="n">
        <v>2</v>
      </c>
      <c r="AP227" s="10">
        <f>ROUNDDOWN(MIN(IF(AK227=0,1000000000,AO227*'Parametros'!$B$11*'Parametros'!$B$4*MIN(U227,AB227)/(AK227*1000)),IF(AV227=0,1000000000,'Parametros'!$B$11/AV227),MIN(U227,AB227)/4,8*'Parametros'!$B$12,24*'Parametros'!$B$9,300)/10,0)*10</f>
        <v>80</v>
      </c>
      <c r="AQ227" s="10">
        <f>ROUNDDOWN(MIN(IF(AK227=0,1000000000,AO227*'Parametros'!$B$11*'Parametros'!$B$4*MIN(U227,AB227)/(AK227*1000)),IF(AV227=0,1000000000,'Parametros'!$B$11/AV227),MIN(U227,AB227)/2,600)/10,0)*10</f>
        <v>170</v>
      </c>
      <c r="AR227" s="10">
        <f>'Parametros'!$B$6*(AJ227+AO227*'Parametros'!$B$11*'Parametros'!$B$4*MIN(U227,AB227)/AP227/1000)</f>
        <v>260.860380287796</v>
      </c>
      <c r="AS227" s="10" t="str">
        <f>IF(AND(AM227="CUMPLE",AR227&gt;=AI227),"CUMPLE","NO CUMPLE")</f>
        <v>CUMPLE</v>
      </c>
      <c r="AT227" s="10">
        <f>'Parametros'!$B$6*0.083*SQRT('Parametros'!$B$2)*(H227*I227)^2/(2*(H227+I227))/1000000</f>
        <v>3.38807353605471</v>
      </c>
      <c r="AU227" s="10" t="str">
        <f>IF(Q227&lt;=AT227,"DESPRECIABLE","DISEÑAR")</f>
        <v>DISEÑAR</v>
      </c>
      <c r="AV227" s="10">
        <f>IF(Q227&lt;=AT227,0,Q227*1000000/('Parametros'!$B$6*2*0.85*(H227-2*'Parametros'!$B$7)*(I227-2*'Parametros'!$B$7)*'Parametros'!$B$4))</f>
        <v>0.103633498854087</v>
      </c>
      <c r="AW227" s="10">
        <f>AV227*2*((H227-2*'Parametros'!$B$7)+(I227-2*'Parametros'!$B$7))*'Parametros'!$B$4/'Parametros'!$B$3</f>
        <v>111.924178762414</v>
      </c>
      <c r="AX227" s="17" t="n">
        <v>1</v>
      </c>
      <c r="AY227" s="10" t="str">
        <f>IF(AV227=0,"DESPRECIABLE",IF('Parametros'!$B$11/AP227&gt;=AV227,"CUMPLE","NO CUMPLE"))</f>
        <v>CUMPLE</v>
      </c>
      <c r="AZ227" s="10" t="str">
        <f>IF(AND(X227="CUMPLE",AE227="CUMPLE",AS227="CUMPLE",OR(AY227="CUMPLE",AY227="DESPRECIABLE")),IF(OR(F227&lt;&gt;H227,G227&lt;&gt;I227),"CUMPLE - REANALIZAR SAP","CUMPLE"),"NO CUMPLE")</f>
        <v>CUMPLE</v>
      </c>
    </row>
    <row r="228">
      <c r="A228" s="23" t="inlineStr">
        <is>
          <t>VC7</t>
        </is>
      </c>
      <c r="B228" s="23" t="inlineStr">
        <is>
          <t>923</t>
        </is>
      </c>
      <c r="C228" s="10" t="n">
        <v>1</v>
      </c>
      <c r="D228" s="10" t="n">
        <v>2.65</v>
      </c>
      <c r="E228" s="10" t="n">
        <v>2.65</v>
      </c>
      <c r="F228" s="10" t="n">
        <v>300</v>
      </c>
      <c r="G228" s="10" t="n">
        <v>400</v>
      </c>
      <c r="H228" s="15" t="n">
        <v>300</v>
      </c>
      <c r="I228" s="15" t="n">
        <v>400</v>
      </c>
      <c r="J228" s="16" t="n">
        <v>44.704</v>
      </c>
      <c r="K228" s="10" t="inlineStr">
        <is>
          <t>923</t>
        </is>
      </c>
      <c r="L228" s="16" t="n">
        <v>40.0347</v>
      </c>
      <c r="M228" s="10" t="inlineStr">
        <is>
          <t>923</t>
        </is>
      </c>
      <c r="N228" s="16" t="n">
        <v>34.26</v>
      </c>
      <c r="O228" s="16" t="n">
        <v>150.616</v>
      </c>
      <c r="P228" s="10" t="inlineStr">
        <is>
          <t>923</t>
        </is>
      </c>
      <c r="Q228" s="16" t="n">
        <v>3.1706</v>
      </c>
      <c r="R228" s="10">
        <f>MAX(MAX(1.4/'Parametros'!$B$3,0.25*SQRT('Parametros'!$B$2)/'Parametros'!$B$3)*H228*U228,(0.85*'Parametros'!$B$2/'Parametros'!$B$3)*(1-SQRT(1-2*(J228*1000000/('Parametros'!$B$5*H228*U228^2))/(0.85*'Parametros'!$B$2)))*H228*U228)</f>
        <v>356.137683516828</v>
      </c>
      <c r="S228" s="17" t="n">
        <v>2</v>
      </c>
      <c r="T228" s="18" t="n">
        <v>1</v>
      </c>
      <c r="U228" s="10">
        <f>IF(T228=1,I228-('Parametros'!$B$7+'Parametros'!$B$9+'Parametros'!$B$12/2),I228-(ROUNDUP(S228/2,0)*('Parametros'!$B$7+'Parametros'!$B$9+'Parametros'!$B$12/2)+ROUNDDOWN(S228/2,0)*('Parametros'!$B$7+'Parametros'!$B$9+'Parametros'!$B$12/2+'Parametros'!$B$12+'Parametros'!$B$10))/S228)</f>
        <v>342.55</v>
      </c>
      <c r="V228" s="10">
        <f>S228*'Parametros'!$B$8</f>
        <v>398</v>
      </c>
      <c r="W228" s="10">
        <f>'Parametros'!$B$5*V228*'Parametros'!$B$3*(U228-(V228*'Parametros'!$B$3/(0.85*'Parametros'!$B$2*H228))/2)/1000000</f>
        <v>49.7735124352941</v>
      </c>
      <c r="X228" s="10" t="str">
        <f>IF(W228&gt;=J228,"CUMPLE","NO CUMPLE")</f>
        <v>CUMPLE</v>
      </c>
      <c r="Y228" s="10">
        <f>MAX(MAX(1.4/'Parametros'!$B$3,0.25*SQRT('Parametros'!$B$2)/'Parametros'!$B$3)*H228*AB228,(0.85*'Parametros'!$B$2/'Parametros'!$B$3)*(1-SQRT(1-2*(L228*1000000/('Parametros'!$B$5*H228*AB228^2))/(0.85*'Parametros'!$B$2)))*H228*AB228)</f>
        <v>342.55</v>
      </c>
      <c r="Z228" s="17" t="n">
        <v>2</v>
      </c>
      <c r="AA228" s="18" t="n">
        <v>1</v>
      </c>
      <c r="AB228" s="10">
        <f>IF(AA228=1,I228-('Parametros'!$B$7+'Parametros'!$B$9+'Parametros'!$B$12/2),I228-(ROUNDUP(Z228/2,0)*('Parametros'!$B$7+'Parametros'!$B$9+'Parametros'!$B$12/2)+ROUNDDOWN(Z228/2,0)*('Parametros'!$B$7+'Parametros'!$B$9+'Parametros'!$B$12/2+'Parametros'!$B$12+'Parametros'!$B$10))/Z228)</f>
        <v>342.55</v>
      </c>
      <c r="AC228" s="10">
        <f>Z228*'Parametros'!$B$8</f>
        <v>398</v>
      </c>
      <c r="AD228" s="10">
        <f>'Parametros'!$B$5*AC228*'Parametros'!$B$3*(AB228-(AC228*'Parametros'!$B$3/(0.85*'Parametros'!$B$2*H228))/2)/1000000</f>
        <v>49.7735124352941</v>
      </c>
      <c r="AE228" s="10" t="str">
        <f>IF(AD228&gt;=L228,"CUMPLE","NO CUMPLE")</f>
        <v>CUMPLE</v>
      </c>
      <c r="AF228" s="10">
        <f>V228*1.25*'Parametros'!$B$3*(U228-(V228*1.25*'Parametros'!$B$3/(0.85*'Parametros'!$B$2*H228))/2)/1000000</f>
        <v>68.5183923529412</v>
      </c>
      <c r="AG228" s="10">
        <f>AC228*1.25*'Parametros'!$B$3*(AB228-(AC228*1.25*'Parametros'!$B$3/(0.85*'Parametros'!$B$2*H228))/2)/1000000</f>
        <v>68.5183923529412</v>
      </c>
      <c r="AH228" s="10">
        <f>N228+(AF228+AG228)/D228</f>
        <v>85.9719942286349</v>
      </c>
      <c r="AI228" s="10">
        <f>MIN(O228,MAX(N228,AH228))</f>
        <v>85.9719942286349</v>
      </c>
      <c r="AJ228" s="10">
        <f>0.17*SQRT('Parametros'!$B$2)*H228*MIN(U228,AB228)/1000</f>
        <v>92.4428153837279</v>
      </c>
      <c r="AK228" s="10">
        <f>MAX(AI228/'Parametros'!$B$6-AJ228,0)</f>
        <v>22.1865102544519</v>
      </c>
      <c r="AL228" s="10">
        <f>0.66*SQRT('Parametros'!$B$2)*H228*MIN(U228,AB228)/1000</f>
        <v>358.89563619565</v>
      </c>
      <c r="AM228" s="10" t="str">
        <f>IF(AK228&lt;=AL228,"CUMPLE","NO CUMPLE")</f>
        <v>CUMPLE</v>
      </c>
      <c r="AN228" s="15" t="inlineStr">
        <is>
          <t>Nº3 cerrado</t>
        </is>
      </c>
      <c r="AO228" s="17" t="n">
        <v>2</v>
      </c>
      <c r="AP228" s="10">
        <f>ROUNDDOWN(MIN(IF(AK228=0,1000000000,AO228*'Parametros'!$B$11*'Parametros'!$B$4*MIN(U228,AB228)/(AK228*1000)),IF(AV228=0,1000000000,'Parametros'!$B$11/AV228),MIN(U228,AB228)/4,8*'Parametros'!$B$12,24*'Parametros'!$B$9,300)/10,0)*10</f>
        <v>80</v>
      </c>
      <c r="AQ228" s="10">
        <f>ROUNDDOWN(MIN(IF(AK228=0,1000000000,AO228*'Parametros'!$B$11*'Parametros'!$B$4*MIN(U228,AB228)/(AK228*1000)),IF(AV228=0,1000000000,'Parametros'!$B$11/AV228),MIN(U228,AB228)/2,600)/10,0)*10</f>
        <v>170</v>
      </c>
      <c r="AR228" s="10">
        <f>'Parametros'!$B$6*(AJ228+AO228*'Parametros'!$B$11*'Parametros'!$B$4*MIN(U228,AB228)/AP228/1000)</f>
        <v>260.860380287796</v>
      </c>
      <c r="AS228" s="10" t="str">
        <f>IF(AND(AM228="CUMPLE",AR228&gt;=AI228),"CUMPLE","NO CUMPLE")</f>
        <v>CUMPLE</v>
      </c>
      <c r="AT228" s="10">
        <f>'Parametros'!$B$6*0.083*SQRT('Parametros'!$B$2)*(H228*I228)^2/(2*(H228+I228))/1000000</f>
        <v>3.38807353605471</v>
      </c>
      <c r="AU228" s="10" t="str">
        <f>IF(Q228&lt;=AT228,"DESPRECIABLE","DISEÑAR")</f>
        <v>DESPRECIABLE</v>
      </c>
      <c r="AV228" s="10">
        <f>IF(Q228&lt;=AT228,0,Q228*1000000/('Parametros'!$B$6*2*0.85*(H228-2*'Parametros'!$B$7)*(I228-2*'Parametros'!$B$7)*'Parametros'!$B$4))</f>
        <v>0</v>
      </c>
      <c r="AW228" s="10">
        <f>AV228*2*((H228-2*'Parametros'!$B$7)+(I228-2*'Parametros'!$B$7))*'Parametros'!$B$4/'Parametros'!$B$3</f>
        <v>0</v>
      </c>
      <c r="AX228" s="17" t="n">
        <v>0</v>
      </c>
      <c r="AY228" s="10" t="str">
        <f>IF(AV228=0,"DESPRECIABLE",IF('Parametros'!$B$11/AP228&gt;=AV228,"CUMPLE","NO CUMPLE"))</f>
        <v>DESPRECIABLE</v>
      </c>
      <c r="AZ228" s="10" t="str">
        <f>IF(AND(X228="CUMPLE",AE228="CUMPLE",AS228="CUMPLE",OR(AY228="CUMPLE",AY228="DESPRECIABLE")),IF(OR(F228&lt;&gt;H228,G228&lt;&gt;I228),"CUMPLE - REANALIZAR SAP","CUMPLE"),"NO CUMPLE")</f>
        <v>CUMPLE</v>
      </c>
    </row>
    <row r="229">
      <c r="A229" s="23" t="inlineStr">
        <is>
          <t>VC7</t>
        </is>
      </c>
      <c r="B229" s="23" t="inlineStr">
        <is>
          <t>924</t>
        </is>
      </c>
      <c r="C229" s="10" t="n">
        <v>1</v>
      </c>
      <c r="D229" s="10" t="n">
        <v>5.1</v>
      </c>
      <c r="E229" s="10" t="n">
        <v>5.1</v>
      </c>
      <c r="F229" s="10" t="n">
        <v>300</v>
      </c>
      <c r="G229" s="10" t="n">
        <v>400</v>
      </c>
      <c r="H229" s="15" t="n">
        <v>300</v>
      </c>
      <c r="I229" s="15" t="n">
        <v>400</v>
      </c>
      <c r="J229" s="16" t="n">
        <v>50.558</v>
      </c>
      <c r="K229" s="10" t="inlineStr">
        <is>
          <t>924</t>
        </is>
      </c>
      <c r="L229" s="16" t="n">
        <v>36.453</v>
      </c>
      <c r="M229" s="10" t="inlineStr">
        <is>
          <t>924</t>
        </is>
      </c>
      <c r="N229" s="16" t="n">
        <v>25.713</v>
      </c>
      <c r="O229" s="16" t="n">
        <v>81.61499999999999</v>
      </c>
      <c r="P229" s="10" t="inlineStr">
        <is>
          <t>924</t>
        </is>
      </c>
      <c r="Q229" s="16" t="n">
        <v>0.7046</v>
      </c>
      <c r="R229" s="10">
        <f>MAX(MAX(1.4/'Parametros'!$B$3,0.25*SQRT('Parametros'!$B$2)/'Parametros'!$B$3)*H229*U229,(0.85*'Parametros'!$B$2/'Parametros'!$B$3)*(1-SQRT(1-2*(J229*1000000/('Parametros'!$B$5*H229*U229^2))/(0.85*'Parametros'!$B$2)))*H229*U229)</f>
        <v>404.506927077974</v>
      </c>
      <c r="S229" s="17" t="n">
        <v>3</v>
      </c>
      <c r="T229" s="18" t="n">
        <v>1</v>
      </c>
      <c r="U229" s="10">
        <f>IF(T229=1,I229-('Parametros'!$B$7+'Parametros'!$B$9+'Parametros'!$B$12/2),I229-(ROUNDUP(S229/2,0)*('Parametros'!$B$7+'Parametros'!$B$9+'Parametros'!$B$12/2)+ROUNDDOWN(S229/2,0)*('Parametros'!$B$7+'Parametros'!$B$9+'Parametros'!$B$12/2+'Parametros'!$B$12+'Parametros'!$B$10))/S229)</f>
        <v>342.55</v>
      </c>
      <c r="V229" s="10">
        <f>S229*'Parametros'!$B$8</f>
        <v>597</v>
      </c>
      <c r="W229" s="10">
        <f>'Parametros'!$B$5*V229*'Parametros'!$B$3*(U229-(V229*'Parametros'!$B$3/(0.85*'Parametros'!$B$2*H229))/2)/1000000</f>
        <v>73.3394588294118</v>
      </c>
      <c r="X229" s="10" t="str">
        <f>IF(W229&gt;=J229,"CUMPLE","NO CUMPLE")</f>
        <v>CUMPLE</v>
      </c>
      <c r="Y229" s="10">
        <f>MAX(MAX(1.4/'Parametros'!$B$3,0.25*SQRT('Parametros'!$B$2)/'Parametros'!$B$3)*H229*AB229,(0.85*'Parametros'!$B$2/'Parametros'!$B$3)*(1-SQRT(1-2*(L229*1000000/('Parametros'!$B$5*H229*AB229^2))/(0.85*'Parametros'!$B$2)))*H229*AB229)</f>
        <v>342.55</v>
      </c>
      <c r="Z229" s="17" t="n">
        <v>2</v>
      </c>
      <c r="AA229" s="18" t="n">
        <v>1</v>
      </c>
      <c r="AB229" s="10">
        <f>IF(AA229=1,I229-('Parametros'!$B$7+'Parametros'!$B$9+'Parametros'!$B$12/2),I229-(ROUNDUP(Z229/2,0)*('Parametros'!$B$7+'Parametros'!$B$9+'Parametros'!$B$12/2)+ROUNDDOWN(Z229/2,0)*('Parametros'!$B$7+'Parametros'!$B$9+'Parametros'!$B$12/2+'Parametros'!$B$12+'Parametros'!$B$10))/Z229)</f>
        <v>342.55</v>
      </c>
      <c r="AC229" s="10">
        <f>Z229*'Parametros'!$B$8</f>
        <v>398</v>
      </c>
      <c r="AD229" s="10">
        <f>'Parametros'!$B$5*AC229*'Parametros'!$B$3*(AB229-(AC229*'Parametros'!$B$3/(0.85*'Parametros'!$B$2*H229))/2)/1000000</f>
        <v>49.7735124352941</v>
      </c>
      <c r="AE229" s="10" t="str">
        <f>IF(AD229&gt;=L229,"CUMPLE","NO CUMPLE")</f>
        <v>CUMPLE</v>
      </c>
      <c r="AF229" s="10">
        <f>V229*1.25*'Parametros'!$B$3*(U229-(V229*1.25*'Parametros'!$B$3/(0.85*'Parametros'!$B$2*H229))/2)/1000000</f>
        <v>100.484515919118</v>
      </c>
      <c r="AG229" s="10">
        <f>AC229*1.25*'Parametros'!$B$3*(AB229-(AC229*1.25*'Parametros'!$B$3/(0.85*'Parametros'!$B$2*H229))/2)/1000000</f>
        <v>68.5183923529412</v>
      </c>
      <c r="AH229" s="10">
        <f>N229+(AF229+AG229)/D229</f>
        <v>58.8508251513841</v>
      </c>
      <c r="AI229" s="10">
        <f>MIN(O229,MAX(N229,AH229))</f>
        <v>58.8508251513841</v>
      </c>
      <c r="AJ229" s="10">
        <f>0.17*SQRT('Parametros'!$B$2)*H229*MIN(U229,AB229)/1000</f>
        <v>92.4428153837279</v>
      </c>
      <c r="AK229" s="10">
        <f>MAX(AI229/'Parametros'!$B$6-AJ229,0)</f>
        <v>0</v>
      </c>
      <c r="AL229" s="10">
        <f>0.66*SQRT('Parametros'!$B$2)*H229*MIN(U229,AB229)/1000</f>
        <v>358.89563619565</v>
      </c>
      <c r="AM229" s="10" t="str">
        <f>IF(AK229&lt;=AL229,"CUMPLE","NO CUMPLE")</f>
        <v>CUMPLE</v>
      </c>
      <c r="AN229" s="15" t="inlineStr">
        <is>
          <t>Nº3 cerrado</t>
        </is>
      </c>
      <c r="AO229" s="17" t="n">
        <v>2</v>
      </c>
      <c r="AP229" s="10">
        <f>ROUNDDOWN(MIN(IF(AK229=0,1000000000,AO229*'Parametros'!$B$11*'Parametros'!$B$4*MIN(U229,AB229)/(AK229*1000)),IF(AV229=0,1000000000,'Parametros'!$B$11/AV229),MIN(U229,AB229)/4,8*'Parametros'!$B$12,24*'Parametros'!$B$9,300)/10,0)*10</f>
        <v>80</v>
      </c>
      <c r="AQ229" s="10">
        <f>ROUNDDOWN(MIN(IF(AK229=0,1000000000,AO229*'Parametros'!$B$11*'Parametros'!$B$4*MIN(U229,AB229)/(AK229*1000)),IF(AV229=0,1000000000,'Parametros'!$B$11/AV229),MIN(U229,AB229)/2,600)/10,0)*10</f>
        <v>170</v>
      </c>
      <c r="AR229" s="10">
        <f>'Parametros'!$B$6*(AJ229+AO229*'Parametros'!$B$11*'Parametros'!$B$4*MIN(U229,AB229)/AP229/1000)</f>
        <v>260.860380287796</v>
      </c>
      <c r="AS229" s="10" t="str">
        <f>IF(AND(AM229="CUMPLE",AR229&gt;=AI229),"CUMPLE","NO CUMPLE")</f>
        <v>CUMPLE</v>
      </c>
      <c r="AT229" s="10">
        <f>'Parametros'!$B$6*0.083*SQRT('Parametros'!$B$2)*(H229*I229)^2/(2*(H229+I229))/1000000</f>
        <v>3.38807353605471</v>
      </c>
      <c r="AU229" s="10" t="str">
        <f>IF(Q229&lt;=AT229,"DESPRECIABLE","DISEÑAR")</f>
        <v>DESPRECIABLE</v>
      </c>
      <c r="AV229" s="10">
        <f>IF(Q229&lt;=AT229,0,Q229*1000000/('Parametros'!$B$6*2*0.85*(H229-2*'Parametros'!$B$7)*(I229-2*'Parametros'!$B$7)*'Parametros'!$B$4))</f>
        <v>0</v>
      </c>
      <c r="AW229" s="10">
        <f>AV229*2*((H229-2*'Parametros'!$B$7)+(I229-2*'Parametros'!$B$7))*'Parametros'!$B$4/'Parametros'!$B$3</f>
        <v>0</v>
      </c>
      <c r="AX229" s="17" t="n">
        <v>0</v>
      </c>
      <c r="AY229" s="10" t="str">
        <f>IF(AV229=0,"DESPRECIABLE",IF('Parametros'!$B$11/AP229&gt;=AV229,"CUMPLE","NO CUMPLE"))</f>
        <v>DESPRECIABLE</v>
      </c>
      <c r="AZ229" s="10" t="str">
        <f>IF(AND(X229="CUMPLE",AE229="CUMPLE",AS229="CUMPLE",OR(AY229="CUMPLE",AY229="DESPRECIABLE")),IF(OR(F229&lt;&gt;H229,G229&lt;&gt;I229),"CUMPLE - REANALIZAR SAP","CUMPLE"),"NO CUMPLE")</f>
        <v>CUMPLE</v>
      </c>
    </row>
    <row r="230">
      <c r="A230" s="23" t="inlineStr">
        <is>
          <t>VC7</t>
        </is>
      </c>
      <c r="B230" s="23" t="inlineStr">
        <is>
          <t>925</t>
        </is>
      </c>
      <c r="C230" s="10" t="n">
        <v>1</v>
      </c>
      <c r="D230" s="10" t="n">
        <v>5.1</v>
      </c>
      <c r="E230" s="10" t="n">
        <v>5.1</v>
      </c>
      <c r="F230" s="10" t="n">
        <v>300</v>
      </c>
      <c r="G230" s="10" t="n">
        <v>400</v>
      </c>
      <c r="H230" s="15" t="n">
        <v>300</v>
      </c>
      <c r="I230" s="15" t="n">
        <v>400</v>
      </c>
      <c r="J230" s="16" t="n">
        <v>50.5689</v>
      </c>
      <c r="K230" s="10" t="inlineStr">
        <is>
          <t>925</t>
        </is>
      </c>
      <c r="L230" s="16" t="n">
        <v>36.464</v>
      </c>
      <c r="M230" s="10" t="inlineStr">
        <is>
          <t>925</t>
        </is>
      </c>
      <c r="N230" s="16" t="n">
        <v>25.718</v>
      </c>
      <c r="O230" s="16" t="n">
        <v>81.619</v>
      </c>
      <c r="P230" s="10" t="inlineStr">
        <is>
          <t>925</t>
        </is>
      </c>
      <c r="Q230" s="16" t="n">
        <v>0.7038</v>
      </c>
      <c r="R230" s="10">
        <f>MAX(MAX(1.4/'Parametros'!$B$3,0.25*SQRT('Parametros'!$B$2)/'Parametros'!$B$3)*H230*U230,(0.85*'Parametros'!$B$2/'Parametros'!$B$3)*(1-SQRT(1-2*(J230*1000000/('Parametros'!$B$5*H230*U230^2))/(0.85*'Parametros'!$B$2)))*H230*U230)</f>
        <v>404.597392095243</v>
      </c>
      <c r="S230" s="17" t="n">
        <v>3</v>
      </c>
      <c r="T230" s="18" t="n">
        <v>1</v>
      </c>
      <c r="U230" s="10">
        <f>IF(T230=1,I230-('Parametros'!$B$7+'Parametros'!$B$9+'Parametros'!$B$12/2),I230-(ROUNDUP(S230/2,0)*('Parametros'!$B$7+'Parametros'!$B$9+'Parametros'!$B$12/2)+ROUNDDOWN(S230/2,0)*('Parametros'!$B$7+'Parametros'!$B$9+'Parametros'!$B$12/2+'Parametros'!$B$12+'Parametros'!$B$10))/S230)</f>
        <v>342.55</v>
      </c>
      <c r="V230" s="10">
        <f>S230*'Parametros'!$B$8</f>
        <v>597</v>
      </c>
      <c r="W230" s="10">
        <f>'Parametros'!$B$5*V230*'Parametros'!$B$3*(U230-(V230*'Parametros'!$B$3/(0.85*'Parametros'!$B$2*H230))/2)/1000000</f>
        <v>73.3394588294118</v>
      </c>
      <c r="X230" s="10" t="str">
        <f>IF(W230&gt;=J230,"CUMPLE","NO CUMPLE")</f>
        <v>CUMPLE</v>
      </c>
      <c r="Y230" s="10">
        <f>MAX(MAX(1.4/'Parametros'!$B$3,0.25*SQRT('Parametros'!$B$2)/'Parametros'!$B$3)*H230*AB230,(0.85*'Parametros'!$B$2/'Parametros'!$B$3)*(1-SQRT(1-2*(L230*1000000/('Parametros'!$B$5*H230*AB230^2))/(0.85*'Parametros'!$B$2)))*H230*AB230)</f>
        <v>342.55</v>
      </c>
      <c r="Z230" s="17" t="n">
        <v>2</v>
      </c>
      <c r="AA230" s="18" t="n">
        <v>1</v>
      </c>
      <c r="AB230" s="10">
        <f>IF(AA230=1,I230-('Parametros'!$B$7+'Parametros'!$B$9+'Parametros'!$B$12/2),I230-(ROUNDUP(Z230/2,0)*('Parametros'!$B$7+'Parametros'!$B$9+'Parametros'!$B$12/2)+ROUNDDOWN(Z230/2,0)*('Parametros'!$B$7+'Parametros'!$B$9+'Parametros'!$B$12/2+'Parametros'!$B$12+'Parametros'!$B$10))/Z230)</f>
        <v>342.55</v>
      </c>
      <c r="AC230" s="10">
        <f>Z230*'Parametros'!$B$8</f>
        <v>398</v>
      </c>
      <c r="AD230" s="10">
        <f>'Parametros'!$B$5*AC230*'Parametros'!$B$3*(AB230-(AC230*'Parametros'!$B$3/(0.85*'Parametros'!$B$2*H230))/2)/1000000</f>
        <v>49.7735124352941</v>
      </c>
      <c r="AE230" s="10" t="str">
        <f>IF(AD230&gt;=L230,"CUMPLE","NO CUMPLE")</f>
        <v>CUMPLE</v>
      </c>
      <c r="AF230" s="10">
        <f>V230*1.25*'Parametros'!$B$3*(U230-(V230*1.25*'Parametros'!$B$3/(0.85*'Parametros'!$B$2*H230))/2)/1000000</f>
        <v>100.484515919118</v>
      </c>
      <c r="AG230" s="10">
        <f>AC230*1.25*'Parametros'!$B$3*(AB230-(AC230*1.25*'Parametros'!$B$3/(0.85*'Parametros'!$B$2*H230))/2)/1000000</f>
        <v>68.5183923529412</v>
      </c>
      <c r="AH230" s="10">
        <f>N230+(AF230+AG230)/D230</f>
        <v>58.8558251513841</v>
      </c>
      <c r="AI230" s="10">
        <f>MIN(O230,MAX(N230,AH230))</f>
        <v>58.8558251513841</v>
      </c>
      <c r="AJ230" s="10">
        <f>0.17*SQRT('Parametros'!$B$2)*H230*MIN(U230,AB230)/1000</f>
        <v>92.4428153837279</v>
      </c>
      <c r="AK230" s="10">
        <f>MAX(AI230/'Parametros'!$B$6-AJ230,0)</f>
        <v>0</v>
      </c>
      <c r="AL230" s="10">
        <f>0.66*SQRT('Parametros'!$B$2)*H230*MIN(U230,AB230)/1000</f>
        <v>358.89563619565</v>
      </c>
      <c r="AM230" s="10" t="str">
        <f>IF(AK230&lt;=AL230,"CUMPLE","NO CUMPLE")</f>
        <v>CUMPLE</v>
      </c>
      <c r="AN230" s="15" t="inlineStr">
        <is>
          <t>Nº3 cerrado</t>
        </is>
      </c>
      <c r="AO230" s="17" t="n">
        <v>2</v>
      </c>
      <c r="AP230" s="10">
        <f>ROUNDDOWN(MIN(IF(AK230=0,1000000000,AO230*'Parametros'!$B$11*'Parametros'!$B$4*MIN(U230,AB230)/(AK230*1000)),IF(AV230=0,1000000000,'Parametros'!$B$11/AV230),MIN(U230,AB230)/4,8*'Parametros'!$B$12,24*'Parametros'!$B$9,300)/10,0)*10</f>
        <v>80</v>
      </c>
      <c r="AQ230" s="10">
        <f>ROUNDDOWN(MIN(IF(AK230=0,1000000000,AO230*'Parametros'!$B$11*'Parametros'!$B$4*MIN(U230,AB230)/(AK230*1000)),IF(AV230=0,1000000000,'Parametros'!$B$11/AV230),MIN(U230,AB230)/2,600)/10,0)*10</f>
        <v>170</v>
      </c>
      <c r="AR230" s="10">
        <f>'Parametros'!$B$6*(AJ230+AO230*'Parametros'!$B$11*'Parametros'!$B$4*MIN(U230,AB230)/AP230/1000)</f>
        <v>260.860380287796</v>
      </c>
      <c r="AS230" s="10" t="str">
        <f>IF(AND(AM230="CUMPLE",AR230&gt;=AI230),"CUMPLE","NO CUMPLE")</f>
        <v>CUMPLE</v>
      </c>
      <c r="AT230" s="10">
        <f>'Parametros'!$B$6*0.083*SQRT('Parametros'!$B$2)*(H230*I230)^2/(2*(H230+I230))/1000000</f>
        <v>3.38807353605471</v>
      </c>
      <c r="AU230" s="10" t="str">
        <f>IF(Q230&lt;=AT230,"DESPRECIABLE","DISEÑAR")</f>
        <v>DESPRECIABLE</v>
      </c>
      <c r="AV230" s="10">
        <f>IF(Q230&lt;=AT230,0,Q230*1000000/('Parametros'!$B$6*2*0.85*(H230-2*'Parametros'!$B$7)*(I230-2*'Parametros'!$B$7)*'Parametros'!$B$4))</f>
        <v>0</v>
      </c>
      <c r="AW230" s="10">
        <f>AV230*2*((H230-2*'Parametros'!$B$7)+(I230-2*'Parametros'!$B$7))*'Parametros'!$B$4/'Parametros'!$B$3</f>
        <v>0</v>
      </c>
      <c r="AX230" s="17" t="n">
        <v>0</v>
      </c>
      <c r="AY230" s="10" t="str">
        <f>IF(AV230=0,"DESPRECIABLE",IF('Parametros'!$B$11/AP230&gt;=AV230,"CUMPLE","NO CUMPLE"))</f>
        <v>DESPRECIABLE</v>
      </c>
      <c r="AZ230" s="10" t="str">
        <f>IF(AND(X230="CUMPLE",AE230="CUMPLE",AS230="CUMPLE",OR(AY230="CUMPLE",AY230="DESPRECIABLE")),IF(OR(F230&lt;&gt;H230,G230&lt;&gt;I230),"CUMPLE - REANALIZAR SAP","CUMPLE"),"NO CUMPLE")</f>
        <v>CUMPLE</v>
      </c>
    </row>
    <row r="231">
      <c r="A231" s="23" t="inlineStr">
        <is>
          <t>VC7</t>
        </is>
      </c>
      <c r="B231" s="23" t="inlineStr">
        <is>
          <t>926</t>
        </is>
      </c>
      <c r="C231" s="10" t="n">
        <v>1</v>
      </c>
      <c r="D231" s="10" t="n">
        <v>2.65</v>
      </c>
      <c r="E231" s="10" t="n">
        <v>2.65</v>
      </c>
      <c r="F231" s="10" t="n">
        <v>300</v>
      </c>
      <c r="G231" s="10" t="n">
        <v>400</v>
      </c>
      <c r="H231" s="15" t="n">
        <v>300</v>
      </c>
      <c r="I231" s="15" t="n">
        <v>400</v>
      </c>
      <c r="J231" s="16" t="n">
        <v>44.6928</v>
      </c>
      <c r="K231" s="10" t="inlineStr">
        <is>
          <t>926</t>
        </is>
      </c>
      <c r="L231" s="16" t="n">
        <v>40.0406</v>
      </c>
      <c r="M231" s="10" t="inlineStr">
        <is>
          <t>926</t>
        </is>
      </c>
      <c r="N231" s="16" t="n">
        <v>34.252</v>
      </c>
      <c r="O231" s="16" t="n">
        <v>150.608</v>
      </c>
      <c r="P231" s="10" t="inlineStr">
        <is>
          <t>926</t>
        </is>
      </c>
      <c r="Q231" s="16" t="n">
        <v>3.1705</v>
      </c>
      <c r="R231" s="10">
        <f>MAX(MAX(1.4/'Parametros'!$B$3,0.25*SQRT('Parametros'!$B$2)/'Parametros'!$B$3)*H231*U231,(0.85*'Parametros'!$B$2/'Parametros'!$B$3)*(1-SQRT(1-2*(J231*1000000/('Parametros'!$B$5*H231*U231^2))/(0.85*'Parametros'!$B$2)))*H231*U231)</f>
        <v>356.045552567728</v>
      </c>
      <c r="S231" s="17" t="n">
        <v>2</v>
      </c>
      <c r="T231" s="18" t="n">
        <v>1</v>
      </c>
      <c r="U231" s="10">
        <f>IF(T231=1,I231-('Parametros'!$B$7+'Parametros'!$B$9+'Parametros'!$B$12/2),I231-(ROUNDUP(S231/2,0)*('Parametros'!$B$7+'Parametros'!$B$9+'Parametros'!$B$12/2)+ROUNDDOWN(S231/2,0)*('Parametros'!$B$7+'Parametros'!$B$9+'Parametros'!$B$12/2+'Parametros'!$B$12+'Parametros'!$B$10))/S231)</f>
        <v>342.55</v>
      </c>
      <c r="V231" s="10">
        <f>S231*'Parametros'!$B$8</f>
        <v>398</v>
      </c>
      <c r="W231" s="10">
        <f>'Parametros'!$B$5*V231*'Parametros'!$B$3*(U231-(V231*'Parametros'!$B$3/(0.85*'Parametros'!$B$2*H231))/2)/1000000</f>
        <v>49.7735124352941</v>
      </c>
      <c r="X231" s="10" t="str">
        <f>IF(W231&gt;=J231,"CUMPLE","NO CUMPLE")</f>
        <v>CUMPLE</v>
      </c>
      <c r="Y231" s="10">
        <f>MAX(MAX(1.4/'Parametros'!$B$3,0.25*SQRT('Parametros'!$B$2)/'Parametros'!$B$3)*H231*AB231,(0.85*'Parametros'!$B$2/'Parametros'!$B$3)*(1-SQRT(1-2*(L231*1000000/('Parametros'!$B$5*H231*AB231^2))/(0.85*'Parametros'!$B$2)))*H231*AB231)</f>
        <v>342.55</v>
      </c>
      <c r="Z231" s="17" t="n">
        <v>2</v>
      </c>
      <c r="AA231" s="18" t="n">
        <v>1</v>
      </c>
      <c r="AB231" s="10">
        <f>IF(AA231=1,I231-('Parametros'!$B$7+'Parametros'!$B$9+'Parametros'!$B$12/2),I231-(ROUNDUP(Z231/2,0)*('Parametros'!$B$7+'Parametros'!$B$9+'Parametros'!$B$12/2)+ROUNDDOWN(Z231/2,0)*('Parametros'!$B$7+'Parametros'!$B$9+'Parametros'!$B$12/2+'Parametros'!$B$12+'Parametros'!$B$10))/Z231)</f>
        <v>342.55</v>
      </c>
      <c r="AC231" s="10">
        <f>Z231*'Parametros'!$B$8</f>
        <v>398</v>
      </c>
      <c r="AD231" s="10">
        <f>'Parametros'!$B$5*AC231*'Parametros'!$B$3*(AB231-(AC231*'Parametros'!$B$3/(0.85*'Parametros'!$B$2*H231))/2)/1000000</f>
        <v>49.7735124352941</v>
      </c>
      <c r="AE231" s="10" t="str">
        <f>IF(AD231&gt;=L231,"CUMPLE","NO CUMPLE")</f>
        <v>CUMPLE</v>
      </c>
      <c r="AF231" s="10">
        <f>V231*1.25*'Parametros'!$B$3*(U231-(V231*1.25*'Parametros'!$B$3/(0.85*'Parametros'!$B$2*H231))/2)/1000000</f>
        <v>68.5183923529412</v>
      </c>
      <c r="AG231" s="10">
        <f>AC231*1.25*'Parametros'!$B$3*(AB231-(AC231*1.25*'Parametros'!$B$3/(0.85*'Parametros'!$B$2*H231))/2)/1000000</f>
        <v>68.5183923529412</v>
      </c>
      <c r="AH231" s="10">
        <f>N231+(AF231+AG231)/D231</f>
        <v>85.9639942286349</v>
      </c>
      <c r="AI231" s="10">
        <f>MIN(O231,MAX(N231,AH231))</f>
        <v>85.9639942286349</v>
      </c>
      <c r="AJ231" s="10">
        <f>0.17*SQRT('Parametros'!$B$2)*H231*MIN(U231,AB231)/1000</f>
        <v>92.4428153837279</v>
      </c>
      <c r="AK231" s="10">
        <f>MAX(AI231/'Parametros'!$B$6-AJ231,0)</f>
        <v>22.1758435877853</v>
      </c>
      <c r="AL231" s="10">
        <f>0.66*SQRT('Parametros'!$B$2)*H231*MIN(U231,AB231)/1000</f>
        <v>358.89563619565</v>
      </c>
      <c r="AM231" s="10" t="str">
        <f>IF(AK231&lt;=AL231,"CUMPLE","NO CUMPLE")</f>
        <v>CUMPLE</v>
      </c>
      <c r="AN231" s="15" t="inlineStr">
        <is>
          <t>Nº3 cerrado</t>
        </is>
      </c>
      <c r="AO231" s="17" t="n">
        <v>2</v>
      </c>
      <c r="AP231" s="10">
        <f>ROUNDDOWN(MIN(IF(AK231=0,1000000000,AO231*'Parametros'!$B$11*'Parametros'!$B$4*MIN(U231,AB231)/(AK231*1000)),IF(AV231=0,1000000000,'Parametros'!$B$11/AV231),MIN(U231,AB231)/4,8*'Parametros'!$B$12,24*'Parametros'!$B$9,300)/10,0)*10</f>
        <v>80</v>
      </c>
      <c r="AQ231" s="10">
        <f>ROUNDDOWN(MIN(IF(AK231=0,1000000000,AO231*'Parametros'!$B$11*'Parametros'!$B$4*MIN(U231,AB231)/(AK231*1000)),IF(AV231=0,1000000000,'Parametros'!$B$11/AV231),MIN(U231,AB231)/2,600)/10,0)*10</f>
        <v>170</v>
      </c>
      <c r="AR231" s="10">
        <f>'Parametros'!$B$6*(AJ231+AO231*'Parametros'!$B$11*'Parametros'!$B$4*MIN(U231,AB231)/AP231/1000)</f>
        <v>260.860380287796</v>
      </c>
      <c r="AS231" s="10" t="str">
        <f>IF(AND(AM231="CUMPLE",AR231&gt;=AI231),"CUMPLE","NO CUMPLE")</f>
        <v>CUMPLE</v>
      </c>
      <c r="AT231" s="10">
        <f>'Parametros'!$B$6*0.083*SQRT('Parametros'!$B$2)*(H231*I231)^2/(2*(H231+I231))/1000000</f>
        <v>3.38807353605471</v>
      </c>
      <c r="AU231" s="10" t="str">
        <f>IF(Q231&lt;=AT231,"DESPRECIABLE","DISEÑAR")</f>
        <v>DESPRECIABLE</v>
      </c>
      <c r="AV231" s="10">
        <f>IF(Q231&lt;=AT231,0,Q231*1000000/('Parametros'!$B$6*2*0.85*(H231-2*'Parametros'!$B$7)*(I231-2*'Parametros'!$B$7)*'Parametros'!$B$4))</f>
        <v>0</v>
      </c>
      <c r="AW231" s="10">
        <f>AV231*2*((H231-2*'Parametros'!$B$7)+(I231-2*'Parametros'!$B$7))*'Parametros'!$B$4/'Parametros'!$B$3</f>
        <v>0</v>
      </c>
      <c r="AX231" s="17" t="n">
        <v>0</v>
      </c>
      <c r="AY231" s="10" t="str">
        <f>IF(AV231=0,"DESPRECIABLE",IF('Parametros'!$B$11/AP231&gt;=AV231,"CUMPLE","NO CUMPLE"))</f>
        <v>DESPRECIABLE</v>
      </c>
      <c r="AZ231" s="10" t="str">
        <f>IF(AND(X231="CUMPLE",AE231="CUMPLE",AS231="CUMPLE",OR(AY231="CUMPLE",AY231="DESPRECIABLE")),IF(OR(F231&lt;&gt;H231,G231&lt;&gt;I231),"CUMPLE - REANALIZAR SAP","CUMPLE"),"NO CUMPLE")</f>
        <v>CUMPLE</v>
      </c>
    </row>
    <row r="232">
      <c r="A232" s="23" t="inlineStr">
        <is>
          <t>VC7</t>
        </is>
      </c>
      <c r="B232" s="23" t="inlineStr">
        <is>
          <t>927</t>
        </is>
      </c>
      <c r="C232" s="10" t="n">
        <v>1</v>
      </c>
      <c r="D232" s="10" t="n">
        <v>2.65</v>
      </c>
      <c r="E232" s="10" t="n">
        <v>2.65</v>
      </c>
      <c r="F232" s="10" t="n">
        <v>300</v>
      </c>
      <c r="G232" s="10" t="n">
        <v>400</v>
      </c>
      <c r="H232" s="15" t="n">
        <v>300</v>
      </c>
      <c r="I232" s="15" t="n">
        <v>400</v>
      </c>
      <c r="J232" s="16" t="n">
        <v>45.1038</v>
      </c>
      <c r="K232" s="10" t="inlineStr">
        <is>
          <t>927</t>
        </is>
      </c>
      <c r="L232" s="16" t="n">
        <v>39.9266</v>
      </c>
      <c r="M232" s="10" t="inlineStr">
        <is>
          <t>927</t>
        </is>
      </c>
      <c r="N232" s="16" t="n">
        <v>34.533</v>
      </c>
      <c r="O232" s="16" t="n">
        <v>151.1</v>
      </c>
      <c r="P232" s="10" t="inlineStr">
        <is>
          <t>927</t>
        </is>
      </c>
      <c r="Q232" s="16" t="n">
        <v>3.1406</v>
      </c>
      <c r="R232" s="10">
        <f>MAX(MAX(1.4/'Parametros'!$B$3,0.25*SQRT('Parametros'!$B$2)/'Parametros'!$B$3)*H232*U232,(0.85*'Parametros'!$B$2/'Parametros'!$B$3)*(1-SQRT(1-2*(J232*1000000/('Parametros'!$B$5*H232*U232^2))/(0.85*'Parametros'!$B$2)))*H232*U232)</f>
        <v>359.427446838723</v>
      </c>
      <c r="S232" s="17" t="n">
        <v>2</v>
      </c>
      <c r="T232" s="18" t="n">
        <v>1</v>
      </c>
      <c r="U232" s="10">
        <f>IF(T232=1,I232-('Parametros'!$B$7+'Parametros'!$B$9+'Parametros'!$B$12/2),I232-(ROUNDUP(S232/2,0)*('Parametros'!$B$7+'Parametros'!$B$9+'Parametros'!$B$12/2)+ROUNDDOWN(S232/2,0)*('Parametros'!$B$7+'Parametros'!$B$9+'Parametros'!$B$12/2+'Parametros'!$B$12+'Parametros'!$B$10))/S232)</f>
        <v>342.55</v>
      </c>
      <c r="V232" s="10">
        <f>S232*'Parametros'!$B$8</f>
        <v>398</v>
      </c>
      <c r="W232" s="10">
        <f>'Parametros'!$B$5*V232*'Parametros'!$B$3*(U232-(V232*'Parametros'!$B$3/(0.85*'Parametros'!$B$2*H232))/2)/1000000</f>
        <v>49.7735124352941</v>
      </c>
      <c r="X232" s="10" t="str">
        <f>IF(W232&gt;=J232,"CUMPLE","NO CUMPLE")</f>
        <v>CUMPLE</v>
      </c>
      <c r="Y232" s="10">
        <f>MAX(MAX(1.4/'Parametros'!$B$3,0.25*SQRT('Parametros'!$B$2)/'Parametros'!$B$3)*H232*AB232,(0.85*'Parametros'!$B$2/'Parametros'!$B$3)*(1-SQRT(1-2*(L232*1000000/('Parametros'!$B$5*H232*AB232^2))/(0.85*'Parametros'!$B$2)))*H232*AB232)</f>
        <v>342.55</v>
      </c>
      <c r="Z232" s="17" t="n">
        <v>2</v>
      </c>
      <c r="AA232" s="18" t="n">
        <v>1</v>
      </c>
      <c r="AB232" s="10">
        <f>IF(AA232=1,I232-('Parametros'!$B$7+'Parametros'!$B$9+'Parametros'!$B$12/2),I232-(ROUNDUP(Z232/2,0)*('Parametros'!$B$7+'Parametros'!$B$9+'Parametros'!$B$12/2)+ROUNDDOWN(Z232/2,0)*('Parametros'!$B$7+'Parametros'!$B$9+'Parametros'!$B$12/2+'Parametros'!$B$12+'Parametros'!$B$10))/Z232)</f>
        <v>342.55</v>
      </c>
      <c r="AC232" s="10">
        <f>Z232*'Parametros'!$B$8</f>
        <v>398</v>
      </c>
      <c r="AD232" s="10">
        <f>'Parametros'!$B$5*AC232*'Parametros'!$B$3*(AB232-(AC232*'Parametros'!$B$3/(0.85*'Parametros'!$B$2*H232))/2)/1000000</f>
        <v>49.7735124352941</v>
      </c>
      <c r="AE232" s="10" t="str">
        <f>IF(AD232&gt;=L232,"CUMPLE","NO CUMPLE")</f>
        <v>CUMPLE</v>
      </c>
      <c r="AF232" s="10">
        <f>V232*1.25*'Parametros'!$B$3*(U232-(V232*1.25*'Parametros'!$B$3/(0.85*'Parametros'!$B$2*H232))/2)/1000000</f>
        <v>68.5183923529412</v>
      </c>
      <c r="AG232" s="10">
        <f>AC232*1.25*'Parametros'!$B$3*(AB232-(AC232*1.25*'Parametros'!$B$3/(0.85*'Parametros'!$B$2*H232))/2)/1000000</f>
        <v>68.5183923529412</v>
      </c>
      <c r="AH232" s="10">
        <f>N232+(AF232+AG232)/D232</f>
        <v>86.2449942286349</v>
      </c>
      <c r="AI232" s="10">
        <f>MIN(O232,MAX(N232,AH232))</f>
        <v>86.2449942286349</v>
      </c>
      <c r="AJ232" s="10">
        <f>0.17*SQRT('Parametros'!$B$2)*H232*MIN(U232,AB232)/1000</f>
        <v>92.4428153837279</v>
      </c>
      <c r="AK232" s="10">
        <f>MAX(AI232/'Parametros'!$B$6-AJ232,0)</f>
        <v>22.5505102544519</v>
      </c>
      <c r="AL232" s="10">
        <f>0.66*SQRT('Parametros'!$B$2)*H232*MIN(U232,AB232)/1000</f>
        <v>358.89563619565</v>
      </c>
      <c r="AM232" s="10" t="str">
        <f>IF(AK232&lt;=AL232,"CUMPLE","NO CUMPLE")</f>
        <v>CUMPLE</v>
      </c>
      <c r="AN232" s="15" t="inlineStr">
        <is>
          <t>Nº3 cerrado</t>
        </is>
      </c>
      <c r="AO232" s="17" t="n">
        <v>2</v>
      </c>
      <c r="AP232" s="10">
        <f>ROUNDDOWN(MIN(IF(AK232=0,1000000000,AO232*'Parametros'!$B$11*'Parametros'!$B$4*MIN(U232,AB232)/(AK232*1000)),IF(AV232=0,1000000000,'Parametros'!$B$11/AV232),MIN(U232,AB232)/4,8*'Parametros'!$B$12,24*'Parametros'!$B$9,300)/10,0)*10</f>
        <v>80</v>
      </c>
      <c r="AQ232" s="10">
        <f>ROUNDDOWN(MIN(IF(AK232=0,1000000000,AO232*'Parametros'!$B$11*'Parametros'!$B$4*MIN(U232,AB232)/(AK232*1000)),IF(AV232=0,1000000000,'Parametros'!$B$11/AV232),MIN(U232,AB232)/2,600)/10,0)*10</f>
        <v>170</v>
      </c>
      <c r="AR232" s="10">
        <f>'Parametros'!$B$6*(AJ232+AO232*'Parametros'!$B$11*'Parametros'!$B$4*MIN(U232,AB232)/AP232/1000)</f>
        <v>260.860380287796</v>
      </c>
      <c r="AS232" s="10" t="str">
        <f>IF(AND(AM232="CUMPLE",AR232&gt;=AI232),"CUMPLE","NO CUMPLE")</f>
        <v>CUMPLE</v>
      </c>
      <c r="AT232" s="10">
        <f>'Parametros'!$B$6*0.083*SQRT('Parametros'!$B$2)*(H232*I232)^2/(2*(H232+I232))/1000000</f>
        <v>3.38807353605471</v>
      </c>
      <c r="AU232" s="10" t="str">
        <f>IF(Q232&lt;=AT232,"DESPRECIABLE","DISEÑAR")</f>
        <v>DESPRECIABLE</v>
      </c>
      <c r="AV232" s="10">
        <f>IF(Q232&lt;=AT232,0,Q232*1000000/('Parametros'!$B$6*2*0.85*(H232-2*'Parametros'!$B$7)*(I232-2*'Parametros'!$B$7)*'Parametros'!$B$4))</f>
        <v>0</v>
      </c>
      <c r="AW232" s="10">
        <f>AV232*2*((H232-2*'Parametros'!$B$7)+(I232-2*'Parametros'!$B$7))*'Parametros'!$B$4/'Parametros'!$B$3</f>
        <v>0</v>
      </c>
      <c r="AX232" s="17" t="n">
        <v>0</v>
      </c>
      <c r="AY232" s="10" t="str">
        <f>IF(AV232=0,"DESPRECIABLE",IF('Parametros'!$B$11/AP232&gt;=AV232,"CUMPLE","NO CUMPLE"))</f>
        <v>DESPRECIABLE</v>
      </c>
      <c r="AZ232" s="10" t="str">
        <f>IF(AND(X232="CUMPLE",AE232="CUMPLE",AS232="CUMPLE",OR(AY232="CUMPLE",AY232="DESPRECIABLE")),IF(OR(F232&lt;&gt;H232,G232&lt;&gt;I232),"CUMPLE - REANALIZAR SAP","CUMPLE"),"NO CUMPLE")</f>
        <v>CUMPLE</v>
      </c>
    </row>
    <row r="233">
      <c r="A233" s="23" t="inlineStr">
        <is>
          <t>VC7</t>
        </is>
      </c>
      <c r="B233" s="23" t="inlineStr">
        <is>
          <t>928</t>
        </is>
      </c>
      <c r="C233" s="10" t="n">
        <v>1</v>
      </c>
      <c r="D233" s="10" t="n">
        <v>5.1</v>
      </c>
      <c r="E233" s="10" t="n">
        <v>5.1</v>
      </c>
      <c r="F233" s="10" t="n">
        <v>300</v>
      </c>
      <c r="G233" s="10" t="n">
        <v>400</v>
      </c>
      <c r="H233" s="15" t="n">
        <v>300</v>
      </c>
      <c r="I233" s="15" t="n">
        <v>400</v>
      </c>
      <c r="J233" s="16" t="n">
        <v>50.7333</v>
      </c>
      <c r="K233" s="10" t="inlineStr">
        <is>
          <t>928</t>
        </is>
      </c>
      <c r="L233" s="16" t="n">
        <v>36.6228</v>
      </c>
      <c r="M233" s="10" t="inlineStr">
        <is>
          <t>928</t>
        </is>
      </c>
      <c r="N233" s="16" t="n">
        <v>25.781</v>
      </c>
      <c r="O233" s="16" t="n">
        <v>81.71899999999999</v>
      </c>
      <c r="P233" s="10" t="inlineStr">
        <is>
          <t>928</t>
        </is>
      </c>
      <c r="Q233" s="16" t="n">
        <v>0.7202</v>
      </c>
      <c r="R233" s="10">
        <f>MAX(MAX(1.4/'Parametros'!$B$3,0.25*SQRT('Parametros'!$B$2)/'Parametros'!$B$3)*H233*U233,(0.85*'Parametros'!$B$2/'Parametros'!$B$3)*(1-SQRT(1-2*(J233*1000000/('Parametros'!$B$5*H233*U233^2))/(0.85*'Parametros'!$B$2)))*H233*U233)</f>
        <v>405.962020162549</v>
      </c>
      <c r="S233" s="17" t="n">
        <v>3</v>
      </c>
      <c r="T233" s="18" t="n">
        <v>1</v>
      </c>
      <c r="U233" s="10">
        <f>IF(T233=1,I233-('Parametros'!$B$7+'Parametros'!$B$9+'Parametros'!$B$12/2),I233-(ROUNDUP(S233/2,0)*('Parametros'!$B$7+'Parametros'!$B$9+'Parametros'!$B$12/2)+ROUNDDOWN(S233/2,0)*('Parametros'!$B$7+'Parametros'!$B$9+'Parametros'!$B$12/2+'Parametros'!$B$12+'Parametros'!$B$10))/S233)</f>
        <v>342.55</v>
      </c>
      <c r="V233" s="10">
        <f>S233*'Parametros'!$B$8</f>
        <v>597</v>
      </c>
      <c r="W233" s="10">
        <f>'Parametros'!$B$5*V233*'Parametros'!$B$3*(U233-(V233*'Parametros'!$B$3/(0.85*'Parametros'!$B$2*H233))/2)/1000000</f>
        <v>73.3394588294118</v>
      </c>
      <c r="X233" s="10" t="str">
        <f>IF(W233&gt;=J233,"CUMPLE","NO CUMPLE")</f>
        <v>CUMPLE</v>
      </c>
      <c r="Y233" s="10">
        <f>MAX(MAX(1.4/'Parametros'!$B$3,0.25*SQRT('Parametros'!$B$2)/'Parametros'!$B$3)*H233*AB233,(0.85*'Parametros'!$B$2/'Parametros'!$B$3)*(1-SQRT(1-2*(L233*1000000/('Parametros'!$B$5*H233*AB233^2))/(0.85*'Parametros'!$B$2)))*H233*AB233)</f>
        <v>342.55</v>
      </c>
      <c r="Z233" s="17" t="n">
        <v>2</v>
      </c>
      <c r="AA233" s="18" t="n">
        <v>1</v>
      </c>
      <c r="AB233" s="10">
        <f>IF(AA233=1,I233-('Parametros'!$B$7+'Parametros'!$B$9+'Parametros'!$B$12/2),I233-(ROUNDUP(Z233/2,0)*('Parametros'!$B$7+'Parametros'!$B$9+'Parametros'!$B$12/2)+ROUNDDOWN(Z233/2,0)*('Parametros'!$B$7+'Parametros'!$B$9+'Parametros'!$B$12/2+'Parametros'!$B$12+'Parametros'!$B$10))/Z233)</f>
        <v>342.55</v>
      </c>
      <c r="AC233" s="10">
        <f>Z233*'Parametros'!$B$8</f>
        <v>398</v>
      </c>
      <c r="AD233" s="10">
        <f>'Parametros'!$B$5*AC233*'Parametros'!$B$3*(AB233-(AC233*'Parametros'!$B$3/(0.85*'Parametros'!$B$2*H233))/2)/1000000</f>
        <v>49.7735124352941</v>
      </c>
      <c r="AE233" s="10" t="str">
        <f>IF(AD233&gt;=L233,"CUMPLE","NO CUMPLE")</f>
        <v>CUMPLE</v>
      </c>
      <c r="AF233" s="10">
        <f>V233*1.25*'Parametros'!$B$3*(U233-(V233*1.25*'Parametros'!$B$3/(0.85*'Parametros'!$B$2*H233))/2)/1000000</f>
        <v>100.484515919118</v>
      </c>
      <c r="AG233" s="10">
        <f>AC233*1.25*'Parametros'!$B$3*(AB233-(AC233*1.25*'Parametros'!$B$3/(0.85*'Parametros'!$B$2*H233))/2)/1000000</f>
        <v>68.5183923529412</v>
      </c>
      <c r="AH233" s="10">
        <f>N233+(AF233+AG233)/D233</f>
        <v>58.9188251513841</v>
      </c>
      <c r="AI233" s="10">
        <f>MIN(O233,MAX(N233,AH233))</f>
        <v>58.9188251513841</v>
      </c>
      <c r="AJ233" s="10">
        <f>0.17*SQRT('Parametros'!$B$2)*H233*MIN(U233,AB233)/1000</f>
        <v>92.4428153837279</v>
      </c>
      <c r="AK233" s="10">
        <f>MAX(AI233/'Parametros'!$B$6-AJ233,0)</f>
        <v>0</v>
      </c>
      <c r="AL233" s="10">
        <f>0.66*SQRT('Parametros'!$B$2)*H233*MIN(U233,AB233)/1000</f>
        <v>358.89563619565</v>
      </c>
      <c r="AM233" s="10" t="str">
        <f>IF(AK233&lt;=AL233,"CUMPLE","NO CUMPLE")</f>
        <v>CUMPLE</v>
      </c>
      <c r="AN233" s="15" t="inlineStr">
        <is>
          <t>Nº3 cerrado</t>
        </is>
      </c>
      <c r="AO233" s="17" t="n">
        <v>2</v>
      </c>
      <c r="AP233" s="10">
        <f>ROUNDDOWN(MIN(IF(AK233=0,1000000000,AO233*'Parametros'!$B$11*'Parametros'!$B$4*MIN(U233,AB233)/(AK233*1000)),IF(AV233=0,1000000000,'Parametros'!$B$11/AV233),MIN(U233,AB233)/4,8*'Parametros'!$B$12,24*'Parametros'!$B$9,300)/10,0)*10</f>
        <v>80</v>
      </c>
      <c r="AQ233" s="10">
        <f>ROUNDDOWN(MIN(IF(AK233=0,1000000000,AO233*'Parametros'!$B$11*'Parametros'!$B$4*MIN(U233,AB233)/(AK233*1000)),IF(AV233=0,1000000000,'Parametros'!$B$11/AV233),MIN(U233,AB233)/2,600)/10,0)*10</f>
        <v>170</v>
      </c>
      <c r="AR233" s="10">
        <f>'Parametros'!$B$6*(AJ233+AO233*'Parametros'!$B$11*'Parametros'!$B$4*MIN(U233,AB233)/AP233/1000)</f>
        <v>260.860380287796</v>
      </c>
      <c r="AS233" s="10" t="str">
        <f>IF(AND(AM233="CUMPLE",AR233&gt;=AI233),"CUMPLE","NO CUMPLE")</f>
        <v>CUMPLE</v>
      </c>
      <c r="AT233" s="10">
        <f>'Parametros'!$B$6*0.083*SQRT('Parametros'!$B$2)*(H233*I233)^2/(2*(H233+I233))/1000000</f>
        <v>3.38807353605471</v>
      </c>
      <c r="AU233" s="10" t="str">
        <f>IF(Q233&lt;=AT233,"DESPRECIABLE","DISEÑAR")</f>
        <v>DESPRECIABLE</v>
      </c>
      <c r="AV233" s="10">
        <f>IF(Q233&lt;=AT233,0,Q233*1000000/('Parametros'!$B$6*2*0.85*(H233-2*'Parametros'!$B$7)*(I233-2*'Parametros'!$B$7)*'Parametros'!$B$4))</f>
        <v>0</v>
      </c>
      <c r="AW233" s="10">
        <f>AV233*2*((H233-2*'Parametros'!$B$7)+(I233-2*'Parametros'!$B$7))*'Parametros'!$B$4/'Parametros'!$B$3</f>
        <v>0</v>
      </c>
      <c r="AX233" s="17" t="n">
        <v>0</v>
      </c>
      <c r="AY233" s="10" t="str">
        <f>IF(AV233=0,"DESPRECIABLE",IF('Parametros'!$B$11/AP233&gt;=AV233,"CUMPLE","NO CUMPLE"))</f>
        <v>DESPRECIABLE</v>
      </c>
      <c r="AZ233" s="10" t="str">
        <f>IF(AND(X233="CUMPLE",AE233="CUMPLE",AS233="CUMPLE",OR(AY233="CUMPLE",AY233="DESPRECIABLE")),IF(OR(F233&lt;&gt;H233,G233&lt;&gt;I233),"CUMPLE - REANALIZAR SAP","CUMPLE"),"NO CUMPLE")</f>
        <v>CUMPLE</v>
      </c>
    </row>
    <row r="234">
      <c r="A234" s="23" t="inlineStr">
        <is>
          <t>VC7</t>
        </is>
      </c>
      <c r="B234" s="23" t="inlineStr">
        <is>
          <t>929</t>
        </is>
      </c>
      <c r="C234" s="10" t="n">
        <v>1</v>
      </c>
      <c r="D234" s="10" t="n">
        <v>5.1</v>
      </c>
      <c r="E234" s="10" t="n">
        <v>5.1</v>
      </c>
      <c r="F234" s="10" t="n">
        <v>300</v>
      </c>
      <c r="G234" s="10" t="n">
        <v>400</v>
      </c>
      <c r="H234" s="15" t="n">
        <v>300</v>
      </c>
      <c r="I234" s="15" t="n">
        <v>400</v>
      </c>
      <c r="J234" s="16" t="n">
        <v>50.7335</v>
      </c>
      <c r="K234" s="10" t="inlineStr">
        <is>
          <t>929</t>
        </is>
      </c>
      <c r="L234" s="16" t="n">
        <v>36.6229</v>
      </c>
      <c r="M234" s="10" t="inlineStr">
        <is>
          <t>929</t>
        </is>
      </c>
      <c r="N234" s="16" t="n">
        <v>25.781</v>
      </c>
      <c r="O234" s="16" t="n">
        <v>81.71899999999999</v>
      </c>
      <c r="P234" s="10" t="inlineStr">
        <is>
          <t>929</t>
        </is>
      </c>
      <c r="Q234" s="16" t="n">
        <v>0.721</v>
      </c>
      <c r="R234" s="10">
        <f>MAX(MAX(1.4/'Parametros'!$B$3,0.25*SQRT('Parametros'!$B$2)/'Parametros'!$B$3)*H234*U234,(0.85*'Parametros'!$B$2/'Parametros'!$B$3)*(1-SQRT(1-2*(J234*1000000/('Parametros'!$B$5*H234*U234^2))/(0.85*'Parametros'!$B$2)))*H234*U234)</f>
        <v>405.963680503363</v>
      </c>
      <c r="S234" s="17" t="n">
        <v>3</v>
      </c>
      <c r="T234" s="18" t="n">
        <v>1</v>
      </c>
      <c r="U234" s="10">
        <f>IF(T234=1,I234-('Parametros'!$B$7+'Parametros'!$B$9+'Parametros'!$B$12/2),I234-(ROUNDUP(S234/2,0)*('Parametros'!$B$7+'Parametros'!$B$9+'Parametros'!$B$12/2)+ROUNDDOWN(S234/2,0)*('Parametros'!$B$7+'Parametros'!$B$9+'Parametros'!$B$12/2+'Parametros'!$B$12+'Parametros'!$B$10))/S234)</f>
        <v>342.55</v>
      </c>
      <c r="V234" s="10">
        <f>S234*'Parametros'!$B$8</f>
        <v>597</v>
      </c>
      <c r="W234" s="10">
        <f>'Parametros'!$B$5*V234*'Parametros'!$B$3*(U234-(V234*'Parametros'!$B$3/(0.85*'Parametros'!$B$2*H234))/2)/1000000</f>
        <v>73.3394588294118</v>
      </c>
      <c r="X234" s="10" t="str">
        <f>IF(W234&gt;=J234,"CUMPLE","NO CUMPLE")</f>
        <v>CUMPLE</v>
      </c>
      <c r="Y234" s="10">
        <f>MAX(MAX(1.4/'Parametros'!$B$3,0.25*SQRT('Parametros'!$B$2)/'Parametros'!$B$3)*H234*AB234,(0.85*'Parametros'!$B$2/'Parametros'!$B$3)*(1-SQRT(1-2*(L234*1000000/('Parametros'!$B$5*H234*AB234^2))/(0.85*'Parametros'!$B$2)))*H234*AB234)</f>
        <v>342.55</v>
      </c>
      <c r="Z234" s="17" t="n">
        <v>2</v>
      </c>
      <c r="AA234" s="18" t="n">
        <v>1</v>
      </c>
      <c r="AB234" s="10">
        <f>IF(AA234=1,I234-('Parametros'!$B$7+'Parametros'!$B$9+'Parametros'!$B$12/2),I234-(ROUNDUP(Z234/2,0)*('Parametros'!$B$7+'Parametros'!$B$9+'Parametros'!$B$12/2)+ROUNDDOWN(Z234/2,0)*('Parametros'!$B$7+'Parametros'!$B$9+'Parametros'!$B$12/2+'Parametros'!$B$12+'Parametros'!$B$10))/Z234)</f>
        <v>342.55</v>
      </c>
      <c r="AC234" s="10">
        <f>Z234*'Parametros'!$B$8</f>
        <v>398</v>
      </c>
      <c r="AD234" s="10">
        <f>'Parametros'!$B$5*AC234*'Parametros'!$B$3*(AB234-(AC234*'Parametros'!$B$3/(0.85*'Parametros'!$B$2*H234))/2)/1000000</f>
        <v>49.7735124352941</v>
      </c>
      <c r="AE234" s="10" t="str">
        <f>IF(AD234&gt;=L234,"CUMPLE","NO CUMPLE")</f>
        <v>CUMPLE</v>
      </c>
      <c r="AF234" s="10">
        <f>V234*1.25*'Parametros'!$B$3*(U234-(V234*1.25*'Parametros'!$B$3/(0.85*'Parametros'!$B$2*H234))/2)/1000000</f>
        <v>100.484515919118</v>
      </c>
      <c r="AG234" s="10">
        <f>AC234*1.25*'Parametros'!$B$3*(AB234-(AC234*1.25*'Parametros'!$B$3/(0.85*'Parametros'!$B$2*H234))/2)/1000000</f>
        <v>68.5183923529412</v>
      </c>
      <c r="AH234" s="10">
        <f>N234+(AF234+AG234)/D234</f>
        <v>58.9188251513841</v>
      </c>
      <c r="AI234" s="10">
        <f>MIN(O234,MAX(N234,AH234))</f>
        <v>58.9188251513841</v>
      </c>
      <c r="AJ234" s="10">
        <f>0.17*SQRT('Parametros'!$B$2)*H234*MIN(U234,AB234)/1000</f>
        <v>92.4428153837279</v>
      </c>
      <c r="AK234" s="10">
        <f>MAX(AI234/'Parametros'!$B$6-AJ234,0)</f>
        <v>0</v>
      </c>
      <c r="AL234" s="10">
        <f>0.66*SQRT('Parametros'!$B$2)*H234*MIN(U234,AB234)/1000</f>
        <v>358.89563619565</v>
      </c>
      <c r="AM234" s="10" t="str">
        <f>IF(AK234&lt;=AL234,"CUMPLE","NO CUMPLE")</f>
        <v>CUMPLE</v>
      </c>
      <c r="AN234" s="15" t="inlineStr">
        <is>
          <t>Nº3 cerrado</t>
        </is>
      </c>
      <c r="AO234" s="17" t="n">
        <v>2</v>
      </c>
      <c r="AP234" s="10">
        <f>ROUNDDOWN(MIN(IF(AK234=0,1000000000,AO234*'Parametros'!$B$11*'Parametros'!$B$4*MIN(U234,AB234)/(AK234*1000)),IF(AV234=0,1000000000,'Parametros'!$B$11/AV234),MIN(U234,AB234)/4,8*'Parametros'!$B$12,24*'Parametros'!$B$9,300)/10,0)*10</f>
        <v>80</v>
      </c>
      <c r="AQ234" s="10">
        <f>ROUNDDOWN(MIN(IF(AK234=0,1000000000,AO234*'Parametros'!$B$11*'Parametros'!$B$4*MIN(U234,AB234)/(AK234*1000)),IF(AV234=0,1000000000,'Parametros'!$B$11/AV234),MIN(U234,AB234)/2,600)/10,0)*10</f>
        <v>170</v>
      </c>
      <c r="AR234" s="10">
        <f>'Parametros'!$B$6*(AJ234+AO234*'Parametros'!$B$11*'Parametros'!$B$4*MIN(U234,AB234)/AP234/1000)</f>
        <v>260.860380287796</v>
      </c>
      <c r="AS234" s="10" t="str">
        <f>IF(AND(AM234="CUMPLE",AR234&gt;=AI234),"CUMPLE","NO CUMPLE")</f>
        <v>CUMPLE</v>
      </c>
      <c r="AT234" s="10">
        <f>'Parametros'!$B$6*0.083*SQRT('Parametros'!$B$2)*(H234*I234)^2/(2*(H234+I234))/1000000</f>
        <v>3.38807353605471</v>
      </c>
      <c r="AU234" s="10" t="str">
        <f>IF(Q234&lt;=AT234,"DESPRECIABLE","DISEÑAR")</f>
        <v>DESPRECIABLE</v>
      </c>
      <c r="AV234" s="10">
        <f>IF(Q234&lt;=AT234,0,Q234*1000000/('Parametros'!$B$6*2*0.85*(H234-2*'Parametros'!$B$7)*(I234-2*'Parametros'!$B$7)*'Parametros'!$B$4))</f>
        <v>0</v>
      </c>
      <c r="AW234" s="10">
        <f>AV234*2*((H234-2*'Parametros'!$B$7)+(I234-2*'Parametros'!$B$7))*'Parametros'!$B$4/'Parametros'!$B$3</f>
        <v>0</v>
      </c>
      <c r="AX234" s="17" t="n">
        <v>0</v>
      </c>
      <c r="AY234" s="10" t="str">
        <f>IF(AV234=0,"DESPRECIABLE",IF('Parametros'!$B$11/AP234&gt;=AV234,"CUMPLE","NO CUMPLE"))</f>
        <v>DESPRECIABLE</v>
      </c>
      <c r="AZ234" s="10" t="str">
        <f>IF(AND(X234="CUMPLE",AE234="CUMPLE",AS234="CUMPLE",OR(AY234="CUMPLE",AY234="DESPRECIABLE")),IF(OR(F234&lt;&gt;H234,G234&lt;&gt;I234),"CUMPLE - REANALIZAR SAP","CUMPLE"),"NO CUMPLE")</f>
        <v>CUMPLE</v>
      </c>
    </row>
    <row r="235">
      <c r="A235" s="23" t="inlineStr">
        <is>
          <t>VC7</t>
        </is>
      </c>
      <c r="B235" s="23" t="inlineStr">
        <is>
          <t>930</t>
        </is>
      </c>
      <c r="C235" s="10" t="n">
        <v>1</v>
      </c>
      <c r="D235" s="10" t="n">
        <v>2.65</v>
      </c>
      <c r="E235" s="10" t="n">
        <v>2.65</v>
      </c>
      <c r="F235" s="10" t="n">
        <v>300</v>
      </c>
      <c r="G235" s="10" t="n">
        <v>400</v>
      </c>
      <c r="H235" s="15" t="n">
        <v>300</v>
      </c>
      <c r="I235" s="15" t="n">
        <v>400</v>
      </c>
      <c r="J235" s="16" t="n">
        <v>45.1001</v>
      </c>
      <c r="K235" s="10" t="inlineStr">
        <is>
          <t>930</t>
        </is>
      </c>
      <c r="L235" s="16" t="n">
        <v>39.9286</v>
      </c>
      <c r="M235" s="10" t="inlineStr">
        <is>
          <t>930</t>
        </is>
      </c>
      <c r="N235" s="16" t="n">
        <v>34.531</v>
      </c>
      <c r="O235" s="16" t="n">
        <v>151.098</v>
      </c>
      <c r="P235" s="10" t="inlineStr">
        <is>
          <t>930</t>
        </is>
      </c>
      <c r="Q235" s="16" t="n">
        <v>3.1405</v>
      </c>
      <c r="R235" s="10">
        <f>MAX(MAX(1.4/'Parametros'!$B$3,0.25*SQRT('Parametros'!$B$2)/'Parametros'!$B$3)*H235*U235,(0.85*'Parametros'!$B$2/'Parametros'!$B$3)*(1-SQRT(1-2*(J235*1000000/('Parametros'!$B$5*H235*U235^2))/(0.85*'Parametros'!$B$2)))*H235*U235)</f>
        <v>359.396992224655</v>
      </c>
      <c r="S235" s="17" t="n">
        <v>2</v>
      </c>
      <c r="T235" s="18" t="n">
        <v>1</v>
      </c>
      <c r="U235" s="10">
        <f>IF(T235=1,I235-('Parametros'!$B$7+'Parametros'!$B$9+'Parametros'!$B$12/2),I235-(ROUNDUP(S235/2,0)*('Parametros'!$B$7+'Parametros'!$B$9+'Parametros'!$B$12/2)+ROUNDDOWN(S235/2,0)*('Parametros'!$B$7+'Parametros'!$B$9+'Parametros'!$B$12/2+'Parametros'!$B$12+'Parametros'!$B$10))/S235)</f>
        <v>342.55</v>
      </c>
      <c r="V235" s="10">
        <f>S235*'Parametros'!$B$8</f>
        <v>398</v>
      </c>
      <c r="W235" s="10">
        <f>'Parametros'!$B$5*V235*'Parametros'!$B$3*(U235-(V235*'Parametros'!$B$3/(0.85*'Parametros'!$B$2*H235))/2)/1000000</f>
        <v>49.7735124352941</v>
      </c>
      <c r="X235" s="10" t="str">
        <f>IF(W235&gt;=J235,"CUMPLE","NO CUMPLE")</f>
        <v>CUMPLE</v>
      </c>
      <c r="Y235" s="10">
        <f>MAX(MAX(1.4/'Parametros'!$B$3,0.25*SQRT('Parametros'!$B$2)/'Parametros'!$B$3)*H235*AB235,(0.85*'Parametros'!$B$2/'Parametros'!$B$3)*(1-SQRT(1-2*(L235*1000000/('Parametros'!$B$5*H235*AB235^2))/(0.85*'Parametros'!$B$2)))*H235*AB235)</f>
        <v>342.55</v>
      </c>
      <c r="Z235" s="17" t="n">
        <v>2</v>
      </c>
      <c r="AA235" s="18" t="n">
        <v>1</v>
      </c>
      <c r="AB235" s="10">
        <f>IF(AA235=1,I235-('Parametros'!$B$7+'Parametros'!$B$9+'Parametros'!$B$12/2),I235-(ROUNDUP(Z235/2,0)*('Parametros'!$B$7+'Parametros'!$B$9+'Parametros'!$B$12/2)+ROUNDDOWN(Z235/2,0)*('Parametros'!$B$7+'Parametros'!$B$9+'Parametros'!$B$12/2+'Parametros'!$B$12+'Parametros'!$B$10))/Z235)</f>
        <v>342.55</v>
      </c>
      <c r="AC235" s="10">
        <f>Z235*'Parametros'!$B$8</f>
        <v>398</v>
      </c>
      <c r="AD235" s="10">
        <f>'Parametros'!$B$5*AC235*'Parametros'!$B$3*(AB235-(AC235*'Parametros'!$B$3/(0.85*'Parametros'!$B$2*H235))/2)/1000000</f>
        <v>49.7735124352941</v>
      </c>
      <c r="AE235" s="10" t="str">
        <f>IF(AD235&gt;=L235,"CUMPLE","NO CUMPLE")</f>
        <v>CUMPLE</v>
      </c>
      <c r="AF235" s="10">
        <f>V235*1.25*'Parametros'!$B$3*(U235-(V235*1.25*'Parametros'!$B$3/(0.85*'Parametros'!$B$2*H235))/2)/1000000</f>
        <v>68.5183923529412</v>
      </c>
      <c r="AG235" s="10">
        <f>AC235*1.25*'Parametros'!$B$3*(AB235-(AC235*1.25*'Parametros'!$B$3/(0.85*'Parametros'!$B$2*H235))/2)/1000000</f>
        <v>68.5183923529412</v>
      </c>
      <c r="AH235" s="10">
        <f>N235+(AF235+AG235)/D235</f>
        <v>86.2429942286349</v>
      </c>
      <c r="AI235" s="10">
        <f>MIN(O235,MAX(N235,AH235))</f>
        <v>86.2429942286349</v>
      </c>
      <c r="AJ235" s="10">
        <f>0.17*SQRT('Parametros'!$B$2)*H235*MIN(U235,AB235)/1000</f>
        <v>92.4428153837279</v>
      </c>
      <c r="AK235" s="10">
        <f>MAX(AI235/'Parametros'!$B$6-AJ235,0)</f>
        <v>22.5478435877852</v>
      </c>
      <c r="AL235" s="10">
        <f>0.66*SQRT('Parametros'!$B$2)*H235*MIN(U235,AB235)/1000</f>
        <v>358.89563619565</v>
      </c>
      <c r="AM235" s="10" t="str">
        <f>IF(AK235&lt;=AL235,"CUMPLE","NO CUMPLE")</f>
        <v>CUMPLE</v>
      </c>
      <c r="AN235" s="15" t="inlineStr">
        <is>
          <t>Nº3 cerrado</t>
        </is>
      </c>
      <c r="AO235" s="17" t="n">
        <v>2</v>
      </c>
      <c r="AP235" s="10">
        <f>ROUNDDOWN(MIN(IF(AK235=0,1000000000,AO235*'Parametros'!$B$11*'Parametros'!$B$4*MIN(U235,AB235)/(AK235*1000)),IF(AV235=0,1000000000,'Parametros'!$B$11/AV235),MIN(U235,AB235)/4,8*'Parametros'!$B$12,24*'Parametros'!$B$9,300)/10,0)*10</f>
        <v>80</v>
      </c>
      <c r="AQ235" s="10">
        <f>ROUNDDOWN(MIN(IF(AK235=0,1000000000,AO235*'Parametros'!$B$11*'Parametros'!$B$4*MIN(U235,AB235)/(AK235*1000)),IF(AV235=0,1000000000,'Parametros'!$B$11/AV235),MIN(U235,AB235)/2,600)/10,0)*10</f>
        <v>170</v>
      </c>
      <c r="AR235" s="10">
        <f>'Parametros'!$B$6*(AJ235+AO235*'Parametros'!$B$11*'Parametros'!$B$4*MIN(U235,AB235)/AP235/1000)</f>
        <v>260.860380287796</v>
      </c>
      <c r="AS235" s="10" t="str">
        <f>IF(AND(AM235="CUMPLE",AR235&gt;=AI235),"CUMPLE","NO CUMPLE")</f>
        <v>CUMPLE</v>
      </c>
      <c r="AT235" s="10">
        <f>'Parametros'!$B$6*0.083*SQRT('Parametros'!$B$2)*(H235*I235)^2/(2*(H235+I235))/1000000</f>
        <v>3.38807353605471</v>
      </c>
      <c r="AU235" s="10" t="str">
        <f>IF(Q235&lt;=AT235,"DESPRECIABLE","DISEÑAR")</f>
        <v>DESPRECIABLE</v>
      </c>
      <c r="AV235" s="10">
        <f>IF(Q235&lt;=AT235,0,Q235*1000000/('Parametros'!$B$6*2*0.85*(H235-2*'Parametros'!$B$7)*(I235-2*'Parametros'!$B$7)*'Parametros'!$B$4))</f>
        <v>0</v>
      </c>
      <c r="AW235" s="10">
        <f>AV235*2*((H235-2*'Parametros'!$B$7)+(I235-2*'Parametros'!$B$7))*'Parametros'!$B$4/'Parametros'!$B$3</f>
        <v>0</v>
      </c>
      <c r="AX235" s="17" t="n">
        <v>0</v>
      </c>
      <c r="AY235" s="10" t="str">
        <f>IF(AV235=0,"DESPRECIABLE",IF('Parametros'!$B$11/AP235&gt;=AV235,"CUMPLE","NO CUMPLE"))</f>
        <v>DESPRECIABLE</v>
      </c>
      <c r="AZ235" s="10" t="str">
        <f>IF(AND(X235="CUMPLE",AE235="CUMPLE",AS235="CUMPLE",OR(AY235="CUMPLE",AY235="DESPRECIABLE")),IF(OR(F235&lt;&gt;H235,G235&lt;&gt;I235),"CUMPLE - REANALIZAR SAP","CUMPLE"),"NO CUMPLE")</f>
        <v>CUMPLE</v>
      </c>
    </row>
    <row r="236">
      <c r="A236" s="23" t="inlineStr">
        <is>
          <t>VC7</t>
        </is>
      </c>
      <c r="B236" s="23" t="inlineStr">
        <is>
          <t>1017</t>
        </is>
      </c>
      <c r="C236" s="10" t="n">
        <v>1</v>
      </c>
      <c r="D236" s="10" t="n">
        <v>2.65</v>
      </c>
      <c r="E236" s="10" t="n">
        <v>2.65</v>
      </c>
      <c r="F236" s="10" t="n">
        <v>300</v>
      </c>
      <c r="G236" s="10" t="n">
        <v>400</v>
      </c>
      <c r="H236" s="15" t="n">
        <v>300</v>
      </c>
      <c r="I236" s="15" t="n">
        <v>400</v>
      </c>
      <c r="J236" s="16" t="n">
        <v>22.9067</v>
      </c>
      <c r="K236" s="10" t="inlineStr">
        <is>
          <t>1017</t>
        </is>
      </c>
      <c r="L236" s="16" t="n">
        <v>16.094</v>
      </c>
      <c r="M236" s="10" t="inlineStr">
        <is>
          <t>1017</t>
        </is>
      </c>
      <c r="N236" s="16" t="n">
        <v>18.342</v>
      </c>
      <c r="O236" s="16" t="n">
        <v>68.158</v>
      </c>
      <c r="P236" s="10" t="inlineStr">
        <is>
          <t>1017</t>
        </is>
      </c>
      <c r="Q236" s="16" t="n">
        <v>2.0069</v>
      </c>
      <c r="R236" s="10">
        <f>MAX(MAX(1.4/'Parametros'!$B$3,0.25*SQRT('Parametros'!$B$2)/'Parametros'!$B$3)*H236*U236,(0.85*'Parametros'!$B$2/'Parametros'!$B$3)*(1-SQRT(1-2*(J236*1000000/('Parametros'!$B$5*H236*U236^2))/(0.85*'Parametros'!$B$2)))*H236*U236)</f>
        <v>342.55</v>
      </c>
      <c r="S236" s="17" t="n">
        <v>2</v>
      </c>
      <c r="T236" s="18" t="n">
        <v>1</v>
      </c>
      <c r="U236" s="10">
        <f>IF(T236=1,I236-('Parametros'!$B$7+'Parametros'!$B$9+'Parametros'!$B$12/2),I236-(ROUNDUP(S236/2,0)*('Parametros'!$B$7+'Parametros'!$B$9+'Parametros'!$B$12/2)+ROUNDDOWN(S236/2,0)*('Parametros'!$B$7+'Parametros'!$B$9+'Parametros'!$B$12/2+'Parametros'!$B$12+'Parametros'!$B$10))/S236)</f>
        <v>342.55</v>
      </c>
      <c r="V236" s="10">
        <f>S236*'Parametros'!$B$8</f>
        <v>398</v>
      </c>
      <c r="W236" s="10">
        <f>'Parametros'!$B$5*V236*'Parametros'!$B$3*(U236-(V236*'Parametros'!$B$3/(0.85*'Parametros'!$B$2*H236))/2)/1000000</f>
        <v>49.7735124352941</v>
      </c>
      <c r="X236" s="10" t="str">
        <f>IF(W236&gt;=J236,"CUMPLE","NO CUMPLE")</f>
        <v>CUMPLE</v>
      </c>
      <c r="Y236" s="10">
        <f>MAX(MAX(1.4/'Parametros'!$B$3,0.25*SQRT('Parametros'!$B$2)/'Parametros'!$B$3)*H236*AB236,(0.85*'Parametros'!$B$2/'Parametros'!$B$3)*(1-SQRT(1-2*(L236*1000000/('Parametros'!$B$5*H236*AB236^2))/(0.85*'Parametros'!$B$2)))*H236*AB236)</f>
        <v>342.55</v>
      </c>
      <c r="Z236" s="17" t="n">
        <v>2</v>
      </c>
      <c r="AA236" s="18" t="n">
        <v>1</v>
      </c>
      <c r="AB236" s="10">
        <f>IF(AA236=1,I236-('Parametros'!$B$7+'Parametros'!$B$9+'Parametros'!$B$12/2),I236-(ROUNDUP(Z236/2,0)*('Parametros'!$B$7+'Parametros'!$B$9+'Parametros'!$B$12/2)+ROUNDDOWN(Z236/2,0)*('Parametros'!$B$7+'Parametros'!$B$9+'Parametros'!$B$12/2+'Parametros'!$B$12+'Parametros'!$B$10))/Z236)</f>
        <v>342.55</v>
      </c>
      <c r="AC236" s="10">
        <f>Z236*'Parametros'!$B$8</f>
        <v>398</v>
      </c>
      <c r="AD236" s="10">
        <f>'Parametros'!$B$5*AC236*'Parametros'!$B$3*(AB236-(AC236*'Parametros'!$B$3/(0.85*'Parametros'!$B$2*H236))/2)/1000000</f>
        <v>49.7735124352941</v>
      </c>
      <c r="AE236" s="10" t="str">
        <f>IF(AD236&gt;=L236,"CUMPLE","NO CUMPLE")</f>
        <v>CUMPLE</v>
      </c>
      <c r="AF236" s="10">
        <f>V236*1.25*'Parametros'!$B$3*(U236-(V236*1.25*'Parametros'!$B$3/(0.85*'Parametros'!$B$2*H236))/2)/1000000</f>
        <v>68.5183923529412</v>
      </c>
      <c r="AG236" s="10">
        <f>AC236*1.25*'Parametros'!$B$3*(AB236-(AC236*1.25*'Parametros'!$B$3/(0.85*'Parametros'!$B$2*H236))/2)/1000000</f>
        <v>68.5183923529412</v>
      </c>
      <c r="AH236" s="10">
        <f>N236+(AF236+AG236)/D236</f>
        <v>70.0539942286349</v>
      </c>
      <c r="AI236" s="10">
        <f>MIN(O236,MAX(N236,AH236))</f>
        <v>68.158</v>
      </c>
      <c r="AJ236" s="10">
        <f>0.17*SQRT('Parametros'!$B$2)*H236*MIN(U236,AB236)/1000</f>
        <v>92.4428153837279</v>
      </c>
      <c r="AK236" s="10">
        <f>MAX(AI236/'Parametros'!$B$6-AJ236,0)</f>
        <v>0</v>
      </c>
      <c r="AL236" s="10">
        <f>0.66*SQRT('Parametros'!$B$2)*H236*MIN(U236,AB236)/1000</f>
        <v>358.89563619565</v>
      </c>
      <c r="AM236" s="10" t="str">
        <f>IF(AK236&lt;=AL236,"CUMPLE","NO CUMPLE")</f>
        <v>CUMPLE</v>
      </c>
      <c r="AN236" s="15" t="inlineStr">
        <is>
          <t>Nº3 cerrado</t>
        </is>
      </c>
      <c r="AO236" s="17" t="n">
        <v>2</v>
      </c>
      <c r="AP236" s="10">
        <f>ROUNDDOWN(MIN(IF(AK236=0,1000000000,AO236*'Parametros'!$B$11*'Parametros'!$B$4*MIN(U236,AB236)/(AK236*1000)),IF(AV236=0,1000000000,'Parametros'!$B$11/AV236),MIN(U236,AB236)/4,8*'Parametros'!$B$12,24*'Parametros'!$B$9,300)/10,0)*10</f>
        <v>80</v>
      </c>
      <c r="AQ236" s="10">
        <f>ROUNDDOWN(MIN(IF(AK236=0,1000000000,AO236*'Parametros'!$B$11*'Parametros'!$B$4*MIN(U236,AB236)/(AK236*1000)),IF(AV236=0,1000000000,'Parametros'!$B$11/AV236),MIN(U236,AB236)/2,600)/10,0)*10</f>
        <v>170</v>
      </c>
      <c r="AR236" s="10">
        <f>'Parametros'!$B$6*(AJ236+AO236*'Parametros'!$B$11*'Parametros'!$B$4*MIN(U236,AB236)/AP236/1000)</f>
        <v>260.860380287796</v>
      </c>
      <c r="AS236" s="10" t="str">
        <f>IF(AND(AM236="CUMPLE",AR236&gt;=AI236),"CUMPLE","NO CUMPLE")</f>
        <v>CUMPLE</v>
      </c>
      <c r="AT236" s="10">
        <f>'Parametros'!$B$6*0.083*SQRT('Parametros'!$B$2)*(H236*I236)^2/(2*(H236+I236))/1000000</f>
        <v>3.38807353605471</v>
      </c>
      <c r="AU236" s="10" t="str">
        <f>IF(Q236&lt;=AT236,"DESPRECIABLE","DISEÑAR")</f>
        <v>DESPRECIABLE</v>
      </c>
      <c r="AV236" s="10">
        <f>IF(Q236&lt;=AT236,0,Q236*1000000/('Parametros'!$B$6*2*0.85*(H236-2*'Parametros'!$B$7)*(I236-2*'Parametros'!$B$7)*'Parametros'!$B$4))</f>
        <v>0</v>
      </c>
      <c r="AW236" s="10">
        <f>AV236*2*((H236-2*'Parametros'!$B$7)+(I236-2*'Parametros'!$B$7))*'Parametros'!$B$4/'Parametros'!$B$3</f>
        <v>0</v>
      </c>
      <c r="AX236" s="17" t="n">
        <v>0</v>
      </c>
      <c r="AY236" s="10" t="str">
        <f>IF(AV236=0,"DESPRECIABLE",IF('Parametros'!$B$11/AP236&gt;=AV236,"CUMPLE","NO CUMPLE"))</f>
        <v>DESPRECIABLE</v>
      </c>
      <c r="AZ236" s="10" t="str">
        <f>IF(AND(X236="CUMPLE",AE236="CUMPLE",AS236="CUMPLE",OR(AY236="CUMPLE",AY236="DESPRECIABLE")),IF(OR(F236&lt;&gt;H236,G236&lt;&gt;I236),"CUMPLE - REANALIZAR SAP","CUMPLE"),"NO CUMPLE")</f>
        <v>CUMPLE</v>
      </c>
    </row>
    <row r="237">
      <c r="A237" s="23" t="inlineStr">
        <is>
          <t>VC7</t>
        </is>
      </c>
      <c r="B237" s="23" t="inlineStr">
        <is>
          <t>1018</t>
        </is>
      </c>
      <c r="C237" s="10" t="n">
        <v>1</v>
      </c>
      <c r="D237" s="10" t="n">
        <v>5.1</v>
      </c>
      <c r="E237" s="10" t="n">
        <v>5.1</v>
      </c>
      <c r="F237" s="10" t="n">
        <v>300</v>
      </c>
      <c r="G237" s="10" t="n">
        <v>400</v>
      </c>
      <c r="H237" s="15" t="n">
        <v>300</v>
      </c>
      <c r="I237" s="15" t="n">
        <v>400</v>
      </c>
      <c r="J237" s="16" t="n">
        <v>35.903</v>
      </c>
      <c r="K237" s="10" t="inlineStr">
        <is>
          <t>1018</t>
        </is>
      </c>
      <c r="L237" s="16" t="n">
        <v>21.6921</v>
      </c>
      <c r="M237" s="10" t="inlineStr">
        <is>
          <t>1018</t>
        </is>
      </c>
      <c r="N237" s="16" t="n">
        <v>19.945</v>
      </c>
      <c r="O237" s="16" t="n">
        <v>53.089</v>
      </c>
      <c r="P237" s="10" t="inlineStr">
        <is>
          <t>1018</t>
        </is>
      </c>
      <c r="Q237" s="16" t="n">
        <v>1.4187</v>
      </c>
      <c r="R237" s="10">
        <f>MAX(MAX(1.4/'Parametros'!$B$3,0.25*SQRT('Parametros'!$B$2)/'Parametros'!$B$3)*H237*U237,(0.85*'Parametros'!$B$2/'Parametros'!$B$3)*(1-SQRT(1-2*(J237*1000000/('Parametros'!$B$5*H237*U237^2))/(0.85*'Parametros'!$B$2)))*H237*U237)</f>
        <v>342.55</v>
      </c>
      <c r="S237" s="17" t="n">
        <v>2</v>
      </c>
      <c r="T237" s="18" t="n">
        <v>1</v>
      </c>
      <c r="U237" s="10">
        <f>IF(T237=1,I237-('Parametros'!$B$7+'Parametros'!$B$9+'Parametros'!$B$12/2),I237-(ROUNDUP(S237/2,0)*('Parametros'!$B$7+'Parametros'!$B$9+'Parametros'!$B$12/2)+ROUNDDOWN(S237/2,0)*('Parametros'!$B$7+'Parametros'!$B$9+'Parametros'!$B$12/2+'Parametros'!$B$12+'Parametros'!$B$10))/S237)</f>
        <v>342.55</v>
      </c>
      <c r="V237" s="10">
        <f>S237*'Parametros'!$B$8</f>
        <v>398</v>
      </c>
      <c r="W237" s="10">
        <f>'Parametros'!$B$5*V237*'Parametros'!$B$3*(U237-(V237*'Parametros'!$B$3/(0.85*'Parametros'!$B$2*H237))/2)/1000000</f>
        <v>49.7735124352941</v>
      </c>
      <c r="X237" s="10" t="str">
        <f>IF(W237&gt;=J237,"CUMPLE","NO CUMPLE")</f>
        <v>CUMPLE</v>
      </c>
      <c r="Y237" s="10">
        <f>MAX(MAX(1.4/'Parametros'!$B$3,0.25*SQRT('Parametros'!$B$2)/'Parametros'!$B$3)*H237*AB237,(0.85*'Parametros'!$B$2/'Parametros'!$B$3)*(1-SQRT(1-2*(L237*1000000/('Parametros'!$B$5*H237*AB237^2))/(0.85*'Parametros'!$B$2)))*H237*AB237)</f>
        <v>342.55</v>
      </c>
      <c r="Z237" s="17" t="n">
        <v>2</v>
      </c>
      <c r="AA237" s="18" t="n">
        <v>1</v>
      </c>
      <c r="AB237" s="10">
        <f>IF(AA237=1,I237-('Parametros'!$B$7+'Parametros'!$B$9+'Parametros'!$B$12/2),I237-(ROUNDUP(Z237/2,0)*('Parametros'!$B$7+'Parametros'!$B$9+'Parametros'!$B$12/2)+ROUNDDOWN(Z237/2,0)*('Parametros'!$B$7+'Parametros'!$B$9+'Parametros'!$B$12/2+'Parametros'!$B$12+'Parametros'!$B$10))/Z237)</f>
        <v>342.55</v>
      </c>
      <c r="AC237" s="10">
        <f>Z237*'Parametros'!$B$8</f>
        <v>398</v>
      </c>
      <c r="AD237" s="10">
        <f>'Parametros'!$B$5*AC237*'Parametros'!$B$3*(AB237-(AC237*'Parametros'!$B$3/(0.85*'Parametros'!$B$2*H237))/2)/1000000</f>
        <v>49.7735124352941</v>
      </c>
      <c r="AE237" s="10" t="str">
        <f>IF(AD237&gt;=L237,"CUMPLE","NO CUMPLE")</f>
        <v>CUMPLE</v>
      </c>
      <c r="AF237" s="10">
        <f>V237*1.25*'Parametros'!$B$3*(U237-(V237*1.25*'Parametros'!$B$3/(0.85*'Parametros'!$B$2*H237))/2)/1000000</f>
        <v>68.5183923529412</v>
      </c>
      <c r="AG237" s="10">
        <f>AC237*1.25*'Parametros'!$B$3*(AB237-(AC237*1.25*'Parametros'!$B$3/(0.85*'Parametros'!$B$2*H237))/2)/1000000</f>
        <v>68.5183923529412</v>
      </c>
      <c r="AH237" s="10">
        <f>N237+(AF237+AG237)/D237</f>
        <v>46.8149577854671</v>
      </c>
      <c r="AI237" s="10">
        <f>MIN(O237,MAX(N237,AH237))</f>
        <v>46.8149577854671</v>
      </c>
      <c r="AJ237" s="10">
        <f>0.17*SQRT('Parametros'!$B$2)*H237*MIN(U237,AB237)/1000</f>
        <v>92.4428153837279</v>
      </c>
      <c r="AK237" s="10">
        <f>MAX(AI237/'Parametros'!$B$6-AJ237,0)</f>
        <v>0</v>
      </c>
      <c r="AL237" s="10">
        <f>0.66*SQRT('Parametros'!$B$2)*H237*MIN(U237,AB237)/1000</f>
        <v>358.89563619565</v>
      </c>
      <c r="AM237" s="10" t="str">
        <f>IF(AK237&lt;=AL237,"CUMPLE","NO CUMPLE")</f>
        <v>CUMPLE</v>
      </c>
      <c r="AN237" s="15" t="inlineStr">
        <is>
          <t>Nº3 cerrado</t>
        </is>
      </c>
      <c r="AO237" s="17" t="n">
        <v>2</v>
      </c>
      <c r="AP237" s="10">
        <f>ROUNDDOWN(MIN(IF(AK237=0,1000000000,AO237*'Parametros'!$B$11*'Parametros'!$B$4*MIN(U237,AB237)/(AK237*1000)),IF(AV237=0,1000000000,'Parametros'!$B$11/AV237),MIN(U237,AB237)/4,8*'Parametros'!$B$12,24*'Parametros'!$B$9,300)/10,0)*10</f>
        <v>80</v>
      </c>
      <c r="AQ237" s="10">
        <f>ROUNDDOWN(MIN(IF(AK237=0,1000000000,AO237*'Parametros'!$B$11*'Parametros'!$B$4*MIN(U237,AB237)/(AK237*1000)),IF(AV237=0,1000000000,'Parametros'!$B$11/AV237),MIN(U237,AB237)/2,600)/10,0)*10</f>
        <v>170</v>
      </c>
      <c r="AR237" s="10">
        <f>'Parametros'!$B$6*(AJ237+AO237*'Parametros'!$B$11*'Parametros'!$B$4*MIN(U237,AB237)/AP237/1000)</f>
        <v>260.860380287796</v>
      </c>
      <c r="AS237" s="10" t="str">
        <f>IF(AND(AM237="CUMPLE",AR237&gt;=AI237),"CUMPLE","NO CUMPLE")</f>
        <v>CUMPLE</v>
      </c>
      <c r="AT237" s="10">
        <f>'Parametros'!$B$6*0.083*SQRT('Parametros'!$B$2)*(H237*I237)^2/(2*(H237+I237))/1000000</f>
        <v>3.38807353605471</v>
      </c>
      <c r="AU237" s="10" t="str">
        <f>IF(Q237&lt;=AT237,"DESPRECIABLE","DISEÑAR")</f>
        <v>DESPRECIABLE</v>
      </c>
      <c r="AV237" s="10">
        <f>IF(Q237&lt;=AT237,0,Q237*1000000/('Parametros'!$B$6*2*0.85*(H237-2*'Parametros'!$B$7)*(I237-2*'Parametros'!$B$7)*'Parametros'!$B$4))</f>
        <v>0</v>
      </c>
      <c r="AW237" s="10">
        <f>AV237*2*((H237-2*'Parametros'!$B$7)+(I237-2*'Parametros'!$B$7))*'Parametros'!$B$4/'Parametros'!$B$3</f>
        <v>0</v>
      </c>
      <c r="AX237" s="17" t="n">
        <v>0</v>
      </c>
      <c r="AY237" s="10" t="str">
        <f>IF(AV237=0,"DESPRECIABLE",IF('Parametros'!$B$11/AP237&gt;=AV237,"CUMPLE","NO CUMPLE"))</f>
        <v>DESPRECIABLE</v>
      </c>
      <c r="AZ237" s="10" t="str">
        <f>IF(AND(X237="CUMPLE",AE237="CUMPLE",AS237="CUMPLE",OR(AY237="CUMPLE",AY237="DESPRECIABLE")),IF(OR(F237&lt;&gt;H237,G237&lt;&gt;I237),"CUMPLE - REANALIZAR SAP","CUMPLE"),"NO CUMPLE")</f>
        <v>CUMPLE</v>
      </c>
    </row>
    <row r="238">
      <c r="A238" s="23" t="inlineStr">
        <is>
          <t>VC7</t>
        </is>
      </c>
      <c r="B238" s="23" t="inlineStr">
        <is>
          <t>1019</t>
        </is>
      </c>
      <c r="C238" s="10" t="n">
        <v>1</v>
      </c>
      <c r="D238" s="10" t="n">
        <v>5.1</v>
      </c>
      <c r="E238" s="10" t="n">
        <v>5.1</v>
      </c>
      <c r="F238" s="10" t="n">
        <v>300</v>
      </c>
      <c r="G238" s="10" t="n">
        <v>400</v>
      </c>
      <c r="H238" s="15" t="n">
        <v>300</v>
      </c>
      <c r="I238" s="15" t="n">
        <v>400</v>
      </c>
      <c r="J238" s="16" t="n">
        <v>35.9122</v>
      </c>
      <c r="K238" s="10" t="inlineStr">
        <is>
          <t>1019</t>
        </is>
      </c>
      <c r="L238" s="16" t="n">
        <v>21.7013</v>
      </c>
      <c r="M238" s="10" t="inlineStr">
        <is>
          <t>1019</t>
        </is>
      </c>
      <c r="N238" s="16" t="n">
        <v>19.949</v>
      </c>
      <c r="O238" s="16" t="n">
        <v>53.093</v>
      </c>
      <c r="P238" s="10" t="inlineStr">
        <is>
          <t>1019</t>
        </is>
      </c>
      <c r="Q238" s="16" t="n">
        <v>1.4181</v>
      </c>
      <c r="R238" s="10">
        <f>MAX(MAX(1.4/'Parametros'!$B$3,0.25*SQRT('Parametros'!$B$2)/'Parametros'!$B$3)*H238*U238,(0.85*'Parametros'!$B$2/'Parametros'!$B$3)*(1-SQRT(1-2*(J238*1000000/('Parametros'!$B$5*H238*U238^2))/(0.85*'Parametros'!$B$2)))*H238*U238)</f>
        <v>342.55</v>
      </c>
      <c r="S238" s="17" t="n">
        <v>2</v>
      </c>
      <c r="T238" s="18" t="n">
        <v>1</v>
      </c>
      <c r="U238" s="10">
        <f>IF(T238=1,I238-('Parametros'!$B$7+'Parametros'!$B$9+'Parametros'!$B$12/2),I238-(ROUNDUP(S238/2,0)*('Parametros'!$B$7+'Parametros'!$B$9+'Parametros'!$B$12/2)+ROUNDDOWN(S238/2,0)*('Parametros'!$B$7+'Parametros'!$B$9+'Parametros'!$B$12/2+'Parametros'!$B$12+'Parametros'!$B$10))/S238)</f>
        <v>342.55</v>
      </c>
      <c r="V238" s="10">
        <f>S238*'Parametros'!$B$8</f>
        <v>398</v>
      </c>
      <c r="W238" s="10">
        <f>'Parametros'!$B$5*V238*'Parametros'!$B$3*(U238-(V238*'Parametros'!$B$3/(0.85*'Parametros'!$B$2*H238))/2)/1000000</f>
        <v>49.7735124352941</v>
      </c>
      <c r="X238" s="10" t="str">
        <f>IF(W238&gt;=J238,"CUMPLE","NO CUMPLE")</f>
        <v>CUMPLE</v>
      </c>
      <c r="Y238" s="10">
        <f>MAX(MAX(1.4/'Parametros'!$B$3,0.25*SQRT('Parametros'!$B$2)/'Parametros'!$B$3)*H238*AB238,(0.85*'Parametros'!$B$2/'Parametros'!$B$3)*(1-SQRT(1-2*(L238*1000000/('Parametros'!$B$5*H238*AB238^2))/(0.85*'Parametros'!$B$2)))*H238*AB238)</f>
        <v>342.55</v>
      </c>
      <c r="Z238" s="17" t="n">
        <v>2</v>
      </c>
      <c r="AA238" s="18" t="n">
        <v>1</v>
      </c>
      <c r="AB238" s="10">
        <f>IF(AA238=1,I238-('Parametros'!$B$7+'Parametros'!$B$9+'Parametros'!$B$12/2),I238-(ROUNDUP(Z238/2,0)*('Parametros'!$B$7+'Parametros'!$B$9+'Parametros'!$B$12/2)+ROUNDDOWN(Z238/2,0)*('Parametros'!$B$7+'Parametros'!$B$9+'Parametros'!$B$12/2+'Parametros'!$B$12+'Parametros'!$B$10))/Z238)</f>
        <v>342.55</v>
      </c>
      <c r="AC238" s="10">
        <f>Z238*'Parametros'!$B$8</f>
        <v>398</v>
      </c>
      <c r="AD238" s="10">
        <f>'Parametros'!$B$5*AC238*'Parametros'!$B$3*(AB238-(AC238*'Parametros'!$B$3/(0.85*'Parametros'!$B$2*H238))/2)/1000000</f>
        <v>49.7735124352941</v>
      </c>
      <c r="AE238" s="10" t="str">
        <f>IF(AD238&gt;=L238,"CUMPLE","NO CUMPLE")</f>
        <v>CUMPLE</v>
      </c>
      <c r="AF238" s="10">
        <f>V238*1.25*'Parametros'!$B$3*(U238-(V238*1.25*'Parametros'!$B$3/(0.85*'Parametros'!$B$2*H238))/2)/1000000</f>
        <v>68.5183923529412</v>
      </c>
      <c r="AG238" s="10">
        <f>AC238*1.25*'Parametros'!$B$3*(AB238-(AC238*1.25*'Parametros'!$B$3/(0.85*'Parametros'!$B$2*H238))/2)/1000000</f>
        <v>68.5183923529412</v>
      </c>
      <c r="AH238" s="10">
        <f>N238+(AF238+AG238)/D238</f>
        <v>46.8189577854671</v>
      </c>
      <c r="AI238" s="10">
        <f>MIN(O238,MAX(N238,AH238))</f>
        <v>46.8189577854671</v>
      </c>
      <c r="AJ238" s="10">
        <f>0.17*SQRT('Parametros'!$B$2)*H238*MIN(U238,AB238)/1000</f>
        <v>92.4428153837279</v>
      </c>
      <c r="AK238" s="10">
        <f>MAX(AI238/'Parametros'!$B$6-AJ238,0)</f>
        <v>0</v>
      </c>
      <c r="AL238" s="10">
        <f>0.66*SQRT('Parametros'!$B$2)*H238*MIN(U238,AB238)/1000</f>
        <v>358.89563619565</v>
      </c>
      <c r="AM238" s="10" t="str">
        <f>IF(AK238&lt;=AL238,"CUMPLE","NO CUMPLE")</f>
        <v>CUMPLE</v>
      </c>
      <c r="AN238" s="15" t="inlineStr">
        <is>
          <t>Nº3 cerrado</t>
        </is>
      </c>
      <c r="AO238" s="17" t="n">
        <v>2</v>
      </c>
      <c r="AP238" s="10">
        <f>ROUNDDOWN(MIN(IF(AK238=0,1000000000,AO238*'Parametros'!$B$11*'Parametros'!$B$4*MIN(U238,AB238)/(AK238*1000)),IF(AV238=0,1000000000,'Parametros'!$B$11/AV238),MIN(U238,AB238)/4,8*'Parametros'!$B$12,24*'Parametros'!$B$9,300)/10,0)*10</f>
        <v>80</v>
      </c>
      <c r="AQ238" s="10">
        <f>ROUNDDOWN(MIN(IF(AK238=0,1000000000,AO238*'Parametros'!$B$11*'Parametros'!$B$4*MIN(U238,AB238)/(AK238*1000)),IF(AV238=0,1000000000,'Parametros'!$B$11/AV238),MIN(U238,AB238)/2,600)/10,0)*10</f>
        <v>170</v>
      </c>
      <c r="AR238" s="10">
        <f>'Parametros'!$B$6*(AJ238+AO238*'Parametros'!$B$11*'Parametros'!$B$4*MIN(U238,AB238)/AP238/1000)</f>
        <v>260.860380287796</v>
      </c>
      <c r="AS238" s="10" t="str">
        <f>IF(AND(AM238="CUMPLE",AR238&gt;=AI238),"CUMPLE","NO CUMPLE")</f>
        <v>CUMPLE</v>
      </c>
      <c r="AT238" s="10">
        <f>'Parametros'!$B$6*0.083*SQRT('Parametros'!$B$2)*(H238*I238)^2/(2*(H238+I238))/1000000</f>
        <v>3.38807353605471</v>
      </c>
      <c r="AU238" s="10" t="str">
        <f>IF(Q238&lt;=AT238,"DESPRECIABLE","DISEÑAR")</f>
        <v>DESPRECIABLE</v>
      </c>
      <c r="AV238" s="10">
        <f>IF(Q238&lt;=AT238,0,Q238*1000000/('Parametros'!$B$6*2*0.85*(H238-2*'Parametros'!$B$7)*(I238-2*'Parametros'!$B$7)*'Parametros'!$B$4))</f>
        <v>0</v>
      </c>
      <c r="AW238" s="10">
        <f>AV238*2*((H238-2*'Parametros'!$B$7)+(I238-2*'Parametros'!$B$7))*'Parametros'!$B$4/'Parametros'!$B$3</f>
        <v>0</v>
      </c>
      <c r="AX238" s="17" t="n">
        <v>0</v>
      </c>
      <c r="AY238" s="10" t="str">
        <f>IF(AV238=0,"DESPRECIABLE",IF('Parametros'!$B$11/AP238&gt;=AV238,"CUMPLE","NO CUMPLE"))</f>
        <v>DESPRECIABLE</v>
      </c>
      <c r="AZ238" s="10" t="str">
        <f>IF(AND(X238="CUMPLE",AE238="CUMPLE",AS238="CUMPLE",OR(AY238="CUMPLE",AY238="DESPRECIABLE")),IF(OR(F238&lt;&gt;H238,G238&lt;&gt;I238),"CUMPLE - REANALIZAR SAP","CUMPLE"),"NO CUMPLE")</f>
        <v>CUMPLE</v>
      </c>
    </row>
    <row r="239">
      <c r="A239" s="23" t="inlineStr">
        <is>
          <t>VC7</t>
        </is>
      </c>
      <c r="B239" s="23" t="inlineStr">
        <is>
          <t>1020</t>
        </is>
      </c>
      <c r="C239" s="10" t="n">
        <v>1</v>
      </c>
      <c r="D239" s="10" t="n">
        <v>2.65</v>
      </c>
      <c r="E239" s="10" t="n">
        <v>2.65</v>
      </c>
      <c r="F239" s="10" t="n">
        <v>300</v>
      </c>
      <c r="G239" s="10" t="n">
        <v>400</v>
      </c>
      <c r="H239" s="15" t="n">
        <v>300</v>
      </c>
      <c r="I239" s="15" t="n">
        <v>400</v>
      </c>
      <c r="J239" s="16" t="n">
        <v>22.8989</v>
      </c>
      <c r="K239" s="10" t="inlineStr">
        <is>
          <t>1020</t>
        </is>
      </c>
      <c r="L239" s="16" t="n">
        <v>16.0977</v>
      </c>
      <c r="M239" s="10" t="inlineStr">
        <is>
          <t>1020</t>
        </is>
      </c>
      <c r="N239" s="16" t="n">
        <v>18.336</v>
      </c>
      <c r="O239" s="16" t="n">
        <v>68.15300000000001</v>
      </c>
      <c r="P239" s="10" t="inlineStr">
        <is>
          <t>1020</t>
        </is>
      </c>
      <c r="Q239" s="16" t="n">
        <v>2.0071</v>
      </c>
      <c r="R239" s="10">
        <f>MAX(MAX(1.4/'Parametros'!$B$3,0.25*SQRT('Parametros'!$B$2)/'Parametros'!$B$3)*H239*U239,(0.85*'Parametros'!$B$2/'Parametros'!$B$3)*(1-SQRT(1-2*(J239*1000000/('Parametros'!$B$5*H239*U239^2))/(0.85*'Parametros'!$B$2)))*H239*U239)</f>
        <v>342.55</v>
      </c>
      <c r="S239" s="17" t="n">
        <v>2</v>
      </c>
      <c r="T239" s="18" t="n">
        <v>1</v>
      </c>
      <c r="U239" s="10">
        <f>IF(T239=1,I239-('Parametros'!$B$7+'Parametros'!$B$9+'Parametros'!$B$12/2),I239-(ROUNDUP(S239/2,0)*('Parametros'!$B$7+'Parametros'!$B$9+'Parametros'!$B$12/2)+ROUNDDOWN(S239/2,0)*('Parametros'!$B$7+'Parametros'!$B$9+'Parametros'!$B$12/2+'Parametros'!$B$12+'Parametros'!$B$10))/S239)</f>
        <v>342.55</v>
      </c>
      <c r="V239" s="10">
        <f>S239*'Parametros'!$B$8</f>
        <v>398</v>
      </c>
      <c r="W239" s="10">
        <f>'Parametros'!$B$5*V239*'Parametros'!$B$3*(U239-(V239*'Parametros'!$B$3/(0.85*'Parametros'!$B$2*H239))/2)/1000000</f>
        <v>49.7735124352941</v>
      </c>
      <c r="X239" s="10" t="str">
        <f>IF(W239&gt;=J239,"CUMPLE","NO CUMPLE")</f>
        <v>CUMPLE</v>
      </c>
      <c r="Y239" s="10">
        <f>MAX(MAX(1.4/'Parametros'!$B$3,0.25*SQRT('Parametros'!$B$2)/'Parametros'!$B$3)*H239*AB239,(0.85*'Parametros'!$B$2/'Parametros'!$B$3)*(1-SQRT(1-2*(L239*1000000/('Parametros'!$B$5*H239*AB239^2))/(0.85*'Parametros'!$B$2)))*H239*AB239)</f>
        <v>342.55</v>
      </c>
      <c r="Z239" s="17" t="n">
        <v>2</v>
      </c>
      <c r="AA239" s="18" t="n">
        <v>1</v>
      </c>
      <c r="AB239" s="10">
        <f>IF(AA239=1,I239-('Parametros'!$B$7+'Parametros'!$B$9+'Parametros'!$B$12/2),I239-(ROUNDUP(Z239/2,0)*('Parametros'!$B$7+'Parametros'!$B$9+'Parametros'!$B$12/2)+ROUNDDOWN(Z239/2,0)*('Parametros'!$B$7+'Parametros'!$B$9+'Parametros'!$B$12/2+'Parametros'!$B$12+'Parametros'!$B$10))/Z239)</f>
        <v>342.55</v>
      </c>
      <c r="AC239" s="10">
        <f>Z239*'Parametros'!$B$8</f>
        <v>398</v>
      </c>
      <c r="AD239" s="10">
        <f>'Parametros'!$B$5*AC239*'Parametros'!$B$3*(AB239-(AC239*'Parametros'!$B$3/(0.85*'Parametros'!$B$2*H239))/2)/1000000</f>
        <v>49.7735124352941</v>
      </c>
      <c r="AE239" s="10" t="str">
        <f>IF(AD239&gt;=L239,"CUMPLE","NO CUMPLE")</f>
        <v>CUMPLE</v>
      </c>
      <c r="AF239" s="10">
        <f>V239*1.25*'Parametros'!$B$3*(U239-(V239*1.25*'Parametros'!$B$3/(0.85*'Parametros'!$B$2*H239))/2)/1000000</f>
        <v>68.5183923529412</v>
      </c>
      <c r="AG239" s="10">
        <f>AC239*1.25*'Parametros'!$B$3*(AB239-(AC239*1.25*'Parametros'!$B$3/(0.85*'Parametros'!$B$2*H239))/2)/1000000</f>
        <v>68.5183923529412</v>
      </c>
      <c r="AH239" s="10">
        <f>N239+(AF239+AG239)/D239</f>
        <v>70.0479942286349</v>
      </c>
      <c r="AI239" s="10">
        <f>MIN(O239,MAX(N239,AH239))</f>
        <v>68.153</v>
      </c>
      <c r="AJ239" s="10">
        <f>0.17*SQRT('Parametros'!$B$2)*H239*MIN(U239,AB239)/1000</f>
        <v>92.4428153837279</v>
      </c>
      <c r="AK239" s="10">
        <f>MAX(AI239/'Parametros'!$B$6-AJ239,0)</f>
        <v>0</v>
      </c>
      <c r="AL239" s="10">
        <f>0.66*SQRT('Parametros'!$B$2)*H239*MIN(U239,AB239)/1000</f>
        <v>358.89563619565</v>
      </c>
      <c r="AM239" s="10" t="str">
        <f>IF(AK239&lt;=AL239,"CUMPLE","NO CUMPLE")</f>
        <v>CUMPLE</v>
      </c>
      <c r="AN239" s="15" t="inlineStr">
        <is>
          <t>Nº3 cerrado</t>
        </is>
      </c>
      <c r="AO239" s="17" t="n">
        <v>2</v>
      </c>
      <c r="AP239" s="10">
        <f>ROUNDDOWN(MIN(IF(AK239=0,1000000000,AO239*'Parametros'!$B$11*'Parametros'!$B$4*MIN(U239,AB239)/(AK239*1000)),IF(AV239=0,1000000000,'Parametros'!$B$11/AV239),MIN(U239,AB239)/4,8*'Parametros'!$B$12,24*'Parametros'!$B$9,300)/10,0)*10</f>
        <v>80</v>
      </c>
      <c r="AQ239" s="10">
        <f>ROUNDDOWN(MIN(IF(AK239=0,1000000000,AO239*'Parametros'!$B$11*'Parametros'!$B$4*MIN(U239,AB239)/(AK239*1000)),IF(AV239=0,1000000000,'Parametros'!$B$11/AV239),MIN(U239,AB239)/2,600)/10,0)*10</f>
        <v>170</v>
      </c>
      <c r="AR239" s="10">
        <f>'Parametros'!$B$6*(AJ239+AO239*'Parametros'!$B$11*'Parametros'!$B$4*MIN(U239,AB239)/AP239/1000)</f>
        <v>260.860380287796</v>
      </c>
      <c r="AS239" s="10" t="str">
        <f>IF(AND(AM239="CUMPLE",AR239&gt;=AI239),"CUMPLE","NO CUMPLE")</f>
        <v>CUMPLE</v>
      </c>
      <c r="AT239" s="10">
        <f>'Parametros'!$B$6*0.083*SQRT('Parametros'!$B$2)*(H239*I239)^2/(2*(H239+I239))/1000000</f>
        <v>3.38807353605471</v>
      </c>
      <c r="AU239" s="10" t="str">
        <f>IF(Q239&lt;=AT239,"DESPRECIABLE","DISEÑAR")</f>
        <v>DESPRECIABLE</v>
      </c>
      <c r="AV239" s="10">
        <f>IF(Q239&lt;=AT239,0,Q239*1000000/('Parametros'!$B$6*2*0.85*(H239-2*'Parametros'!$B$7)*(I239-2*'Parametros'!$B$7)*'Parametros'!$B$4))</f>
        <v>0</v>
      </c>
      <c r="AW239" s="10">
        <f>AV239*2*((H239-2*'Parametros'!$B$7)+(I239-2*'Parametros'!$B$7))*'Parametros'!$B$4/'Parametros'!$B$3</f>
        <v>0</v>
      </c>
      <c r="AX239" s="17" t="n">
        <v>0</v>
      </c>
      <c r="AY239" s="10" t="str">
        <f>IF(AV239=0,"DESPRECIABLE",IF('Parametros'!$B$11/AP239&gt;=AV239,"CUMPLE","NO CUMPLE"))</f>
        <v>DESPRECIABLE</v>
      </c>
      <c r="AZ239" s="10" t="str">
        <f>IF(AND(X239="CUMPLE",AE239="CUMPLE",AS239="CUMPLE",OR(AY239="CUMPLE",AY239="DESPRECIABLE")),IF(OR(F239&lt;&gt;H239,G239&lt;&gt;I239),"CUMPLE - REANALIZAR SAP","CUMPLE"),"NO CUMPLE")</f>
        <v>CUMPLE</v>
      </c>
    </row>
    <row r="240">
      <c r="A240" s="23" t="inlineStr">
        <is>
          <t>VC7</t>
        </is>
      </c>
      <c r="B240" s="23" t="inlineStr">
        <is>
          <t>1021</t>
        </is>
      </c>
      <c r="C240" s="10" t="n">
        <v>1</v>
      </c>
      <c r="D240" s="10" t="n">
        <v>2.65</v>
      </c>
      <c r="E240" s="10" t="n">
        <v>2.65</v>
      </c>
      <c r="F240" s="10" t="n">
        <v>300</v>
      </c>
      <c r="G240" s="10" t="n">
        <v>400</v>
      </c>
      <c r="H240" s="15" t="n">
        <v>300</v>
      </c>
      <c r="I240" s="15" t="n">
        <v>400</v>
      </c>
      <c r="J240" s="16" t="n">
        <v>23.2641</v>
      </c>
      <c r="K240" s="10" t="inlineStr">
        <is>
          <t>1021</t>
        </is>
      </c>
      <c r="L240" s="16" t="n">
        <v>16.0053</v>
      </c>
      <c r="M240" s="10" t="inlineStr">
        <is>
          <t>1021</t>
        </is>
      </c>
      <c r="N240" s="16" t="n">
        <v>18.564</v>
      </c>
      <c r="O240" s="16" t="n">
        <v>68.559</v>
      </c>
      <c r="P240" s="10" t="inlineStr">
        <is>
          <t>1021</t>
        </is>
      </c>
      <c r="Q240" s="16" t="n">
        <v>1.9918</v>
      </c>
      <c r="R240" s="10">
        <f>MAX(MAX(1.4/'Parametros'!$B$3,0.25*SQRT('Parametros'!$B$2)/'Parametros'!$B$3)*H240*U240,(0.85*'Parametros'!$B$2/'Parametros'!$B$3)*(1-SQRT(1-2*(J240*1000000/('Parametros'!$B$5*H240*U240^2))/(0.85*'Parametros'!$B$2)))*H240*U240)</f>
        <v>342.55</v>
      </c>
      <c r="S240" s="17" t="n">
        <v>2</v>
      </c>
      <c r="T240" s="18" t="n">
        <v>1</v>
      </c>
      <c r="U240" s="10">
        <f>IF(T240=1,I240-('Parametros'!$B$7+'Parametros'!$B$9+'Parametros'!$B$12/2),I240-(ROUNDUP(S240/2,0)*('Parametros'!$B$7+'Parametros'!$B$9+'Parametros'!$B$12/2)+ROUNDDOWN(S240/2,0)*('Parametros'!$B$7+'Parametros'!$B$9+'Parametros'!$B$12/2+'Parametros'!$B$12+'Parametros'!$B$10))/S240)</f>
        <v>342.55</v>
      </c>
      <c r="V240" s="10">
        <f>S240*'Parametros'!$B$8</f>
        <v>398</v>
      </c>
      <c r="W240" s="10">
        <f>'Parametros'!$B$5*V240*'Parametros'!$B$3*(U240-(V240*'Parametros'!$B$3/(0.85*'Parametros'!$B$2*H240))/2)/1000000</f>
        <v>49.7735124352941</v>
      </c>
      <c r="X240" s="10" t="str">
        <f>IF(W240&gt;=J240,"CUMPLE","NO CUMPLE")</f>
        <v>CUMPLE</v>
      </c>
      <c r="Y240" s="10">
        <f>MAX(MAX(1.4/'Parametros'!$B$3,0.25*SQRT('Parametros'!$B$2)/'Parametros'!$B$3)*H240*AB240,(0.85*'Parametros'!$B$2/'Parametros'!$B$3)*(1-SQRT(1-2*(L240*1000000/('Parametros'!$B$5*H240*AB240^2))/(0.85*'Parametros'!$B$2)))*H240*AB240)</f>
        <v>342.55</v>
      </c>
      <c r="Z240" s="17" t="n">
        <v>2</v>
      </c>
      <c r="AA240" s="18" t="n">
        <v>1</v>
      </c>
      <c r="AB240" s="10">
        <f>IF(AA240=1,I240-('Parametros'!$B$7+'Parametros'!$B$9+'Parametros'!$B$12/2),I240-(ROUNDUP(Z240/2,0)*('Parametros'!$B$7+'Parametros'!$B$9+'Parametros'!$B$12/2)+ROUNDDOWN(Z240/2,0)*('Parametros'!$B$7+'Parametros'!$B$9+'Parametros'!$B$12/2+'Parametros'!$B$12+'Parametros'!$B$10))/Z240)</f>
        <v>342.55</v>
      </c>
      <c r="AC240" s="10">
        <f>Z240*'Parametros'!$B$8</f>
        <v>398</v>
      </c>
      <c r="AD240" s="10">
        <f>'Parametros'!$B$5*AC240*'Parametros'!$B$3*(AB240-(AC240*'Parametros'!$B$3/(0.85*'Parametros'!$B$2*H240))/2)/1000000</f>
        <v>49.7735124352941</v>
      </c>
      <c r="AE240" s="10" t="str">
        <f>IF(AD240&gt;=L240,"CUMPLE","NO CUMPLE")</f>
        <v>CUMPLE</v>
      </c>
      <c r="AF240" s="10">
        <f>V240*1.25*'Parametros'!$B$3*(U240-(V240*1.25*'Parametros'!$B$3/(0.85*'Parametros'!$B$2*H240))/2)/1000000</f>
        <v>68.5183923529412</v>
      </c>
      <c r="AG240" s="10">
        <f>AC240*1.25*'Parametros'!$B$3*(AB240-(AC240*1.25*'Parametros'!$B$3/(0.85*'Parametros'!$B$2*H240))/2)/1000000</f>
        <v>68.5183923529412</v>
      </c>
      <c r="AH240" s="10">
        <f>N240+(AF240+AG240)/D240</f>
        <v>70.2759942286349</v>
      </c>
      <c r="AI240" s="10">
        <f>MIN(O240,MAX(N240,AH240))</f>
        <v>68.559</v>
      </c>
      <c r="AJ240" s="10">
        <f>0.17*SQRT('Parametros'!$B$2)*H240*MIN(U240,AB240)/1000</f>
        <v>92.4428153837279</v>
      </c>
      <c r="AK240" s="10">
        <f>MAX(AI240/'Parametros'!$B$6-AJ240,0)</f>
        <v>0</v>
      </c>
      <c r="AL240" s="10">
        <f>0.66*SQRT('Parametros'!$B$2)*H240*MIN(U240,AB240)/1000</f>
        <v>358.89563619565</v>
      </c>
      <c r="AM240" s="10" t="str">
        <f>IF(AK240&lt;=AL240,"CUMPLE","NO CUMPLE")</f>
        <v>CUMPLE</v>
      </c>
      <c r="AN240" s="15" t="inlineStr">
        <is>
          <t>Nº3 cerrado</t>
        </is>
      </c>
      <c r="AO240" s="17" t="n">
        <v>2</v>
      </c>
      <c r="AP240" s="10">
        <f>ROUNDDOWN(MIN(IF(AK240=0,1000000000,AO240*'Parametros'!$B$11*'Parametros'!$B$4*MIN(U240,AB240)/(AK240*1000)),IF(AV240=0,1000000000,'Parametros'!$B$11/AV240),MIN(U240,AB240)/4,8*'Parametros'!$B$12,24*'Parametros'!$B$9,300)/10,0)*10</f>
        <v>80</v>
      </c>
      <c r="AQ240" s="10">
        <f>ROUNDDOWN(MIN(IF(AK240=0,1000000000,AO240*'Parametros'!$B$11*'Parametros'!$B$4*MIN(U240,AB240)/(AK240*1000)),IF(AV240=0,1000000000,'Parametros'!$B$11/AV240),MIN(U240,AB240)/2,600)/10,0)*10</f>
        <v>170</v>
      </c>
      <c r="AR240" s="10">
        <f>'Parametros'!$B$6*(AJ240+AO240*'Parametros'!$B$11*'Parametros'!$B$4*MIN(U240,AB240)/AP240/1000)</f>
        <v>260.860380287796</v>
      </c>
      <c r="AS240" s="10" t="str">
        <f>IF(AND(AM240="CUMPLE",AR240&gt;=AI240),"CUMPLE","NO CUMPLE")</f>
        <v>CUMPLE</v>
      </c>
      <c r="AT240" s="10">
        <f>'Parametros'!$B$6*0.083*SQRT('Parametros'!$B$2)*(H240*I240)^2/(2*(H240+I240))/1000000</f>
        <v>3.38807353605471</v>
      </c>
      <c r="AU240" s="10" t="str">
        <f>IF(Q240&lt;=AT240,"DESPRECIABLE","DISEÑAR")</f>
        <v>DESPRECIABLE</v>
      </c>
      <c r="AV240" s="10">
        <f>IF(Q240&lt;=AT240,0,Q240*1000000/('Parametros'!$B$6*2*0.85*(H240-2*'Parametros'!$B$7)*(I240-2*'Parametros'!$B$7)*'Parametros'!$B$4))</f>
        <v>0</v>
      </c>
      <c r="AW240" s="10">
        <f>AV240*2*((H240-2*'Parametros'!$B$7)+(I240-2*'Parametros'!$B$7))*'Parametros'!$B$4/'Parametros'!$B$3</f>
        <v>0</v>
      </c>
      <c r="AX240" s="17" t="n">
        <v>0</v>
      </c>
      <c r="AY240" s="10" t="str">
        <f>IF(AV240=0,"DESPRECIABLE",IF('Parametros'!$B$11/AP240&gt;=AV240,"CUMPLE","NO CUMPLE"))</f>
        <v>DESPRECIABLE</v>
      </c>
      <c r="AZ240" s="10" t="str">
        <f>IF(AND(X240="CUMPLE",AE240="CUMPLE",AS240="CUMPLE",OR(AY240="CUMPLE",AY240="DESPRECIABLE")),IF(OR(F240&lt;&gt;H240,G240&lt;&gt;I240),"CUMPLE - REANALIZAR SAP","CUMPLE"),"NO CUMPLE")</f>
        <v>CUMPLE</v>
      </c>
    </row>
    <row r="241">
      <c r="A241" s="23" t="inlineStr">
        <is>
          <t>VC7</t>
        </is>
      </c>
      <c r="B241" s="23" t="inlineStr">
        <is>
          <t>1022</t>
        </is>
      </c>
      <c r="C241" s="10" t="n">
        <v>1</v>
      </c>
      <c r="D241" s="10" t="n">
        <v>5.1</v>
      </c>
      <c r="E241" s="10" t="n">
        <v>5.1</v>
      </c>
      <c r="F241" s="10" t="n">
        <v>300</v>
      </c>
      <c r="G241" s="10" t="n">
        <v>400</v>
      </c>
      <c r="H241" s="15" t="n">
        <v>300</v>
      </c>
      <c r="I241" s="15" t="n">
        <v>400</v>
      </c>
      <c r="J241" s="16" t="n">
        <v>36.0993</v>
      </c>
      <c r="K241" s="10" t="inlineStr">
        <is>
          <t>1022</t>
        </is>
      </c>
      <c r="L241" s="16" t="n">
        <v>21.8751</v>
      </c>
      <c r="M241" s="10" t="inlineStr">
        <is>
          <t>1022</t>
        </is>
      </c>
      <c r="N241" s="16" t="n">
        <v>20.02</v>
      </c>
      <c r="O241" s="16" t="n">
        <v>53.202</v>
      </c>
      <c r="P241" s="10" t="inlineStr">
        <is>
          <t>1022</t>
        </is>
      </c>
      <c r="Q241" s="16" t="n">
        <v>1.4516</v>
      </c>
      <c r="R241" s="10">
        <f>MAX(MAX(1.4/'Parametros'!$B$3,0.25*SQRT('Parametros'!$B$2)/'Parametros'!$B$3)*H241*U241,(0.85*'Parametros'!$B$2/'Parametros'!$B$3)*(1-SQRT(1-2*(J241*1000000/('Parametros'!$B$5*H241*U241^2))/(0.85*'Parametros'!$B$2)))*H241*U241)</f>
        <v>342.55</v>
      </c>
      <c r="S241" s="17" t="n">
        <v>2</v>
      </c>
      <c r="T241" s="18" t="n">
        <v>1</v>
      </c>
      <c r="U241" s="10">
        <f>IF(T241=1,I241-('Parametros'!$B$7+'Parametros'!$B$9+'Parametros'!$B$12/2),I241-(ROUNDUP(S241/2,0)*('Parametros'!$B$7+'Parametros'!$B$9+'Parametros'!$B$12/2)+ROUNDDOWN(S241/2,0)*('Parametros'!$B$7+'Parametros'!$B$9+'Parametros'!$B$12/2+'Parametros'!$B$12+'Parametros'!$B$10))/S241)</f>
        <v>342.55</v>
      </c>
      <c r="V241" s="10">
        <f>S241*'Parametros'!$B$8</f>
        <v>398</v>
      </c>
      <c r="W241" s="10">
        <f>'Parametros'!$B$5*V241*'Parametros'!$B$3*(U241-(V241*'Parametros'!$B$3/(0.85*'Parametros'!$B$2*H241))/2)/1000000</f>
        <v>49.7735124352941</v>
      </c>
      <c r="X241" s="10" t="str">
        <f>IF(W241&gt;=J241,"CUMPLE","NO CUMPLE")</f>
        <v>CUMPLE</v>
      </c>
      <c r="Y241" s="10">
        <f>MAX(MAX(1.4/'Parametros'!$B$3,0.25*SQRT('Parametros'!$B$2)/'Parametros'!$B$3)*H241*AB241,(0.85*'Parametros'!$B$2/'Parametros'!$B$3)*(1-SQRT(1-2*(L241*1000000/('Parametros'!$B$5*H241*AB241^2))/(0.85*'Parametros'!$B$2)))*H241*AB241)</f>
        <v>342.55</v>
      </c>
      <c r="Z241" s="17" t="n">
        <v>2</v>
      </c>
      <c r="AA241" s="18" t="n">
        <v>1</v>
      </c>
      <c r="AB241" s="10">
        <f>IF(AA241=1,I241-('Parametros'!$B$7+'Parametros'!$B$9+'Parametros'!$B$12/2),I241-(ROUNDUP(Z241/2,0)*('Parametros'!$B$7+'Parametros'!$B$9+'Parametros'!$B$12/2)+ROUNDDOWN(Z241/2,0)*('Parametros'!$B$7+'Parametros'!$B$9+'Parametros'!$B$12/2+'Parametros'!$B$12+'Parametros'!$B$10))/Z241)</f>
        <v>342.55</v>
      </c>
      <c r="AC241" s="10">
        <f>Z241*'Parametros'!$B$8</f>
        <v>398</v>
      </c>
      <c r="AD241" s="10">
        <f>'Parametros'!$B$5*AC241*'Parametros'!$B$3*(AB241-(AC241*'Parametros'!$B$3/(0.85*'Parametros'!$B$2*H241))/2)/1000000</f>
        <v>49.7735124352941</v>
      </c>
      <c r="AE241" s="10" t="str">
        <f>IF(AD241&gt;=L241,"CUMPLE","NO CUMPLE")</f>
        <v>CUMPLE</v>
      </c>
      <c r="AF241" s="10">
        <f>V241*1.25*'Parametros'!$B$3*(U241-(V241*1.25*'Parametros'!$B$3/(0.85*'Parametros'!$B$2*H241))/2)/1000000</f>
        <v>68.5183923529412</v>
      </c>
      <c r="AG241" s="10">
        <f>AC241*1.25*'Parametros'!$B$3*(AB241-(AC241*1.25*'Parametros'!$B$3/(0.85*'Parametros'!$B$2*H241))/2)/1000000</f>
        <v>68.5183923529412</v>
      </c>
      <c r="AH241" s="10">
        <f>N241+(AF241+AG241)/D241</f>
        <v>46.8899577854671</v>
      </c>
      <c r="AI241" s="10">
        <f>MIN(O241,MAX(N241,AH241))</f>
        <v>46.8899577854671</v>
      </c>
      <c r="AJ241" s="10">
        <f>0.17*SQRT('Parametros'!$B$2)*H241*MIN(U241,AB241)/1000</f>
        <v>92.4428153837279</v>
      </c>
      <c r="AK241" s="10">
        <f>MAX(AI241/'Parametros'!$B$6-AJ241,0)</f>
        <v>0</v>
      </c>
      <c r="AL241" s="10">
        <f>0.66*SQRT('Parametros'!$B$2)*H241*MIN(U241,AB241)/1000</f>
        <v>358.89563619565</v>
      </c>
      <c r="AM241" s="10" t="str">
        <f>IF(AK241&lt;=AL241,"CUMPLE","NO CUMPLE")</f>
        <v>CUMPLE</v>
      </c>
      <c r="AN241" s="15" t="inlineStr">
        <is>
          <t>Nº3 cerrado</t>
        </is>
      </c>
      <c r="AO241" s="17" t="n">
        <v>2</v>
      </c>
      <c r="AP241" s="10">
        <f>ROUNDDOWN(MIN(IF(AK241=0,1000000000,AO241*'Parametros'!$B$11*'Parametros'!$B$4*MIN(U241,AB241)/(AK241*1000)),IF(AV241=0,1000000000,'Parametros'!$B$11/AV241),MIN(U241,AB241)/4,8*'Parametros'!$B$12,24*'Parametros'!$B$9,300)/10,0)*10</f>
        <v>80</v>
      </c>
      <c r="AQ241" s="10">
        <f>ROUNDDOWN(MIN(IF(AK241=0,1000000000,AO241*'Parametros'!$B$11*'Parametros'!$B$4*MIN(U241,AB241)/(AK241*1000)),IF(AV241=0,1000000000,'Parametros'!$B$11/AV241),MIN(U241,AB241)/2,600)/10,0)*10</f>
        <v>170</v>
      </c>
      <c r="AR241" s="10">
        <f>'Parametros'!$B$6*(AJ241+AO241*'Parametros'!$B$11*'Parametros'!$B$4*MIN(U241,AB241)/AP241/1000)</f>
        <v>260.860380287796</v>
      </c>
      <c r="AS241" s="10" t="str">
        <f>IF(AND(AM241="CUMPLE",AR241&gt;=AI241),"CUMPLE","NO CUMPLE")</f>
        <v>CUMPLE</v>
      </c>
      <c r="AT241" s="10">
        <f>'Parametros'!$B$6*0.083*SQRT('Parametros'!$B$2)*(H241*I241)^2/(2*(H241+I241))/1000000</f>
        <v>3.38807353605471</v>
      </c>
      <c r="AU241" s="10" t="str">
        <f>IF(Q241&lt;=AT241,"DESPRECIABLE","DISEÑAR")</f>
        <v>DESPRECIABLE</v>
      </c>
      <c r="AV241" s="10">
        <f>IF(Q241&lt;=AT241,0,Q241*1000000/('Parametros'!$B$6*2*0.85*(H241-2*'Parametros'!$B$7)*(I241-2*'Parametros'!$B$7)*'Parametros'!$B$4))</f>
        <v>0</v>
      </c>
      <c r="AW241" s="10">
        <f>AV241*2*((H241-2*'Parametros'!$B$7)+(I241-2*'Parametros'!$B$7))*'Parametros'!$B$4/'Parametros'!$B$3</f>
        <v>0</v>
      </c>
      <c r="AX241" s="17" t="n">
        <v>0</v>
      </c>
      <c r="AY241" s="10" t="str">
        <f>IF(AV241=0,"DESPRECIABLE",IF('Parametros'!$B$11/AP241&gt;=AV241,"CUMPLE","NO CUMPLE"))</f>
        <v>DESPRECIABLE</v>
      </c>
      <c r="AZ241" s="10" t="str">
        <f>IF(AND(X241="CUMPLE",AE241="CUMPLE",AS241="CUMPLE",OR(AY241="CUMPLE",AY241="DESPRECIABLE")),IF(OR(F241&lt;&gt;H241,G241&lt;&gt;I241),"CUMPLE - REANALIZAR SAP","CUMPLE"),"NO CUMPLE")</f>
        <v>CUMPLE</v>
      </c>
    </row>
    <row r="242">
      <c r="A242" s="23" t="inlineStr">
        <is>
          <t>VC7</t>
        </is>
      </c>
      <c r="B242" s="23" t="inlineStr">
        <is>
          <t>1023</t>
        </is>
      </c>
      <c r="C242" s="10" t="n">
        <v>1</v>
      </c>
      <c r="D242" s="10" t="n">
        <v>5.1</v>
      </c>
      <c r="E242" s="10" t="n">
        <v>5.1</v>
      </c>
      <c r="F242" s="10" t="n">
        <v>300</v>
      </c>
      <c r="G242" s="10" t="n">
        <v>400</v>
      </c>
      <c r="H242" s="15" t="n">
        <v>300</v>
      </c>
      <c r="I242" s="15" t="n">
        <v>400</v>
      </c>
      <c r="J242" s="16" t="n">
        <v>36.0994</v>
      </c>
      <c r="K242" s="10" t="inlineStr">
        <is>
          <t>1023</t>
        </is>
      </c>
      <c r="L242" s="16" t="n">
        <v>21.8753</v>
      </c>
      <c r="M242" s="10" t="inlineStr">
        <is>
          <t>1023</t>
        </is>
      </c>
      <c r="N242" s="16" t="n">
        <v>20.02</v>
      </c>
      <c r="O242" s="16" t="n">
        <v>53.202</v>
      </c>
      <c r="P242" s="10" t="inlineStr">
        <is>
          <t>1023</t>
        </is>
      </c>
      <c r="Q242" s="16" t="n">
        <v>1.4523</v>
      </c>
      <c r="R242" s="10">
        <f>MAX(MAX(1.4/'Parametros'!$B$3,0.25*SQRT('Parametros'!$B$2)/'Parametros'!$B$3)*H242*U242,(0.85*'Parametros'!$B$2/'Parametros'!$B$3)*(1-SQRT(1-2*(J242*1000000/('Parametros'!$B$5*H242*U242^2))/(0.85*'Parametros'!$B$2)))*H242*U242)</f>
        <v>342.55</v>
      </c>
      <c r="S242" s="17" t="n">
        <v>2</v>
      </c>
      <c r="T242" s="18" t="n">
        <v>1</v>
      </c>
      <c r="U242" s="10">
        <f>IF(T242=1,I242-('Parametros'!$B$7+'Parametros'!$B$9+'Parametros'!$B$12/2),I242-(ROUNDUP(S242/2,0)*('Parametros'!$B$7+'Parametros'!$B$9+'Parametros'!$B$12/2)+ROUNDDOWN(S242/2,0)*('Parametros'!$B$7+'Parametros'!$B$9+'Parametros'!$B$12/2+'Parametros'!$B$12+'Parametros'!$B$10))/S242)</f>
        <v>342.55</v>
      </c>
      <c r="V242" s="10">
        <f>S242*'Parametros'!$B$8</f>
        <v>398</v>
      </c>
      <c r="W242" s="10">
        <f>'Parametros'!$B$5*V242*'Parametros'!$B$3*(U242-(V242*'Parametros'!$B$3/(0.85*'Parametros'!$B$2*H242))/2)/1000000</f>
        <v>49.7735124352941</v>
      </c>
      <c r="X242" s="10" t="str">
        <f>IF(W242&gt;=J242,"CUMPLE","NO CUMPLE")</f>
        <v>CUMPLE</v>
      </c>
      <c r="Y242" s="10">
        <f>MAX(MAX(1.4/'Parametros'!$B$3,0.25*SQRT('Parametros'!$B$2)/'Parametros'!$B$3)*H242*AB242,(0.85*'Parametros'!$B$2/'Parametros'!$B$3)*(1-SQRT(1-2*(L242*1000000/('Parametros'!$B$5*H242*AB242^2))/(0.85*'Parametros'!$B$2)))*H242*AB242)</f>
        <v>342.55</v>
      </c>
      <c r="Z242" s="17" t="n">
        <v>2</v>
      </c>
      <c r="AA242" s="18" t="n">
        <v>1</v>
      </c>
      <c r="AB242" s="10">
        <f>IF(AA242=1,I242-('Parametros'!$B$7+'Parametros'!$B$9+'Parametros'!$B$12/2),I242-(ROUNDUP(Z242/2,0)*('Parametros'!$B$7+'Parametros'!$B$9+'Parametros'!$B$12/2)+ROUNDDOWN(Z242/2,0)*('Parametros'!$B$7+'Parametros'!$B$9+'Parametros'!$B$12/2+'Parametros'!$B$12+'Parametros'!$B$10))/Z242)</f>
        <v>342.55</v>
      </c>
      <c r="AC242" s="10">
        <f>Z242*'Parametros'!$B$8</f>
        <v>398</v>
      </c>
      <c r="AD242" s="10">
        <f>'Parametros'!$B$5*AC242*'Parametros'!$B$3*(AB242-(AC242*'Parametros'!$B$3/(0.85*'Parametros'!$B$2*H242))/2)/1000000</f>
        <v>49.7735124352941</v>
      </c>
      <c r="AE242" s="10" t="str">
        <f>IF(AD242&gt;=L242,"CUMPLE","NO CUMPLE")</f>
        <v>CUMPLE</v>
      </c>
      <c r="AF242" s="10">
        <f>V242*1.25*'Parametros'!$B$3*(U242-(V242*1.25*'Parametros'!$B$3/(0.85*'Parametros'!$B$2*H242))/2)/1000000</f>
        <v>68.5183923529412</v>
      </c>
      <c r="AG242" s="10">
        <f>AC242*1.25*'Parametros'!$B$3*(AB242-(AC242*1.25*'Parametros'!$B$3/(0.85*'Parametros'!$B$2*H242))/2)/1000000</f>
        <v>68.5183923529412</v>
      </c>
      <c r="AH242" s="10">
        <f>N242+(AF242+AG242)/D242</f>
        <v>46.8899577854671</v>
      </c>
      <c r="AI242" s="10">
        <f>MIN(O242,MAX(N242,AH242))</f>
        <v>46.8899577854671</v>
      </c>
      <c r="AJ242" s="10">
        <f>0.17*SQRT('Parametros'!$B$2)*H242*MIN(U242,AB242)/1000</f>
        <v>92.4428153837279</v>
      </c>
      <c r="AK242" s="10">
        <f>MAX(AI242/'Parametros'!$B$6-AJ242,0)</f>
        <v>0</v>
      </c>
      <c r="AL242" s="10">
        <f>0.66*SQRT('Parametros'!$B$2)*H242*MIN(U242,AB242)/1000</f>
        <v>358.89563619565</v>
      </c>
      <c r="AM242" s="10" t="str">
        <f>IF(AK242&lt;=AL242,"CUMPLE","NO CUMPLE")</f>
        <v>CUMPLE</v>
      </c>
      <c r="AN242" s="15" t="inlineStr">
        <is>
          <t>Nº3 cerrado</t>
        </is>
      </c>
      <c r="AO242" s="17" t="n">
        <v>2</v>
      </c>
      <c r="AP242" s="10">
        <f>ROUNDDOWN(MIN(IF(AK242=0,1000000000,AO242*'Parametros'!$B$11*'Parametros'!$B$4*MIN(U242,AB242)/(AK242*1000)),IF(AV242=0,1000000000,'Parametros'!$B$11/AV242),MIN(U242,AB242)/4,8*'Parametros'!$B$12,24*'Parametros'!$B$9,300)/10,0)*10</f>
        <v>80</v>
      </c>
      <c r="AQ242" s="10">
        <f>ROUNDDOWN(MIN(IF(AK242=0,1000000000,AO242*'Parametros'!$B$11*'Parametros'!$B$4*MIN(U242,AB242)/(AK242*1000)),IF(AV242=0,1000000000,'Parametros'!$B$11/AV242),MIN(U242,AB242)/2,600)/10,0)*10</f>
        <v>170</v>
      </c>
      <c r="AR242" s="10">
        <f>'Parametros'!$B$6*(AJ242+AO242*'Parametros'!$B$11*'Parametros'!$B$4*MIN(U242,AB242)/AP242/1000)</f>
        <v>260.860380287796</v>
      </c>
      <c r="AS242" s="10" t="str">
        <f>IF(AND(AM242="CUMPLE",AR242&gt;=AI242),"CUMPLE","NO CUMPLE")</f>
        <v>CUMPLE</v>
      </c>
      <c r="AT242" s="10">
        <f>'Parametros'!$B$6*0.083*SQRT('Parametros'!$B$2)*(H242*I242)^2/(2*(H242+I242))/1000000</f>
        <v>3.38807353605471</v>
      </c>
      <c r="AU242" s="10" t="str">
        <f>IF(Q242&lt;=AT242,"DESPRECIABLE","DISEÑAR")</f>
        <v>DESPRECIABLE</v>
      </c>
      <c r="AV242" s="10">
        <f>IF(Q242&lt;=AT242,0,Q242*1000000/('Parametros'!$B$6*2*0.85*(H242-2*'Parametros'!$B$7)*(I242-2*'Parametros'!$B$7)*'Parametros'!$B$4))</f>
        <v>0</v>
      </c>
      <c r="AW242" s="10">
        <f>AV242*2*((H242-2*'Parametros'!$B$7)+(I242-2*'Parametros'!$B$7))*'Parametros'!$B$4/'Parametros'!$B$3</f>
        <v>0</v>
      </c>
      <c r="AX242" s="17" t="n">
        <v>0</v>
      </c>
      <c r="AY242" s="10" t="str">
        <f>IF(AV242=0,"DESPRECIABLE",IF('Parametros'!$B$11/AP242&gt;=AV242,"CUMPLE","NO CUMPLE"))</f>
        <v>DESPRECIABLE</v>
      </c>
      <c r="AZ242" s="10" t="str">
        <f>IF(AND(X242="CUMPLE",AE242="CUMPLE",AS242="CUMPLE",OR(AY242="CUMPLE",AY242="DESPRECIABLE")),IF(OR(F242&lt;&gt;H242,G242&lt;&gt;I242),"CUMPLE - REANALIZAR SAP","CUMPLE"),"NO CUMPLE")</f>
        <v>CUMPLE</v>
      </c>
    </row>
    <row r="243">
      <c r="A243" s="23" t="inlineStr">
        <is>
          <t>VC7</t>
        </is>
      </c>
      <c r="B243" s="23" t="inlineStr">
        <is>
          <t>1024</t>
        </is>
      </c>
      <c r="C243" s="10" t="n">
        <v>1</v>
      </c>
      <c r="D243" s="10" t="n">
        <v>2.65</v>
      </c>
      <c r="E243" s="10" t="n">
        <v>2.65</v>
      </c>
      <c r="F243" s="10" t="n">
        <v>300</v>
      </c>
      <c r="G243" s="10" t="n">
        <v>400</v>
      </c>
      <c r="H243" s="15" t="n">
        <v>300</v>
      </c>
      <c r="I243" s="15" t="n">
        <v>400</v>
      </c>
      <c r="J243" s="16" t="n">
        <v>23.2607</v>
      </c>
      <c r="K243" s="10" t="inlineStr">
        <is>
          <t>1024</t>
        </is>
      </c>
      <c r="L243" s="16" t="n">
        <v>16.0071</v>
      </c>
      <c r="M243" s="10" t="inlineStr">
        <is>
          <t>1024</t>
        </is>
      </c>
      <c r="N243" s="16" t="n">
        <v>18.562</v>
      </c>
      <c r="O243" s="16" t="n">
        <v>68.557</v>
      </c>
      <c r="P243" s="10" t="inlineStr">
        <is>
          <t>1024</t>
        </is>
      </c>
      <c r="Q243" s="16" t="n">
        <v>1.9914</v>
      </c>
      <c r="R243" s="10">
        <f>MAX(MAX(1.4/'Parametros'!$B$3,0.25*SQRT('Parametros'!$B$2)/'Parametros'!$B$3)*H243*U243,(0.85*'Parametros'!$B$2/'Parametros'!$B$3)*(1-SQRT(1-2*(J243*1000000/('Parametros'!$B$5*H243*U243^2))/(0.85*'Parametros'!$B$2)))*H243*U243)</f>
        <v>342.55</v>
      </c>
      <c r="S243" s="17" t="n">
        <v>2</v>
      </c>
      <c r="T243" s="18" t="n">
        <v>1</v>
      </c>
      <c r="U243" s="10">
        <f>IF(T243=1,I243-('Parametros'!$B$7+'Parametros'!$B$9+'Parametros'!$B$12/2),I243-(ROUNDUP(S243/2,0)*('Parametros'!$B$7+'Parametros'!$B$9+'Parametros'!$B$12/2)+ROUNDDOWN(S243/2,0)*('Parametros'!$B$7+'Parametros'!$B$9+'Parametros'!$B$12/2+'Parametros'!$B$12+'Parametros'!$B$10))/S243)</f>
        <v>342.55</v>
      </c>
      <c r="V243" s="10">
        <f>S243*'Parametros'!$B$8</f>
        <v>398</v>
      </c>
      <c r="W243" s="10">
        <f>'Parametros'!$B$5*V243*'Parametros'!$B$3*(U243-(V243*'Parametros'!$B$3/(0.85*'Parametros'!$B$2*H243))/2)/1000000</f>
        <v>49.7735124352941</v>
      </c>
      <c r="X243" s="10" t="str">
        <f>IF(W243&gt;=J243,"CUMPLE","NO CUMPLE")</f>
        <v>CUMPLE</v>
      </c>
      <c r="Y243" s="10">
        <f>MAX(MAX(1.4/'Parametros'!$B$3,0.25*SQRT('Parametros'!$B$2)/'Parametros'!$B$3)*H243*AB243,(0.85*'Parametros'!$B$2/'Parametros'!$B$3)*(1-SQRT(1-2*(L243*1000000/('Parametros'!$B$5*H243*AB243^2))/(0.85*'Parametros'!$B$2)))*H243*AB243)</f>
        <v>342.55</v>
      </c>
      <c r="Z243" s="17" t="n">
        <v>2</v>
      </c>
      <c r="AA243" s="18" t="n">
        <v>1</v>
      </c>
      <c r="AB243" s="10">
        <f>IF(AA243=1,I243-('Parametros'!$B$7+'Parametros'!$B$9+'Parametros'!$B$12/2),I243-(ROUNDUP(Z243/2,0)*('Parametros'!$B$7+'Parametros'!$B$9+'Parametros'!$B$12/2)+ROUNDDOWN(Z243/2,0)*('Parametros'!$B$7+'Parametros'!$B$9+'Parametros'!$B$12/2+'Parametros'!$B$12+'Parametros'!$B$10))/Z243)</f>
        <v>342.55</v>
      </c>
      <c r="AC243" s="10">
        <f>Z243*'Parametros'!$B$8</f>
        <v>398</v>
      </c>
      <c r="AD243" s="10">
        <f>'Parametros'!$B$5*AC243*'Parametros'!$B$3*(AB243-(AC243*'Parametros'!$B$3/(0.85*'Parametros'!$B$2*H243))/2)/1000000</f>
        <v>49.7735124352941</v>
      </c>
      <c r="AE243" s="10" t="str">
        <f>IF(AD243&gt;=L243,"CUMPLE","NO CUMPLE")</f>
        <v>CUMPLE</v>
      </c>
      <c r="AF243" s="10">
        <f>V243*1.25*'Parametros'!$B$3*(U243-(V243*1.25*'Parametros'!$B$3/(0.85*'Parametros'!$B$2*H243))/2)/1000000</f>
        <v>68.5183923529412</v>
      </c>
      <c r="AG243" s="10">
        <f>AC243*1.25*'Parametros'!$B$3*(AB243-(AC243*1.25*'Parametros'!$B$3/(0.85*'Parametros'!$B$2*H243))/2)/1000000</f>
        <v>68.5183923529412</v>
      </c>
      <c r="AH243" s="10">
        <f>N243+(AF243+AG243)/D243</f>
        <v>70.2739942286349</v>
      </c>
      <c r="AI243" s="10">
        <f>MIN(O243,MAX(N243,AH243))</f>
        <v>68.557</v>
      </c>
      <c r="AJ243" s="10">
        <f>0.17*SQRT('Parametros'!$B$2)*H243*MIN(U243,AB243)/1000</f>
        <v>92.4428153837279</v>
      </c>
      <c r="AK243" s="10">
        <f>MAX(AI243/'Parametros'!$B$6-AJ243,0)</f>
        <v>0</v>
      </c>
      <c r="AL243" s="10">
        <f>0.66*SQRT('Parametros'!$B$2)*H243*MIN(U243,AB243)/1000</f>
        <v>358.89563619565</v>
      </c>
      <c r="AM243" s="10" t="str">
        <f>IF(AK243&lt;=AL243,"CUMPLE","NO CUMPLE")</f>
        <v>CUMPLE</v>
      </c>
      <c r="AN243" s="15" t="inlineStr">
        <is>
          <t>Nº3 cerrado</t>
        </is>
      </c>
      <c r="AO243" s="17" t="n">
        <v>2</v>
      </c>
      <c r="AP243" s="10">
        <f>ROUNDDOWN(MIN(IF(AK243=0,1000000000,AO243*'Parametros'!$B$11*'Parametros'!$B$4*MIN(U243,AB243)/(AK243*1000)),IF(AV243=0,1000000000,'Parametros'!$B$11/AV243),MIN(U243,AB243)/4,8*'Parametros'!$B$12,24*'Parametros'!$B$9,300)/10,0)*10</f>
        <v>80</v>
      </c>
      <c r="AQ243" s="10">
        <f>ROUNDDOWN(MIN(IF(AK243=0,1000000000,AO243*'Parametros'!$B$11*'Parametros'!$B$4*MIN(U243,AB243)/(AK243*1000)),IF(AV243=0,1000000000,'Parametros'!$B$11/AV243),MIN(U243,AB243)/2,600)/10,0)*10</f>
        <v>170</v>
      </c>
      <c r="AR243" s="10">
        <f>'Parametros'!$B$6*(AJ243+AO243*'Parametros'!$B$11*'Parametros'!$B$4*MIN(U243,AB243)/AP243/1000)</f>
        <v>260.860380287796</v>
      </c>
      <c r="AS243" s="10" t="str">
        <f>IF(AND(AM243="CUMPLE",AR243&gt;=AI243),"CUMPLE","NO CUMPLE")</f>
        <v>CUMPLE</v>
      </c>
      <c r="AT243" s="10">
        <f>'Parametros'!$B$6*0.083*SQRT('Parametros'!$B$2)*(H243*I243)^2/(2*(H243+I243))/1000000</f>
        <v>3.38807353605471</v>
      </c>
      <c r="AU243" s="10" t="str">
        <f>IF(Q243&lt;=AT243,"DESPRECIABLE","DISEÑAR")</f>
        <v>DESPRECIABLE</v>
      </c>
      <c r="AV243" s="10">
        <f>IF(Q243&lt;=AT243,0,Q243*1000000/('Parametros'!$B$6*2*0.85*(H243-2*'Parametros'!$B$7)*(I243-2*'Parametros'!$B$7)*'Parametros'!$B$4))</f>
        <v>0</v>
      </c>
      <c r="AW243" s="10">
        <f>AV243*2*((H243-2*'Parametros'!$B$7)+(I243-2*'Parametros'!$B$7))*'Parametros'!$B$4/'Parametros'!$B$3</f>
        <v>0</v>
      </c>
      <c r="AX243" s="17" t="n">
        <v>0</v>
      </c>
      <c r="AY243" s="10" t="str">
        <f>IF(AV243=0,"DESPRECIABLE",IF('Parametros'!$B$11/AP243&gt;=AV243,"CUMPLE","NO CUMPLE"))</f>
        <v>DESPRECIABLE</v>
      </c>
      <c r="AZ243" s="10" t="str">
        <f>IF(AND(X243="CUMPLE",AE243="CUMPLE",AS243="CUMPLE",OR(AY243="CUMPLE",AY243="DESPRECIABLE")),IF(OR(F243&lt;&gt;H243,G243&lt;&gt;I243),"CUMPLE - REANALIZAR SAP","CUMPLE"),"NO CUMPLE")</f>
        <v>CUMPLE</v>
      </c>
    </row>
    <row r="244">
      <c r="A244" s="24" t="inlineStr">
        <is>
          <t>VR1</t>
        </is>
      </c>
      <c r="B244" s="24" t="inlineStr">
        <is>
          <t>201</t>
        </is>
      </c>
      <c r="C244" s="10" t="n">
        <v>1</v>
      </c>
      <c r="D244" s="10" t="n">
        <v>2.6</v>
      </c>
      <c r="E244" s="10" t="n">
        <v>2.6</v>
      </c>
      <c r="F244" s="10" t="n">
        <v>350</v>
      </c>
      <c r="G244" s="10" t="n">
        <v>400</v>
      </c>
      <c r="H244" s="15" t="n">
        <v>350</v>
      </c>
      <c r="I244" s="15" t="n">
        <v>400</v>
      </c>
      <c r="J244" s="16" t="n">
        <v>90.8823</v>
      </c>
      <c r="K244" s="10" t="inlineStr">
        <is>
          <t>201</t>
        </is>
      </c>
      <c r="L244" s="16" t="n">
        <v>63.4681</v>
      </c>
      <c r="M244" s="10" t="inlineStr">
        <is>
          <t>201</t>
        </is>
      </c>
      <c r="N244" s="16" t="n">
        <v>93.20399999999999</v>
      </c>
      <c r="O244" s="16" t="n">
        <v>299.874</v>
      </c>
      <c r="P244" s="10" t="inlineStr">
        <is>
          <t>201</t>
        </is>
      </c>
      <c r="Q244" s="16" t="n">
        <v>4.3214</v>
      </c>
      <c r="R244" s="10">
        <f>MAX(MAX(1.4/'Parametros'!$B$3,0.25*SQRT('Parametros'!$B$2)/'Parametros'!$B$3)*H244*U244,(0.85*'Parametros'!$B$2/'Parametros'!$B$3)*(1-SQRT(1-2*(J244*1000000/('Parametros'!$B$5*H244*U244^2))/(0.85*'Parametros'!$B$2)))*H244*U244)</f>
        <v>742.449091112939</v>
      </c>
      <c r="S244" s="17" t="n">
        <v>4</v>
      </c>
      <c r="T244" s="18" t="n">
        <v>1</v>
      </c>
      <c r="U244" s="10">
        <f>IF(T244=1,I244-('Parametros'!$B$7+'Parametros'!$B$9+'Parametros'!$B$12/2),I244-(ROUNDUP(S244/2,0)*('Parametros'!$B$7+'Parametros'!$B$9+'Parametros'!$B$12/2)+ROUNDDOWN(S244/2,0)*('Parametros'!$B$7+'Parametros'!$B$9+'Parametros'!$B$12/2+'Parametros'!$B$12+'Parametros'!$B$10))/S244)</f>
        <v>342.55</v>
      </c>
      <c r="V244" s="10">
        <f>S244*'Parametros'!$B$8</f>
        <v>796</v>
      </c>
      <c r="W244" s="10">
        <f>'Parametros'!$B$5*V244*'Parametros'!$B$3*(U244-(V244*'Parametros'!$B$3/(0.85*'Parametros'!$B$2*H244))/2)/1000000</f>
        <v>97.0311966352941</v>
      </c>
      <c r="X244" s="10" t="str">
        <f>IF(W244&gt;=J244,"CUMPLE","NO CUMPLE")</f>
        <v>CUMPLE</v>
      </c>
      <c r="Y244" s="10">
        <f>MAX(MAX(1.4/'Parametros'!$B$3,0.25*SQRT('Parametros'!$B$2)/'Parametros'!$B$3)*H244*AB244,(0.85*'Parametros'!$B$2/'Parametros'!$B$3)*(1-SQRT(1-2*(L244*1000000/('Parametros'!$B$5*H244*AB244^2))/(0.85*'Parametros'!$B$2)))*H244*AB244)</f>
        <v>509.247823354554</v>
      </c>
      <c r="Z244" s="17" t="n">
        <v>3</v>
      </c>
      <c r="AA244" s="18" t="n">
        <v>1</v>
      </c>
      <c r="AB244" s="10">
        <f>IF(AA244=1,I244-('Parametros'!$B$7+'Parametros'!$B$9+'Parametros'!$B$12/2),I244-(ROUNDUP(Z244/2,0)*('Parametros'!$B$7+'Parametros'!$B$9+'Parametros'!$B$12/2)+ROUNDDOWN(Z244/2,0)*('Parametros'!$B$7+'Parametros'!$B$9+'Parametros'!$B$12/2+'Parametros'!$B$12+'Parametros'!$B$10))/Z244)</f>
        <v>342.55</v>
      </c>
      <c r="AC244" s="10">
        <f>Z244*'Parametros'!$B$8</f>
        <v>597</v>
      </c>
      <c r="AD244" s="10">
        <f>'Parametros'!$B$5*AC244*'Parametros'!$B$3*(AB244-(AC244*'Parametros'!$B$3/(0.85*'Parametros'!$B$2*H244))/2)/1000000</f>
        <v>73.905520182353</v>
      </c>
      <c r="AE244" s="10" t="str">
        <f>IF(AD244&gt;=L244,"CUMPLE","NO CUMPLE")</f>
        <v>CUMPLE</v>
      </c>
      <c r="AF244" s="10">
        <f>V244*1.25*'Parametros'!$B$3*(U244-(V244*1.25*'Parametros'!$B$3/(0.85*'Parametros'!$B$2*H244))/2)/1000000</f>
        <v>132.669027352941</v>
      </c>
      <c r="AG244" s="10">
        <f>AC244*1.25*'Parametros'!$B$3*(AB244-(AC244*1.25*'Parametros'!$B$3/(0.85*'Parametros'!$B$2*H244))/2)/1000000</f>
        <v>101.467261323529</v>
      </c>
      <c r="AH244" s="10">
        <f>N244+(AF244+AG244)/D244</f>
        <v>183.256418721719</v>
      </c>
      <c r="AI244" s="10">
        <f>MIN(O244,MAX(N244,AH244))</f>
        <v>183.256418721719</v>
      </c>
      <c r="AJ244" s="10">
        <f>0.17*SQRT('Parametros'!$B$2)*H244*MIN(U244,AB244)/1000</f>
        <v>107.849951281016</v>
      </c>
      <c r="AK244" s="10">
        <f>MAX(AI244/'Parametros'!$B$6-AJ244,0)</f>
        <v>136.491940347943</v>
      </c>
      <c r="AL244" s="10">
        <f>0.66*SQRT('Parametros'!$B$2)*H244*MIN(U244,AB244)/1000</f>
        <v>418.711575561591</v>
      </c>
      <c r="AM244" s="10" t="str">
        <f>IF(AK244&lt;=AL244,"CUMPLE","NO CUMPLE")</f>
        <v>CUMPLE</v>
      </c>
      <c r="AN244" s="15" t="inlineStr">
        <is>
          <t>Nº3 cerrado</t>
        </is>
      </c>
      <c r="AO244" s="17" t="n">
        <v>2</v>
      </c>
      <c r="AP244" s="10">
        <f>ROUNDDOWN(MIN(IF(AK244=0,1000000000,AO244*'Parametros'!$B$11*'Parametros'!$B$4*MIN(U244,AB244)/(AK244*1000)),IF(AV244=0,1000000000,'Parametros'!$B$11/AV244),MIN(U244,AB244)/4,8*'Parametros'!$B$12,24*'Parametros'!$B$9,300)/10,0)*10</f>
        <v>80</v>
      </c>
      <c r="AQ244" s="10">
        <f>ROUNDDOWN(MIN(IF(AK244=0,1000000000,AO244*'Parametros'!$B$11*'Parametros'!$B$4*MIN(U244,AB244)/(AK244*1000)),IF(AV244=0,1000000000,'Parametros'!$B$11/AV244),MIN(U244,AB244)/2,600)/10,0)*10</f>
        <v>140</v>
      </c>
      <c r="AR244" s="10">
        <f>'Parametros'!$B$6*(AJ244+AO244*'Parametros'!$B$11*'Parametros'!$B$4*MIN(U244,AB244)/AP244/1000)</f>
        <v>272.415732210762</v>
      </c>
      <c r="AS244" s="10" t="str">
        <f>IF(AND(AM244="CUMPLE",AR244&gt;=AI244),"CUMPLE","NO CUMPLE")</f>
        <v>CUMPLE</v>
      </c>
      <c r="AT244" s="10">
        <f>'Parametros'!$B$6*0.083*SQRT('Parametros'!$B$2)*(H244*I244)^2/(2*(H244+I244))/1000000</f>
        <v>4.30410823283988</v>
      </c>
      <c r="AU244" s="10" t="str">
        <f>IF(Q244&lt;=AT244,"DESPRECIABLE","DISEÑAR")</f>
        <v>DISEÑAR</v>
      </c>
      <c r="AV244" s="10">
        <f>IF(Q244&lt;=AT244,0,Q244*1000000/('Parametros'!$B$6*2*0.85*(H244-2*'Parametros'!$B$7)*(I244-2*'Parametros'!$B$7)*'Parametros'!$B$4))</f>
        <v>0.0934009406231628</v>
      </c>
      <c r="AW244" s="10">
        <f>AV244*2*((H244-2*'Parametros'!$B$7)+(I244-2*'Parametros'!$B$7))*'Parametros'!$B$4/'Parametros'!$B$3</f>
        <v>110.213109935332</v>
      </c>
      <c r="AX244" s="17" t="n">
        <v>1</v>
      </c>
      <c r="AY244" s="10" t="str">
        <f>IF(AV244=0,"DESPRECIABLE",IF('Parametros'!$B$11/AP244&gt;=AV244,"CUMPLE","NO CUMPLE"))</f>
        <v>CUMPLE</v>
      </c>
      <c r="AZ244" s="10" t="str">
        <f>IF(AND(X244="CUMPLE",AE244="CUMPLE",AS244="CUMPLE",OR(AY244="CUMPLE",AY244="DESPRECIABLE")),IF(OR(F244&lt;&gt;H244,G244&lt;&gt;I244),"CUMPLE - REANALIZAR SAP","CUMPLE"),"NO CUMPLE")</f>
        <v>CUMPLE</v>
      </c>
    </row>
    <row r="245">
      <c r="A245" s="24" t="inlineStr">
        <is>
          <t>VR1</t>
        </is>
      </c>
      <c r="B245" s="24" t="inlineStr">
        <is>
          <t>202</t>
        </is>
      </c>
      <c r="C245" s="10" t="n">
        <v>1</v>
      </c>
      <c r="D245" s="10" t="n">
        <v>3.65</v>
      </c>
      <c r="E245" s="10" t="n">
        <v>3.65</v>
      </c>
      <c r="F245" s="10" t="n">
        <v>350</v>
      </c>
      <c r="G245" s="10" t="n">
        <v>400</v>
      </c>
      <c r="H245" s="15" t="n">
        <v>350</v>
      </c>
      <c r="I245" s="15" t="n">
        <v>400</v>
      </c>
      <c r="J245" s="16" t="n">
        <v>107.8318</v>
      </c>
      <c r="K245" s="10" t="inlineStr">
        <is>
          <t>202</t>
        </is>
      </c>
      <c r="L245" s="16" t="n">
        <v>55.0947</v>
      </c>
      <c r="M245" s="10" t="inlineStr">
        <is>
          <t>202</t>
        </is>
      </c>
      <c r="N245" s="16" t="n">
        <v>96.596</v>
      </c>
      <c r="O245" s="16" t="n">
        <v>257.268</v>
      </c>
      <c r="P245" s="10" t="inlineStr">
        <is>
          <t>202</t>
        </is>
      </c>
      <c r="Q245" s="16" t="n">
        <v>0.2812</v>
      </c>
      <c r="R245" s="10">
        <f>MAX(MAX(1.4/'Parametros'!$B$3,0.25*SQRT('Parametros'!$B$2)/'Parametros'!$B$3)*H245*U245,(0.85*'Parametros'!$B$2/'Parametros'!$B$3)*(1-SQRT(1-2*(J245*1000000/('Parametros'!$B$5*H245*U245^2))/(0.85*'Parametros'!$B$2)))*H245*U245)</f>
        <v>891.238791025656</v>
      </c>
      <c r="S245" s="17" t="n">
        <v>5</v>
      </c>
      <c r="T245" s="18" t="n">
        <v>1</v>
      </c>
      <c r="U245" s="10">
        <f>IF(T245=1,I245-('Parametros'!$B$7+'Parametros'!$B$9+'Parametros'!$B$12/2),I245-(ROUNDUP(S245/2,0)*('Parametros'!$B$7+'Parametros'!$B$9+'Parametros'!$B$12/2)+ROUNDDOWN(S245/2,0)*('Parametros'!$B$7+'Parametros'!$B$9+'Parametros'!$B$12/2+'Parametros'!$B$12+'Parametros'!$B$10))/S245)</f>
        <v>342.55</v>
      </c>
      <c r="V245" s="10">
        <f>S245*'Parametros'!$B$8</f>
        <v>995</v>
      </c>
      <c r="W245" s="10">
        <f>'Parametros'!$B$5*V245*'Parametros'!$B$3*(U245-(V245*'Parametros'!$B$3/(0.85*'Parametros'!$B$2*H245))/2)/1000000</f>
        <v>119.402124617647</v>
      </c>
      <c r="X245" s="10" t="str">
        <f>IF(W245&gt;=J245,"CUMPLE","NO CUMPLE")</f>
        <v>CUMPLE</v>
      </c>
      <c r="Y245" s="10">
        <f>MAX(MAX(1.4/'Parametros'!$B$3,0.25*SQRT('Parametros'!$B$2)/'Parametros'!$B$3)*H245*AB245,(0.85*'Parametros'!$B$2/'Parametros'!$B$3)*(1-SQRT(1-2*(L245*1000000/('Parametros'!$B$5*H245*AB245^2))/(0.85*'Parametros'!$B$2)))*H245*AB245)</f>
        <v>439.724841401147</v>
      </c>
      <c r="Z245" s="17" t="n">
        <v>3</v>
      </c>
      <c r="AA245" s="18" t="n">
        <v>1</v>
      </c>
      <c r="AB245" s="10">
        <f>IF(AA245=1,I245-('Parametros'!$B$7+'Parametros'!$B$9+'Parametros'!$B$12/2),I245-(ROUNDUP(Z245/2,0)*('Parametros'!$B$7+'Parametros'!$B$9+'Parametros'!$B$12/2)+ROUNDDOWN(Z245/2,0)*('Parametros'!$B$7+'Parametros'!$B$9+'Parametros'!$B$12/2+'Parametros'!$B$12+'Parametros'!$B$10))/Z245)</f>
        <v>342.55</v>
      </c>
      <c r="AC245" s="10">
        <f>Z245*'Parametros'!$B$8</f>
        <v>597</v>
      </c>
      <c r="AD245" s="10">
        <f>'Parametros'!$B$5*AC245*'Parametros'!$B$3*(AB245-(AC245*'Parametros'!$B$3/(0.85*'Parametros'!$B$2*H245))/2)/1000000</f>
        <v>73.905520182353</v>
      </c>
      <c r="AE245" s="10" t="str">
        <f>IF(AD245&gt;=L245,"CUMPLE","NO CUMPLE")</f>
        <v>CUMPLE</v>
      </c>
      <c r="AF245" s="10">
        <f>V245*1.25*'Parametros'!$B$3*(U245-(V245*1.25*'Parametros'!$B$3/(0.85*'Parametros'!$B$2*H245))/2)/1000000</f>
        <v>162.560466176471</v>
      </c>
      <c r="AG245" s="10">
        <f>AC245*1.25*'Parametros'!$B$3*(AB245-(AC245*1.25*'Parametros'!$B$3/(0.85*'Parametros'!$B$2*H245))/2)/1000000</f>
        <v>101.467261323529</v>
      </c>
      <c r="AH245" s="10">
        <f>N245+(AF245+AG245)/D245</f>
        <v>168.93236369863</v>
      </c>
      <c r="AI245" s="10">
        <f>MIN(O245,MAX(N245,AH245))</f>
        <v>168.93236369863</v>
      </c>
      <c r="AJ245" s="10">
        <f>0.17*SQRT('Parametros'!$B$2)*H245*MIN(U245,AB245)/1000</f>
        <v>107.849951281016</v>
      </c>
      <c r="AK245" s="10">
        <f>MAX(AI245/'Parametros'!$B$6-AJ245,0)</f>
        <v>117.393200317158</v>
      </c>
      <c r="AL245" s="10">
        <f>0.66*SQRT('Parametros'!$B$2)*H245*MIN(U245,AB245)/1000</f>
        <v>418.711575561591</v>
      </c>
      <c r="AM245" s="10" t="str">
        <f>IF(AK245&lt;=AL245,"CUMPLE","NO CUMPLE")</f>
        <v>CUMPLE</v>
      </c>
      <c r="AN245" s="15" t="inlineStr">
        <is>
          <t>Nº3 cerrado</t>
        </is>
      </c>
      <c r="AO245" s="17" t="n">
        <v>2</v>
      </c>
      <c r="AP245" s="10">
        <f>ROUNDDOWN(MIN(IF(AK245=0,1000000000,AO245*'Parametros'!$B$11*'Parametros'!$B$4*MIN(U245,AB245)/(AK245*1000)),IF(AV245=0,1000000000,'Parametros'!$B$11/AV245),MIN(U245,AB245)/4,8*'Parametros'!$B$12,24*'Parametros'!$B$9,300)/10,0)*10</f>
        <v>80</v>
      </c>
      <c r="AQ245" s="10">
        <f>ROUNDDOWN(MIN(IF(AK245=0,1000000000,AO245*'Parametros'!$B$11*'Parametros'!$B$4*MIN(U245,AB245)/(AK245*1000)),IF(AV245=0,1000000000,'Parametros'!$B$11/AV245),MIN(U245,AB245)/2,600)/10,0)*10</f>
        <v>170</v>
      </c>
      <c r="AR245" s="10">
        <f>'Parametros'!$B$6*(AJ245+AO245*'Parametros'!$B$11*'Parametros'!$B$4*MIN(U245,AB245)/AP245/1000)</f>
        <v>272.415732210762</v>
      </c>
      <c r="AS245" s="10" t="str">
        <f>IF(AND(AM245="CUMPLE",AR245&gt;=AI245),"CUMPLE","NO CUMPLE")</f>
        <v>CUMPLE</v>
      </c>
      <c r="AT245" s="10">
        <f>'Parametros'!$B$6*0.083*SQRT('Parametros'!$B$2)*(H245*I245)^2/(2*(H245+I245))/1000000</f>
        <v>4.30410823283988</v>
      </c>
      <c r="AU245" s="10" t="str">
        <f>IF(Q245&lt;=AT245,"DESPRECIABLE","DISEÑAR")</f>
        <v>DESPRECIABLE</v>
      </c>
      <c r="AV245" s="10">
        <f>IF(Q245&lt;=AT245,0,Q245*1000000/('Parametros'!$B$6*2*0.85*(H245-2*'Parametros'!$B$7)*(I245-2*'Parametros'!$B$7)*'Parametros'!$B$4))</f>
        <v>0</v>
      </c>
      <c r="AW245" s="10">
        <f>AV245*2*((H245-2*'Parametros'!$B$7)+(I245-2*'Parametros'!$B$7))*'Parametros'!$B$4/'Parametros'!$B$3</f>
        <v>0</v>
      </c>
      <c r="AX245" s="17" t="n">
        <v>0</v>
      </c>
      <c r="AY245" s="10" t="str">
        <f>IF(AV245=0,"DESPRECIABLE",IF('Parametros'!$B$11/AP245&gt;=AV245,"CUMPLE","NO CUMPLE"))</f>
        <v>DESPRECIABLE</v>
      </c>
      <c r="AZ245" s="10" t="str">
        <f>IF(AND(X245="CUMPLE",AE245="CUMPLE",AS245="CUMPLE",OR(AY245="CUMPLE",AY245="DESPRECIABLE")),IF(OR(F245&lt;&gt;H245,G245&lt;&gt;I245),"CUMPLE - REANALIZAR SAP","CUMPLE"),"NO CUMPLE")</f>
        <v>CUMPLE</v>
      </c>
    </row>
    <row r="246">
      <c r="A246" s="24" t="inlineStr">
        <is>
          <t>VR1</t>
        </is>
      </c>
      <c r="B246" s="24" t="inlineStr">
        <is>
          <t>203</t>
        </is>
      </c>
      <c r="C246" s="10" t="n">
        <v>1</v>
      </c>
      <c r="D246" s="10" t="n">
        <v>2.6</v>
      </c>
      <c r="E246" s="10" t="n">
        <v>2.6</v>
      </c>
      <c r="F246" s="10" t="n">
        <v>350</v>
      </c>
      <c r="G246" s="10" t="n">
        <v>400</v>
      </c>
      <c r="H246" s="15" t="n">
        <v>350</v>
      </c>
      <c r="I246" s="15" t="n">
        <v>400</v>
      </c>
      <c r="J246" s="16" t="n">
        <v>104.4485</v>
      </c>
      <c r="K246" s="10" t="inlineStr">
        <is>
          <t>203</t>
        </is>
      </c>
      <c r="L246" s="16" t="n">
        <v>76.6007</v>
      </c>
      <c r="M246" s="10" t="inlineStr">
        <is>
          <t>203</t>
        </is>
      </c>
      <c r="N246" s="16" t="n">
        <v>106.977</v>
      </c>
      <c r="O246" s="16" t="n">
        <v>368.18</v>
      </c>
      <c r="P246" s="10" t="inlineStr">
        <is>
          <t>203</t>
        </is>
      </c>
      <c r="Q246" s="16" t="n">
        <v>0.4985</v>
      </c>
      <c r="R246" s="10">
        <f>MAX(MAX(1.4/'Parametros'!$B$3,0.25*SQRT('Parametros'!$B$2)/'Parametros'!$B$3)*H246*U246,(0.85*'Parametros'!$B$2/'Parametros'!$B$3)*(1-SQRT(1-2*(J246*1000000/('Parametros'!$B$5*H246*U246^2))/(0.85*'Parametros'!$B$2)))*H246*U246)</f>
        <v>861.240688840873</v>
      </c>
      <c r="S246" s="17" t="n">
        <v>5</v>
      </c>
      <c r="T246" s="18" t="n">
        <v>1</v>
      </c>
      <c r="U246" s="10">
        <f>IF(T246=1,I246-('Parametros'!$B$7+'Parametros'!$B$9+'Parametros'!$B$12/2),I246-(ROUNDUP(S246/2,0)*('Parametros'!$B$7+'Parametros'!$B$9+'Parametros'!$B$12/2)+ROUNDDOWN(S246/2,0)*('Parametros'!$B$7+'Parametros'!$B$9+'Parametros'!$B$12/2+'Parametros'!$B$12+'Parametros'!$B$10))/S246)</f>
        <v>342.55</v>
      </c>
      <c r="V246" s="10">
        <f>S246*'Parametros'!$B$8</f>
        <v>995</v>
      </c>
      <c r="W246" s="10">
        <f>'Parametros'!$B$5*V246*'Parametros'!$B$3*(U246-(V246*'Parametros'!$B$3/(0.85*'Parametros'!$B$2*H246))/2)/1000000</f>
        <v>119.402124617647</v>
      </c>
      <c r="X246" s="10" t="str">
        <f>IF(W246&gt;=J246,"CUMPLE","NO CUMPLE")</f>
        <v>CUMPLE</v>
      </c>
      <c r="Y246" s="10">
        <f>MAX(MAX(1.4/'Parametros'!$B$3,0.25*SQRT('Parametros'!$B$2)/'Parametros'!$B$3)*H246*AB246,(0.85*'Parametros'!$B$2/'Parametros'!$B$3)*(1-SQRT(1-2*(L246*1000000/('Parametros'!$B$5*H246*AB246^2))/(0.85*'Parametros'!$B$2)))*H246*AB246)</f>
        <v>619.862222393789</v>
      </c>
      <c r="Z246" s="17" t="n">
        <v>4</v>
      </c>
      <c r="AA246" s="18" t="n">
        <v>1</v>
      </c>
      <c r="AB246" s="10">
        <f>IF(AA246=1,I246-('Parametros'!$B$7+'Parametros'!$B$9+'Parametros'!$B$12/2),I246-(ROUNDUP(Z246/2,0)*('Parametros'!$B$7+'Parametros'!$B$9+'Parametros'!$B$12/2)+ROUNDDOWN(Z246/2,0)*('Parametros'!$B$7+'Parametros'!$B$9+'Parametros'!$B$12/2+'Parametros'!$B$12+'Parametros'!$B$10))/Z246)</f>
        <v>342.55</v>
      </c>
      <c r="AC246" s="10">
        <f>Z246*'Parametros'!$B$8</f>
        <v>796</v>
      </c>
      <c r="AD246" s="10">
        <f>'Parametros'!$B$5*AC246*'Parametros'!$B$3*(AB246-(AC246*'Parametros'!$B$3/(0.85*'Parametros'!$B$2*H246))/2)/1000000</f>
        <v>97.0311966352941</v>
      </c>
      <c r="AE246" s="10" t="str">
        <f>IF(AD246&gt;=L246,"CUMPLE","NO CUMPLE")</f>
        <v>CUMPLE</v>
      </c>
      <c r="AF246" s="10">
        <f>V246*1.25*'Parametros'!$B$3*(U246-(V246*1.25*'Parametros'!$B$3/(0.85*'Parametros'!$B$2*H246))/2)/1000000</f>
        <v>162.560466176471</v>
      </c>
      <c r="AG246" s="10">
        <f>AC246*1.25*'Parametros'!$B$3*(AB246-(AC246*1.25*'Parametros'!$B$3/(0.85*'Parametros'!$B$2*H246))/2)/1000000</f>
        <v>132.669027352941</v>
      </c>
      <c r="AH246" s="10">
        <f>N246+(AF246+AG246)/D246</f>
        <v>220.52680520362</v>
      </c>
      <c r="AI246" s="10">
        <f>MIN(O246,MAX(N246,AH246))</f>
        <v>220.52680520362</v>
      </c>
      <c r="AJ246" s="10">
        <f>0.17*SQRT('Parametros'!$B$2)*H246*MIN(U246,AB246)/1000</f>
        <v>107.849951281016</v>
      </c>
      <c r="AK246" s="10">
        <f>MAX(AI246/'Parametros'!$B$6-AJ246,0)</f>
        <v>186.185788990477</v>
      </c>
      <c r="AL246" s="10">
        <f>0.66*SQRT('Parametros'!$B$2)*H246*MIN(U246,AB246)/1000</f>
        <v>418.711575561591</v>
      </c>
      <c r="AM246" s="10" t="str">
        <f>IF(AK246&lt;=AL246,"CUMPLE","NO CUMPLE")</f>
        <v>CUMPLE</v>
      </c>
      <c r="AN246" s="15" t="inlineStr">
        <is>
          <t>Nº3 cerrado</t>
        </is>
      </c>
      <c r="AO246" s="17" t="n">
        <v>2</v>
      </c>
      <c r="AP246" s="10">
        <f>ROUNDDOWN(MIN(IF(AK246=0,1000000000,AO246*'Parametros'!$B$11*'Parametros'!$B$4*MIN(U246,AB246)/(AK246*1000)),IF(AV246=0,1000000000,'Parametros'!$B$11/AV246),MIN(U246,AB246)/4,8*'Parametros'!$B$12,24*'Parametros'!$B$9,300)/10,0)*10</f>
        <v>80</v>
      </c>
      <c r="AQ246" s="10">
        <f>ROUNDDOWN(MIN(IF(AK246=0,1000000000,AO246*'Parametros'!$B$11*'Parametros'!$B$4*MIN(U246,AB246)/(AK246*1000)),IF(AV246=0,1000000000,'Parametros'!$B$11/AV246),MIN(U246,AB246)/2,600)/10,0)*10</f>
        <v>100</v>
      </c>
      <c r="AR246" s="10">
        <f>'Parametros'!$B$6*(AJ246+AO246*'Parametros'!$B$11*'Parametros'!$B$4*MIN(U246,AB246)/AP246/1000)</f>
        <v>272.415732210762</v>
      </c>
      <c r="AS246" s="10" t="str">
        <f>IF(AND(AM246="CUMPLE",AR246&gt;=AI246),"CUMPLE","NO CUMPLE")</f>
        <v>CUMPLE</v>
      </c>
      <c r="AT246" s="10">
        <f>'Parametros'!$B$6*0.083*SQRT('Parametros'!$B$2)*(H246*I246)^2/(2*(H246+I246))/1000000</f>
        <v>4.30410823283988</v>
      </c>
      <c r="AU246" s="10" t="str">
        <f>IF(Q246&lt;=AT246,"DESPRECIABLE","DISEÑAR")</f>
        <v>DESPRECIABLE</v>
      </c>
      <c r="AV246" s="10">
        <f>IF(Q246&lt;=AT246,0,Q246*1000000/('Parametros'!$B$6*2*0.85*(H246-2*'Parametros'!$B$7)*(I246-2*'Parametros'!$B$7)*'Parametros'!$B$4))</f>
        <v>0</v>
      </c>
      <c r="AW246" s="10">
        <f>AV246*2*((H246-2*'Parametros'!$B$7)+(I246-2*'Parametros'!$B$7))*'Parametros'!$B$4/'Parametros'!$B$3</f>
        <v>0</v>
      </c>
      <c r="AX246" s="17" t="n">
        <v>0</v>
      </c>
      <c r="AY246" s="10" t="str">
        <f>IF(AV246=0,"DESPRECIABLE",IF('Parametros'!$B$11/AP246&gt;=AV246,"CUMPLE","NO CUMPLE"))</f>
        <v>DESPRECIABLE</v>
      </c>
      <c r="AZ246" s="10" t="str">
        <f>IF(AND(X246="CUMPLE",AE246="CUMPLE",AS246="CUMPLE",OR(AY246="CUMPLE",AY246="DESPRECIABLE")),IF(OR(F246&lt;&gt;H246,G246&lt;&gt;I246),"CUMPLE - REANALIZAR SAP","CUMPLE"),"NO CUMPLE")</f>
        <v>CUMPLE</v>
      </c>
    </row>
    <row r="247">
      <c r="A247" s="24" t="inlineStr">
        <is>
          <t>VR1</t>
        </is>
      </c>
      <c r="B247" s="24" t="inlineStr">
        <is>
          <t>204</t>
        </is>
      </c>
      <c r="C247" s="10" t="n">
        <v>1</v>
      </c>
      <c r="D247" s="10" t="n">
        <v>2.5</v>
      </c>
      <c r="E247" s="10" t="n">
        <v>2.5</v>
      </c>
      <c r="F247" s="10" t="n">
        <v>350</v>
      </c>
      <c r="G247" s="10" t="n">
        <v>400</v>
      </c>
      <c r="H247" s="15" t="n">
        <v>350</v>
      </c>
      <c r="I247" s="15" t="n">
        <v>400</v>
      </c>
      <c r="J247" s="16" t="n">
        <v>109.1842</v>
      </c>
      <c r="K247" s="10" t="inlineStr">
        <is>
          <t>204</t>
        </is>
      </c>
      <c r="L247" s="16" t="n">
        <v>83.0316</v>
      </c>
      <c r="M247" s="10" t="inlineStr">
        <is>
          <t>204</t>
        </is>
      </c>
      <c r="N247" s="16" t="n">
        <v>112.677</v>
      </c>
      <c r="O247" s="16" t="n">
        <v>401.341</v>
      </c>
      <c r="P247" s="10" t="inlineStr">
        <is>
          <t>204</t>
        </is>
      </c>
      <c r="Q247" s="16" t="n">
        <v>0.4785</v>
      </c>
      <c r="R247" s="10">
        <f>MAX(MAX(1.4/'Parametros'!$B$3,0.25*SQRT('Parametros'!$B$2)/'Parametros'!$B$3)*H247*U247,(0.85*'Parametros'!$B$2/'Parametros'!$B$3)*(1-SQRT(1-2*(J247*1000000/('Parametros'!$B$5*H247*U247^2))/(0.85*'Parametros'!$B$2)))*H247*U247)</f>
        <v>903.27261151449</v>
      </c>
      <c r="S247" s="17" t="n">
        <v>5</v>
      </c>
      <c r="T247" s="18" t="n">
        <v>1</v>
      </c>
      <c r="U247" s="10">
        <f>IF(T247=1,I247-('Parametros'!$B$7+'Parametros'!$B$9+'Parametros'!$B$12/2),I247-(ROUNDUP(S247/2,0)*('Parametros'!$B$7+'Parametros'!$B$9+'Parametros'!$B$12/2)+ROUNDDOWN(S247/2,0)*('Parametros'!$B$7+'Parametros'!$B$9+'Parametros'!$B$12/2+'Parametros'!$B$12+'Parametros'!$B$10))/S247)</f>
        <v>342.55</v>
      </c>
      <c r="V247" s="10">
        <f>S247*'Parametros'!$B$8</f>
        <v>995</v>
      </c>
      <c r="W247" s="10">
        <f>'Parametros'!$B$5*V247*'Parametros'!$B$3*(U247-(V247*'Parametros'!$B$3/(0.85*'Parametros'!$B$2*H247))/2)/1000000</f>
        <v>119.402124617647</v>
      </c>
      <c r="X247" s="10" t="str">
        <f>IF(W247&gt;=J247,"CUMPLE","NO CUMPLE")</f>
        <v>CUMPLE</v>
      </c>
      <c r="Y247" s="10">
        <f>MAX(MAX(1.4/'Parametros'!$B$3,0.25*SQRT('Parametros'!$B$2)/'Parametros'!$B$3)*H247*AB247,(0.85*'Parametros'!$B$2/'Parametros'!$B$3)*(1-SQRT(1-2*(L247*1000000/('Parametros'!$B$5*H247*AB247^2))/(0.85*'Parametros'!$B$2)))*H247*AB247)</f>
        <v>674.758241274509</v>
      </c>
      <c r="Z247" s="17" t="n">
        <v>4</v>
      </c>
      <c r="AA247" s="18" t="n">
        <v>1</v>
      </c>
      <c r="AB247" s="10">
        <f>IF(AA247=1,I247-('Parametros'!$B$7+'Parametros'!$B$9+'Parametros'!$B$12/2),I247-(ROUNDUP(Z247/2,0)*('Parametros'!$B$7+'Parametros'!$B$9+'Parametros'!$B$12/2)+ROUNDDOWN(Z247/2,0)*('Parametros'!$B$7+'Parametros'!$B$9+'Parametros'!$B$12/2+'Parametros'!$B$12+'Parametros'!$B$10))/Z247)</f>
        <v>342.55</v>
      </c>
      <c r="AC247" s="10">
        <f>Z247*'Parametros'!$B$8</f>
        <v>796</v>
      </c>
      <c r="AD247" s="10">
        <f>'Parametros'!$B$5*AC247*'Parametros'!$B$3*(AB247-(AC247*'Parametros'!$B$3/(0.85*'Parametros'!$B$2*H247))/2)/1000000</f>
        <v>97.0311966352941</v>
      </c>
      <c r="AE247" s="10" t="str">
        <f>IF(AD247&gt;=L247,"CUMPLE","NO CUMPLE")</f>
        <v>CUMPLE</v>
      </c>
      <c r="AF247" s="10">
        <f>V247*1.25*'Parametros'!$B$3*(U247-(V247*1.25*'Parametros'!$B$3/(0.85*'Parametros'!$B$2*H247))/2)/1000000</f>
        <v>162.560466176471</v>
      </c>
      <c r="AG247" s="10">
        <f>AC247*1.25*'Parametros'!$B$3*(AB247-(AC247*1.25*'Parametros'!$B$3/(0.85*'Parametros'!$B$2*H247))/2)/1000000</f>
        <v>132.669027352941</v>
      </c>
      <c r="AH247" s="10">
        <f>N247+(AF247+AG247)/D247</f>
        <v>230.768797411765</v>
      </c>
      <c r="AI247" s="10">
        <f>MIN(O247,MAX(N247,AH247))</f>
        <v>230.768797411765</v>
      </c>
      <c r="AJ247" s="10">
        <f>0.17*SQRT('Parametros'!$B$2)*H247*MIN(U247,AB247)/1000</f>
        <v>107.849951281016</v>
      </c>
      <c r="AK247" s="10">
        <f>MAX(AI247/'Parametros'!$B$6-AJ247,0)</f>
        <v>199.841778601337</v>
      </c>
      <c r="AL247" s="10">
        <f>0.66*SQRT('Parametros'!$B$2)*H247*MIN(U247,AB247)/1000</f>
        <v>418.711575561591</v>
      </c>
      <c r="AM247" s="10" t="str">
        <f>IF(AK247&lt;=AL247,"CUMPLE","NO CUMPLE")</f>
        <v>CUMPLE</v>
      </c>
      <c r="AN247" s="15" t="inlineStr">
        <is>
          <t>Nº3 cerrado</t>
        </is>
      </c>
      <c r="AO247" s="17" t="n">
        <v>2</v>
      </c>
      <c r="AP247" s="10">
        <f>ROUNDDOWN(MIN(IF(AK247=0,1000000000,AO247*'Parametros'!$B$11*'Parametros'!$B$4*MIN(U247,AB247)/(AK247*1000)),IF(AV247=0,1000000000,'Parametros'!$B$11/AV247),MIN(U247,AB247)/4,8*'Parametros'!$B$12,24*'Parametros'!$B$9,300)/10,0)*10</f>
        <v>80</v>
      </c>
      <c r="AQ247" s="10">
        <f>ROUNDDOWN(MIN(IF(AK247=0,1000000000,AO247*'Parametros'!$B$11*'Parametros'!$B$4*MIN(U247,AB247)/(AK247*1000)),IF(AV247=0,1000000000,'Parametros'!$B$11/AV247),MIN(U247,AB247)/2,600)/10,0)*10</f>
        <v>100</v>
      </c>
      <c r="AR247" s="10">
        <f>'Parametros'!$B$6*(AJ247+AO247*'Parametros'!$B$11*'Parametros'!$B$4*MIN(U247,AB247)/AP247/1000)</f>
        <v>272.415732210762</v>
      </c>
      <c r="AS247" s="10" t="str">
        <f>IF(AND(AM247="CUMPLE",AR247&gt;=AI247),"CUMPLE","NO CUMPLE")</f>
        <v>CUMPLE</v>
      </c>
      <c r="AT247" s="10">
        <f>'Parametros'!$B$6*0.083*SQRT('Parametros'!$B$2)*(H247*I247)^2/(2*(H247+I247))/1000000</f>
        <v>4.30410823283988</v>
      </c>
      <c r="AU247" s="10" t="str">
        <f>IF(Q247&lt;=AT247,"DESPRECIABLE","DISEÑAR")</f>
        <v>DESPRECIABLE</v>
      </c>
      <c r="AV247" s="10">
        <f>IF(Q247&lt;=AT247,0,Q247*1000000/('Parametros'!$B$6*2*0.85*(H247-2*'Parametros'!$B$7)*(I247-2*'Parametros'!$B$7)*'Parametros'!$B$4))</f>
        <v>0</v>
      </c>
      <c r="AW247" s="10">
        <f>AV247*2*((H247-2*'Parametros'!$B$7)+(I247-2*'Parametros'!$B$7))*'Parametros'!$B$4/'Parametros'!$B$3</f>
        <v>0</v>
      </c>
      <c r="AX247" s="17" t="n">
        <v>0</v>
      </c>
      <c r="AY247" s="10" t="str">
        <f>IF(AV247=0,"DESPRECIABLE",IF('Parametros'!$B$11/AP247&gt;=AV247,"CUMPLE","NO CUMPLE"))</f>
        <v>DESPRECIABLE</v>
      </c>
      <c r="AZ247" s="10" t="str">
        <f>IF(AND(X247="CUMPLE",AE247="CUMPLE",AS247="CUMPLE",OR(AY247="CUMPLE",AY247="DESPRECIABLE")),IF(OR(F247&lt;&gt;H247,G247&lt;&gt;I247),"CUMPLE - REANALIZAR SAP","CUMPLE"),"NO CUMPLE")</f>
        <v>CUMPLE</v>
      </c>
    </row>
    <row r="248">
      <c r="A248" s="24" t="inlineStr">
        <is>
          <t>VR1</t>
        </is>
      </c>
      <c r="B248" s="24" t="inlineStr">
        <is>
          <t>205</t>
        </is>
      </c>
      <c r="C248" s="10" t="n">
        <v>1</v>
      </c>
      <c r="D248" s="10" t="n">
        <v>4</v>
      </c>
      <c r="E248" s="10" t="n">
        <v>4</v>
      </c>
      <c r="F248" s="10" t="n">
        <v>350</v>
      </c>
      <c r="G248" s="10" t="n">
        <v>400</v>
      </c>
      <c r="H248" s="15" t="n">
        <v>350</v>
      </c>
      <c r="I248" s="15" t="n">
        <v>400</v>
      </c>
      <c r="J248" s="16" t="n">
        <v>111.7679</v>
      </c>
      <c r="K248" s="10" t="inlineStr">
        <is>
          <t>205</t>
        </is>
      </c>
      <c r="L248" s="16" t="n">
        <v>45.1257</v>
      </c>
      <c r="M248" s="10" t="inlineStr">
        <is>
          <t>205</t>
        </is>
      </c>
      <c r="N248" s="16" t="n">
        <v>98.39400000000001</v>
      </c>
      <c r="O248" s="16" t="n">
        <v>217.035</v>
      </c>
      <c r="P248" s="10" t="inlineStr">
        <is>
          <t>205</t>
        </is>
      </c>
      <c r="Q248" s="16" t="n">
        <v>3.6197</v>
      </c>
      <c r="R248" s="10">
        <f>MAX(MAX(1.4/'Parametros'!$B$3,0.25*SQRT('Parametros'!$B$2)/'Parametros'!$B$3)*H248*U248,(0.85*'Parametros'!$B$2/'Parametros'!$B$3)*(1-SQRT(1-2*(J248*1000000/('Parametros'!$B$5*H248*U248^2))/(0.85*'Parametros'!$B$2)))*H248*U248)</f>
        <v>926.331304028773</v>
      </c>
      <c r="S248" s="17" t="n">
        <v>5</v>
      </c>
      <c r="T248" s="18" t="n">
        <v>1</v>
      </c>
      <c r="U248" s="10">
        <f>IF(T248=1,I248-('Parametros'!$B$7+'Parametros'!$B$9+'Parametros'!$B$12/2),I248-(ROUNDUP(S248/2,0)*('Parametros'!$B$7+'Parametros'!$B$9+'Parametros'!$B$12/2)+ROUNDDOWN(S248/2,0)*('Parametros'!$B$7+'Parametros'!$B$9+'Parametros'!$B$12/2+'Parametros'!$B$12+'Parametros'!$B$10))/S248)</f>
        <v>342.55</v>
      </c>
      <c r="V248" s="10">
        <f>S248*'Parametros'!$B$8</f>
        <v>995</v>
      </c>
      <c r="W248" s="10">
        <f>'Parametros'!$B$5*V248*'Parametros'!$B$3*(U248-(V248*'Parametros'!$B$3/(0.85*'Parametros'!$B$2*H248))/2)/1000000</f>
        <v>119.402124617647</v>
      </c>
      <c r="X248" s="10" t="str">
        <f>IF(W248&gt;=J248,"CUMPLE","NO CUMPLE")</f>
        <v>CUMPLE</v>
      </c>
      <c r="Y248" s="10">
        <f>MAX(MAX(1.4/'Parametros'!$B$3,0.25*SQRT('Parametros'!$B$2)/'Parametros'!$B$3)*H248*AB248,(0.85*'Parametros'!$B$2/'Parametros'!$B$3)*(1-SQRT(1-2*(L248*1000000/('Parametros'!$B$5*H248*AB248^2))/(0.85*'Parametros'!$B$2)))*H248*AB248)</f>
        <v>399.641666666667</v>
      </c>
      <c r="Z248" s="17" t="n">
        <v>3</v>
      </c>
      <c r="AA248" s="18" t="n">
        <v>1</v>
      </c>
      <c r="AB248" s="10">
        <f>IF(AA248=1,I248-('Parametros'!$B$7+'Parametros'!$B$9+'Parametros'!$B$12/2),I248-(ROUNDUP(Z248/2,0)*('Parametros'!$B$7+'Parametros'!$B$9+'Parametros'!$B$12/2)+ROUNDDOWN(Z248/2,0)*('Parametros'!$B$7+'Parametros'!$B$9+'Parametros'!$B$12/2+'Parametros'!$B$12+'Parametros'!$B$10))/Z248)</f>
        <v>342.55</v>
      </c>
      <c r="AC248" s="10">
        <f>Z248*'Parametros'!$B$8</f>
        <v>597</v>
      </c>
      <c r="AD248" s="10">
        <f>'Parametros'!$B$5*AC248*'Parametros'!$B$3*(AB248-(AC248*'Parametros'!$B$3/(0.85*'Parametros'!$B$2*H248))/2)/1000000</f>
        <v>73.905520182353</v>
      </c>
      <c r="AE248" s="10" t="str">
        <f>IF(AD248&gt;=L248,"CUMPLE","NO CUMPLE")</f>
        <v>CUMPLE</v>
      </c>
      <c r="AF248" s="10">
        <f>V248*1.25*'Parametros'!$B$3*(U248-(V248*1.25*'Parametros'!$B$3/(0.85*'Parametros'!$B$2*H248))/2)/1000000</f>
        <v>162.560466176471</v>
      </c>
      <c r="AG248" s="10">
        <f>AC248*1.25*'Parametros'!$B$3*(AB248-(AC248*1.25*'Parametros'!$B$3/(0.85*'Parametros'!$B$2*H248))/2)/1000000</f>
        <v>101.467261323529</v>
      </c>
      <c r="AH248" s="10">
        <f>N248+(AF248+AG248)/D248</f>
        <v>164.400931875</v>
      </c>
      <c r="AI248" s="10">
        <f>MIN(O248,MAX(N248,AH248))</f>
        <v>164.400931875</v>
      </c>
      <c r="AJ248" s="10">
        <f>0.17*SQRT('Parametros'!$B$2)*H248*MIN(U248,AB248)/1000</f>
        <v>107.849951281016</v>
      </c>
      <c r="AK248" s="10">
        <f>MAX(AI248/'Parametros'!$B$6-AJ248,0)</f>
        <v>111.351291218984</v>
      </c>
      <c r="AL248" s="10">
        <f>0.66*SQRT('Parametros'!$B$2)*H248*MIN(U248,AB248)/1000</f>
        <v>418.711575561591</v>
      </c>
      <c r="AM248" s="10" t="str">
        <f>IF(AK248&lt;=AL248,"CUMPLE","NO CUMPLE")</f>
        <v>CUMPLE</v>
      </c>
      <c r="AN248" s="15" t="inlineStr">
        <is>
          <t>Nº3 cerrado</t>
        </is>
      </c>
      <c r="AO248" s="17" t="n">
        <v>2</v>
      </c>
      <c r="AP248" s="10">
        <f>ROUNDDOWN(MIN(IF(AK248=0,1000000000,AO248*'Parametros'!$B$11*'Parametros'!$B$4*MIN(U248,AB248)/(AK248*1000)),IF(AV248=0,1000000000,'Parametros'!$B$11/AV248),MIN(U248,AB248)/4,8*'Parametros'!$B$12,24*'Parametros'!$B$9,300)/10,0)*10</f>
        <v>80</v>
      </c>
      <c r="AQ248" s="10">
        <f>ROUNDDOWN(MIN(IF(AK248=0,1000000000,AO248*'Parametros'!$B$11*'Parametros'!$B$4*MIN(U248,AB248)/(AK248*1000)),IF(AV248=0,1000000000,'Parametros'!$B$11/AV248),MIN(U248,AB248)/2,600)/10,0)*10</f>
        <v>170</v>
      </c>
      <c r="AR248" s="10">
        <f>'Parametros'!$B$6*(AJ248+AO248*'Parametros'!$B$11*'Parametros'!$B$4*MIN(U248,AB248)/AP248/1000)</f>
        <v>272.415732210762</v>
      </c>
      <c r="AS248" s="10" t="str">
        <f>IF(AND(AM248="CUMPLE",AR248&gt;=AI248),"CUMPLE","NO CUMPLE")</f>
        <v>CUMPLE</v>
      </c>
      <c r="AT248" s="10">
        <f>'Parametros'!$B$6*0.083*SQRT('Parametros'!$B$2)*(H248*I248)^2/(2*(H248+I248))/1000000</f>
        <v>4.30410823283988</v>
      </c>
      <c r="AU248" s="10" t="str">
        <f>IF(Q248&lt;=AT248,"DESPRECIABLE","DISEÑAR")</f>
        <v>DESPRECIABLE</v>
      </c>
      <c r="AV248" s="10">
        <f>IF(Q248&lt;=AT248,0,Q248*1000000/('Parametros'!$B$6*2*0.85*(H248-2*'Parametros'!$B$7)*(I248-2*'Parametros'!$B$7)*'Parametros'!$B$4))</f>
        <v>0</v>
      </c>
      <c r="AW248" s="10">
        <f>AV248*2*((H248-2*'Parametros'!$B$7)+(I248-2*'Parametros'!$B$7))*'Parametros'!$B$4/'Parametros'!$B$3</f>
        <v>0</v>
      </c>
      <c r="AX248" s="17" t="n">
        <v>0</v>
      </c>
      <c r="AY248" s="10" t="str">
        <f>IF(AV248=0,"DESPRECIABLE",IF('Parametros'!$B$11/AP248&gt;=AV248,"CUMPLE","NO CUMPLE"))</f>
        <v>DESPRECIABLE</v>
      </c>
      <c r="AZ248" s="10" t="str">
        <f>IF(AND(X248="CUMPLE",AE248="CUMPLE",AS248="CUMPLE",OR(AY248="CUMPLE",AY248="DESPRECIABLE")),IF(OR(F248&lt;&gt;H248,G248&lt;&gt;I248),"CUMPLE - REANALIZAR SAP","CUMPLE"),"NO CUMPLE")</f>
        <v>CUMPLE</v>
      </c>
    </row>
    <row r="249">
      <c r="A249" s="24" t="inlineStr">
        <is>
          <t>VR1</t>
        </is>
      </c>
      <c r="B249" s="24" t="inlineStr">
        <is>
          <t>206</t>
        </is>
      </c>
      <c r="C249" s="10" t="n">
        <v>1</v>
      </c>
      <c r="D249" s="10" t="n">
        <v>4</v>
      </c>
      <c r="E249" s="10" t="n">
        <v>4</v>
      </c>
      <c r="F249" s="10" t="n">
        <v>350</v>
      </c>
      <c r="G249" s="10" t="n">
        <v>400</v>
      </c>
      <c r="H249" s="15" t="n">
        <v>350</v>
      </c>
      <c r="I249" s="15" t="n">
        <v>400</v>
      </c>
      <c r="J249" s="16" t="n">
        <v>111.8074</v>
      </c>
      <c r="K249" s="10" t="inlineStr">
        <is>
          <t>206</t>
        </is>
      </c>
      <c r="L249" s="16" t="n">
        <v>45.1448</v>
      </c>
      <c r="M249" s="10" t="inlineStr">
        <is>
          <t>206</t>
        </is>
      </c>
      <c r="N249" s="16" t="n">
        <v>98.413</v>
      </c>
      <c r="O249" s="16" t="n">
        <v>217.072</v>
      </c>
      <c r="P249" s="10" t="inlineStr">
        <is>
          <t>206</t>
        </is>
      </c>
      <c r="Q249" s="16" t="n">
        <v>3.6338</v>
      </c>
      <c r="R249" s="10">
        <f>MAX(MAX(1.4/'Parametros'!$B$3,0.25*SQRT('Parametros'!$B$2)/'Parametros'!$B$3)*H249*U249,(0.85*'Parametros'!$B$2/'Parametros'!$B$3)*(1-SQRT(1-2*(J249*1000000/('Parametros'!$B$5*H249*U249^2))/(0.85*'Parametros'!$B$2)))*H249*U249)</f>
        <v>926.684532156653</v>
      </c>
      <c r="S249" s="17" t="n">
        <v>5</v>
      </c>
      <c r="T249" s="18" t="n">
        <v>1</v>
      </c>
      <c r="U249" s="10">
        <f>IF(T249=1,I249-('Parametros'!$B$7+'Parametros'!$B$9+'Parametros'!$B$12/2),I249-(ROUNDUP(S249/2,0)*('Parametros'!$B$7+'Parametros'!$B$9+'Parametros'!$B$12/2)+ROUNDDOWN(S249/2,0)*('Parametros'!$B$7+'Parametros'!$B$9+'Parametros'!$B$12/2+'Parametros'!$B$12+'Parametros'!$B$10))/S249)</f>
        <v>342.55</v>
      </c>
      <c r="V249" s="10">
        <f>S249*'Parametros'!$B$8</f>
        <v>995</v>
      </c>
      <c r="W249" s="10">
        <f>'Parametros'!$B$5*V249*'Parametros'!$B$3*(U249-(V249*'Parametros'!$B$3/(0.85*'Parametros'!$B$2*H249))/2)/1000000</f>
        <v>119.402124617647</v>
      </c>
      <c r="X249" s="10" t="str">
        <f>IF(W249&gt;=J249,"CUMPLE","NO CUMPLE")</f>
        <v>CUMPLE</v>
      </c>
      <c r="Y249" s="10">
        <f>MAX(MAX(1.4/'Parametros'!$B$3,0.25*SQRT('Parametros'!$B$2)/'Parametros'!$B$3)*H249*AB249,(0.85*'Parametros'!$B$2/'Parametros'!$B$3)*(1-SQRT(1-2*(L249*1000000/('Parametros'!$B$5*H249*AB249^2))/(0.85*'Parametros'!$B$2)))*H249*AB249)</f>
        <v>399.641666666667</v>
      </c>
      <c r="Z249" s="17" t="n">
        <v>3</v>
      </c>
      <c r="AA249" s="18" t="n">
        <v>1</v>
      </c>
      <c r="AB249" s="10">
        <f>IF(AA249=1,I249-('Parametros'!$B$7+'Parametros'!$B$9+'Parametros'!$B$12/2),I249-(ROUNDUP(Z249/2,0)*('Parametros'!$B$7+'Parametros'!$B$9+'Parametros'!$B$12/2)+ROUNDDOWN(Z249/2,0)*('Parametros'!$B$7+'Parametros'!$B$9+'Parametros'!$B$12/2+'Parametros'!$B$12+'Parametros'!$B$10))/Z249)</f>
        <v>342.55</v>
      </c>
      <c r="AC249" s="10">
        <f>Z249*'Parametros'!$B$8</f>
        <v>597</v>
      </c>
      <c r="AD249" s="10">
        <f>'Parametros'!$B$5*AC249*'Parametros'!$B$3*(AB249-(AC249*'Parametros'!$B$3/(0.85*'Parametros'!$B$2*H249))/2)/1000000</f>
        <v>73.905520182353</v>
      </c>
      <c r="AE249" s="10" t="str">
        <f>IF(AD249&gt;=L249,"CUMPLE","NO CUMPLE")</f>
        <v>CUMPLE</v>
      </c>
      <c r="AF249" s="10">
        <f>V249*1.25*'Parametros'!$B$3*(U249-(V249*1.25*'Parametros'!$B$3/(0.85*'Parametros'!$B$2*H249))/2)/1000000</f>
        <v>162.560466176471</v>
      </c>
      <c r="AG249" s="10">
        <f>AC249*1.25*'Parametros'!$B$3*(AB249-(AC249*1.25*'Parametros'!$B$3/(0.85*'Parametros'!$B$2*H249))/2)/1000000</f>
        <v>101.467261323529</v>
      </c>
      <c r="AH249" s="10">
        <f>N249+(AF249+AG249)/D249</f>
        <v>164.419931875</v>
      </c>
      <c r="AI249" s="10">
        <f>MIN(O249,MAX(N249,AH249))</f>
        <v>164.419931875</v>
      </c>
      <c r="AJ249" s="10">
        <f>0.17*SQRT('Parametros'!$B$2)*H249*MIN(U249,AB249)/1000</f>
        <v>107.849951281016</v>
      </c>
      <c r="AK249" s="10">
        <f>MAX(AI249/'Parametros'!$B$6-AJ249,0)</f>
        <v>111.376624552317</v>
      </c>
      <c r="AL249" s="10">
        <f>0.66*SQRT('Parametros'!$B$2)*H249*MIN(U249,AB249)/1000</f>
        <v>418.711575561591</v>
      </c>
      <c r="AM249" s="10" t="str">
        <f>IF(AK249&lt;=AL249,"CUMPLE","NO CUMPLE")</f>
        <v>CUMPLE</v>
      </c>
      <c r="AN249" s="15" t="inlineStr">
        <is>
          <t>Nº3 cerrado</t>
        </is>
      </c>
      <c r="AO249" s="17" t="n">
        <v>2</v>
      </c>
      <c r="AP249" s="10">
        <f>ROUNDDOWN(MIN(IF(AK249=0,1000000000,AO249*'Parametros'!$B$11*'Parametros'!$B$4*MIN(U249,AB249)/(AK249*1000)),IF(AV249=0,1000000000,'Parametros'!$B$11/AV249),MIN(U249,AB249)/4,8*'Parametros'!$B$12,24*'Parametros'!$B$9,300)/10,0)*10</f>
        <v>80</v>
      </c>
      <c r="AQ249" s="10">
        <f>ROUNDDOWN(MIN(IF(AK249=0,1000000000,AO249*'Parametros'!$B$11*'Parametros'!$B$4*MIN(U249,AB249)/(AK249*1000)),IF(AV249=0,1000000000,'Parametros'!$B$11/AV249),MIN(U249,AB249)/2,600)/10,0)*10</f>
        <v>170</v>
      </c>
      <c r="AR249" s="10">
        <f>'Parametros'!$B$6*(AJ249+AO249*'Parametros'!$B$11*'Parametros'!$B$4*MIN(U249,AB249)/AP249/1000)</f>
        <v>272.415732210762</v>
      </c>
      <c r="AS249" s="10" t="str">
        <f>IF(AND(AM249="CUMPLE",AR249&gt;=AI249),"CUMPLE","NO CUMPLE")</f>
        <v>CUMPLE</v>
      </c>
      <c r="AT249" s="10">
        <f>'Parametros'!$B$6*0.083*SQRT('Parametros'!$B$2)*(H249*I249)^2/(2*(H249+I249))/1000000</f>
        <v>4.30410823283988</v>
      </c>
      <c r="AU249" s="10" t="str">
        <f>IF(Q249&lt;=AT249,"DESPRECIABLE","DISEÑAR")</f>
        <v>DESPRECIABLE</v>
      </c>
      <c r="AV249" s="10">
        <f>IF(Q249&lt;=AT249,0,Q249*1000000/('Parametros'!$B$6*2*0.85*(H249-2*'Parametros'!$B$7)*(I249-2*'Parametros'!$B$7)*'Parametros'!$B$4))</f>
        <v>0</v>
      </c>
      <c r="AW249" s="10">
        <f>AV249*2*((H249-2*'Parametros'!$B$7)+(I249-2*'Parametros'!$B$7))*'Parametros'!$B$4/'Parametros'!$B$3</f>
        <v>0</v>
      </c>
      <c r="AX249" s="17" t="n">
        <v>0</v>
      </c>
      <c r="AY249" s="10" t="str">
        <f>IF(AV249=0,"DESPRECIABLE",IF('Parametros'!$B$11/AP249&gt;=AV249,"CUMPLE","NO CUMPLE"))</f>
        <v>DESPRECIABLE</v>
      </c>
      <c r="AZ249" s="10" t="str">
        <f>IF(AND(X249="CUMPLE",AE249="CUMPLE",AS249="CUMPLE",OR(AY249="CUMPLE",AY249="DESPRECIABLE")),IF(OR(F249&lt;&gt;H249,G249&lt;&gt;I249),"CUMPLE - REANALIZAR SAP","CUMPLE"),"NO CUMPLE")</f>
        <v>CUMPLE</v>
      </c>
    </row>
    <row r="250">
      <c r="A250" s="24" t="inlineStr">
        <is>
          <t>VR1</t>
        </is>
      </c>
      <c r="B250" s="24" t="inlineStr">
        <is>
          <t>207</t>
        </is>
      </c>
      <c r="C250" s="10" t="n">
        <v>1</v>
      </c>
      <c r="D250" s="10" t="n">
        <v>2.5</v>
      </c>
      <c r="E250" s="10" t="n">
        <v>2.5</v>
      </c>
      <c r="F250" s="10" t="n">
        <v>350</v>
      </c>
      <c r="G250" s="10" t="n">
        <v>400</v>
      </c>
      <c r="H250" s="15" t="n">
        <v>350</v>
      </c>
      <c r="I250" s="15" t="n">
        <v>400</v>
      </c>
      <c r="J250" s="16" t="n">
        <v>109.2487</v>
      </c>
      <c r="K250" s="10" t="inlineStr">
        <is>
          <t>207</t>
        </is>
      </c>
      <c r="L250" s="16" t="n">
        <v>83.07299999999999</v>
      </c>
      <c r="M250" s="10" t="inlineStr">
        <is>
          <t>207</t>
        </is>
      </c>
      <c r="N250" s="16" t="n">
        <v>112.732</v>
      </c>
      <c r="O250" s="16" t="n">
        <v>401.401</v>
      </c>
      <c r="P250" s="10" t="inlineStr">
        <is>
          <t>207</t>
        </is>
      </c>
      <c r="Q250" s="16" t="n">
        <v>0.4783</v>
      </c>
      <c r="R250" s="10">
        <f>MAX(MAX(1.4/'Parametros'!$B$3,0.25*SQRT('Parametros'!$B$2)/'Parametros'!$B$3)*H250*U250,(0.85*'Parametros'!$B$2/'Parametros'!$B$3)*(1-SQRT(1-2*(J250*1000000/('Parametros'!$B$5*H250*U250^2))/(0.85*'Parametros'!$B$2)))*H250*U250)</f>
        <v>903.84715464854</v>
      </c>
      <c r="S250" s="17" t="n">
        <v>5</v>
      </c>
      <c r="T250" s="18" t="n">
        <v>1</v>
      </c>
      <c r="U250" s="10">
        <f>IF(T250=1,I250-('Parametros'!$B$7+'Parametros'!$B$9+'Parametros'!$B$12/2),I250-(ROUNDUP(S250/2,0)*('Parametros'!$B$7+'Parametros'!$B$9+'Parametros'!$B$12/2)+ROUNDDOWN(S250/2,0)*('Parametros'!$B$7+'Parametros'!$B$9+'Parametros'!$B$12/2+'Parametros'!$B$12+'Parametros'!$B$10))/S250)</f>
        <v>342.55</v>
      </c>
      <c r="V250" s="10">
        <f>S250*'Parametros'!$B$8</f>
        <v>995</v>
      </c>
      <c r="W250" s="10">
        <f>'Parametros'!$B$5*V250*'Parametros'!$B$3*(U250-(V250*'Parametros'!$B$3/(0.85*'Parametros'!$B$2*H250))/2)/1000000</f>
        <v>119.402124617647</v>
      </c>
      <c r="X250" s="10" t="str">
        <f>IF(W250&gt;=J250,"CUMPLE","NO CUMPLE")</f>
        <v>CUMPLE</v>
      </c>
      <c r="Y250" s="10">
        <f>MAX(MAX(1.4/'Parametros'!$B$3,0.25*SQRT('Parametros'!$B$2)/'Parametros'!$B$3)*H250*AB250,(0.85*'Parametros'!$B$2/'Parametros'!$B$3)*(1-SQRT(1-2*(L250*1000000/('Parametros'!$B$5*H250*AB250^2))/(0.85*'Parametros'!$B$2)))*H250*AB250)</f>
        <v>675.11323914207</v>
      </c>
      <c r="Z250" s="17" t="n">
        <v>4</v>
      </c>
      <c r="AA250" s="18" t="n">
        <v>1</v>
      </c>
      <c r="AB250" s="10">
        <f>IF(AA250=1,I250-('Parametros'!$B$7+'Parametros'!$B$9+'Parametros'!$B$12/2),I250-(ROUNDUP(Z250/2,0)*('Parametros'!$B$7+'Parametros'!$B$9+'Parametros'!$B$12/2)+ROUNDDOWN(Z250/2,0)*('Parametros'!$B$7+'Parametros'!$B$9+'Parametros'!$B$12/2+'Parametros'!$B$12+'Parametros'!$B$10))/Z250)</f>
        <v>342.55</v>
      </c>
      <c r="AC250" s="10">
        <f>Z250*'Parametros'!$B$8</f>
        <v>796</v>
      </c>
      <c r="AD250" s="10">
        <f>'Parametros'!$B$5*AC250*'Parametros'!$B$3*(AB250-(AC250*'Parametros'!$B$3/(0.85*'Parametros'!$B$2*H250))/2)/1000000</f>
        <v>97.0311966352941</v>
      </c>
      <c r="AE250" s="10" t="str">
        <f>IF(AD250&gt;=L250,"CUMPLE","NO CUMPLE")</f>
        <v>CUMPLE</v>
      </c>
      <c r="AF250" s="10">
        <f>V250*1.25*'Parametros'!$B$3*(U250-(V250*1.25*'Parametros'!$B$3/(0.85*'Parametros'!$B$2*H250))/2)/1000000</f>
        <v>162.560466176471</v>
      </c>
      <c r="AG250" s="10">
        <f>AC250*1.25*'Parametros'!$B$3*(AB250-(AC250*1.25*'Parametros'!$B$3/(0.85*'Parametros'!$B$2*H250))/2)/1000000</f>
        <v>132.669027352941</v>
      </c>
      <c r="AH250" s="10">
        <f>N250+(AF250+AG250)/D250</f>
        <v>230.823797411765</v>
      </c>
      <c r="AI250" s="10">
        <f>MIN(O250,MAX(N250,AH250))</f>
        <v>230.823797411765</v>
      </c>
      <c r="AJ250" s="10">
        <f>0.17*SQRT('Parametros'!$B$2)*H250*MIN(U250,AB250)/1000</f>
        <v>107.849951281016</v>
      </c>
      <c r="AK250" s="10">
        <f>MAX(AI250/'Parametros'!$B$6-AJ250,0)</f>
        <v>199.91511193467</v>
      </c>
      <c r="AL250" s="10">
        <f>0.66*SQRT('Parametros'!$B$2)*H250*MIN(U250,AB250)/1000</f>
        <v>418.711575561591</v>
      </c>
      <c r="AM250" s="10" t="str">
        <f>IF(AK250&lt;=AL250,"CUMPLE","NO CUMPLE")</f>
        <v>CUMPLE</v>
      </c>
      <c r="AN250" s="15" t="inlineStr">
        <is>
          <t>Nº3 cerrado</t>
        </is>
      </c>
      <c r="AO250" s="17" t="n">
        <v>2</v>
      </c>
      <c r="AP250" s="10">
        <f>ROUNDDOWN(MIN(IF(AK250=0,1000000000,AO250*'Parametros'!$B$11*'Parametros'!$B$4*MIN(U250,AB250)/(AK250*1000)),IF(AV250=0,1000000000,'Parametros'!$B$11/AV250),MIN(U250,AB250)/4,8*'Parametros'!$B$12,24*'Parametros'!$B$9,300)/10,0)*10</f>
        <v>80</v>
      </c>
      <c r="AQ250" s="10">
        <f>ROUNDDOWN(MIN(IF(AK250=0,1000000000,AO250*'Parametros'!$B$11*'Parametros'!$B$4*MIN(U250,AB250)/(AK250*1000)),IF(AV250=0,1000000000,'Parametros'!$B$11/AV250),MIN(U250,AB250)/2,600)/10,0)*10</f>
        <v>100</v>
      </c>
      <c r="AR250" s="10">
        <f>'Parametros'!$B$6*(AJ250+AO250*'Parametros'!$B$11*'Parametros'!$B$4*MIN(U250,AB250)/AP250/1000)</f>
        <v>272.415732210762</v>
      </c>
      <c r="AS250" s="10" t="str">
        <f>IF(AND(AM250="CUMPLE",AR250&gt;=AI250),"CUMPLE","NO CUMPLE")</f>
        <v>CUMPLE</v>
      </c>
      <c r="AT250" s="10">
        <f>'Parametros'!$B$6*0.083*SQRT('Parametros'!$B$2)*(H250*I250)^2/(2*(H250+I250))/1000000</f>
        <v>4.30410823283988</v>
      </c>
      <c r="AU250" s="10" t="str">
        <f>IF(Q250&lt;=AT250,"DESPRECIABLE","DISEÑAR")</f>
        <v>DESPRECIABLE</v>
      </c>
      <c r="AV250" s="10">
        <f>IF(Q250&lt;=AT250,0,Q250*1000000/('Parametros'!$B$6*2*0.85*(H250-2*'Parametros'!$B$7)*(I250-2*'Parametros'!$B$7)*'Parametros'!$B$4))</f>
        <v>0</v>
      </c>
      <c r="AW250" s="10">
        <f>AV250*2*((H250-2*'Parametros'!$B$7)+(I250-2*'Parametros'!$B$7))*'Parametros'!$B$4/'Parametros'!$B$3</f>
        <v>0</v>
      </c>
      <c r="AX250" s="17" t="n">
        <v>0</v>
      </c>
      <c r="AY250" s="10" t="str">
        <f>IF(AV250=0,"DESPRECIABLE",IF('Parametros'!$B$11/AP250&gt;=AV250,"CUMPLE","NO CUMPLE"))</f>
        <v>DESPRECIABLE</v>
      </c>
      <c r="AZ250" s="10" t="str">
        <f>IF(AND(X250="CUMPLE",AE250="CUMPLE",AS250="CUMPLE",OR(AY250="CUMPLE",AY250="DESPRECIABLE")),IF(OR(F250&lt;&gt;H250,G250&lt;&gt;I250),"CUMPLE - REANALIZAR SAP","CUMPLE"),"NO CUMPLE")</f>
        <v>CUMPLE</v>
      </c>
    </row>
    <row r="251">
      <c r="A251" s="24" t="inlineStr">
        <is>
          <t>VR1</t>
        </is>
      </c>
      <c r="B251" s="24" t="inlineStr">
        <is>
          <t>208</t>
        </is>
      </c>
      <c r="C251" s="10" t="n">
        <v>1</v>
      </c>
      <c r="D251" s="10" t="n">
        <v>2.6</v>
      </c>
      <c r="E251" s="10" t="n">
        <v>2.6</v>
      </c>
      <c r="F251" s="10" t="n">
        <v>350</v>
      </c>
      <c r="G251" s="10" t="n">
        <v>400</v>
      </c>
      <c r="H251" s="15" t="n">
        <v>350</v>
      </c>
      <c r="I251" s="15" t="n">
        <v>400</v>
      </c>
      <c r="J251" s="16" t="n">
        <v>104.3875</v>
      </c>
      <c r="K251" s="10" t="inlineStr">
        <is>
          <t>208</t>
        </is>
      </c>
      <c r="L251" s="16" t="n">
        <v>76.56489999999999</v>
      </c>
      <c r="M251" s="10" t="inlineStr">
        <is>
          <t>208</t>
        </is>
      </c>
      <c r="N251" s="16" t="n">
        <v>106.93</v>
      </c>
      <c r="O251" s="16" t="n">
        <v>368.136</v>
      </c>
      <c r="P251" s="10" t="inlineStr">
        <is>
          <t>208</t>
        </is>
      </c>
      <c r="Q251" s="16" t="n">
        <v>0.499</v>
      </c>
      <c r="R251" s="10">
        <f>MAX(MAX(1.4/'Parametros'!$B$3,0.25*SQRT('Parametros'!$B$2)/'Parametros'!$B$3)*H251*U251,(0.85*'Parametros'!$B$2/'Parametros'!$B$3)*(1-SQRT(1-2*(J251*1000000/('Parametros'!$B$5*H251*U251^2))/(0.85*'Parametros'!$B$2)))*H251*U251)</f>
        <v>860.701222960764</v>
      </c>
      <c r="S251" s="17" t="n">
        <v>5</v>
      </c>
      <c r="T251" s="18" t="n">
        <v>1</v>
      </c>
      <c r="U251" s="10">
        <f>IF(T251=1,I251-('Parametros'!$B$7+'Parametros'!$B$9+'Parametros'!$B$12/2),I251-(ROUNDUP(S251/2,0)*('Parametros'!$B$7+'Parametros'!$B$9+'Parametros'!$B$12/2)+ROUNDDOWN(S251/2,0)*('Parametros'!$B$7+'Parametros'!$B$9+'Parametros'!$B$12/2+'Parametros'!$B$12+'Parametros'!$B$10))/S251)</f>
        <v>342.55</v>
      </c>
      <c r="V251" s="10">
        <f>S251*'Parametros'!$B$8</f>
        <v>995</v>
      </c>
      <c r="W251" s="10">
        <f>'Parametros'!$B$5*V251*'Parametros'!$B$3*(U251-(V251*'Parametros'!$B$3/(0.85*'Parametros'!$B$2*H251))/2)/1000000</f>
        <v>119.402124617647</v>
      </c>
      <c r="X251" s="10" t="str">
        <f>IF(W251&gt;=J251,"CUMPLE","NO CUMPLE")</f>
        <v>CUMPLE</v>
      </c>
      <c r="Y251" s="10">
        <f>MAX(MAX(1.4/'Parametros'!$B$3,0.25*SQRT('Parametros'!$B$2)/'Parametros'!$B$3)*H251*AB251,(0.85*'Parametros'!$B$2/'Parametros'!$B$3)*(1-SQRT(1-2*(L251*1000000/('Parametros'!$B$5*H251*AB251^2))/(0.85*'Parametros'!$B$2)))*H251*AB251)</f>
        <v>619.557989359388</v>
      </c>
      <c r="Z251" s="17" t="n">
        <v>4</v>
      </c>
      <c r="AA251" s="18" t="n">
        <v>1</v>
      </c>
      <c r="AB251" s="10">
        <f>IF(AA251=1,I251-('Parametros'!$B$7+'Parametros'!$B$9+'Parametros'!$B$12/2),I251-(ROUNDUP(Z251/2,0)*('Parametros'!$B$7+'Parametros'!$B$9+'Parametros'!$B$12/2)+ROUNDDOWN(Z251/2,0)*('Parametros'!$B$7+'Parametros'!$B$9+'Parametros'!$B$12/2+'Parametros'!$B$12+'Parametros'!$B$10))/Z251)</f>
        <v>342.55</v>
      </c>
      <c r="AC251" s="10">
        <f>Z251*'Parametros'!$B$8</f>
        <v>796</v>
      </c>
      <c r="AD251" s="10">
        <f>'Parametros'!$B$5*AC251*'Parametros'!$B$3*(AB251-(AC251*'Parametros'!$B$3/(0.85*'Parametros'!$B$2*H251))/2)/1000000</f>
        <v>97.0311966352941</v>
      </c>
      <c r="AE251" s="10" t="str">
        <f>IF(AD251&gt;=L251,"CUMPLE","NO CUMPLE")</f>
        <v>CUMPLE</v>
      </c>
      <c r="AF251" s="10">
        <f>V251*1.25*'Parametros'!$B$3*(U251-(V251*1.25*'Parametros'!$B$3/(0.85*'Parametros'!$B$2*H251))/2)/1000000</f>
        <v>162.560466176471</v>
      </c>
      <c r="AG251" s="10">
        <f>AC251*1.25*'Parametros'!$B$3*(AB251-(AC251*1.25*'Parametros'!$B$3/(0.85*'Parametros'!$B$2*H251))/2)/1000000</f>
        <v>132.669027352941</v>
      </c>
      <c r="AH251" s="10">
        <f>N251+(AF251+AG251)/D251</f>
        <v>220.47980520362</v>
      </c>
      <c r="AI251" s="10">
        <f>MIN(O251,MAX(N251,AH251))</f>
        <v>220.47980520362</v>
      </c>
      <c r="AJ251" s="10">
        <f>0.17*SQRT('Parametros'!$B$2)*H251*MIN(U251,AB251)/1000</f>
        <v>107.849951281016</v>
      </c>
      <c r="AK251" s="10">
        <f>MAX(AI251/'Parametros'!$B$6-AJ251,0)</f>
        <v>186.123122323811</v>
      </c>
      <c r="AL251" s="10">
        <f>0.66*SQRT('Parametros'!$B$2)*H251*MIN(U251,AB251)/1000</f>
        <v>418.711575561591</v>
      </c>
      <c r="AM251" s="10" t="str">
        <f>IF(AK251&lt;=AL251,"CUMPLE","NO CUMPLE")</f>
        <v>CUMPLE</v>
      </c>
      <c r="AN251" s="15" t="inlineStr">
        <is>
          <t>Nº3 cerrado</t>
        </is>
      </c>
      <c r="AO251" s="17" t="n">
        <v>2</v>
      </c>
      <c r="AP251" s="10">
        <f>ROUNDDOWN(MIN(IF(AK251=0,1000000000,AO251*'Parametros'!$B$11*'Parametros'!$B$4*MIN(U251,AB251)/(AK251*1000)),IF(AV251=0,1000000000,'Parametros'!$B$11/AV251),MIN(U251,AB251)/4,8*'Parametros'!$B$12,24*'Parametros'!$B$9,300)/10,0)*10</f>
        <v>80</v>
      </c>
      <c r="AQ251" s="10">
        <f>ROUNDDOWN(MIN(IF(AK251=0,1000000000,AO251*'Parametros'!$B$11*'Parametros'!$B$4*MIN(U251,AB251)/(AK251*1000)),IF(AV251=0,1000000000,'Parametros'!$B$11/AV251),MIN(U251,AB251)/2,600)/10,0)*10</f>
        <v>100</v>
      </c>
      <c r="AR251" s="10">
        <f>'Parametros'!$B$6*(AJ251+AO251*'Parametros'!$B$11*'Parametros'!$B$4*MIN(U251,AB251)/AP251/1000)</f>
        <v>272.415732210762</v>
      </c>
      <c r="AS251" s="10" t="str">
        <f>IF(AND(AM251="CUMPLE",AR251&gt;=AI251),"CUMPLE","NO CUMPLE")</f>
        <v>CUMPLE</v>
      </c>
      <c r="AT251" s="10">
        <f>'Parametros'!$B$6*0.083*SQRT('Parametros'!$B$2)*(H251*I251)^2/(2*(H251+I251))/1000000</f>
        <v>4.30410823283988</v>
      </c>
      <c r="AU251" s="10" t="str">
        <f>IF(Q251&lt;=AT251,"DESPRECIABLE","DISEÑAR")</f>
        <v>DESPRECIABLE</v>
      </c>
      <c r="AV251" s="10">
        <f>IF(Q251&lt;=AT251,0,Q251*1000000/('Parametros'!$B$6*2*0.85*(H251-2*'Parametros'!$B$7)*(I251-2*'Parametros'!$B$7)*'Parametros'!$B$4))</f>
        <v>0</v>
      </c>
      <c r="AW251" s="10">
        <f>AV251*2*((H251-2*'Parametros'!$B$7)+(I251-2*'Parametros'!$B$7))*'Parametros'!$B$4/'Parametros'!$B$3</f>
        <v>0</v>
      </c>
      <c r="AX251" s="17" t="n">
        <v>0</v>
      </c>
      <c r="AY251" s="10" t="str">
        <f>IF(AV251=0,"DESPRECIABLE",IF('Parametros'!$B$11/AP251&gt;=AV251,"CUMPLE","NO CUMPLE"))</f>
        <v>DESPRECIABLE</v>
      </c>
      <c r="AZ251" s="10" t="str">
        <f>IF(AND(X251="CUMPLE",AE251="CUMPLE",AS251="CUMPLE",OR(AY251="CUMPLE",AY251="DESPRECIABLE")),IF(OR(F251&lt;&gt;H251,G251&lt;&gt;I251),"CUMPLE - REANALIZAR SAP","CUMPLE"),"NO CUMPLE")</f>
        <v>CUMPLE</v>
      </c>
    </row>
    <row r="252">
      <c r="A252" s="24" t="inlineStr">
        <is>
          <t>VR1</t>
        </is>
      </c>
      <c r="B252" s="24" t="inlineStr">
        <is>
          <t>209</t>
        </is>
      </c>
      <c r="C252" s="10" t="n">
        <v>1</v>
      </c>
      <c r="D252" s="10" t="n">
        <v>3.65</v>
      </c>
      <c r="E252" s="10" t="n">
        <v>3.65</v>
      </c>
      <c r="F252" s="10" t="n">
        <v>350</v>
      </c>
      <c r="G252" s="10" t="n">
        <v>400</v>
      </c>
      <c r="H252" s="15" t="n">
        <v>350</v>
      </c>
      <c r="I252" s="15" t="n">
        <v>400</v>
      </c>
      <c r="J252" s="16" t="n">
        <v>107.8884</v>
      </c>
      <c r="K252" s="10" t="inlineStr">
        <is>
          <t>209</t>
        </is>
      </c>
      <c r="L252" s="16" t="n">
        <v>55.06</v>
      </c>
      <c r="M252" s="10" t="inlineStr">
        <is>
          <t>209</t>
        </is>
      </c>
      <c r="N252" s="16" t="n">
        <v>96.627</v>
      </c>
      <c r="O252" s="16" t="n">
        <v>257.296</v>
      </c>
      <c r="P252" s="10" t="inlineStr">
        <is>
          <t>209</t>
        </is>
      </c>
      <c r="Q252" s="16" t="n">
        <v>0.2821</v>
      </c>
      <c r="R252" s="10">
        <f>MAX(MAX(1.4/'Parametros'!$B$3,0.25*SQRT('Parametros'!$B$2)/'Parametros'!$B$3)*H252*U252,(0.85*'Parametros'!$B$2/'Parametros'!$B$3)*(1-SQRT(1-2*(J252*1000000/('Parametros'!$B$5*H252*U252^2))/(0.85*'Parametros'!$B$2)))*H252*U252)</f>
        <v>891.741932805991</v>
      </c>
      <c r="S252" s="17" t="n">
        <v>5</v>
      </c>
      <c r="T252" s="18" t="n">
        <v>1</v>
      </c>
      <c r="U252" s="10">
        <f>IF(T252=1,I252-('Parametros'!$B$7+'Parametros'!$B$9+'Parametros'!$B$12/2),I252-(ROUNDUP(S252/2,0)*('Parametros'!$B$7+'Parametros'!$B$9+'Parametros'!$B$12/2)+ROUNDDOWN(S252/2,0)*('Parametros'!$B$7+'Parametros'!$B$9+'Parametros'!$B$12/2+'Parametros'!$B$12+'Parametros'!$B$10))/S252)</f>
        <v>342.55</v>
      </c>
      <c r="V252" s="10">
        <f>S252*'Parametros'!$B$8</f>
        <v>995</v>
      </c>
      <c r="W252" s="10">
        <f>'Parametros'!$B$5*V252*'Parametros'!$B$3*(U252-(V252*'Parametros'!$B$3/(0.85*'Parametros'!$B$2*H252))/2)/1000000</f>
        <v>119.402124617647</v>
      </c>
      <c r="X252" s="10" t="str">
        <f>IF(W252&gt;=J252,"CUMPLE","NO CUMPLE")</f>
        <v>CUMPLE</v>
      </c>
      <c r="Y252" s="10">
        <f>MAX(MAX(1.4/'Parametros'!$B$3,0.25*SQRT('Parametros'!$B$2)/'Parametros'!$B$3)*H252*AB252,(0.85*'Parametros'!$B$2/'Parametros'!$B$3)*(1-SQRT(1-2*(L252*1000000/('Parametros'!$B$5*H252*AB252^2))/(0.85*'Parametros'!$B$2)))*H252*AB252)</f>
        <v>439.438315529472</v>
      </c>
      <c r="Z252" s="17" t="n">
        <v>3</v>
      </c>
      <c r="AA252" s="18" t="n">
        <v>1</v>
      </c>
      <c r="AB252" s="10">
        <f>IF(AA252=1,I252-('Parametros'!$B$7+'Parametros'!$B$9+'Parametros'!$B$12/2),I252-(ROUNDUP(Z252/2,0)*('Parametros'!$B$7+'Parametros'!$B$9+'Parametros'!$B$12/2)+ROUNDDOWN(Z252/2,0)*('Parametros'!$B$7+'Parametros'!$B$9+'Parametros'!$B$12/2+'Parametros'!$B$12+'Parametros'!$B$10))/Z252)</f>
        <v>342.55</v>
      </c>
      <c r="AC252" s="10">
        <f>Z252*'Parametros'!$B$8</f>
        <v>597</v>
      </c>
      <c r="AD252" s="10">
        <f>'Parametros'!$B$5*AC252*'Parametros'!$B$3*(AB252-(AC252*'Parametros'!$B$3/(0.85*'Parametros'!$B$2*H252))/2)/1000000</f>
        <v>73.905520182353</v>
      </c>
      <c r="AE252" s="10" t="str">
        <f>IF(AD252&gt;=L252,"CUMPLE","NO CUMPLE")</f>
        <v>CUMPLE</v>
      </c>
      <c r="AF252" s="10">
        <f>V252*1.25*'Parametros'!$B$3*(U252-(V252*1.25*'Parametros'!$B$3/(0.85*'Parametros'!$B$2*H252))/2)/1000000</f>
        <v>162.560466176471</v>
      </c>
      <c r="AG252" s="10">
        <f>AC252*1.25*'Parametros'!$B$3*(AB252-(AC252*1.25*'Parametros'!$B$3/(0.85*'Parametros'!$B$2*H252))/2)/1000000</f>
        <v>101.467261323529</v>
      </c>
      <c r="AH252" s="10">
        <f>N252+(AF252+AG252)/D252</f>
        <v>168.96336369863</v>
      </c>
      <c r="AI252" s="10">
        <f>MIN(O252,MAX(N252,AH252))</f>
        <v>168.96336369863</v>
      </c>
      <c r="AJ252" s="10">
        <f>0.17*SQRT('Parametros'!$B$2)*H252*MIN(U252,AB252)/1000</f>
        <v>107.849951281016</v>
      </c>
      <c r="AK252" s="10">
        <f>MAX(AI252/'Parametros'!$B$6-AJ252,0)</f>
        <v>117.434533650491</v>
      </c>
      <c r="AL252" s="10">
        <f>0.66*SQRT('Parametros'!$B$2)*H252*MIN(U252,AB252)/1000</f>
        <v>418.711575561591</v>
      </c>
      <c r="AM252" s="10" t="str">
        <f>IF(AK252&lt;=AL252,"CUMPLE","NO CUMPLE")</f>
        <v>CUMPLE</v>
      </c>
      <c r="AN252" s="15" t="inlineStr">
        <is>
          <t>Nº3 cerrado</t>
        </is>
      </c>
      <c r="AO252" s="17" t="n">
        <v>2</v>
      </c>
      <c r="AP252" s="10">
        <f>ROUNDDOWN(MIN(IF(AK252=0,1000000000,AO252*'Parametros'!$B$11*'Parametros'!$B$4*MIN(U252,AB252)/(AK252*1000)),IF(AV252=0,1000000000,'Parametros'!$B$11/AV252),MIN(U252,AB252)/4,8*'Parametros'!$B$12,24*'Parametros'!$B$9,300)/10,0)*10</f>
        <v>80</v>
      </c>
      <c r="AQ252" s="10">
        <f>ROUNDDOWN(MIN(IF(AK252=0,1000000000,AO252*'Parametros'!$B$11*'Parametros'!$B$4*MIN(U252,AB252)/(AK252*1000)),IF(AV252=0,1000000000,'Parametros'!$B$11/AV252),MIN(U252,AB252)/2,600)/10,0)*10</f>
        <v>170</v>
      </c>
      <c r="AR252" s="10">
        <f>'Parametros'!$B$6*(AJ252+AO252*'Parametros'!$B$11*'Parametros'!$B$4*MIN(U252,AB252)/AP252/1000)</f>
        <v>272.415732210762</v>
      </c>
      <c r="AS252" s="10" t="str">
        <f>IF(AND(AM252="CUMPLE",AR252&gt;=AI252),"CUMPLE","NO CUMPLE")</f>
        <v>CUMPLE</v>
      </c>
      <c r="AT252" s="10">
        <f>'Parametros'!$B$6*0.083*SQRT('Parametros'!$B$2)*(H252*I252)^2/(2*(H252+I252))/1000000</f>
        <v>4.30410823283988</v>
      </c>
      <c r="AU252" s="10" t="str">
        <f>IF(Q252&lt;=AT252,"DESPRECIABLE","DISEÑAR")</f>
        <v>DESPRECIABLE</v>
      </c>
      <c r="AV252" s="10">
        <f>IF(Q252&lt;=AT252,0,Q252*1000000/('Parametros'!$B$6*2*0.85*(H252-2*'Parametros'!$B$7)*(I252-2*'Parametros'!$B$7)*'Parametros'!$B$4))</f>
        <v>0</v>
      </c>
      <c r="AW252" s="10">
        <f>AV252*2*((H252-2*'Parametros'!$B$7)+(I252-2*'Parametros'!$B$7))*'Parametros'!$B$4/'Parametros'!$B$3</f>
        <v>0</v>
      </c>
      <c r="AX252" s="17" t="n">
        <v>0</v>
      </c>
      <c r="AY252" s="10" t="str">
        <f>IF(AV252=0,"DESPRECIABLE",IF('Parametros'!$B$11/AP252&gt;=AV252,"CUMPLE","NO CUMPLE"))</f>
        <v>DESPRECIABLE</v>
      </c>
      <c r="AZ252" s="10" t="str">
        <f>IF(AND(X252="CUMPLE",AE252="CUMPLE",AS252="CUMPLE",OR(AY252="CUMPLE",AY252="DESPRECIABLE")),IF(OR(F252&lt;&gt;H252,G252&lt;&gt;I252),"CUMPLE - REANALIZAR SAP","CUMPLE"),"NO CUMPLE")</f>
        <v>CUMPLE</v>
      </c>
    </row>
    <row r="253">
      <c r="A253" s="24" t="inlineStr">
        <is>
          <t>VR1</t>
        </is>
      </c>
      <c r="B253" s="24" t="inlineStr">
        <is>
          <t>210</t>
        </is>
      </c>
      <c r="C253" s="10" t="n">
        <v>1</v>
      </c>
      <c r="D253" s="10" t="n">
        <v>2.6</v>
      </c>
      <c r="E253" s="10" t="n">
        <v>2.6</v>
      </c>
      <c r="F253" s="10" t="n">
        <v>350</v>
      </c>
      <c r="G253" s="10" t="n">
        <v>400</v>
      </c>
      <c r="H253" s="15" t="n">
        <v>350</v>
      </c>
      <c r="I253" s="15" t="n">
        <v>400</v>
      </c>
      <c r="J253" s="16" t="n">
        <v>90.83280000000001</v>
      </c>
      <c r="K253" s="10" t="inlineStr">
        <is>
          <t>210</t>
        </is>
      </c>
      <c r="L253" s="16" t="n">
        <v>63.4988</v>
      </c>
      <c r="M253" s="10" t="inlineStr">
        <is>
          <t>210</t>
        </is>
      </c>
      <c r="N253" s="16" t="n">
        <v>93.169</v>
      </c>
      <c r="O253" s="16" t="n">
        <v>299.842</v>
      </c>
      <c r="P253" s="10" t="inlineStr">
        <is>
          <t>210</t>
        </is>
      </c>
      <c r="Q253" s="16" t="n">
        <v>4.3221</v>
      </c>
      <c r="R253" s="10">
        <f>MAX(MAX(1.4/'Parametros'!$B$3,0.25*SQRT('Parametros'!$B$2)/'Parametros'!$B$3)*H253*U253,(0.85*'Parametros'!$B$2/'Parametros'!$B$3)*(1-SQRT(1-2*(J253*1000000/('Parametros'!$B$5*H253*U253^2))/(0.85*'Parametros'!$B$2)))*H253*U253)</f>
        <v>742.019916921554</v>
      </c>
      <c r="S253" s="17" t="n">
        <v>4</v>
      </c>
      <c r="T253" s="18" t="n">
        <v>1</v>
      </c>
      <c r="U253" s="10">
        <f>IF(T253=1,I253-('Parametros'!$B$7+'Parametros'!$B$9+'Parametros'!$B$12/2),I253-(ROUNDUP(S253/2,0)*('Parametros'!$B$7+'Parametros'!$B$9+'Parametros'!$B$12/2)+ROUNDDOWN(S253/2,0)*('Parametros'!$B$7+'Parametros'!$B$9+'Parametros'!$B$12/2+'Parametros'!$B$12+'Parametros'!$B$10))/S253)</f>
        <v>342.55</v>
      </c>
      <c r="V253" s="10">
        <f>S253*'Parametros'!$B$8</f>
        <v>796</v>
      </c>
      <c r="W253" s="10">
        <f>'Parametros'!$B$5*V253*'Parametros'!$B$3*(U253-(V253*'Parametros'!$B$3/(0.85*'Parametros'!$B$2*H253))/2)/1000000</f>
        <v>97.0311966352941</v>
      </c>
      <c r="X253" s="10" t="str">
        <f>IF(W253&gt;=J253,"CUMPLE","NO CUMPLE")</f>
        <v>CUMPLE</v>
      </c>
      <c r="Y253" s="10">
        <f>MAX(MAX(1.4/'Parametros'!$B$3,0.25*SQRT('Parametros'!$B$2)/'Parametros'!$B$3)*H253*AB253,(0.85*'Parametros'!$B$2/'Parametros'!$B$3)*(1-SQRT(1-2*(L253*1000000/('Parametros'!$B$5*H253*AB253^2))/(0.85*'Parametros'!$B$2)))*H253*AB253)</f>
        <v>509.504135579305</v>
      </c>
      <c r="Z253" s="17" t="n">
        <v>3</v>
      </c>
      <c r="AA253" s="18" t="n">
        <v>1</v>
      </c>
      <c r="AB253" s="10">
        <f>IF(AA253=1,I253-('Parametros'!$B$7+'Parametros'!$B$9+'Parametros'!$B$12/2),I253-(ROUNDUP(Z253/2,0)*('Parametros'!$B$7+'Parametros'!$B$9+'Parametros'!$B$12/2)+ROUNDDOWN(Z253/2,0)*('Parametros'!$B$7+'Parametros'!$B$9+'Parametros'!$B$12/2+'Parametros'!$B$12+'Parametros'!$B$10))/Z253)</f>
        <v>342.55</v>
      </c>
      <c r="AC253" s="10">
        <f>Z253*'Parametros'!$B$8</f>
        <v>597</v>
      </c>
      <c r="AD253" s="10">
        <f>'Parametros'!$B$5*AC253*'Parametros'!$B$3*(AB253-(AC253*'Parametros'!$B$3/(0.85*'Parametros'!$B$2*H253))/2)/1000000</f>
        <v>73.905520182353</v>
      </c>
      <c r="AE253" s="10" t="str">
        <f>IF(AD253&gt;=L253,"CUMPLE","NO CUMPLE")</f>
        <v>CUMPLE</v>
      </c>
      <c r="AF253" s="10">
        <f>V253*1.25*'Parametros'!$B$3*(U253-(V253*1.25*'Parametros'!$B$3/(0.85*'Parametros'!$B$2*H253))/2)/1000000</f>
        <v>132.669027352941</v>
      </c>
      <c r="AG253" s="10">
        <f>AC253*1.25*'Parametros'!$B$3*(AB253-(AC253*1.25*'Parametros'!$B$3/(0.85*'Parametros'!$B$2*H253))/2)/1000000</f>
        <v>101.467261323529</v>
      </c>
      <c r="AH253" s="10">
        <f>N253+(AF253+AG253)/D253</f>
        <v>183.221418721719</v>
      </c>
      <c r="AI253" s="10">
        <f>MIN(O253,MAX(N253,AH253))</f>
        <v>183.221418721719</v>
      </c>
      <c r="AJ253" s="10">
        <f>0.17*SQRT('Parametros'!$B$2)*H253*MIN(U253,AB253)/1000</f>
        <v>107.849951281016</v>
      </c>
      <c r="AK253" s="10">
        <f>MAX(AI253/'Parametros'!$B$6-AJ253,0)</f>
        <v>136.445273681277</v>
      </c>
      <c r="AL253" s="10">
        <f>0.66*SQRT('Parametros'!$B$2)*H253*MIN(U253,AB253)/1000</f>
        <v>418.711575561591</v>
      </c>
      <c r="AM253" s="10" t="str">
        <f>IF(AK253&lt;=AL253,"CUMPLE","NO CUMPLE")</f>
        <v>CUMPLE</v>
      </c>
      <c r="AN253" s="15" t="inlineStr">
        <is>
          <t>Nº3 cerrado</t>
        </is>
      </c>
      <c r="AO253" s="17" t="n">
        <v>2</v>
      </c>
      <c r="AP253" s="10">
        <f>ROUNDDOWN(MIN(IF(AK253=0,1000000000,AO253*'Parametros'!$B$11*'Parametros'!$B$4*MIN(U253,AB253)/(AK253*1000)),IF(AV253=0,1000000000,'Parametros'!$B$11/AV253),MIN(U253,AB253)/4,8*'Parametros'!$B$12,24*'Parametros'!$B$9,300)/10,0)*10</f>
        <v>80</v>
      </c>
      <c r="AQ253" s="10">
        <f>ROUNDDOWN(MIN(IF(AK253=0,1000000000,AO253*'Parametros'!$B$11*'Parametros'!$B$4*MIN(U253,AB253)/(AK253*1000)),IF(AV253=0,1000000000,'Parametros'!$B$11/AV253),MIN(U253,AB253)/2,600)/10,0)*10</f>
        <v>140</v>
      </c>
      <c r="AR253" s="10">
        <f>'Parametros'!$B$6*(AJ253+AO253*'Parametros'!$B$11*'Parametros'!$B$4*MIN(U253,AB253)/AP253/1000)</f>
        <v>272.415732210762</v>
      </c>
      <c r="AS253" s="10" t="str">
        <f>IF(AND(AM253="CUMPLE",AR253&gt;=AI253),"CUMPLE","NO CUMPLE")</f>
        <v>CUMPLE</v>
      </c>
      <c r="AT253" s="10">
        <f>'Parametros'!$B$6*0.083*SQRT('Parametros'!$B$2)*(H253*I253)^2/(2*(H253+I253))/1000000</f>
        <v>4.30410823283988</v>
      </c>
      <c r="AU253" s="10" t="str">
        <f>IF(Q253&lt;=AT253,"DESPRECIABLE","DISEÑAR")</f>
        <v>DISEÑAR</v>
      </c>
      <c r="AV253" s="10">
        <f>IF(Q253&lt;=AT253,0,Q253*1000000/('Parametros'!$B$6*2*0.85*(H253-2*'Parametros'!$B$7)*(I253-2*'Parametros'!$B$7)*'Parametros'!$B$4))</f>
        <v>0.0934160701317564</v>
      </c>
      <c r="AW253" s="10">
        <f>AV253*2*((H253-2*'Parametros'!$B$7)+(I253-2*'Parametros'!$B$7))*'Parametros'!$B$4/'Parametros'!$B$3</f>
        <v>110.230962755473</v>
      </c>
      <c r="AX253" s="17" t="n">
        <v>1</v>
      </c>
      <c r="AY253" s="10" t="str">
        <f>IF(AV253=0,"DESPRECIABLE",IF('Parametros'!$B$11/AP253&gt;=AV253,"CUMPLE","NO CUMPLE"))</f>
        <v>CUMPLE</v>
      </c>
      <c r="AZ253" s="10" t="str">
        <f>IF(AND(X253="CUMPLE",AE253="CUMPLE",AS253="CUMPLE",OR(AY253="CUMPLE",AY253="DESPRECIABLE")),IF(OR(F253&lt;&gt;H253,G253&lt;&gt;I253),"CUMPLE - REANALIZAR SAP","CUMPLE"),"NO CUMPLE")</f>
        <v>CUMPLE</v>
      </c>
    </row>
    <row r="254">
      <c r="A254" s="24" t="inlineStr">
        <is>
          <t>VR1</t>
        </is>
      </c>
      <c r="B254" s="24" t="inlineStr">
        <is>
          <t>245</t>
        </is>
      </c>
      <c r="C254" s="10" t="n">
        <v>1</v>
      </c>
      <c r="D254" s="10" t="n">
        <v>2.6</v>
      </c>
      <c r="E254" s="10" t="n">
        <v>2.6</v>
      </c>
      <c r="F254" s="10" t="n">
        <v>350</v>
      </c>
      <c r="G254" s="10" t="n">
        <v>400</v>
      </c>
      <c r="H254" s="15" t="n">
        <v>350</v>
      </c>
      <c r="I254" s="15" t="n">
        <v>400</v>
      </c>
      <c r="J254" s="16" t="n">
        <v>90.8952</v>
      </c>
      <c r="K254" s="10" t="inlineStr">
        <is>
          <t>245</t>
        </is>
      </c>
      <c r="L254" s="16" t="n">
        <v>63.4605</v>
      </c>
      <c r="M254" s="10" t="inlineStr">
        <is>
          <t>245</t>
        </is>
      </c>
      <c r="N254" s="16" t="n">
        <v>93.21299999999999</v>
      </c>
      <c r="O254" s="16" t="n">
        <v>299.883</v>
      </c>
      <c r="P254" s="10" t="inlineStr">
        <is>
          <t>245</t>
        </is>
      </c>
      <c r="Q254" s="16" t="n">
        <v>4.322</v>
      </c>
      <c r="R254" s="10">
        <f>MAX(MAX(1.4/'Parametros'!$B$3,0.25*SQRT('Parametros'!$B$2)/'Parametros'!$B$3)*H254*U254,(0.85*'Parametros'!$B$2/'Parametros'!$B$3)*(1-SQRT(1-2*(J254*1000000/('Parametros'!$B$5*H254*U254^2))/(0.85*'Parametros'!$B$2)))*H254*U254)</f>
        <v>742.560941508028</v>
      </c>
      <c r="S254" s="17" t="n">
        <v>4</v>
      </c>
      <c r="T254" s="18" t="n">
        <v>1</v>
      </c>
      <c r="U254" s="10">
        <f>IF(T254=1,I254-('Parametros'!$B$7+'Parametros'!$B$9+'Parametros'!$B$12/2),I254-(ROUNDUP(S254/2,0)*('Parametros'!$B$7+'Parametros'!$B$9+'Parametros'!$B$12/2)+ROUNDDOWN(S254/2,0)*('Parametros'!$B$7+'Parametros'!$B$9+'Parametros'!$B$12/2+'Parametros'!$B$12+'Parametros'!$B$10))/S254)</f>
        <v>342.55</v>
      </c>
      <c r="V254" s="10">
        <f>S254*'Parametros'!$B$8</f>
        <v>796</v>
      </c>
      <c r="W254" s="10">
        <f>'Parametros'!$B$5*V254*'Parametros'!$B$3*(U254-(V254*'Parametros'!$B$3/(0.85*'Parametros'!$B$2*H254))/2)/1000000</f>
        <v>97.0311966352941</v>
      </c>
      <c r="X254" s="10" t="str">
        <f>IF(W254&gt;=J254,"CUMPLE","NO CUMPLE")</f>
        <v>CUMPLE</v>
      </c>
      <c r="Y254" s="10">
        <f>MAX(MAX(1.4/'Parametros'!$B$3,0.25*SQRT('Parametros'!$B$2)/'Parametros'!$B$3)*H254*AB254,(0.85*'Parametros'!$B$2/'Parametros'!$B$3)*(1-SQRT(1-2*(L254*1000000/('Parametros'!$B$5*H254*AB254^2))/(0.85*'Parametros'!$B$2)))*H254*AB254)</f>
        <v>509.1843730825</v>
      </c>
      <c r="Z254" s="17" t="n">
        <v>3</v>
      </c>
      <c r="AA254" s="18" t="n">
        <v>1</v>
      </c>
      <c r="AB254" s="10">
        <f>IF(AA254=1,I254-('Parametros'!$B$7+'Parametros'!$B$9+'Parametros'!$B$12/2),I254-(ROUNDUP(Z254/2,0)*('Parametros'!$B$7+'Parametros'!$B$9+'Parametros'!$B$12/2)+ROUNDDOWN(Z254/2,0)*('Parametros'!$B$7+'Parametros'!$B$9+'Parametros'!$B$12/2+'Parametros'!$B$12+'Parametros'!$B$10))/Z254)</f>
        <v>342.55</v>
      </c>
      <c r="AC254" s="10">
        <f>Z254*'Parametros'!$B$8</f>
        <v>597</v>
      </c>
      <c r="AD254" s="10">
        <f>'Parametros'!$B$5*AC254*'Parametros'!$B$3*(AB254-(AC254*'Parametros'!$B$3/(0.85*'Parametros'!$B$2*H254))/2)/1000000</f>
        <v>73.905520182353</v>
      </c>
      <c r="AE254" s="10" t="str">
        <f>IF(AD254&gt;=L254,"CUMPLE","NO CUMPLE")</f>
        <v>CUMPLE</v>
      </c>
      <c r="AF254" s="10">
        <f>V254*1.25*'Parametros'!$B$3*(U254-(V254*1.25*'Parametros'!$B$3/(0.85*'Parametros'!$B$2*H254))/2)/1000000</f>
        <v>132.669027352941</v>
      </c>
      <c r="AG254" s="10">
        <f>AC254*1.25*'Parametros'!$B$3*(AB254-(AC254*1.25*'Parametros'!$B$3/(0.85*'Parametros'!$B$2*H254))/2)/1000000</f>
        <v>101.467261323529</v>
      </c>
      <c r="AH254" s="10">
        <f>N254+(AF254+AG254)/D254</f>
        <v>183.265418721719</v>
      </c>
      <c r="AI254" s="10">
        <f>MIN(O254,MAX(N254,AH254))</f>
        <v>183.265418721719</v>
      </c>
      <c r="AJ254" s="10">
        <f>0.17*SQRT('Parametros'!$B$2)*H254*MIN(U254,AB254)/1000</f>
        <v>107.849951281016</v>
      </c>
      <c r="AK254" s="10">
        <f>MAX(AI254/'Parametros'!$B$6-AJ254,0)</f>
        <v>136.503940347943</v>
      </c>
      <c r="AL254" s="10">
        <f>0.66*SQRT('Parametros'!$B$2)*H254*MIN(U254,AB254)/1000</f>
        <v>418.711575561591</v>
      </c>
      <c r="AM254" s="10" t="str">
        <f>IF(AK254&lt;=AL254,"CUMPLE","NO CUMPLE")</f>
        <v>CUMPLE</v>
      </c>
      <c r="AN254" s="15" t="inlineStr">
        <is>
          <t>Nº3 cerrado</t>
        </is>
      </c>
      <c r="AO254" s="17" t="n">
        <v>2</v>
      </c>
      <c r="AP254" s="10">
        <f>ROUNDDOWN(MIN(IF(AK254=0,1000000000,AO254*'Parametros'!$B$11*'Parametros'!$B$4*MIN(U254,AB254)/(AK254*1000)),IF(AV254=0,1000000000,'Parametros'!$B$11/AV254),MIN(U254,AB254)/4,8*'Parametros'!$B$12,24*'Parametros'!$B$9,300)/10,0)*10</f>
        <v>80</v>
      </c>
      <c r="AQ254" s="10">
        <f>ROUNDDOWN(MIN(IF(AK254=0,1000000000,AO254*'Parametros'!$B$11*'Parametros'!$B$4*MIN(U254,AB254)/(AK254*1000)),IF(AV254=0,1000000000,'Parametros'!$B$11/AV254),MIN(U254,AB254)/2,600)/10,0)*10</f>
        <v>140</v>
      </c>
      <c r="AR254" s="10">
        <f>'Parametros'!$B$6*(AJ254+AO254*'Parametros'!$B$11*'Parametros'!$B$4*MIN(U254,AB254)/AP254/1000)</f>
        <v>272.415732210762</v>
      </c>
      <c r="AS254" s="10" t="str">
        <f>IF(AND(AM254="CUMPLE",AR254&gt;=AI254),"CUMPLE","NO CUMPLE")</f>
        <v>CUMPLE</v>
      </c>
      <c r="AT254" s="10">
        <f>'Parametros'!$B$6*0.083*SQRT('Parametros'!$B$2)*(H254*I254)^2/(2*(H254+I254))/1000000</f>
        <v>4.30410823283988</v>
      </c>
      <c r="AU254" s="10" t="str">
        <f>IF(Q254&lt;=AT254,"DESPRECIABLE","DISEÑAR")</f>
        <v>DISEÑAR</v>
      </c>
      <c r="AV254" s="10">
        <f>IF(Q254&lt;=AT254,0,Q254*1000000/('Parametros'!$B$6*2*0.85*(H254-2*'Parametros'!$B$7)*(I254-2*'Parametros'!$B$7)*'Parametros'!$B$4))</f>
        <v>0.0934139087733859</v>
      </c>
      <c r="AW254" s="10">
        <f>AV254*2*((H254-2*'Parametros'!$B$7)+(I254-2*'Parametros'!$B$7))*'Parametros'!$B$4/'Parametros'!$B$3</f>
        <v>110.228412352595</v>
      </c>
      <c r="AX254" s="17" t="n">
        <v>1</v>
      </c>
      <c r="AY254" s="10" t="str">
        <f>IF(AV254=0,"DESPRECIABLE",IF('Parametros'!$B$11/AP254&gt;=AV254,"CUMPLE","NO CUMPLE"))</f>
        <v>CUMPLE</v>
      </c>
      <c r="AZ254" s="10" t="str">
        <f>IF(AND(X254="CUMPLE",AE254="CUMPLE",AS254="CUMPLE",OR(AY254="CUMPLE",AY254="DESPRECIABLE")),IF(OR(F254&lt;&gt;H254,G254&lt;&gt;I254),"CUMPLE - REANALIZAR SAP","CUMPLE"),"NO CUMPLE")</f>
        <v>CUMPLE</v>
      </c>
    </row>
    <row r="255">
      <c r="A255" s="24" t="inlineStr">
        <is>
          <t>VR1</t>
        </is>
      </c>
      <c r="B255" s="24" t="inlineStr">
        <is>
          <t>246</t>
        </is>
      </c>
      <c r="C255" s="10" t="n">
        <v>1</v>
      </c>
      <c r="D255" s="10" t="n">
        <v>3.65</v>
      </c>
      <c r="E255" s="10" t="n">
        <v>3.65</v>
      </c>
      <c r="F255" s="10" t="n">
        <v>350</v>
      </c>
      <c r="G255" s="10" t="n">
        <v>400</v>
      </c>
      <c r="H255" s="15" t="n">
        <v>350</v>
      </c>
      <c r="I255" s="15" t="n">
        <v>400</v>
      </c>
      <c r="J255" s="16" t="n">
        <v>107.8182</v>
      </c>
      <c r="K255" s="10" t="inlineStr">
        <is>
          <t>246</t>
        </is>
      </c>
      <c r="L255" s="16" t="n">
        <v>55.1027</v>
      </c>
      <c r="M255" s="10" t="inlineStr">
        <is>
          <t>246</t>
        </is>
      </c>
      <c r="N255" s="16" t="n">
        <v>96.589</v>
      </c>
      <c r="O255" s="16" t="n">
        <v>257.26</v>
      </c>
      <c r="P255" s="10" t="inlineStr">
        <is>
          <t>246</t>
        </is>
      </c>
      <c r="Q255" s="16" t="n">
        <v>0.2815</v>
      </c>
      <c r="R255" s="10">
        <f>MAX(MAX(1.4/'Parametros'!$B$3,0.25*SQRT('Parametros'!$B$2)/'Parametros'!$B$3)*H255*U255,(0.85*'Parametros'!$B$2/'Parametros'!$B$3)*(1-SQRT(1-2*(J255*1000000/('Parametros'!$B$5*H255*U255^2))/(0.85*'Parametros'!$B$2)))*H255*U255)</f>
        <v>891.117901158009</v>
      </c>
      <c r="S255" s="17" t="n">
        <v>5</v>
      </c>
      <c r="T255" s="18" t="n">
        <v>1</v>
      </c>
      <c r="U255" s="10">
        <f>IF(T255=1,I255-('Parametros'!$B$7+'Parametros'!$B$9+'Parametros'!$B$12/2),I255-(ROUNDUP(S255/2,0)*('Parametros'!$B$7+'Parametros'!$B$9+'Parametros'!$B$12/2)+ROUNDDOWN(S255/2,0)*('Parametros'!$B$7+'Parametros'!$B$9+'Parametros'!$B$12/2+'Parametros'!$B$12+'Parametros'!$B$10))/S255)</f>
        <v>342.55</v>
      </c>
      <c r="V255" s="10">
        <f>S255*'Parametros'!$B$8</f>
        <v>995</v>
      </c>
      <c r="W255" s="10">
        <f>'Parametros'!$B$5*V255*'Parametros'!$B$3*(U255-(V255*'Parametros'!$B$3/(0.85*'Parametros'!$B$2*H255))/2)/1000000</f>
        <v>119.402124617647</v>
      </c>
      <c r="X255" s="10" t="str">
        <f>IF(W255&gt;=J255,"CUMPLE","NO CUMPLE")</f>
        <v>CUMPLE</v>
      </c>
      <c r="Y255" s="10">
        <f>MAX(MAX(1.4/'Parametros'!$B$3,0.25*SQRT('Parametros'!$B$2)/'Parametros'!$B$3)*H255*AB255,(0.85*'Parametros'!$B$2/'Parametros'!$B$3)*(1-SQRT(1-2*(L255*1000000/('Parametros'!$B$5*H255*AB255^2))/(0.85*'Parametros'!$B$2)))*H255*AB255)</f>
        <v>439.790901071739</v>
      </c>
      <c r="Z255" s="17" t="n">
        <v>3</v>
      </c>
      <c r="AA255" s="18" t="n">
        <v>1</v>
      </c>
      <c r="AB255" s="10">
        <f>IF(AA255=1,I255-('Parametros'!$B$7+'Parametros'!$B$9+'Parametros'!$B$12/2),I255-(ROUNDUP(Z255/2,0)*('Parametros'!$B$7+'Parametros'!$B$9+'Parametros'!$B$12/2)+ROUNDDOWN(Z255/2,0)*('Parametros'!$B$7+'Parametros'!$B$9+'Parametros'!$B$12/2+'Parametros'!$B$12+'Parametros'!$B$10))/Z255)</f>
        <v>342.55</v>
      </c>
      <c r="AC255" s="10">
        <f>Z255*'Parametros'!$B$8</f>
        <v>597</v>
      </c>
      <c r="AD255" s="10">
        <f>'Parametros'!$B$5*AC255*'Parametros'!$B$3*(AB255-(AC255*'Parametros'!$B$3/(0.85*'Parametros'!$B$2*H255))/2)/1000000</f>
        <v>73.905520182353</v>
      </c>
      <c r="AE255" s="10" t="str">
        <f>IF(AD255&gt;=L255,"CUMPLE","NO CUMPLE")</f>
        <v>CUMPLE</v>
      </c>
      <c r="AF255" s="10">
        <f>V255*1.25*'Parametros'!$B$3*(U255-(V255*1.25*'Parametros'!$B$3/(0.85*'Parametros'!$B$2*H255))/2)/1000000</f>
        <v>162.560466176471</v>
      </c>
      <c r="AG255" s="10">
        <f>AC255*1.25*'Parametros'!$B$3*(AB255-(AC255*1.25*'Parametros'!$B$3/(0.85*'Parametros'!$B$2*H255))/2)/1000000</f>
        <v>101.467261323529</v>
      </c>
      <c r="AH255" s="10">
        <f>N255+(AF255+AG255)/D255</f>
        <v>168.92536369863</v>
      </c>
      <c r="AI255" s="10">
        <f>MIN(O255,MAX(N255,AH255))</f>
        <v>168.92536369863</v>
      </c>
      <c r="AJ255" s="10">
        <f>0.17*SQRT('Parametros'!$B$2)*H255*MIN(U255,AB255)/1000</f>
        <v>107.849951281016</v>
      </c>
      <c r="AK255" s="10">
        <f>MAX(AI255/'Parametros'!$B$6-AJ255,0)</f>
        <v>117.383866983824</v>
      </c>
      <c r="AL255" s="10">
        <f>0.66*SQRT('Parametros'!$B$2)*H255*MIN(U255,AB255)/1000</f>
        <v>418.711575561591</v>
      </c>
      <c r="AM255" s="10" t="str">
        <f>IF(AK255&lt;=AL255,"CUMPLE","NO CUMPLE")</f>
        <v>CUMPLE</v>
      </c>
      <c r="AN255" s="15" t="inlineStr">
        <is>
          <t>Nº3 cerrado</t>
        </is>
      </c>
      <c r="AO255" s="17" t="n">
        <v>2</v>
      </c>
      <c r="AP255" s="10">
        <f>ROUNDDOWN(MIN(IF(AK255=0,1000000000,AO255*'Parametros'!$B$11*'Parametros'!$B$4*MIN(U255,AB255)/(AK255*1000)),IF(AV255=0,1000000000,'Parametros'!$B$11/AV255),MIN(U255,AB255)/4,8*'Parametros'!$B$12,24*'Parametros'!$B$9,300)/10,0)*10</f>
        <v>80</v>
      </c>
      <c r="AQ255" s="10">
        <f>ROUNDDOWN(MIN(IF(AK255=0,1000000000,AO255*'Parametros'!$B$11*'Parametros'!$B$4*MIN(U255,AB255)/(AK255*1000)),IF(AV255=0,1000000000,'Parametros'!$B$11/AV255),MIN(U255,AB255)/2,600)/10,0)*10</f>
        <v>170</v>
      </c>
      <c r="AR255" s="10">
        <f>'Parametros'!$B$6*(AJ255+AO255*'Parametros'!$B$11*'Parametros'!$B$4*MIN(U255,AB255)/AP255/1000)</f>
        <v>272.415732210762</v>
      </c>
      <c r="AS255" s="10" t="str">
        <f>IF(AND(AM255="CUMPLE",AR255&gt;=AI255),"CUMPLE","NO CUMPLE")</f>
        <v>CUMPLE</v>
      </c>
      <c r="AT255" s="10">
        <f>'Parametros'!$B$6*0.083*SQRT('Parametros'!$B$2)*(H255*I255)^2/(2*(H255+I255))/1000000</f>
        <v>4.30410823283988</v>
      </c>
      <c r="AU255" s="10" t="str">
        <f>IF(Q255&lt;=AT255,"DESPRECIABLE","DISEÑAR")</f>
        <v>DESPRECIABLE</v>
      </c>
      <c r="AV255" s="10">
        <f>IF(Q255&lt;=AT255,0,Q255*1000000/('Parametros'!$B$6*2*0.85*(H255-2*'Parametros'!$B$7)*(I255-2*'Parametros'!$B$7)*'Parametros'!$B$4))</f>
        <v>0</v>
      </c>
      <c r="AW255" s="10">
        <f>AV255*2*((H255-2*'Parametros'!$B$7)+(I255-2*'Parametros'!$B$7))*'Parametros'!$B$4/'Parametros'!$B$3</f>
        <v>0</v>
      </c>
      <c r="AX255" s="17" t="n">
        <v>0</v>
      </c>
      <c r="AY255" s="10" t="str">
        <f>IF(AV255=0,"DESPRECIABLE",IF('Parametros'!$B$11/AP255&gt;=AV255,"CUMPLE","NO CUMPLE"))</f>
        <v>DESPRECIABLE</v>
      </c>
      <c r="AZ255" s="10" t="str">
        <f>IF(AND(X255="CUMPLE",AE255="CUMPLE",AS255="CUMPLE",OR(AY255="CUMPLE",AY255="DESPRECIABLE")),IF(OR(F255&lt;&gt;H255,G255&lt;&gt;I255),"CUMPLE - REANALIZAR SAP","CUMPLE"),"NO CUMPLE")</f>
        <v>CUMPLE</v>
      </c>
    </row>
    <row r="256">
      <c r="A256" s="24" t="inlineStr">
        <is>
          <t>VR1</t>
        </is>
      </c>
      <c r="B256" s="24" t="inlineStr">
        <is>
          <t>247</t>
        </is>
      </c>
      <c r="C256" s="10" t="n">
        <v>1</v>
      </c>
      <c r="D256" s="10" t="n">
        <v>2.6</v>
      </c>
      <c r="E256" s="10" t="n">
        <v>2.6</v>
      </c>
      <c r="F256" s="10" t="n">
        <v>350</v>
      </c>
      <c r="G256" s="10" t="n">
        <v>400</v>
      </c>
      <c r="H256" s="15" t="n">
        <v>350</v>
      </c>
      <c r="I256" s="15" t="n">
        <v>400</v>
      </c>
      <c r="J256" s="16" t="n">
        <v>104.4639</v>
      </c>
      <c r="K256" s="10" t="inlineStr">
        <is>
          <t>247</t>
        </is>
      </c>
      <c r="L256" s="16" t="n">
        <v>76.6099</v>
      </c>
      <c r="M256" s="10" t="inlineStr">
        <is>
          <t>247</t>
        </is>
      </c>
      <c r="N256" s="16" t="n">
        <v>106.989</v>
      </c>
      <c r="O256" s="16" t="n">
        <v>368.192</v>
      </c>
      <c r="P256" s="10" t="inlineStr">
        <is>
          <t>247</t>
        </is>
      </c>
      <c r="Q256" s="16" t="n">
        <v>0.5</v>
      </c>
      <c r="R256" s="10">
        <f>MAX(MAX(1.4/'Parametros'!$B$3,0.25*SQRT('Parametros'!$B$2)/'Parametros'!$B$3)*H256*U256,(0.85*'Parametros'!$B$2/'Parametros'!$B$3)*(1-SQRT(1-2*(J256*1000000/('Parametros'!$B$5*H256*U256^2))/(0.85*'Parametros'!$B$2)))*H256*U256)</f>
        <v>861.376889621889</v>
      </c>
      <c r="S256" s="17" t="n">
        <v>5</v>
      </c>
      <c r="T256" s="18" t="n">
        <v>1</v>
      </c>
      <c r="U256" s="10">
        <f>IF(T256=1,I256-('Parametros'!$B$7+'Parametros'!$B$9+'Parametros'!$B$12/2),I256-(ROUNDUP(S256/2,0)*('Parametros'!$B$7+'Parametros'!$B$9+'Parametros'!$B$12/2)+ROUNDDOWN(S256/2,0)*('Parametros'!$B$7+'Parametros'!$B$9+'Parametros'!$B$12/2+'Parametros'!$B$12+'Parametros'!$B$10))/S256)</f>
        <v>342.55</v>
      </c>
      <c r="V256" s="10">
        <f>S256*'Parametros'!$B$8</f>
        <v>995</v>
      </c>
      <c r="W256" s="10">
        <f>'Parametros'!$B$5*V256*'Parametros'!$B$3*(U256-(V256*'Parametros'!$B$3/(0.85*'Parametros'!$B$2*H256))/2)/1000000</f>
        <v>119.402124617647</v>
      </c>
      <c r="X256" s="10" t="str">
        <f>IF(W256&gt;=J256,"CUMPLE","NO CUMPLE")</f>
        <v>CUMPLE</v>
      </c>
      <c r="Y256" s="10">
        <f>MAX(MAX(1.4/'Parametros'!$B$3,0.25*SQRT('Parametros'!$B$2)/'Parametros'!$B$3)*H256*AB256,(0.85*'Parametros'!$B$2/'Parametros'!$B$3)*(1-SQRT(1-2*(L256*1000000/('Parametros'!$B$5*H256*AB256^2))/(0.85*'Parametros'!$B$2)))*H256*AB256)</f>
        <v>619.940407606075</v>
      </c>
      <c r="Z256" s="17" t="n">
        <v>4</v>
      </c>
      <c r="AA256" s="18" t="n">
        <v>1</v>
      </c>
      <c r="AB256" s="10">
        <f>IF(AA256=1,I256-('Parametros'!$B$7+'Parametros'!$B$9+'Parametros'!$B$12/2),I256-(ROUNDUP(Z256/2,0)*('Parametros'!$B$7+'Parametros'!$B$9+'Parametros'!$B$12/2)+ROUNDDOWN(Z256/2,0)*('Parametros'!$B$7+'Parametros'!$B$9+'Parametros'!$B$12/2+'Parametros'!$B$12+'Parametros'!$B$10))/Z256)</f>
        <v>342.55</v>
      </c>
      <c r="AC256" s="10">
        <f>Z256*'Parametros'!$B$8</f>
        <v>796</v>
      </c>
      <c r="AD256" s="10">
        <f>'Parametros'!$B$5*AC256*'Parametros'!$B$3*(AB256-(AC256*'Parametros'!$B$3/(0.85*'Parametros'!$B$2*H256))/2)/1000000</f>
        <v>97.0311966352941</v>
      </c>
      <c r="AE256" s="10" t="str">
        <f>IF(AD256&gt;=L256,"CUMPLE","NO CUMPLE")</f>
        <v>CUMPLE</v>
      </c>
      <c r="AF256" s="10">
        <f>V256*1.25*'Parametros'!$B$3*(U256-(V256*1.25*'Parametros'!$B$3/(0.85*'Parametros'!$B$2*H256))/2)/1000000</f>
        <v>162.560466176471</v>
      </c>
      <c r="AG256" s="10">
        <f>AC256*1.25*'Parametros'!$B$3*(AB256-(AC256*1.25*'Parametros'!$B$3/(0.85*'Parametros'!$B$2*H256))/2)/1000000</f>
        <v>132.669027352941</v>
      </c>
      <c r="AH256" s="10">
        <f>N256+(AF256+AG256)/D256</f>
        <v>220.53880520362</v>
      </c>
      <c r="AI256" s="10">
        <f>MIN(O256,MAX(N256,AH256))</f>
        <v>220.53880520362</v>
      </c>
      <c r="AJ256" s="10">
        <f>0.17*SQRT('Parametros'!$B$2)*H256*MIN(U256,AB256)/1000</f>
        <v>107.849951281016</v>
      </c>
      <c r="AK256" s="10">
        <f>MAX(AI256/'Parametros'!$B$6-AJ256,0)</f>
        <v>186.201788990477</v>
      </c>
      <c r="AL256" s="10">
        <f>0.66*SQRT('Parametros'!$B$2)*H256*MIN(U256,AB256)/1000</f>
        <v>418.711575561591</v>
      </c>
      <c r="AM256" s="10" t="str">
        <f>IF(AK256&lt;=AL256,"CUMPLE","NO CUMPLE")</f>
        <v>CUMPLE</v>
      </c>
      <c r="AN256" s="15" t="inlineStr">
        <is>
          <t>Nº3 cerrado</t>
        </is>
      </c>
      <c r="AO256" s="17" t="n">
        <v>2</v>
      </c>
      <c r="AP256" s="10">
        <f>ROUNDDOWN(MIN(IF(AK256=0,1000000000,AO256*'Parametros'!$B$11*'Parametros'!$B$4*MIN(U256,AB256)/(AK256*1000)),IF(AV256=0,1000000000,'Parametros'!$B$11/AV256),MIN(U256,AB256)/4,8*'Parametros'!$B$12,24*'Parametros'!$B$9,300)/10,0)*10</f>
        <v>80</v>
      </c>
      <c r="AQ256" s="10">
        <f>ROUNDDOWN(MIN(IF(AK256=0,1000000000,AO256*'Parametros'!$B$11*'Parametros'!$B$4*MIN(U256,AB256)/(AK256*1000)),IF(AV256=0,1000000000,'Parametros'!$B$11/AV256),MIN(U256,AB256)/2,600)/10,0)*10</f>
        <v>100</v>
      </c>
      <c r="AR256" s="10">
        <f>'Parametros'!$B$6*(AJ256+AO256*'Parametros'!$B$11*'Parametros'!$B$4*MIN(U256,AB256)/AP256/1000)</f>
        <v>272.415732210762</v>
      </c>
      <c r="AS256" s="10" t="str">
        <f>IF(AND(AM256="CUMPLE",AR256&gt;=AI256),"CUMPLE","NO CUMPLE")</f>
        <v>CUMPLE</v>
      </c>
      <c r="AT256" s="10">
        <f>'Parametros'!$B$6*0.083*SQRT('Parametros'!$B$2)*(H256*I256)^2/(2*(H256+I256))/1000000</f>
        <v>4.30410823283988</v>
      </c>
      <c r="AU256" s="10" t="str">
        <f>IF(Q256&lt;=AT256,"DESPRECIABLE","DISEÑAR")</f>
        <v>DESPRECIABLE</v>
      </c>
      <c r="AV256" s="10">
        <f>IF(Q256&lt;=AT256,0,Q256*1000000/('Parametros'!$B$6*2*0.85*(H256-2*'Parametros'!$B$7)*(I256-2*'Parametros'!$B$7)*'Parametros'!$B$4))</f>
        <v>0</v>
      </c>
      <c r="AW256" s="10">
        <f>AV256*2*((H256-2*'Parametros'!$B$7)+(I256-2*'Parametros'!$B$7))*'Parametros'!$B$4/'Parametros'!$B$3</f>
        <v>0</v>
      </c>
      <c r="AX256" s="17" t="n">
        <v>0</v>
      </c>
      <c r="AY256" s="10" t="str">
        <f>IF(AV256=0,"DESPRECIABLE",IF('Parametros'!$B$11/AP256&gt;=AV256,"CUMPLE","NO CUMPLE"))</f>
        <v>DESPRECIABLE</v>
      </c>
      <c r="AZ256" s="10" t="str">
        <f>IF(AND(X256="CUMPLE",AE256="CUMPLE",AS256="CUMPLE",OR(AY256="CUMPLE",AY256="DESPRECIABLE")),IF(OR(F256&lt;&gt;H256,G256&lt;&gt;I256),"CUMPLE - REANALIZAR SAP","CUMPLE"),"NO CUMPLE")</f>
        <v>CUMPLE</v>
      </c>
    </row>
    <row r="257">
      <c r="A257" s="24" t="inlineStr">
        <is>
          <t>VR1</t>
        </is>
      </c>
      <c r="B257" s="24" t="inlineStr">
        <is>
          <t>248</t>
        </is>
      </c>
      <c r="C257" s="10" t="n">
        <v>1</v>
      </c>
      <c r="D257" s="10" t="n">
        <v>2.5</v>
      </c>
      <c r="E257" s="10" t="n">
        <v>2.5</v>
      </c>
      <c r="F257" s="10" t="n">
        <v>350</v>
      </c>
      <c r="G257" s="10" t="n">
        <v>400</v>
      </c>
      <c r="H257" s="15" t="n">
        <v>350</v>
      </c>
      <c r="I257" s="15" t="n">
        <v>400</v>
      </c>
      <c r="J257" s="16" t="n">
        <v>109.1683</v>
      </c>
      <c r="K257" s="10" t="inlineStr">
        <is>
          <t>248</t>
        </is>
      </c>
      <c r="L257" s="16" t="n">
        <v>83.0222</v>
      </c>
      <c r="M257" s="10" t="inlineStr">
        <is>
          <t>248</t>
        </is>
      </c>
      <c r="N257" s="16" t="n">
        <v>112.664</v>
      </c>
      <c r="O257" s="16" t="n">
        <v>401.329</v>
      </c>
      <c r="P257" s="10" t="inlineStr">
        <is>
          <t>248</t>
        </is>
      </c>
      <c r="Q257" s="16" t="n">
        <v>0.4778</v>
      </c>
      <c r="R257" s="10">
        <f>MAX(MAX(1.4/'Parametros'!$B$3,0.25*SQRT('Parametros'!$B$2)/'Parametros'!$B$3)*H257*U257,(0.85*'Parametros'!$B$2/'Parametros'!$B$3)*(1-SQRT(1-2*(J257*1000000/('Parametros'!$B$5*H257*U257^2))/(0.85*'Parametros'!$B$2)))*H257*U257)</f>
        <v>903.130988560682</v>
      </c>
      <c r="S257" s="17" t="n">
        <v>5</v>
      </c>
      <c r="T257" s="18" t="n">
        <v>1</v>
      </c>
      <c r="U257" s="10">
        <f>IF(T257=1,I257-('Parametros'!$B$7+'Parametros'!$B$9+'Parametros'!$B$12/2),I257-(ROUNDUP(S257/2,0)*('Parametros'!$B$7+'Parametros'!$B$9+'Parametros'!$B$12/2)+ROUNDDOWN(S257/2,0)*('Parametros'!$B$7+'Parametros'!$B$9+'Parametros'!$B$12/2+'Parametros'!$B$12+'Parametros'!$B$10))/S257)</f>
        <v>342.55</v>
      </c>
      <c r="V257" s="10">
        <f>S257*'Parametros'!$B$8</f>
        <v>995</v>
      </c>
      <c r="W257" s="10">
        <f>'Parametros'!$B$5*V257*'Parametros'!$B$3*(U257-(V257*'Parametros'!$B$3/(0.85*'Parametros'!$B$2*H257))/2)/1000000</f>
        <v>119.402124617647</v>
      </c>
      <c r="X257" s="10" t="str">
        <f>IF(W257&gt;=J257,"CUMPLE","NO CUMPLE")</f>
        <v>CUMPLE</v>
      </c>
      <c r="Y257" s="10">
        <f>MAX(MAX(1.4/'Parametros'!$B$3,0.25*SQRT('Parametros'!$B$2)/'Parametros'!$B$3)*H257*AB257,(0.85*'Parametros'!$B$2/'Parametros'!$B$3)*(1-SQRT(1-2*(L257*1000000/('Parametros'!$B$5*H257*AB257^2))/(0.85*'Parametros'!$B$2)))*H257*AB257)</f>
        <v>674.677640762853</v>
      </c>
      <c r="Z257" s="17" t="n">
        <v>4</v>
      </c>
      <c r="AA257" s="18" t="n">
        <v>1</v>
      </c>
      <c r="AB257" s="10">
        <f>IF(AA257=1,I257-('Parametros'!$B$7+'Parametros'!$B$9+'Parametros'!$B$12/2),I257-(ROUNDUP(Z257/2,0)*('Parametros'!$B$7+'Parametros'!$B$9+'Parametros'!$B$12/2)+ROUNDDOWN(Z257/2,0)*('Parametros'!$B$7+'Parametros'!$B$9+'Parametros'!$B$12/2+'Parametros'!$B$12+'Parametros'!$B$10))/Z257)</f>
        <v>342.55</v>
      </c>
      <c r="AC257" s="10">
        <f>Z257*'Parametros'!$B$8</f>
        <v>796</v>
      </c>
      <c r="AD257" s="10">
        <f>'Parametros'!$B$5*AC257*'Parametros'!$B$3*(AB257-(AC257*'Parametros'!$B$3/(0.85*'Parametros'!$B$2*H257))/2)/1000000</f>
        <v>97.0311966352941</v>
      </c>
      <c r="AE257" s="10" t="str">
        <f>IF(AD257&gt;=L257,"CUMPLE","NO CUMPLE")</f>
        <v>CUMPLE</v>
      </c>
      <c r="AF257" s="10">
        <f>V257*1.25*'Parametros'!$B$3*(U257-(V257*1.25*'Parametros'!$B$3/(0.85*'Parametros'!$B$2*H257))/2)/1000000</f>
        <v>162.560466176471</v>
      </c>
      <c r="AG257" s="10">
        <f>AC257*1.25*'Parametros'!$B$3*(AB257-(AC257*1.25*'Parametros'!$B$3/(0.85*'Parametros'!$B$2*H257))/2)/1000000</f>
        <v>132.669027352941</v>
      </c>
      <c r="AH257" s="10">
        <f>N257+(AF257+AG257)/D257</f>
        <v>230.755797411765</v>
      </c>
      <c r="AI257" s="10">
        <f>MIN(O257,MAX(N257,AH257))</f>
        <v>230.755797411765</v>
      </c>
      <c r="AJ257" s="10">
        <f>0.17*SQRT('Parametros'!$B$2)*H257*MIN(U257,AB257)/1000</f>
        <v>107.849951281016</v>
      </c>
      <c r="AK257" s="10">
        <f>MAX(AI257/'Parametros'!$B$6-AJ257,0)</f>
        <v>199.824445268004</v>
      </c>
      <c r="AL257" s="10">
        <f>0.66*SQRT('Parametros'!$B$2)*H257*MIN(U257,AB257)/1000</f>
        <v>418.711575561591</v>
      </c>
      <c r="AM257" s="10" t="str">
        <f>IF(AK257&lt;=AL257,"CUMPLE","NO CUMPLE")</f>
        <v>CUMPLE</v>
      </c>
      <c r="AN257" s="15" t="inlineStr">
        <is>
          <t>Nº3 cerrado</t>
        </is>
      </c>
      <c r="AO257" s="17" t="n">
        <v>2</v>
      </c>
      <c r="AP257" s="10">
        <f>ROUNDDOWN(MIN(IF(AK257=0,1000000000,AO257*'Parametros'!$B$11*'Parametros'!$B$4*MIN(U257,AB257)/(AK257*1000)),IF(AV257=0,1000000000,'Parametros'!$B$11/AV257),MIN(U257,AB257)/4,8*'Parametros'!$B$12,24*'Parametros'!$B$9,300)/10,0)*10</f>
        <v>80</v>
      </c>
      <c r="AQ257" s="10">
        <f>ROUNDDOWN(MIN(IF(AK257=0,1000000000,AO257*'Parametros'!$B$11*'Parametros'!$B$4*MIN(U257,AB257)/(AK257*1000)),IF(AV257=0,1000000000,'Parametros'!$B$11/AV257),MIN(U257,AB257)/2,600)/10,0)*10</f>
        <v>100</v>
      </c>
      <c r="AR257" s="10">
        <f>'Parametros'!$B$6*(AJ257+AO257*'Parametros'!$B$11*'Parametros'!$B$4*MIN(U257,AB257)/AP257/1000)</f>
        <v>272.415732210762</v>
      </c>
      <c r="AS257" s="10" t="str">
        <f>IF(AND(AM257="CUMPLE",AR257&gt;=AI257),"CUMPLE","NO CUMPLE")</f>
        <v>CUMPLE</v>
      </c>
      <c r="AT257" s="10">
        <f>'Parametros'!$B$6*0.083*SQRT('Parametros'!$B$2)*(H257*I257)^2/(2*(H257+I257))/1000000</f>
        <v>4.30410823283988</v>
      </c>
      <c r="AU257" s="10" t="str">
        <f>IF(Q257&lt;=AT257,"DESPRECIABLE","DISEÑAR")</f>
        <v>DESPRECIABLE</v>
      </c>
      <c r="AV257" s="10">
        <f>IF(Q257&lt;=AT257,0,Q257*1000000/('Parametros'!$B$6*2*0.85*(H257-2*'Parametros'!$B$7)*(I257-2*'Parametros'!$B$7)*'Parametros'!$B$4))</f>
        <v>0</v>
      </c>
      <c r="AW257" s="10">
        <f>AV257*2*((H257-2*'Parametros'!$B$7)+(I257-2*'Parametros'!$B$7))*'Parametros'!$B$4/'Parametros'!$B$3</f>
        <v>0</v>
      </c>
      <c r="AX257" s="17" t="n">
        <v>0</v>
      </c>
      <c r="AY257" s="10" t="str">
        <f>IF(AV257=0,"DESPRECIABLE",IF('Parametros'!$B$11/AP257&gt;=AV257,"CUMPLE","NO CUMPLE"))</f>
        <v>DESPRECIABLE</v>
      </c>
      <c r="AZ257" s="10" t="str">
        <f>IF(AND(X257="CUMPLE",AE257="CUMPLE",AS257="CUMPLE",OR(AY257="CUMPLE",AY257="DESPRECIABLE")),IF(OR(F257&lt;&gt;H257,G257&lt;&gt;I257),"CUMPLE - REANALIZAR SAP","CUMPLE"),"NO CUMPLE")</f>
        <v>CUMPLE</v>
      </c>
    </row>
    <row r="258">
      <c r="A258" s="24" t="inlineStr">
        <is>
          <t>VR1</t>
        </is>
      </c>
      <c r="B258" s="24" t="inlineStr">
        <is>
          <t>249</t>
        </is>
      </c>
      <c r="C258" s="10" t="n">
        <v>1</v>
      </c>
      <c r="D258" s="10" t="n">
        <v>4</v>
      </c>
      <c r="E258" s="10" t="n">
        <v>4</v>
      </c>
      <c r="F258" s="10" t="n">
        <v>350</v>
      </c>
      <c r="G258" s="10" t="n">
        <v>400</v>
      </c>
      <c r="H258" s="15" t="n">
        <v>350</v>
      </c>
      <c r="I258" s="15" t="n">
        <v>400</v>
      </c>
      <c r="J258" s="16" t="n">
        <v>111.7578</v>
      </c>
      <c r="K258" s="10" t="inlineStr">
        <is>
          <t>249</t>
        </is>
      </c>
      <c r="L258" s="16" t="n">
        <v>45.1213</v>
      </c>
      <c r="M258" s="10" t="inlineStr">
        <is>
          <t>249</t>
        </is>
      </c>
      <c r="N258" s="16" t="n">
        <v>98.389</v>
      </c>
      <c r="O258" s="16" t="n">
        <v>217.03</v>
      </c>
      <c r="P258" s="10" t="inlineStr">
        <is>
          <t>249</t>
        </is>
      </c>
      <c r="Q258" s="16" t="n">
        <v>3.619</v>
      </c>
      <c r="R258" s="10">
        <f>MAX(MAX(1.4/'Parametros'!$B$3,0.25*SQRT('Parametros'!$B$2)/'Parametros'!$B$3)*H258*U258,(0.85*'Parametros'!$B$2/'Parametros'!$B$3)*(1-SQRT(1-2*(J258*1000000/('Parametros'!$B$5*H258*U258^2))/(0.85*'Parametros'!$B$2)))*H258*U258)</f>
        <v>926.240988351536</v>
      </c>
      <c r="S258" s="17" t="n">
        <v>5</v>
      </c>
      <c r="T258" s="18" t="n">
        <v>1</v>
      </c>
      <c r="U258" s="10">
        <f>IF(T258=1,I258-('Parametros'!$B$7+'Parametros'!$B$9+'Parametros'!$B$12/2),I258-(ROUNDUP(S258/2,0)*('Parametros'!$B$7+'Parametros'!$B$9+'Parametros'!$B$12/2)+ROUNDDOWN(S258/2,0)*('Parametros'!$B$7+'Parametros'!$B$9+'Parametros'!$B$12/2+'Parametros'!$B$12+'Parametros'!$B$10))/S258)</f>
        <v>342.55</v>
      </c>
      <c r="V258" s="10">
        <f>S258*'Parametros'!$B$8</f>
        <v>995</v>
      </c>
      <c r="W258" s="10">
        <f>'Parametros'!$B$5*V258*'Parametros'!$B$3*(U258-(V258*'Parametros'!$B$3/(0.85*'Parametros'!$B$2*H258))/2)/1000000</f>
        <v>119.402124617647</v>
      </c>
      <c r="X258" s="10" t="str">
        <f>IF(W258&gt;=J258,"CUMPLE","NO CUMPLE")</f>
        <v>CUMPLE</v>
      </c>
      <c r="Y258" s="10">
        <f>MAX(MAX(1.4/'Parametros'!$B$3,0.25*SQRT('Parametros'!$B$2)/'Parametros'!$B$3)*H258*AB258,(0.85*'Parametros'!$B$2/'Parametros'!$B$3)*(1-SQRT(1-2*(L258*1000000/('Parametros'!$B$5*H258*AB258^2))/(0.85*'Parametros'!$B$2)))*H258*AB258)</f>
        <v>399.641666666667</v>
      </c>
      <c r="Z258" s="17" t="n">
        <v>3</v>
      </c>
      <c r="AA258" s="18" t="n">
        <v>1</v>
      </c>
      <c r="AB258" s="10">
        <f>IF(AA258=1,I258-('Parametros'!$B$7+'Parametros'!$B$9+'Parametros'!$B$12/2),I258-(ROUNDUP(Z258/2,0)*('Parametros'!$B$7+'Parametros'!$B$9+'Parametros'!$B$12/2)+ROUNDDOWN(Z258/2,0)*('Parametros'!$B$7+'Parametros'!$B$9+'Parametros'!$B$12/2+'Parametros'!$B$12+'Parametros'!$B$10))/Z258)</f>
        <v>342.55</v>
      </c>
      <c r="AC258" s="10">
        <f>Z258*'Parametros'!$B$8</f>
        <v>597</v>
      </c>
      <c r="AD258" s="10">
        <f>'Parametros'!$B$5*AC258*'Parametros'!$B$3*(AB258-(AC258*'Parametros'!$B$3/(0.85*'Parametros'!$B$2*H258))/2)/1000000</f>
        <v>73.905520182353</v>
      </c>
      <c r="AE258" s="10" t="str">
        <f>IF(AD258&gt;=L258,"CUMPLE","NO CUMPLE")</f>
        <v>CUMPLE</v>
      </c>
      <c r="AF258" s="10">
        <f>V258*1.25*'Parametros'!$B$3*(U258-(V258*1.25*'Parametros'!$B$3/(0.85*'Parametros'!$B$2*H258))/2)/1000000</f>
        <v>162.560466176471</v>
      </c>
      <c r="AG258" s="10">
        <f>AC258*1.25*'Parametros'!$B$3*(AB258-(AC258*1.25*'Parametros'!$B$3/(0.85*'Parametros'!$B$2*H258))/2)/1000000</f>
        <v>101.467261323529</v>
      </c>
      <c r="AH258" s="10">
        <f>N258+(AF258+AG258)/D258</f>
        <v>164.395931875</v>
      </c>
      <c r="AI258" s="10">
        <f>MIN(O258,MAX(N258,AH258))</f>
        <v>164.395931875</v>
      </c>
      <c r="AJ258" s="10">
        <f>0.17*SQRT('Parametros'!$B$2)*H258*MIN(U258,AB258)/1000</f>
        <v>107.849951281016</v>
      </c>
      <c r="AK258" s="10">
        <f>MAX(AI258/'Parametros'!$B$6-AJ258,0)</f>
        <v>111.344624552317</v>
      </c>
      <c r="AL258" s="10">
        <f>0.66*SQRT('Parametros'!$B$2)*H258*MIN(U258,AB258)/1000</f>
        <v>418.711575561591</v>
      </c>
      <c r="AM258" s="10" t="str">
        <f>IF(AK258&lt;=AL258,"CUMPLE","NO CUMPLE")</f>
        <v>CUMPLE</v>
      </c>
      <c r="AN258" s="15" t="inlineStr">
        <is>
          <t>Nº3 cerrado</t>
        </is>
      </c>
      <c r="AO258" s="17" t="n">
        <v>2</v>
      </c>
      <c r="AP258" s="10">
        <f>ROUNDDOWN(MIN(IF(AK258=0,1000000000,AO258*'Parametros'!$B$11*'Parametros'!$B$4*MIN(U258,AB258)/(AK258*1000)),IF(AV258=0,1000000000,'Parametros'!$B$11/AV258),MIN(U258,AB258)/4,8*'Parametros'!$B$12,24*'Parametros'!$B$9,300)/10,0)*10</f>
        <v>80</v>
      </c>
      <c r="AQ258" s="10">
        <f>ROUNDDOWN(MIN(IF(AK258=0,1000000000,AO258*'Parametros'!$B$11*'Parametros'!$B$4*MIN(U258,AB258)/(AK258*1000)),IF(AV258=0,1000000000,'Parametros'!$B$11/AV258),MIN(U258,AB258)/2,600)/10,0)*10</f>
        <v>170</v>
      </c>
      <c r="AR258" s="10">
        <f>'Parametros'!$B$6*(AJ258+AO258*'Parametros'!$B$11*'Parametros'!$B$4*MIN(U258,AB258)/AP258/1000)</f>
        <v>272.415732210762</v>
      </c>
      <c r="AS258" s="10" t="str">
        <f>IF(AND(AM258="CUMPLE",AR258&gt;=AI258),"CUMPLE","NO CUMPLE")</f>
        <v>CUMPLE</v>
      </c>
      <c r="AT258" s="10">
        <f>'Parametros'!$B$6*0.083*SQRT('Parametros'!$B$2)*(H258*I258)^2/(2*(H258+I258))/1000000</f>
        <v>4.30410823283988</v>
      </c>
      <c r="AU258" s="10" t="str">
        <f>IF(Q258&lt;=AT258,"DESPRECIABLE","DISEÑAR")</f>
        <v>DESPRECIABLE</v>
      </c>
      <c r="AV258" s="10">
        <f>IF(Q258&lt;=AT258,0,Q258*1000000/('Parametros'!$B$6*2*0.85*(H258-2*'Parametros'!$B$7)*(I258-2*'Parametros'!$B$7)*'Parametros'!$B$4))</f>
        <v>0</v>
      </c>
      <c r="AW258" s="10">
        <f>AV258*2*((H258-2*'Parametros'!$B$7)+(I258-2*'Parametros'!$B$7))*'Parametros'!$B$4/'Parametros'!$B$3</f>
        <v>0</v>
      </c>
      <c r="AX258" s="17" t="n">
        <v>0</v>
      </c>
      <c r="AY258" s="10" t="str">
        <f>IF(AV258=0,"DESPRECIABLE",IF('Parametros'!$B$11/AP258&gt;=AV258,"CUMPLE","NO CUMPLE"))</f>
        <v>DESPRECIABLE</v>
      </c>
      <c r="AZ258" s="10" t="str">
        <f>IF(AND(X258="CUMPLE",AE258="CUMPLE",AS258="CUMPLE",OR(AY258="CUMPLE",AY258="DESPRECIABLE")),IF(OR(F258&lt;&gt;H258,G258&lt;&gt;I258),"CUMPLE - REANALIZAR SAP","CUMPLE"),"NO CUMPLE")</f>
        <v>CUMPLE</v>
      </c>
    </row>
    <row r="259">
      <c r="A259" s="24" t="inlineStr">
        <is>
          <t>VR1</t>
        </is>
      </c>
      <c r="B259" s="24" t="inlineStr">
        <is>
          <t>250</t>
        </is>
      </c>
      <c r="C259" s="10" t="n">
        <v>1</v>
      </c>
      <c r="D259" s="10" t="n">
        <v>4</v>
      </c>
      <c r="E259" s="10" t="n">
        <v>4</v>
      </c>
      <c r="F259" s="10" t="n">
        <v>350</v>
      </c>
      <c r="G259" s="10" t="n">
        <v>400</v>
      </c>
      <c r="H259" s="15" t="n">
        <v>350</v>
      </c>
      <c r="I259" s="15" t="n">
        <v>400</v>
      </c>
      <c r="J259" s="16" t="n">
        <v>111.8179</v>
      </c>
      <c r="K259" s="10" t="inlineStr">
        <is>
          <t>250</t>
        </is>
      </c>
      <c r="L259" s="16" t="n">
        <v>45.1493</v>
      </c>
      <c r="M259" s="10" t="inlineStr">
        <is>
          <t>250</t>
        </is>
      </c>
      <c r="N259" s="16" t="n">
        <v>98.41800000000001</v>
      </c>
      <c r="O259" s="16" t="n">
        <v>217.077</v>
      </c>
      <c r="P259" s="10" t="inlineStr">
        <is>
          <t>250</t>
        </is>
      </c>
      <c r="Q259" s="16" t="n">
        <v>3.6348</v>
      </c>
      <c r="R259" s="10">
        <f>MAX(MAX(1.4/'Parametros'!$B$3,0.25*SQRT('Parametros'!$B$2)/'Parametros'!$B$3)*H259*U259,(0.85*'Parametros'!$B$2/'Parametros'!$B$3)*(1-SQRT(1-2*(J259*1000000/('Parametros'!$B$5*H259*U259^2))/(0.85*'Parametros'!$B$2)))*H259*U259)</f>
        <v>926.778431819111</v>
      </c>
      <c r="S259" s="17" t="n">
        <v>5</v>
      </c>
      <c r="T259" s="18" t="n">
        <v>1</v>
      </c>
      <c r="U259" s="10">
        <f>IF(T259=1,I259-('Parametros'!$B$7+'Parametros'!$B$9+'Parametros'!$B$12/2),I259-(ROUNDUP(S259/2,0)*('Parametros'!$B$7+'Parametros'!$B$9+'Parametros'!$B$12/2)+ROUNDDOWN(S259/2,0)*('Parametros'!$B$7+'Parametros'!$B$9+'Parametros'!$B$12/2+'Parametros'!$B$12+'Parametros'!$B$10))/S259)</f>
        <v>342.55</v>
      </c>
      <c r="V259" s="10">
        <f>S259*'Parametros'!$B$8</f>
        <v>995</v>
      </c>
      <c r="W259" s="10">
        <f>'Parametros'!$B$5*V259*'Parametros'!$B$3*(U259-(V259*'Parametros'!$B$3/(0.85*'Parametros'!$B$2*H259))/2)/1000000</f>
        <v>119.402124617647</v>
      </c>
      <c r="X259" s="10" t="str">
        <f>IF(W259&gt;=J259,"CUMPLE","NO CUMPLE")</f>
        <v>CUMPLE</v>
      </c>
      <c r="Y259" s="10">
        <f>MAX(MAX(1.4/'Parametros'!$B$3,0.25*SQRT('Parametros'!$B$2)/'Parametros'!$B$3)*H259*AB259,(0.85*'Parametros'!$B$2/'Parametros'!$B$3)*(1-SQRT(1-2*(L259*1000000/('Parametros'!$B$5*H259*AB259^2))/(0.85*'Parametros'!$B$2)))*H259*AB259)</f>
        <v>399.641666666667</v>
      </c>
      <c r="Z259" s="17" t="n">
        <v>3</v>
      </c>
      <c r="AA259" s="18" t="n">
        <v>1</v>
      </c>
      <c r="AB259" s="10">
        <f>IF(AA259=1,I259-('Parametros'!$B$7+'Parametros'!$B$9+'Parametros'!$B$12/2),I259-(ROUNDUP(Z259/2,0)*('Parametros'!$B$7+'Parametros'!$B$9+'Parametros'!$B$12/2)+ROUNDDOWN(Z259/2,0)*('Parametros'!$B$7+'Parametros'!$B$9+'Parametros'!$B$12/2+'Parametros'!$B$12+'Parametros'!$B$10))/Z259)</f>
        <v>342.55</v>
      </c>
      <c r="AC259" s="10">
        <f>Z259*'Parametros'!$B$8</f>
        <v>597</v>
      </c>
      <c r="AD259" s="10">
        <f>'Parametros'!$B$5*AC259*'Parametros'!$B$3*(AB259-(AC259*'Parametros'!$B$3/(0.85*'Parametros'!$B$2*H259))/2)/1000000</f>
        <v>73.905520182353</v>
      </c>
      <c r="AE259" s="10" t="str">
        <f>IF(AD259&gt;=L259,"CUMPLE","NO CUMPLE")</f>
        <v>CUMPLE</v>
      </c>
      <c r="AF259" s="10">
        <f>V259*1.25*'Parametros'!$B$3*(U259-(V259*1.25*'Parametros'!$B$3/(0.85*'Parametros'!$B$2*H259))/2)/1000000</f>
        <v>162.560466176471</v>
      </c>
      <c r="AG259" s="10">
        <f>AC259*1.25*'Parametros'!$B$3*(AB259-(AC259*1.25*'Parametros'!$B$3/(0.85*'Parametros'!$B$2*H259))/2)/1000000</f>
        <v>101.467261323529</v>
      </c>
      <c r="AH259" s="10">
        <f>N259+(AF259+AG259)/D259</f>
        <v>164.424931875</v>
      </c>
      <c r="AI259" s="10">
        <f>MIN(O259,MAX(N259,AH259))</f>
        <v>164.424931875</v>
      </c>
      <c r="AJ259" s="10">
        <f>0.17*SQRT('Parametros'!$B$2)*H259*MIN(U259,AB259)/1000</f>
        <v>107.849951281016</v>
      </c>
      <c r="AK259" s="10">
        <f>MAX(AI259/'Parametros'!$B$6-AJ259,0)</f>
        <v>111.383291218984</v>
      </c>
      <c r="AL259" s="10">
        <f>0.66*SQRT('Parametros'!$B$2)*H259*MIN(U259,AB259)/1000</f>
        <v>418.711575561591</v>
      </c>
      <c r="AM259" s="10" t="str">
        <f>IF(AK259&lt;=AL259,"CUMPLE","NO CUMPLE")</f>
        <v>CUMPLE</v>
      </c>
      <c r="AN259" s="15" t="inlineStr">
        <is>
          <t>Nº3 cerrado</t>
        </is>
      </c>
      <c r="AO259" s="17" t="n">
        <v>2</v>
      </c>
      <c r="AP259" s="10">
        <f>ROUNDDOWN(MIN(IF(AK259=0,1000000000,AO259*'Parametros'!$B$11*'Parametros'!$B$4*MIN(U259,AB259)/(AK259*1000)),IF(AV259=0,1000000000,'Parametros'!$B$11/AV259),MIN(U259,AB259)/4,8*'Parametros'!$B$12,24*'Parametros'!$B$9,300)/10,0)*10</f>
        <v>80</v>
      </c>
      <c r="AQ259" s="10">
        <f>ROUNDDOWN(MIN(IF(AK259=0,1000000000,AO259*'Parametros'!$B$11*'Parametros'!$B$4*MIN(U259,AB259)/(AK259*1000)),IF(AV259=0,1000000000,'Parametros'!$B$11/AV259),MIN(U259,AB259)/2,600)/10,0)*10</f>
        <v>170</v>
      </c>
      <c r="AR259" s="10">
        <f>'Parametros'!$B$6*(AJ259+AO259*'Parametros'!$B$11*'Parametros'!$B$4*MIN(U259,AB259)/AP259/1000)</f>
        <v>272.415732210762</v>
      </c>
      <c r="AS259" s="10" t="str">
        <f>IF(AND(AM259="CUMPLE",AR259&gt;=AI259),"CUMPLE","NO CUMPLE")</f>
        <v>CUMPLE</v>
      </c>
      <c r="AT259" s="10">
        <f>'Parametros'!$B$6*0.083*SQRT('Parametros'!$B$2)*(H259*I259)^2/(2*(H259+I259))/1000000</f>
        <v>4.30410823283988</v>
      </c>
      <c r="AU259" s="10" t="str">
        <f>IF(Q259&lt;=AT259,"DESPRECIABLE","DISEÑAR")</f>
        <v>DESPRECIABLE</v>
      </c>
      <c r="AV259" s="10">
        <f>IF(Q259&lt;=AT259,0,Q259*1000000/('Parametros'!$B$6*2*0.85*(H259-2*'Parametros'!$B$7)*(I259-2*'Parametros'!$B$7)*'Parametros'!$B$4))</f>
        <v>0</v>
      </c>
      <c r="AW259" s="10">
        <f>AV259*2*((H259-2*'Parametros'!$B$7)+(I259-2*'Parametros'!$B$7))*'Parametros'!$B$4/'Parametros'!$B$3</f>
        <v>0</v>
      </c>
      <c r="AX259" s="17" t="n">
        <v>0</v>
      </c>
      <c r="AY259" s="10" t="str">
        <f>IF(AV259=0,"DESPRECIABLE",IF('Parametros'!$B$11/AP259&gt;=AV259,"CUMPLE","NO CUMPLE"))</f>
        <v>DESPRECIABLE</v>
      </c>
      <c r="AZ259" s="10" t="str">
        <f>IF(AND(X259="CUMPLE",AE259="CUMPLE",AS259="CUMPLE",OR(AY259="CUMPLE",AY259="DESPRECIABLE")),IF(OR(F259&lt;&gt;H259,G259&lt;&gt;I259),"CUMPLE - REANALIZAR SAP","CUMPLE"),"NO CUMPLE")</f>
        <v>CUMPLE</v>
      </c>
    </row>
    <row r="260">
      <c r="A260" s="24" t="inlineStr">
        <is>
          <t>VR1</t>
        </is>
      </c>
      <c r="B260" s="24" t="inlineStr">
        <is>
          <t>251</t>
        </is>
      </c>
      <c r="C260" s="10" t="n">
        <v>1</v>
      </c>
      <c r="D260" s="10" t="n">
        <v>2.5</v>
      </c>
      <c r="E260" s="10" t="n">
        <v>2.5</v>
      </c>
      <c r="F260" s="10" t="n">
        <v>350</v>
      </c>
      <c r="G260" s="10" t="n">
        <v>400</v>
      </c>
      <c r="H260" s="15" t="n">
        <v>350</v>
      </c>
      <c r="I260" s="15" t="n">
        <v>400</v>
      </c>
      <c r="J260" s="16" t="n">
        <v>109.2642</v>
      </c>
      <c r="K260" s="10" t="inlineStr">
        <is>
          <t>251</t>
        </is>
      </c>
      <c r="L260" s="16" t="n">
        <v>83.0823</v>
      </c>
      <c r="M260" s="10" t="inlineStr">
        <is>
          <t>251</t>
        </is>
      </c>
      <c r="N260" s="16" t="n">
        <v>112.744</v>
      </c>
      <c r="O260" s="16" t="n">
        <v>401.413</v>
      </c>
      <c r="P260" s="10" t="inlineStr">
        <is>
          <t>251</t>
        </is>
      </c>
      <c r="Q260" s="16" t="n">
        <v>0.479</v>
      </c>
      <c r="R260" s="10">
        <f>MAX(MAX(1.4/'Parametros'!$B$3,0.25*SQRT('Parametros'!$B$2)/'Parametros'!$B$3)*H260*U260,(0.85*'Parametros'!$B$2/'Parametros'!$B$3)*(1-SQRT(1-2*(J260*1000000/('Parametros'!$B$5*H260*U260^2))/(0.85*'Parametros'!$B$2)))*H260*U260)</f>
        <v>903.985231505957</v>
      </c>
      <c r="S260" s="17" t="n">
        <v>5</v>
      </c>
      <c r="T260" s="18" t="n">
        <v>1</v>
      </c>
      <c r="U260" s="10">
        <f>IF(T260=1,I260-('Parametros'!$B$7+'Parametros'!$B$9+'Parametros'!$B$12/2),I260-(ROUNDUP(S260/2,0)*('Parametros'!$B$7+'Parametros'!$B$9+'Parametros'!$B$12/2)+ROUNDDOWN(S260/2,0)*('Parametros'!$B$7+'Parametros'!$B$9+'Parametros'!$B$12/2+'Parametros'!$B$12+'Parametros'!$B$10))/S260)</f>
        <v>342.55</v>
      </c>
      <c r="V260" s="10">
        <f>S260*'Parametros'!$B$8</f>
        <v>995</v>
      </c>
      <c r="W260" s="10">
        <f>'Parametros'!$B$5*V260*'Parametros'!$B$3*(U260-(V260*'Parametros'!$B$3/(0.85*'Parametros'!$B$2*H260))/2)/1000000</f>
        <v>119.402124617647</v>
      </c>
      <c r="X260" s="10" t="str">
        <f>IF(W260&gt;=J260,"CUMPLE","NO CUMPLE")</f>
        <v>CUMPLE</v>
      </c>
      <c r="Y260" s="10">
        <f>MAX(MAX(1.4/'Parametros'!$B$3,0.25*SQRT('Parametros'!$B$2)/'Parametros'!$B$3)*H260*AB260,(0.85*'Parametros'!$B$2/'Parametros'!$B$3)*(1-SQRT(1-2*(L260*1000000/('Parametros'!$B$5*H260*AB260^2))/(0.85*'Parametros'!$B$2)))*H260*AB260)</f>
        <v>675.192987872887</v>
      </c>
      <c r="Z260" s="17" t="n">
        <v>4</v>
      </c>
      <c r="AA260" s="18" t="n">
        <v>1</v>
      </c>
      <c r="AB260" s="10">
        <f>IF(AA260=1,I260-('Parametros'!$B$7+'Parametros'!$B$9+'Parametros'!$B$12/2),I260-(ROUNDUP(Z260/2,0)*('Parametros'!$B$7+'Parametros'!$B$9+'Parametros'!$B$12/2)+ROUNDDOWN(Z260/2,0)*('Parametros'!$B$7+'Parametros'!$B$9+'Parametros'!$B$12/2+'Parametros'!$B$12+'Parametros'!$B$10))/Z260)</f>
        <v>342.55</v>
      </c>
      <c r="AC260" s="10">
        <f>Z260*'Parametros'!$B$8</f>
        <v>796</v>
      </c>
      <c r="AD260" s="10">
        <f>'Parametros'!$B$5*AC260*'Parametros'!$B$3*(AB260-(AC260*'Parametros'!$B$3/(0.85*'Parametros'!$B$2*H260))/2)/1000000</f>
        <v>97.0311966352941</v>
      </c>
      <c r="AE260" s="10" t="str">
        <f>IF(AD260&gt;=L260,"CUMPLE","NO CUMPLE")</f>
        <v>CUMPLE</v>
      </c>
      <c r="AF260" s="10">
        <f>V260*1.25*'Parametros'!$B$3*(U260-(V260*1.25*'Parametros'!$B$3/(0.85*'Parametros'!$B$2*H260))/2)/1000000</f>
        <v>162.560466176471</v>
      </c>
      <c r="AG260" s="10">
        <f>AC260*1.25*'Parametros'!$B$3*(AB260-(AC260*1.25*'Parametros'!$B$3/(0.85*'Parametros'!$B$2*H260))/2)/1000000</f>
        <v>132.669027352941</v>
      </c>
      <c r="AH260" s="10">
        <f>N260+(AF260+AG260)/D260</f>
        <v>230.835797411765</v>
      </c>
      <c r="AI260" s="10">
        <f>MIN(O260,MAX(N260,AH260))</f>
        <v>230.835797411765</v>
      </c>
      <c r="AJ260" s="10">
        <f>0.17*SQRT('Parametros'!$B$2)*H260*MIN(U260,AB260)/1000</f>
        <v>107.849951281016</v>
      </c>
      <c r="AK260" s="10">
        <f>MAX(AI260/'Parametros'!$B$6-AJ260,0)</f>
        <v>199.93111193467</v>
      </c>
      <c r="AL260" s="10">
        <f>0.66*SQRT('Parametros'!$B$2)*H260*MIN(U260,AB260)/1000</f>
        <v>418.711575561591</v>
      </c>
      <c r="AM260" s="10" t="str">
        <f>IF(AK260&lt;=AL260,"CUMPLE","NO CUMPLE")</f>
        <v>CUMPLE</v>
      </c>
      <c r="AN260" s="15" t="inlineStr">
        <is>
          <t>Nº3 cerrado</t>
        </is>
      </c>
      <c r="AO260" s="17" t="n">
        <v>2</v>
      </c>
      <c r="AP260" s="10">
        <f>ROUNDDOWN(MIN(IF(AK260=0,1000000000,AO260*'Parametros'!$B$11*'Parametros'!$B$4*MIN(U260,AB260)/(AK260*1000)),IF(AV260=0,1000000000,'Parametros'!$B$11/AV260),MIN(U260,AB260)/4,8*'Parametros'!$B$12,24*'Parametros'!$B$9,300)/10,0)*10</f>
        <v>80</v>
      </c>
      <c r="AQ260" s="10">
        <f>ROUNDDOWN(MIN(IF(AK260=0,1000000000,AO260*'Parametros'!$B$11*'Parametros'!$B$4*MIN(U260,AB260)/(AK260*1000)),IF(AV260=0,1000000000,'Parametros'!$B$11/AV260),MIN(U260,AB260)/2,600)/10,0)*10</f>
        <v>100</v>
      </c>
      <c r="AR260" s="10">
        <f>'Parametros'!$B$6*(AJ260+AO260*'Parametros'!$B$11*'Parametros'!$B$4*MIN(U260,AB260)/AP260/1000)</f>
        <v>272.415732210762</v>
      </c>
      <c r="AS260" s="10" t="str">
        <f>IF(AND(AM260="CUMPLE",AR260&gt;=AI260),"CUMPLE","NO CUMPLE")</f>
        <v>CUMPLE</v>
      </c>
      <c r="AT260" s="10">
        <f>'Parametros'!$B$6*0.083*SQRT('Parametros'!$B$2)*(H260*I260)^2/(2*(H260+I260))/1000000</f>
        <v>4.30410823283988</v>
      </c>
      <c r="AU260" s="10" t="str">
        <f>IF(Q260&lt;=AT260,"DESPRECIABLE","DISEÑAR")</f>
        <v>DESPRECIABLE</v>
      </c>
      <c r="AV260" s="10">
        <f>IF(Q260&lt;=AT260,0,Q260*1000000/('Parametros'!$B$6*2*0.85*(H260-2*'Parametros'!$B$7)*(I260-2*'Parametros'!$B$7)*'Parametros'!$B$4))</f>
        <v>0</v>
      </c>
      <c r="AW260" s="10">
        <f>AV260*2*((H260-2*'Parametros'!$B$7)+(I260-2*'Parametros'!$B$7))*'Parametros'!$B$4/'Parametros'!$B$3</f>
        <v>0</v>
      </c>
      <c r="AX260" s="17" t="n">
        <v>0</v>
      </c>
      <c r="AY260" s="10" t="str">
        <f>IF(AV260=0,"DESPRECIABLE",IF('Parametros'!$B$11/AP260&gt;=AV260,"CUMPLE","NO CUMPLE"))</f>
        <v>DESPRECIABLE</v>
      </c>
      <c r="AZ260" s="10" t="str">
        <f>IF(AND(X260="CUMPLE",AE260="CUMPLE",AS260="CUMPLE",OR(AY260="CUMPLE",AY260="DESPRECIABLE")),IF(OR(F260&lt;&gt;H260,G260&lt;&gt;I260),"CUMPLE - REANALIZAR SAP","CUMPLE"),"NO CUMPLE")</f>
        <v>CUMPLE</v>
      </c>
    </row>
    <row r="261">
      <c r="A261" s="24" t="inlineStr">
        <is>
          <t>VR1</t>
        </is>
      </c>
      <c r="B261" s="24" t="inlineStr">
        <is>
          <t>252</t>
        </is>
      </c>
      <c r="C261" s="10" t="n">
        <v>1</v>
      </c>
      <c r="D261" s="10" t="n">
        <v>2.6</v>
      </c>
      <c r="E261" s="10" t="n">
        <v>2.6</v>
      </c>
      <c r="F261" s="10" t="n">
        <v>350</v>
      </c>
      <c r="G261" s="10" t="n">
        <v>400</v>
      </c>
      <c r="H261" s="15" t="n">
        <v>350</v>
      </c>
      <c r="I261" s="15" t="n">
        <v>400</v>
      </c>
      <c r="J261" s="16" t="n">
        <v>104.3726</v>
      </c>
      <c r="K261" s="10" t="inlineStr">
        <is>
          <t>252</t>
        </is>
      </c>
      <c r="L261" s="16" t="n">
        <v>76.556</v>
      </c>
      <c r="M261" s="10" t="inlineStr">
        <is>
          <t>252</t>
        </is>
      </c>
      <c r="N261" s="16" t="n">
        <v>106.919</v>
      </c>
      <c r="O261" s="16" t="n">
        <v>368.124</v>
      </c>
      <c r="P261" s="10" t="inlineStr">
        <is>
          <t>252</t>
        </is>
      </c>
      <c r="Q261" s="16" t="n">
        <v>0.498</v>
      </c>
      <c r="R261" s="10">
        <f>MAX(MAX(1.4/'Parametros'!$B$3,0.25*SQRT('Parametros'!$B$2)/'Parametros'!$B$3)*H261*U261,(0.85*'Parametros'!$B$2/'Parametros'!$B$3)*(1-SQRT(1-2*(J261*1000000/('Parametros'!$B$5*H261*U261^2))/(0.85*'Parametros'!$B$2)))*H261*U261)</f>
        <v>860.569459240388</v>
      </c>
      <c r="S261" s="17" t="n">
        <v>5</v>
      </c>
      <c r="T261" s="18" t="n">
        <v>1</v>
      </c>
      <c r="U261" s="10">
        <f>IF(T261=1,I261-('Parametros'!$B$7+'Parametros'!$B$9+'Parametros'!$B$12/2),I261-(ROUNDUP(S261/2,0)*('Parametros'!$B$7+'Parametros'!$B$9+'Parametros'!$B$12/2)+ROUNDDOWN(S261/2,0)*('Parametros'!$B$7+'Parametros'!$B$9+'Parametros'!$B$12/2+'Parametros'!$B$12+'Parametros'!$B$10))/S261)</f>
        <v>342.55</v>
      </c>
      <c r="V261" s="10">
        <f>S261*'Parametros'!$B$8</f>
        <v>995</v>
      </c>
      <c r="W261" s="10">
        <f>'Parametros'!$B$5*V261*'Parametros'!$B$3*(U261-(V261*'Parametros'!$B$3/(0.85*'Parametros'!$B$2*H261))/2)/1000000</f>
        <v>119.402124617647</v>
      </c>
      <c r="X261" s="10" t="str">
        <f>IF(W261&gt;=J261,"CUMPLE","NO CUMPLE")</f>
        <v>CUMPLE</v>
      </c>
      <c r="Y261" s="10">
        <f>MAX(MAX(1.4/'Parametros'!$B$3,0.25*SQRT('Parametros'!$B$2)/'Parametros'!$B$3)*H261*AB261,(0.85*'Parametros'!$B$2/'Parametros'!$B$3)*(1-SQRT(1-2*(L261*1000000/('Parametros'!$B$5*H261*AB261^2))/(0.85*'Parametros'!$B$2)))*H261*AB261)</f>
        <v>619.482358333839</v>
      </c>
      <c r="Z261" s="17" t="n">
        <v>4</v>
      </c>
      <c r="AA261" s="18" t="n">
        <v>1</v>
      </c>
      <c r="AB261" s="10">
        <f>IF(AA261=1,I261-('Parametros'!$B$7+'Parametros'!$B$9+'Parametros'!$B$12/2),I261-(ROUNDUP(Z261/2,0)*('Parametros'!$B$7+'Parametros'!$B$9+'Parametros'!$B$12/2)+ROUNDDOWN(Z261/2,0)*('Parametros'!$B$7+'Parametros'!$B$9+'Parametros'!$B$12/2+'Parametros'!$B$12+'Parametros'!$B$10))/Z261)</f>
        <v>342.55</v>
      </c>
      <c r="AC261" s="10">
        <f>Z261*'Parametros'!$B$8</f>
        <v>796</v>
      </c>
      <c r="AD261" s="10">
        <f>'Parametros'!$B$5*AC261*'Parametros'!$B$3*(AB261-(AC261*'Parametros'!$B$3/(0.85*'Parametros'!$B$2*H261))/2)/1000000</f>
        <v>97.0311966352941</v>
      </c>
      <c r="AE261" s="10" t="str">
        <f>IF(AD261&gt;=L261,"CUMPLE","NO CUMPLE")</f>
        <v>CUMPLE</v>
      </c>
      <c r="AF261" s="10">
        <f>V261*1.25*'Parametros'!$B$3*(U261-(V261*1.25*'Parametros'!$B$3/(0.85*'Parametros'!$B$2*H261))/2)/1000000</f>
        <v>162.560466176471</v>
      </c>
      <c r="AG261" s="10">
        <f>AC261*1.25*'Parametros'!$B$3*(AB261-(AC261*1.25*'Parametros'!$B$3/(0.85*'Parametros'!$B$2*H261))/2)/1000000</f>
        <v>132.669027352941</v>
      </c>
      <c r="AH261" s="10">
        <f>N261+(AF261+AG261)/D261</f>
        <v>220.46880520362</v>
      </c>
      <c r="AI261" s="10">
        <f>MIN(O261,MAX(N261,AH261))</f>
        <v>220.46880520362</v>
      </c>
      <c r="AJ261" s="10">
        <f>0.17*SQRT('Parametros'!$B$2)*H261*MIN(U261,AB261)/1000</f>
        <v>107.849951281016</v>
      </c>
      <c r="AK261" s="10">
        <f>MAX(AI261/'Parametros'!$B$6-AJ261,0)</f>
        <v>186.108455657144</v>
      </c>
      <c r="AL261" s="10">
        <f>0.66*SQRT('Parametros'!$B$2)*H261*MIN(U261,AB261)/1000</f>
        <v>418.711575561591</v>
      </c>
      <c r="AM261" s="10" t="str">
        <f>IF(AK261&lt;=AL261,"CUMPLE","NO CUMPLE")</f>
        <v>CUMPLE</v>
      </c>
      <c r="AN261" s="15" t="inlineStr">
        <is>
          <t>Nº3 cerrado</t>
        </is>
      </c>
      <c r="AO261" s="17" t="n">
        <v>2</v>
      </c>
      <c r="AP261" s="10">
        <f>ROUNDDOWN(MIN(IF(AK261=0,1000000000,AO261*'Parametros'!$B$11*'Parametros'!$B$4*MIN(U261,AB261)/(AK261*1000)),IF(AV261=0,1000000000,'Parametros'!$B$11/AV261),MIN(U261,AB261)/4,8*'Parametros'!$B$12,24*'Parametros'!$B$9,300)/10,0)*10</f>
        <v>80</v>
      </c>
      <c r="AQ261" s="10">
        <f>ROUNDDOWN(MIN(IF(AK261=0,1000000000,AO261*'Parametros'!$B$11*'Parametros'!$B$4*MIN(U261,AB261)/(AK261*1000)),IF(AV261=0,1000000000,'Parametros'!$B$11/AV261),MIN(U261,AB261)/2,600)/10,0)*10</f>
        <v>100</v>
      </c>
      <c r="AR261" s="10">
        <f>'Parametros'!$B$6*(AJ261+AO261*'Parametros'!$B$11*'Parametros'!$B$4*MIN(U261,AB261)/AP261/1000)</f>
        <v>272.415732210762</v>
      </c>
      <c r="AS261" s="10" t="str">
        <f>IF(AND(AM261="CUMPLE",AR261&gt;=AI261),"CUMPLE","NO CUMPLE")</f>
        <v>CUMPLE</v>
      </c>
      <c r="AT261" s="10">
        <f>'Parametros'!$B$6*0.083*SQRT('Parametros'!$B$2)*(H261*I261)^2/(2*(H261+I261))/1000000</f>
        <v>4.30410823283988</v>
      </c>
      <c r="AU261" s="10" t="str">
        <f>IF(Q261&lt;=AT261,"DESPRECIABLE","DISEÑAR")</f>
        <v>DESPRECIABLE</v>
      </c>
      <c r="AV261" s="10">
        <f>IF(Q261&lt;=AT261,0,Q261*1000000/('Parametros'!$B$6*2*0.85*(H261-2*'Parametros'!$B$7)*(I261-2*'Parametros'!$B$7)*'Parametros'!$B$4))</f>
        <v>0</v>
      </c>
      <c r="AW261" s="10">
        <f>AV261*2*((H261-2*'Parametros'!$B$7)+(I261-2*'Parametros'!$B$7))*'Parametros'!$B$4/'Parametros'!$B$3</f>
        <v>0</v>
      </c>
      <c r="AX261" s="17" t="n">
        <v>0</v>
      </c>
      <c r="AY261" s="10" t="str">
        <f>IF(AV261=0,"DESPRECIABLE",IF('Parametros'!$B$11/AP261&gt;=AV261,"CUMPLE","NO CUMPLE"))</f>
        <v>DESPRECIABLE</v>
      </c>
      <c r="AZ261" s="10" t="str">
        <f>IF(AND(X261="CUMPLE",AE261="CUMPLE",AS261="CUMPLE",OR(AY261="CUMPLE",AY261="DESPRECIABLE")),IF(OR(F261&lt;&gt;H261,G261&lt;&gt;I261),"CUMPLE - REANALIZAR SAP","CUMPLE"),"NO CUMPLE")</f>
        <v>CUMPLE</v>
      </c>
    </row>
    <row r="262">
      <c r="A262" s="24" t="inlineStr">
        <is>
          <t>VR1</t>
        </is>
      </c>
      <c r="B262" s="24" t="inlineStr">
        <is>
          <t>253</t>
        </is>
      </c>
      <c r="C262" s="10" t="n">
        <v>1</v>
      </c>
      <c r="D262" s="10" t="n">
        <v>3.65</v>
      </c>
      <c r="E262" s="10" t="n">
        <v>3.65</v>
      </c>
      <c r="F262" s="10" t="n">
        <v>350</v>
      </c>
      <c r="G262" s="10" t="n">
        <v>400</v>
      </c>
      <c r="H262" s="15" t="n">
        <v>350</v>
      </c>
      <c r="I262" s="15" t="n">
        <v>400</v>
      </c>
      <c r="J262" s="16" t="n">
        <v>107.9017</v>
      </c>
      <c r="K262" s="10" t="inlineStr">
        <is>
          <t>253</t>
        </is>
      </c>
      <c r="L262" s="16" t="n">
        <v>55.0523</v>
      </c>
      <c r="M262" s="10" t="inlineStr">
        <is>
          <t>253</t>
        </is>
      </c>
      <c r="N262" s="16" t="n">
        <v>96.634</v>
      </c>
      <c r="O262" s="16" t="n">
        <v>257.303</v>
      </c>
      <c r="P262" s="10" t="inlineStr">
        <is>
          <t>253</t>
        </is>
      </c>
      <c r="Q262" s="16" t="n">
        <v>0.2814</v>
      </c>
      <c r="R262" s="10">
        <f>MAX(MAX(1.4/'Parametros'!$B$3,0.25*SQRT('Parametros'!$B$2)/'Parametros'!$B$3)*H262*U262,(0.85*'Parametros'!$B$2/'Parametros'!$B$3)*(1-SQRT(1-2*(J262*1000000/('Parametros'!$B$5*H262*U262^2))/(0.85*'Parametros'!$B$2)))*H262*U262)</f>
        <v>891.860168458571</v>
      </c>
      <c r="S262" s="17" t="n">
        <v>5</v>
      </c>
      <c r="T262" s="18" t="n">
        <v>1</v>
      </c>
      <c r="U262" s="10">
        <f>IF(T262=1,I262-('Parametros'!$B$7+'Parametros'!$B$9+'Parametros'!$B$12/2),I262-(ROUNDUP(S262/2,0)*('Parametros'!$B$7+'Parametros'!$B$9+'Parametros'!$B$12/2)+ROUNDDOWN(S262/2,0)*('Parametros'!$B$7+'Parametros'!$B$9+'Parametros'!$B$12/2+'Parametros'!$B$12+'Parametros'!$B$10))/S262)</f>
        <v>342.55</v>
      </c>
      <c r="V262" s="10">
        <f>S262*'Parametros'!$B$8</f>
        <v>995</v>
      </c>
      <c r="W262" s="10">
        <f>'Parametros'!$B$5*V262*'Parametros'!$B$3*(U262-(V262*'Parametros'!$B$3/(0.85*'Parametros'!$B$2*H262))/2)/1000000</f>
        <v>119.402124617647</v>
      </c>
      <c r="X262" s="10" t="str">
        <f>IF(W262&gt;=J262,"CUMPLE","NO CUMPLE")</f>
        <v>CUMPLE</v>
      </c>
      <c r="Y262" s="10">
        <f>MAX(MAX(1.4/'Parametros'!$B$3,0.25*SQRT('Parametros'!$B$2)/'Parametros'!$B$3)*H262*AB262,(0.85*'Parametros'!$B$2/'Parametros'!$B$3)*(1-SQRT(1-2*(L262*1000000/('Parametros'!$B$5*H262*AB262^2))/(0.85*'Parametros'!$B$2)))*H262*AB262)</f>
        <v>439.374736612047</v>
      </c>
      <c r="Z262" s="17" t="n">
        <v>3</v>
      </c>
      <c r="AA262" s="18" t="n">
        <v>1</v>
      </c>
      <c r="AB262" s="10">
        <f>IF(AA262=1,I262-('Parametros'!$B$7+'Parametros'!$B$9+'Parametros'!$B$12/2),I262-(ROUNDUP(Z262/2,0)*('Parametros'!$B$7+'Parametros'!$B$9+'Parametros'!$B$12/2)+ROUNDDOWN(Z262/2,0)*('Parametros'!$B$7+'Parametros'!$B$9+'Parametros'!$B$12/2+'Parametros'!$B$12+'Parametros'!$B$10))/Z262)</f>
        <v>342.55</v>
      </c>
      <c r="AC262" s="10">
        <f>Z262*'Parametros'!$B$8</f>
        <v>597</v>
      </c>
      <c r="AD262" s="10">
        <f>'Parametros'!$B$5*AC262*'Parametros'!$B$3*(AB262-(AC262*'Parametros'!$B$3/(0.85*'Parametros'!$B$2*H262))/2)/1000000</f>
        <v>73.905520182353</v>
      </c>
      <c r="AE262" s="10" t="str">
        <f>IF(AD262&gt;=L262,"CUMPLE","NO CUMPLE")</f>
        <v>CUMPLE</v>
      </c>
      <c r="AF262" s="10">
        <f>V262*1.25*'Parametros'!$B$3*(U262-(V262*1.25*'Parametros'!$B$3/(0.85*'Parametros'!$B$2*H262))/2)/1000000</f>
        <v>162.560466176471</v>
      </c>
      <c r="AG262" s="10">
        <f>AC262*1.25*'Parametros'!$B$3*(AB262-(AC262*1.25*'Parametros'!$B$3/(0.85*'Parametros'!$B$2*H262))/2)/1000000</f>
        <v>101.467261323529</v>
      </c>
      <c r="AH262" s="10">
        <f>N262+(AF262+AG262)/D262</f>
        <v>168.97036369863</v>
      </c>
      <c r="AI262" s="10">
        <f>MIN(O262,MAX(N262,AH262))</f>
        <v>168.97036369863</v>
      </c>
      <c r="AJ262" s="10">
        <f>0.17*SQRT('Parametros'!$B$2)*H262*MIN(U262,AB262)/1000</f>
        <v>107.849951281016</v>
      </c>
      <c r="AK262" s="10">
        <f>MAX(AI262/'Parametros'!$B$6-AJ262,0)</f>
        <v>117.443866983824</v>
      </c>
      <c r="AL262" s="10">
        <f>0.66*SQRT('Parametros'!$B$2)*H262*MIN(U262,AB262)/1000</f>
        <v>418.711575561591</v>
      </c>
      <c r="AM262" s="10" t="str">
        <f>IF(AK262&lt;=AL262,"CUMPLE","NO CUMPLE")</f>
        <v>CUMPLE</v>
      </c>
      <c r="AN262" s="15" t="inlineStr">
        <is>
          <t>Nº3 cerrado</t>
        </is>
      </c>
      <c r="AO262" s="17" t="n">
        <v>2</v>
      </c>
      <c r="AP262" s="10">
        <f>ROUNDDOWN(MIN(IF(AK262=0,1000000000,AO262*'Parametros'!$B$11*'Parametros'!$B$4*MIN(U262,AB262)/(AK262*1000)),IF(AV262=0,1000000000,'Parametros'!$B$11/AV262),MIN(U262,AB262)/4,8*'Parametros'!$B$12,24*'Parametros'!$B$9,300)/10,0)*10</f>
        <v>80</v>
      </c>
      <c r="AQ262" s="10">
        <f>ROUNDDOWN(MIN(IF(AK262=0,1000000000,AO262*'Parametros'!$B$11*'Parametros'!$B$4*MIN(U262,AB262)/(AK262*1000)),IF(AV262=0,1000000000,'Parametros'!$B$11/AV262),MIN(U262,AB262)/2,600)/10,0)*10</f>
        <v>170</v>
      </c>
      <c r="AR262" s="10">
        <f>'Parametros'!$B$6*(AJ262+AO262*'Parametros'!$B$11*'Parametros'!$B$4*MIN(U262,AB262)/AP262/1000)</f>
        <v>272.415732210762</v>
      </c>
      <c r="AS262" s="10" t="str">
        <f>IF(AND(AM262="CUMPLE",AR262&gt;=AI262),"CUMPLE","NO CUMPLE")</f>
        <v>CUMPLE</v>
      </c>
      <c r="AT262" s="10">
        <f>'Parametros'!$B$6*0.083*SQRT('Parametros'!$B$2)*(H262*I262)^2/(2*(H262+I262))/1000000</f>
        <v>4.30410823283988</v>
      </c>
      <c r="AU262" s="10" t="str">
        <f>IF(Q262&lt;=AT262,"DESPRECIABLE","DISEÑAR")</f>
        <v>DESPRECIABLE</v>
      </c>
      <c r="AV262" s="10">
        <f>IF(Q262&lt;=AT262,0,Q262*1000000/('Parametros'!$B$6*2*0.85*(H262-2*'Parametros'!$B$7)*(I262-2*'Parametros'!$B$7)*'Parametros'!$B$4))</f>
        <v>0</v>
      </c>
      <c r="AW262" s="10">
        <f>AV262*2*((H262-2*'Parametros'!$B$7)+(I262-2*'Parametros'!$B$7))*'Parametros'!$B$4/'Parametros'!$B$3</f>
        <v>0</v>
      </c>
      <c r="AX262" s="17" t="n">
        <v>0</v>
      </c>
      <c r="AY262" s="10" t="str">
        <f>IF(AV262=0,"DESPRECIABLE",IF('Parametros'!$B$11/AP262&gt;=AV262,"CUMPLE","NO CUMPLE"))</f>
        <v>DESPRECIABLE</v>
      </c>
      <c r="AZ262" s="10" t="str">
        <f>IF(AND(X262="CUMPLE",AE262="CUMPLE",AS262="CUMPLE",OR(AY262="CUMPLE",AY262="DESPRECIABLE")),IF(OR(F262&lt;&gt;H262,G262&lt;&gt;I262),"CUMPLE - REANALIZAR SAP","CUMPLE"),"NO CUMPLE")</f>
        <v>CUMPLE</v>
      </c>
    </row>
    <row r="263">
      <c r="A263" s="24" t="inlineStr">
        <is>
          <t>VR1</t>
        </is>
      </c>
      <c r="B263" s="24" t="inlineStr">
        <is>
          <t>254</t>
        </is>
      </c>
      <c r="C263" s="10" t="n">
        <v>1</v>
      </c>
      <c r="D263" s="10" t="n">
        <v>2.6</v>
      </c>
      <c r="E263" s="10" t="n">
        <v>2.6</v>
      </c>
      <c r="F263" s="10" t="n">
        <v>350</v>
      </c>
      <c r="G263" s="10" t="n">
        <v>400</v>
      </c>
      <c r="H263" s="15" t="n">
        <v>350</v>
      </c>
      <c r="I263" s="15" t="n">
        <v>400</v>
      </c>
      <c r="J263" s="16" t="n">
        <v>90.8201</v>
      </c>
      <c r="K263" s="10" t="inlineStr">
        <is>
          <t>254</t>
        </is>
      </c>
      <c r="L263" s="16" t="n">
        <v>63.5064</v>
      </c>
      <c r="M263" s="10" t="inlineStr">
        <is>
          <t>254</t>
        </is>
      </c>
      <c r="N263" s="16" t="n">
        <v>93.16</v>
      </c>
      <c r="O263" s="16" t="n">
        <v>299.833</v>
      </c>
      <c r="P263" s="10" t="inlineStr">
        <is>
          <t>254</t>
        </is>
      </c>
      <c r="Q263" s="16" t="n">
        <v>4.3213</v>
      </c>
      <c r="R263" s="10">
        <f>MAX(MAX(1.4/'Parametros'!$B$3,0.25*SQRT('Parametros'!$B$2)/'Parametros'!$B$3)*H263*U263,(0.85*'Parametros'!$B$2/'Parametros'!$B$3)*(1-SQRT(1-2*(J263*1000000/('Parametros'!$B$5*H263*U263^2))/(0.85*'Parametros'!$B$2)))*H263*U263)</f>
        <v>741.909810469299</v>
      </c>
      <c r="S263" s="17" t="n">
        <v>4</v>
      </c>
      <c r="T263" s="18" t="n">
        <v>1</v>
      </c>
      <c r="U263" s="10">
        <f>IF(T263=1,I263-('Parametros'!$B$7+'Parametros'!$B$9+'Parametros'!$B$12/2),I263-(ROUNDUP(S263/2,0)*('Parametros'!$B$7+'Parametros'!$B$9+'Parametros'!$B$12/2)+ROUNDDOWN(S263/2,0)*('Parametros'!$B$7+'Parametros'!$B$9+'Parametros'!$B$12/2+'Parametros'!$B$12+'Parametros'!$B$10))/S263)</f>
        <v>342.55</v>
      </c>
      <c r="V263" s="10">
        <f>S263*'Parametros'!$B$8</f>
        <v>796</v>
      </c>
      <c r="W263" s="10">
        <f>'Parametros'!$B$5*V263*'Parametros'!$B$3*(U263-(V263*'Parametros'!$B$3/(0.85*'Parametros'!$B$2*H263))/2)/1000000</f>
        <v>97.0311966352941</v>
      </c>
      <c r="X263" s="10" t="str">
        <f>IF(W263&gt;=J263,"CUMPLE","NO CUMPLE")</f>
        <v>CUMPLE</v>
      </c>
      <c r="Y263" s="10">
        <f>MAX(MAX(1.4/'Parametros'!$B$3,0.25*SQRT('Parametros'!$B$2)/'Parametros'!$B$3)*H263*AB263,(0.85*'Parametros'!$B$2/'Parametros'!$B$3)*(1-SQRT(1-2*(L263*1000000/('Parametros'!$B$5*H263*AB263^2))/(0.85*'Parametros'!$B$2)))*H263*AB263)</f>
        <v>509.567589079863</v>
      </c>
      <c r="Z263" s="17" t="n">
        <v>3</v>
      </c>
      <c r="AA263" s="18" t="n">
        <v>1</v>
      </c>
      <c r="AB263" s="10">
        <f>IF(AA263=1,I263-('Parametros'!$B$7+'Parametros'!$B$9+'Parametros'!$B$12/2),I263-(ROUNDUP(Z263/2,0)*('Parametros'!$B$7+'Parametros'!$B$9+'Parametros'!$B$12/2)+ROUNDDOWN(Z263/2,0)*('Parametros'!$B$7+'Parametros'!$B$9+'Parametros'!$B$12/2+'Parametros'!$B$12+'Parametros'!$B$10))/Z263)</f>
        <v>342.55</v>
      </c>
      <c r="AC263" s="10">
        <f>Z263*'Parametros'!$B$8</f>
        <v>597</v>
      </c>
      <c r="AD263" s="10">
        <f>'Parametros'!$B$5*AC263*'Parametros'!$B$3*(AB263-(AC263*'Parametros'!$B$3/(0.85*'Parametros'!$B$2*H263))/2)/1000000</f>
        <v>73.905520182353</v>
      </c>
      <c r="AE263" s="10" t="str">
        <f>IF(AD263&gt;=L263,"CUMPLE","NO CUMPLE")</f>
        <v>CUMPLE</v>
      </c>
      <c r="AF263" s="10">
        <f>V263*1.25*'Parametros'!$B$3*(U263-(V263*1.25*'Parametros'!$B$3/(0.85*'Parametros'!$B$2*H263))/2)/1000000</f>
        <v>132.669027352941</v>
      </c>
      <c r="AG263" s="10">
        <f>AC263*1.25*'Parametros'!$B$3*(AB263-(AC263*1.25*'Parametros'!$B$3/(0.85*'Parametros'!$B$2*H263))/2)/1000000</f>
        <v>101.467261323529</v>
      </c>
      <c r="AH263" s="10">
        <f>N263+(AF263+AG263)/D263</f>
        <v>183.212418721719</v>
      </c>
      <c r="AI263" s="10">
        <f>MIN(O263,MAX(N263,AH263))</f>
        <v>183.212418721719</v>
      </c>
      <c r="AJ263" s="10">
        <f>0.17*SQRT('Parametros'!$B$2)*H263*MIN(U263,AB263)/1000</f>
        <v>107.849951281016</v>
      </c>
      <c r="AK263" s="10">
        <f>MAX(AI263/'Parametros'!$B$6-AJ263,0)</f>
        <v>136.433273681277</v>
      </c>
      <c r="AL263" s="10">
        <f>0.66*SQRT('Parametros'!$B$2)*H263*MIN(U263,AB263)/1000</f>
        <v>418.711575561591</v>
      </c>
      <c r="AM263" s="10" t="str">
        <f>IF(AK263&lt;=AL263,"CUMPLE","NO CUMPLE")</f>
        <v>CUMPLE</v>
      </c>
      <c r="AN263" s="15" t="inlineStr">
        <is>
          <t>Nº3 cerrado</t>
        </is>
      </c>
      <c r="AO263" s="17" t="n">
        <v>2</v>
      </c>
      <c r="AP263" s="10">
        <f>ROUNDDOWN(MIN(IF(AK263=0,1000000000,AO263*'Parametros'!$B$11*'Parametros'!$B$4*MIN(U263,AB263)/(AK263*1000)),IF(AV263=0,1000000000,'Parametros'!$B$11/AV263),MIN(U263,AB263)/4,8*'Parametros'!$B$12,24*'Parametros'!$B$9,300)/10,0)*10</f>
        <v>80</v>
      </c>
      <c r="AQ263" s="10">
        <f>ROUNDDOWN(MIN(IF(AK263=0,1000000000,AO263*'Parametros'!$B$11*'Parametros'!$B$4*MIN(U263,AB263)/(AK263*1000)),IF(AV263=0,1000000000,'Parametros'!$B$11/AV263),MIN(U263,AB263)/2,600)/10,0)*10</f>
        <v>140</v>
      </c>
      <c r="AR263" s="10">
        <f>'Parametros'!$B$6*(AJ263+AO263*'Parametros'!$B$11*'Parametros'!$B$4*MIN(U263,AB263)/AP263/1000)</f>
        <v>272.415732210762</v>
      </c>
      <c r="AS263" s="10" t="str">
        <f>IF(AND(AM263="CUMPLE",AR263&gt;=AI263),"CUMPLE","NO CUMPLE")</f>
        <v>CUMPLE</v>
      </c>
      <c r="AT263" s="10">
        <f>'Parametros'!$B$6*0.083*SQRT('Parametros'!$B$2)*(H263*I263)^2/(2*(H263+I263))/1000000</f>
        <v>4.30410823283988</v>
      </c>
      <c r="AU263" s="10" t="str">
        <f>IF(Q263&lt;=AT263,"DESPRECIABLE","DISEÑAR")</f>
        <v>DISEÑAR</v>
      </c>
      <c r="AV263" s="10">
        <f>IF(Q263&lt;=AT263,0,Q263*1000000/('Parametros'!$B$6*2*0.85*(H263-2*'Parametros'!$B$7)*(I263-2*'Parametros'!$B$7)*'Parametros'!$B$4))</f>
        <v>0.0933987792647923</v>
      </c>
      <c r="AW263" s="10">
        <f>AV263*2*((H263-2*'Parametros'!$B$7)+(I263-2*'Parametros'!$B$7))*'Parametros'!$B$4/'Parametros'!$B$3</f>
        <v>110.210559532455</v>
      </c>
      <c r="AX263" s="17" t="n">
        <v>1</v>
      </c>
      <c r="AY263" s="10" t="str">
        <f>IF(AV263=0,"DESPRECIABLE",IF('Parametros'!$B$11/AP263&gt;=AV263,"CUMPLE","NO CUMPLE"))</f>
        <v>CUMPLE</v>
      </c>
      <c r="AZ263" s="10" t="str">
        <f>IF(AND(X263="CUMPLE",AE263="CUMPLE",AS263="CUMPLE",OR(AY263="CUMPLE",AY263="DESPRECIABLE")),IF(OR(F263&lt;&gt;H263,G263&lt;&gt;I263),"CUMPLE - REANALIZAR SAP","CUMPLE"),"NO CUMPLE")</f>
        <v>CUMPLE</v>
      </c>
    </row>
    <row r="264">
      <c r="A264" s="24" t="inlineStr">
        <is>
          <t>VR1</t>
        </is>
      </c>
      <c r="B264" s="24" t="inlineStr">
        <is>
          <t>759</t>
        </is>
      </c>
      <c r="C264" s="10" t="n">
        <v>1</v>
      </c>
      <c r="D264" s="10" t="n">
        <v>2.6</v>
      </c>
      <c r="E264" s="10" t="n">
        <v>2.6</v>
      </c>
      <c r="F264" s="10" t="n">
        <v>350</v>
      </c>
      <c r="G264" s="10" t="n">
        <v>400</v>
      </c>
      <c r="H264" s="15" t="n">
        <v>350</v>
      </c>
      <c r="I264" s="15" t="n">
        <v>400</v>
      </c>
      <c r="J264" s="16" t="n">
        <v>70.34950000000001</v>
      </c>
      <c r="K264" s="10" t="inlineStr">
        <is>
          <t>759</t>
        </is>
      </c>
      <c r="L264" s="16" t="n">
        <v>44.7736</v>
      </c>
      <c r="M264" s="10" t="inlineStr">
        <is>
          <t>759</t>
        </is>
      </c>
      <c r="N264" s="16" t="n">
        <v>78.895</v>
      </c>
      <c r="O264" s="16" t="n">
        <v>231.545</v>
      </c>
      <c r="P264" s="10" t="inlineStr">
        <is>
          <t>759</t>
        </is>
      </c>
      <c r="Q264" s="16" t="n">
        <v>3.6527</v>
      </c>
      <c r="R264" s="10">
        <f>MAX(MAX(1.4/'Parametros'!$B$3,0.25*SQRT('Parametros'!$B$2)/'Parametros'!$B$3)*H264*U264,(0.85*'Parametros'!$B$2/'Parametros'!$B$3)*(1-SQRT(1-2*(J264*1000000/('Parametros'!$B$5*H264*U264^2))/(0.85*'Parametros'!$B$2)))*H264*U264)</f>
        <v>566.964018224637</v>
      </c>
      <c r="S264" s="17" t="n">
        <v>3</v>
      </c>
      <c r="T264" s="18" t="n">
        <v>1</v>
      </c>
      <c r="U264" s="10">
        <f>IF(T264=1,I264-('Parametros'!$B$7+'Parametros'!$B$9+'Parametros'!$B$12/2),I264-(ROUNDUP(S264/2,0)*('Parametros'!$B$7+'Parametros'!$B$9+'Parametros'!$B$12/2)+ROUNDDOWN(S264/2,0)*('Parametros'!$B$7+'Parametros'!$B$9+'Parametros'!$B$12/2+'Parametros'!$B$12+'Parametros'!$B$10))/S264)</f>
        <v>342.55</v>
      </c>
      <c r="V264" s="10">
        <f>S264*'Parametros'!$B$8</f>
        <v>597</v>
      </c>
      <c r="W264" s="10">
        <f>'Parametros'!$B$5*V264*'Parametros'!$B$3*(U264-(V264*'Parametros'!$B$3/(0.85*'Parametros'!$B$2*H264))/2)/1000000</f>
        <v>73.905520182353</v>
      </c>
      <c r="X264" s="10" t="str">
        <f>IF(W264&gt;=J264,"CUMPLE","NO CUMPLE")</f>
        <v>CUMPLE</v>
      </c>
      <c r="Y264" s="10">
        <f>MAX(MAX(1.4/'Parametros'!$B$3,0.25*SQRT('Parametros'!$B$2)/'Parametros'!$B$3)*H264*AB264,(0.85*'Parametros'!$B$2/'Parametros'!$B$3)*(1-SQRT(1-2*(L264*1000000/('Parametros'!$B$5*H264*AB264^2))/(0.85*'Parametros'!$B$2)))*H264*AB264)</f>
        <v>399.641666666667</v>
      </c>
      <c r="Z264" s="17" t="n">
        <v>3</v>
      </c>
      <c r="AA264" s="18" t="n">
        <v>1</v>
      </c>
      <c r="AB264" s="10">
        <f>IF(AA264=1,I264-('Parametros'!$B$7+'Parametros'!$B$9+'Parametros'!$B$12/2),I264-(ROUNDUP(Z264/2,0)*('Parametros'!$B$7+'Parametros'!$B$9+'Parametros'!$B$12/2)+ROUNDDOWN(Z264/2,0)*('Parametros'!$B$7+'Parametros'!$B$9+'Parametros'!$B$12/2+'Parametros'!$B$12+'Parametros'!$B$10))/Z264)</f>
        <v>342.55</v>
      </c>
      <c r="AC264" s="10">
        <f>Z264*'Parametros'!$B$8</f>
        <v>597</v>
      </c>
      <c r="AD264" s="10">
        <f>'Parametros'!$B$5*AC264*'Parametros'!$B$3*(AB264-(AC264*'Parametros'!$B$3/(0.85*'Parametros'!$B$2*H264))/2)/1000000</f>
        <v>73.905520182353</v>
      </c>
      <c r="AE264" s="10" t="str">
        <f>IF(AD264&gt;=L264,"CUMPLE","NO CUMPLE")</f>
        <v>CUMPLE</v>
      </c>
      <c r="AF264" s="10">
        <f>V264*1.25*'Parametros'!$B$3*(U264-(V264*1.25*'Parametros'!$B$3/(0.85*'Parametros'!$B$2*H264))/2)/1000000</f>
        <v>101.467261323529</v>
      </c>
      <c r="AG264" s="10">
        <f>AC264*1.25*'Parametros'!$B$3*(AB264-(AC264*1.25*'Parametros'!$B$3/(0.85*'Parametros'!$B$2*H264))/2)/1000000</f>
        <v>101.467261323529</v>
      </c>
      <c r="AH264" s="10">
        <f>N264+(AF264+AG264)/D264</f>
        <v>156.946739479638</v>
      </c>
      <c r="AI264" s="10">
        <f>MIN(O264,MAX(N264,AH264))</f>
        <v>156.946739479638</v>
      </c>
      <c r="AJ264" s="10">
        <f>0.17*SQRT('Parametros'!$B$2)*H264*MIN(U264,AB264)/1000</f>
        <v>107.849951281016</v>
      </c>
      <c r="AK264" s="10">
        <f>MAX(AI264/'Parametros'!$B$6-AJ264,0)</f>
        <v>101.412368025168</v>
      </c>
      <c r="AL264" s="10">
        <f>0.66*SQRT('Parametros'!$B$2)*H264*MIN(U264,AB264)/1000</f>
        <v>418.711575561591</v>
      </c>
      <c r="AM264" s="10" t="str">
        <f>IF(AK264&lt;=AL264,"CUMPLE","NO CUMPLE")</f>
        <v>CUMPLE</v>
      </c>
      <c r="AN264" s="15" t="inlineStr">
        <is>
          <t>Nº3 cerrado</t>
        </is>
      </c>
      <c r="AO264" s="17" t="n">
        <v>2</v>
      </c>
      <c r="AP264" s="10">
        <f>ROUNDDOWN(MIN(IF(AK264=0,1000000000,AO264*'Parametros'!$B$11*'Parametros'!$B$4*MIN(U264,AB264)/(AK264*1000)),IF(AV264=0,1000000000,'Parametros'!$B$11/AV264),MIN(U264,AB264)/4,8*'Parametros'!$B$12,24*'Parametros'!$B$9,300)/10,0)*10</f>
        <v>80</v>
      </c>
      <c r="AQ264" s="10">
        <f>ROUNDDOWN(MIN(IF(AK264=0,1000000000,AO264*'Parametros'!$B$11*'Parametros'!$B$4*MIN(U264,AB264)/(AK264*1000)),IF(AV264=0,1000000000,'Parametros'!$B$11/AV264),MIN(U264,AB264)/2,600)/10,0)*10</f>
        <v>170</v>
      </c>
      <c r="AR264" s="10">
        <f>'Parametros'!$B$6*(AJ264+AO264*'Parametros'!$B$11*'Parametros'!$B$4*MIN(U264,AB264)/AP264/1000)</f>
        <v>272.415732210762</v>
      </c>
      <c r="AS264" s="10" t="str">
        <f>IF(AND(AM264="CUMPLE",AR264&gt;=AI264),"CUMPLE","NO CUMPLE")</f>
        <v>CUMPLE</v>
      </c>
      <c r="AT264" s="10">
        <f>'Parametros'!$B$6*0.083*SQRT('Parametros'!$B$2)*(H264*I264)^2/(2*(H264+I264))/1000000</f>
        <v>4.30410823283988</v>
      </c>
      <c r="AU264" s="10" t="str">
        <f>IF(Q264&lt;=AT264,"DESPRECIABLE","DISEÑAR")</f>
        <v>DESPRECIABLE</v>
      </c>
      <c r="AV264" s="10">
        <f>IF(Q264&lt;=AT264,0,Q264*1000000/('Parametros'!$B$6*2*0.85*(H264-2*'Parametros'!$B$7)*(I264-2*'Parametros'!$B$7)*'Parametros'!$B$4))</f>
        <v>0</v>
      </c>
      <c r="AW264" s="10">
        <f>AV264*2*((H264-2*'Parametros'!$B$7)+(I264-2*'Parametros'!$B$7))*'Parametros'!$B$4/'Parametros'!$B$3</f>
        <v>0</v>
      </c>
      <c r="AX264" s="17" t="n">
        <v>0</v>
      </c>
      <c r="AY264" s="10" t="str">
        <f>IF(AV264=0,"DESPRECIABLE",IF('Parametros'!$B$11/AP264&gt;=AV264,"CUMPLE","NO CUMPLE"))</f>
        <v>DESPRECIABLE</v>
      </c>
      <c r="AZ264" s="10" t="str">
        <f>IF(AND(X264="CUMPLE",AE264="CUMPLE",AS264="CUMPLE",OR(AY264="CUMPLE",AY264="DESPRECIABLE")),IF(OR(F264&lt;&gt;H264,G264&lt;&gt;I264),"CUMPLE - REANALIZAR SAP","CUMPLE"),"NO CUMPLE")</f>
        <v>CUMPLE</v>
      </c>
    </row>
    <row r="265">
      <c r="A265" s="24" t="inlineStr">
        <is>
          <t>VR1</t>
        </is>
      </c>
      <c r="B265" s="24" t="inlineStr">
        <is>
          <t>760</t>
        </is>
      </c>
      <c r="C265" s="10" t="n">
        <v>1</v>
      </c>
      <c r="D265" s="10" t="n">
        <v>3.65</v>
      </c>
      <c r="E265" s="10" t="n">
        <v>3.65</v>
      </c>
      <c r="F265" s="10" t="n">
        <v>350</v>
      </c>
      <c r="G265" s="10" t="n">
        <v>400</v>
      </c>
      <c r="H265" s="15" t="n">
        <v>350</v>
      </c>
      <c r="I265" s="15" t="n">
        <v>400</v>
      </c>
      <c r="J265" s="16" t="n">
        <v>93.8429</v>
      </c>
      <c r="K265" s="10" t="inlineStr">
        <is>
          <t>760</t>
        </is>
      </c>
      <c r="L265" s="16" t="n">
        <v>41.1796</v>
      </c>
      <c r="M265" s="10" t="inlineStr">
        <is>
          <t>760</t>
        </is>
      </c>
      <c r="N265" s="16" t="n">
        <v>89.053</v>
      </c>
      <c r="O265" s="16" t="n">
        <v>219.352</v>
      </c>
      <c r="P265" s="10" t="inlineStr">
        <is>
          <t>760</t>
        </is>
      </c>
      <c r="Q265" s="16" t="n">
        <v>0.2436</v>
      </c>
      <c r="R265" s="10">
        <f>MAX(MAX(1.4/'Parametros'!$B$3,0.25*SQRT('Parametros'!$B$2)/'Parametros'!$B$3)*H265*U265,(0.85*'Parametros'!$B$2/'Parametros'!$B$3)*(1-SQRT(1-2*(J265*1000000/('Parametros'!$B$5*H265*U265^2))/(0.85*'Parametros'!$B$2)))*H265*U265)</f>
        <v>768.173630133976</v>
      </c>
      <c r="S265" s="17" t="n">
        <v>4</v>
      </c>
      <c r="T265" s="18" t="n">
        <v>1</v>
      </c>
      <c r="U265" s="10">
        <f>IF(T265=1,I265-('Parametros'!$B$7+'Parametros'!$B$9+'Parametros'!$B$12/2),I265-(ROUNDUP(S265/2,0)*('Parametros'!$B$7+'Parametros'!$B$9+'Parametros'!$B$12/2)+ROUNDDOWN(S265/2,0)*('Parametros'!$B$7+'Parametros'!$B$9+'Parametros'!$B$12/2+'Parametros'!$B$12+'Parametros'!$B$10))/S265)</f>
        <v>342.55</v>
      </c>
      <c r="V265" s="10">
        <f>S265*'Parametros'!$B$8</f>
        <v>796</v>
      </c>
      <c r="W265" s="10">
        <f>'Parametros'!$B$5*V265*'Parametros'!$B$3*(U265-(V265*'Parametros'!$B$3/(0.85*'Parametros'!$B$2*H265))/2)/1000000</f>
        <v>97.0311966352941</v>
      </c>
      <c r="X265" s="10" t="str">
        <f>IF(W265&gt;=J265,"CUMPLE","NO CUMPLE")</f>
        <v>CUMPLE</v>
      </c>
      <c r="Y265" s="10">
        <f>MAX(MAX(1.4/'Parametros'!$B$3,0.25*SQRT('Parametros'!$B$2)/'Parametros'!$B$3)*H265*AB265,(0.85*'Parametros'!$B$2/'Parametros'!$B$3)*(1-SQRT(1-2*(L265*1000000/('Parametros'!$B$5*H265*AB265^2))/(0.85*'Parametros'!$B$2)))*H265*AB265)</f>
        <v>399.641666666667</v>
      </c>
      <c r="Z265" s="17" t="n">
        <v>3</v>
      </c>
      <c r="AA265" s="18" t="n">
        <v>1</v>
      </c>
      <c r="AB265" s="10">
        <f>IF(AA265=1,I265-('Parametros'!$B$7+'Parametros'!$B$9+'Parametros'!$B$12/2),I265-(ROUNDUP(Z265/2,0)*('Parametros'!$B$7+'Parametros'!$B$9+'Parametros'!$B$12/2)+ROUNDDOWN(Z265/2,0)*('Parametros'!$B$7+'Parametros'!$B$9+'Parametros'!$B$12/2+'Parametros'!$B$12+'Parametros'!$B$10))/Z265)</f>
        <v>342.55</v>
      </c>
      <c r="AC265" s="10">
        <f>Z265*'Parametros'!$B$8</f>
        <v>597</v>
      </c>
      <c r="AD265" s="10">
        <f>'Parametros'!$B$5*AC265*'Parametros'!$B$3*(AB265-(AC265*'Parametros'!$B$3/(0.85*'Parametros'!$B$2*H265))/2)/1000000</f>
        <v>73.905520182353</v>
      </c>
      <c r="AE265" s="10" t="str">
        <f>IF(AD265&gt;=L265,"CUMPLE","NO CUMPLE")</f>
        <v>CUMPLE</v>
      </c>
      <c r="AF265" s="10">
        <f>V265*1.25*'Parametros'!$B$3*(U265-(V265*1.25*'Parametros'!$B$3/(0.85*'Parametros'!$B$2*H265))/2)/1000000</f>
        <v>132.669027352941</v>
      </c>
      <c r="AG265" s="10">
        <f>AC265*1.25*'Parametros'!$B$3*(AB265-(AC265*1.25*'Parametros'!$B$3/(0.85*'Parametros'!$B$2*H265))/2)/1000000</f>
        <v>101.467261323529</v>
      </c>
      <c r="AH265" s="10">
        <f>N265+(AF265+AG265)/D265</f>
        <v>153.199928404512</v>
      </c>
      <c r="AI265" s="10">
        <f>MIN(O265,MAX(N265,AH265))</f>
        <v>153.199928404512</v>
      </c>
      <c r="AJ265" s="10">
        <f>0.17*SQRT('Parametros'!$B$2)*H265*MIN(U265,AB265)/1000</f>
        <v>107.849951281016</v>
      </c>
      <c r="AK265" s="10">
        <f>MAX(AI265/'Parametros'!$B$6-AJ265,0)</f>
        <v>96.4166199250008</v>
      </c>
      <c r="AL265" s="10">
        <f>0.66*SQRT('Parametros'!$B$2)*H265*MIN(U265,AB265)/1000</f>
        <v>418.711575561591</v>
      </c>
      <c r="AM265" s="10" t="str">
        <f>IF(AK265&lt;=AL265,"CUMPLE","NO CUMPLE")</f>
        <v>CUMPLE</v>
      </c>
      <c r="AN265" s="15" t="inlineStr">
        <is>
          <t>Nº3 cerrado</t>
        </is>
      </c>
      <c r="AO265" s="17" t="n">
        <v>2</v>
      </c>
      <c r="AP265" s="10">
        <f>ROUNDDOWN(MIN(IF(AK265=0,1000000000,AO265*'Parametros'!$B$11*'Parametros'!$B$4*MIN(U265,AB265)/(AK265*1000)),IF(AV265=0,1000000000,'Parametros'!$B$11/AV265),MIN(U265,AB265)/4,8*'Parametros'!$B$12,24*'Parametros'!$B$9,300)/10,0)*10</f>
        <v>80</v>
      </c>
      <c r="AQ265" s="10">
        <f>ROUNDDOWN(MIN(IF(AK265=0,1000000000,AO265*'Parametros'!$B$11*'Parametros'!$B$4*MIN(U265,AB265)/(AK265*1000)),IF(AV265=0,1000000000,'Parametros'!$B$11/AV265),MIN(U265,AB265)/2,600)/10,0)*10</f>
        <v>170</v>
      </c>
      <c r="AR265" s="10">
        <f>'Parametros'!$B$6*(AJ265+AO265*'Parametros'!$B$11*'Parametros'!$B$4*MIN(U265,AB265)/AP265/1000)</f>
        <v>272.415732210762</v>
      </c>
      <c r="AS265" s="10" t="str">
        <f>IF(AND(AM265="CUMPLE",AR265&gt;=AI265),"CUMPLE","NO CUMPLE")</f>
        <v>CUMPLE</v>
      </c>
      <c r="AT265" s="10">
        <f>'Parametros'!$B$6*0.083*SQRT('Parametros'!$B$2)*(H265*I265)^2/(2*(H265+I265))/1000000</f>
        <v>4.30410823283988</v>
      </c>
      <c r="AU265" s="10" t="str">
        <f>IF(Q265&lt;=AT265,"DESPRECIABLE","DISEÑAR")</f>
        <v>DESPRECIABLE</v>
      </c>
      <c r="AV265" s="10">
        <f>IF(Q265&lt;=AT265,0,Q265*1000000/('Parametros'!$B$6*2*0.85*(H265-2*'Parametros'!$B$7)*(I265-2*'Parametros'!$B$7)*'Parametros'!$B$4))</f>
        <v>0</v>
      </c>
      <c r="AW265" s="10">
        <f>AV265*2*((H265-2*'Parametros'!$B$7)+(I265-2*'Parametros'!$B$7))*'Parametros'!$B$4/'Parametros'!$B$3</f>
        <v>0</v>
      </c>
      <c r="AX265" s="17" t="n">
        <v>0</v>
      </c>
      <c r="AY265" s="10" t="str">
        <f>IF(AV265=0,"DESPRECIABLE",IF('Parametros'!$B$11/AP265&gt;=AV265,"CUMPLE","NO CUMPLE"))</f>
        <v>DESPRECIABLE</v>
      </c>
      <c r="AZ265" s="10" t="str">
        <f>IF(AND(X265="CUMPLE",AE265="CUMPLE",AS265="CUMPLE",OR(AY265="CUMPLE",AY265="DESPRECIABLE")),IF(OR(F265&lt;&gt;H265,G265&lt;&gt;I265),"CUMPLE - REANALIZAR SAP","CUMPLE"),"NO CUMPLE")</f>
        <v>CUMPLE</v>
      </c>
    </row>
    <row r="266">
      <c r="A266" s="24" t="inlineStr">
        <is>
          <t>VR1</t>
        </is>
      </c>
      <c r="B266" s="24" t="inlineStr">
        <is>
          <t>761</t>
        </is>
      </c>
      <c r="C266" s="10" t="n">
        <v>1</v>
      </c>
      <c r="D266" s="10" t="n">
        <v>2.6</v>
      </c>
      <c r="E266" s="10" t="n">
        <v>2.6</v>
      </c>
      <c r="F266" s="10" t="n">
        <v>350</v>
      </c>
      <c r="G266" s="10" t="n">
        <v>400</v>
      </c>
      <c r="H266" s="15" t="n">
        <v>350</v>
      </c>
      <c r="I266" s="15" t="n">
        <v>400</v>
      </c>
      <c r="J266" s="16" t="n">
        <v>86.3417</v>
      </c>
      <c r="K266" s="10" t="inlineStr">
        <is>
          <t>761</t>
        </is>
      </c>
      <c r="L266" s="16" t="n">
        <v>57.2699</v>
      </c>
      <c r="M266" s="10" t="inlineStr">
        <is>
          <t>761</t>
        </is>
      </c>
      <c r="N266" s="16" t="n">
        <v>92.73399999999999</v>
      </c>
      <c r="O266" s="16" t="n">
        <v>293.638</v>
      </c>
      <c r="P266" s="10" t="inlineStr">
        <is>
          <t>761</t>
        </is>
      </c>
      <c r="Q266" s="16" t="n">
        <v>0.4073</v>
      </c>
      <c r="R266" s="10">
        <f>MAX(MAX(1.4/'Parametros'!$B$3,0.25*SQRT('Parametros'!$B$2)/'Parametros'!$B$3)*H266*U266,(0.85*'Parametros'!$B$2/'Parametros'!$B$3)*(1-SQRT(1-2*(J266*1000000/('Parametros'!$B$5*H266*U266^2))/(0.85*'Parametros'!$B$2)))*H266*U266)</f>
        <v>703.207086653768</v>
      </c>
      <c r="S266" s="17" t="n">
        <v>4</v>
      </c>
      <c r="T266" s="18" t="n">
        <v>1</v>
      </c>
      <c r="U266" s="10">
        <f>IF(T266=1,I266-('Parametros'!$B$7+'Parametros'!$B$9+'Parametros'!$B$12/2),I266-(ROUNDUP(S266/2,0)*('Parametros'!$B$7+'Parametros'!$B$9+'Parametros'!$B$12/2)+ROUNDDOWN(S266/2,0)*('Parametros'!$B$7+'Parametros'!$B$9+'Parametros'!$B$12/2+'Parametros'!$B$12+'Parametros'!$B$10))/S266)</f>
        <v>342.55</v>
      </c>
      <c r="V266" s="10">
        <f>S266*'Parametros'!$B$8</f>
        <v>796</v>
      </c>
      <c r="W266" s="10">
        <f>'Parametros'!$B$5*V266*'Parametros'!$B$3*(U266-(V266*'Parametros'!$B$3/(0.85*'Parametros'!$B$2*H266))/2)/1000000</f>
        <v>97.0311966352941</v>
      </c>
      <c r="X266" s="10" t="str">
        <f>IF(W266&gt;=J266,"CUMPLE","NO CUMPLE")</f>
        <v>CUMPLE</v>
      </c>
      <c r="Y266" s="10">
        <f>MAX(MAX(1.4/'Parametros'!$B$3,0.25*SQRT('Parametros'!$B$2)/'Parametros'!$B$3)*H266*AB266,(0.85*'Parametros'!$B$2/'Parametros'!$B$3)*(1-SQRT(1-2*(L266*1000000/('Parametros'!$B$5*H266*AB266^2))/(0.85*'Parametros'!$B$2)))*H266*AB266)</f>
        <v>457.711830639588</v>
      </c>
      <c r="Z266" s="17" t="n">
        <v>3</v>
      </c>
      <c r="AA266" s="18" t="n">
        <v>1</v>
      </c>
      <c r="AB266" s="10">
        <f>IF(AA266=1,I266-('Parametros'!$B$7+'Parametros'!$B$9+'Parametros'!$B$12/2),I266-(ROUNDUP(Z266/2,0)*('Parametros'!$B$7+'Parametros'!$B$9+'Parametros'!$B$12/2)+ROUNDDOWN(Z266/2,0)*('Parametros'!$B$7+'Parametros'!$B$9+'Parametros'!$B$12/2+'Parametros'!$B$12+'Parametros'!$B$10))/Z266)</f>
        <v>342.55</v>
      </c>
      <c r="AC266" s="10">
        <f>Z266*'Parametros'!$B$8</f>
        <v>597</v>
      </c>
      <c r="AD266" s="10">
        <f>'Parametros'!$B$5*AC266*'Parametros'!$B$3*(AB266-(AC266*'Parametros'!$B$3/(0.85*'Parametros'!$B$2*H266))/2)/1000000</f>
        <v>73.905520182353</v>
      </c>
      <c r="AE266" s="10" t="str">
        <f>IF(AD266&gt;=L266,"CUMPLE","NO CUMPLE")</f>
        <v>CUMPLE</v>
      </c>
      <c r="AF266" s="10">
        <f>V266*1.25*'Parametros'!$B$3*(U266-(V266*1.25*'Parametros'!$B$3/(0.85*'Parametros'!$B$2*H266))/2)/1000000</f>
        <v>132.669027352941</v>
      </c>
      <c r="AG266" s="10">
        <f>AC266*1.25*'Parametros'!$B$3*(AB266-(AC266*1.25*'Parametros'!$B$3/(0.85*'Parametros'!$B$2*H266))/2)/1000000</f>
        <v>101.467261323529</v>
      </c>
      <c r="AH266" s="10">
        <f>N266+(AF266+AG266)/D266</f>
        <v>182.786418721719</v>
      </c>
      <c r="AI266" s="10">
        <f>MIN(O266,MAX(N266,AH266))</f>
        <v>182.786418721719</v>
      </c>
      <c r="AJ266" s="10">
        <f>0.17*SQRT('Parametros'!$B$2)*H266*MIN(U266,AB266)/1000</f>
        <v>107.849951281016</v>
      </c>
      <c r="AK266" s="10">
        <f>MAX(AI266/'Parametros'!$B$6-AJ266,0)</f>
        <v>135.865273681277</v>
      </c>
      <c r="AL266" s="10">
        <f>0.66*SQRT('Parametros'!$B$2)*H266*MIN(U266,AB266)/1000</f>
        <v>418.711575561591</v>
      </c>
      <c r="AM266" s="10" t="str">
        <f>IF(AK266&lt;=AL266,"CUMPLE","NO CUMPLE")</f>
        <v>CUMPLE</v>
      </c>
      <c r="AN266" s="15" t="inlineStr">
        <is>
          <t>Nº3 cerrado</t>
        </is>
      </c>
      <c r="AO266" s="17" t="n">
        <v>2</v>
      </c>
      <c r="AP266" s="10">
        <f>ROUNDDOWN(MIN(IF(AK266=0,1000000000,AO266*'Parametros'!$B$11*'Parametros'!$B$4*MIN(U266,AB266)/(AK266*1000)),IF(AV266=0,1000000000,'Parametros'!$B$11/AV266),MIN(U266,AB266)/4,8*'Parametros'!$B$12,24*'Parametros'!$B$9,300)/10,0)*10</f>
        <v>80</v>
      </c>
      <c r="AQ266" s="10">
        <f>ROUNDDOWN(MIN(IF(AK266=0,1000000000,AO266*'Parametros'!$B$11*'Parametros'!$B$4*MIN(U266,AB266)/(AK266*1000)),IF(AV266=0,1000000000,'Parametros'!$B$11/AV266),MIN(U266,AB266)/2,600)/10,0)*10</f>
        <v>150</v>
      </c>
      <c r="AR266" s="10">
        <f>'Parametros'!$B$6*(AJ266+AO266*'Parametros'!$B$11*'Parametros'!$B$4*MIN(U266,AB266)/AP266/1000)</f>
        <v>272.415732210762</v>
      </c>
      <c r="AS266" s="10" t="str">
        <f>IF(AND(AM266="CUMPLE",AR266&gt;=AI266),"CUMPLE","NO CUMPLE")</f>
        <v>CUMPLE</v>
      </c>
      <c r="AT266" s="10">
        <f>'Parametros'!$B$6*0.083*SQRT('Parametros'!$B$2)*(H266*I266)^2/(2*(H266+I266))/1000000</f>
        <v>4.30410823283988</v>
      </c>
      <c r="AU266" s="10" t="str">
        <f>IF(Q266&lt;=AT266,"DESPRECIABLE","DISEÑAR")</f>
        <v>DESPRECIABLE</v>
      </c>
      <c r="AV266" s="10">
        <f>IF(Q266&lt;=AT266,0,Q266*1000000/('Parametros'!$B$6*2*0.85*(H266-2*'Parametros'!$B$7)*(I266-2*'Parametros'!$B$7)*'Parametros'!$B$4))</f>
        <v>0</v>
      </c>
      <c r="AW266" s="10">
        <f>AV266*2*((H266-2*'Parametros'!$B$7)+(I266-2*'Parametros'!$B$7))*'Parametros'!$B$4/'Parametros'!$B$3</f>
        <v>0</v>
      </c>
      <c r="AX266" s="17" t="n">
        <v>0</v>
      </c>
      <c r="AY266" s="10" t="str">
        <f>IF(AV266=0,"DESPRECIABLE",IF('Parametros'!$B$11/AP266&gt;=AV266,"CUMPLE","NO CUMPLE"))</f>
        <v>DESPRECIABLE</v>
      </c>
      <c r="AZ266" s="10" t="str">
        <f>IF(AND(X266="CUMPLE",AE266="CUMPLE",AS266="CUMPLE",OR(AY266="CUMPLE",AY266="DESPRECIABLE")),IF(OR(F266&lt;&gt;H266,G266&lt;&gt;I266),"CUMPLE - REANALIZAR SAP","CUMPLE"),"NO CUMPLE")</f>
        <v>CUMPLE</v>
      </c>
    </row>
    <row r="267">
      <c r="A267" s="24" t="inlineStr">
        <is>
          <t>VR1</t>
        </is>
      </c>
      <c r="B267" s="24" t="inlineStr">
        <is>
          <t>762</t>
        </is>
      </c>
      <c r="C267" s="10" t="n">
        <v>1</v>
      </c>
      <c r="D267" s="10" t="n">
        <v>2.5</v>
      </c>
      <c r="E267" s="10" t="n">
        <v>2.5</v>
      </c>
      <c r="F267" s="10" t="n">
        <v>350</v>
      </c>
      <c r="G267" s="10" t="n">
        <v>400</v>
      </c>
      <c r="H267" s="15" t="n">
        <v>350</v>
      </c>
      <c r="I267" s="15" t="n">
        <v>400</v>
      </c>
      <c r="J267" s="16" t="n">
        <v>91.26009999999999</v>
      </c>
      <c r="K267" s="10" t="inlineStr">
        <is>
          <t>762</t>
        </is>
      </c>
      <c r="L267" s="16" t="n">
        <v>63.7577</v>
      </c>
      <c r="M267" s="10" t="inlineStr">
        <is>
          <t>762</t>
        </is>
      </c>
      <c r="N267" s="16" t="n">
        <v>98.23699999999999</v>
      </c>
      <c r="O267" s="16" t="n">
        <v>321.582</v>
      </c>
      <c r="P267" s="10" t="inlineStr">
        <is>
          <t>762</t>
        </is>
      </c>
      <c r="Q267" s="16" t="n">
        <v>0.4367</v>
      </c>
      <c r="R267" s="10">
        <f>MAX(MAX(1.4/'Parametros'!$B$3,0.25*SQRT('Parametros'!$B$2)/'Parametros'!$B$3)*H267*U267,(0.85*'Parametros'!$B$2/'Parametros'!$B$3)*(1-SQRT(1-2*(J267*1000000/('Parametros'!$B$5*H267*U267^2))/(0.85*'Parametros'!$B$2)))*H267*U267)</f>
        <v>745.725690485791</v>
      </c>
      <c r="S267" s="17" t="n">
        <v>4</v>
      </c>
      <c r="T267" s="18" t="n">
        <v>1</v>
      </c>
      <c r="U267" s="10">
        <f>IF(T267=1,I267-('Parametros'!$B$7+'Parametros'!$B$9+'Parametros'!$B$12/2),I267-(ROUNDUP(S267/2,0)*('Parametros'!$B$7+'Parametros'!$B$9+'Parametros'!$B$12/2)+ROUNDDOWN(S267/2,0)*('Parametros'!$B$7+'Parametros'!$B$9+'Parametros'!$B$12/2+'Parametros'!$B$12+'Parametros'!$B$10))/S267)</f>
        <v>342.55</v>
      </c>
      <c r="V267" s="10">
        <f>S267*'Parametros'!$B$8</f>
        <v>796</v>
      </c>
      <c r="W267" s="10">
        <f>'Parametros'!$B$5*V267*'Parametros'!$B$3*(U267-(V267*'Parametros'!$B$3/(0.85*'Parametros'!$B$2*H267))/2)/1000000</f>
        <v>97.0311966352941</v>
      </c>
      <c r="X267" s="10" t="str">
        <f>IF(W267&gt;=J267,"CUMPLE","NO CUMPLE")</f>
        <v>CUMPLE</v>
      </c>
      <c r="Y267" s="10">
        <f>MAX(MAX(1.4/'Parametros'!$B$3,0.25*SQRT('Parametros'!$B$2)/'Parametros'!$B$3)*H267*AB267,(0.85*'Parametros'!$B$2/'Parametros'!$B$3)*(1-SQRT(1-2*(L267*1000000/('Parametros'!$B$5*H267*AB267^2))/(0.85*'Parametros'!$B$2)))*H267*AB267)</f>
        <v>511.666090134657</v>
      </c>
      <c r="Z267" s="17" t="n">
        <v>3</v>
      </c>
      <c r="AA267" s="18" t="n">
        <v>1</v>
      </c>
      <c r="AB267" s="10">
        <f>IF(AA267=1,I267-('Parametros'!$B$7+'Parametros'!$B$9+'Parametros'!$B$12/2),I267-(ROUNDUP(Z267/2,0)*('Parametros'!$B$7+'Parametros'!$B$9+'Parametros'!$B$12/2)+ROUNDDOWN(Z267/2,0)*('Parametros'!$B$7+'Parametros'!$B$9+'Parametros'!$B$12/2+'Parametros'!$B$12+'Parametros'!$B$10))/Z267)</f>
        <v>342.55</v>
      </c>
      <c r="AC267" s="10">
        <f>Z267*'Parametros'!$B$8</f>
        <v>597</v>
      </c>
      <c r="AD267" s="10">
        <f>'Parametros'!$B$5*AC267*'Parametros'!$B$3*(AB267-(AC267*'Parametros'!$B$3/(0.85*'Parametros'!$B$2*H267))/2)/1000000</f>
        <v>73.905520182353</v>
      </c>
      <c r="AE267" s="10" t="str">
        <f>IF(AD267&gt;=L267,"CUMPLE","NO CUMPLE")</f>
        <v>CUMPLE</v>
      </c>
      <c r="AF267" s="10">
        <f>V267*1.25*'Parametros'!$B$3*(U267-(V267*1.25*'Parametros'!$B$3/(0.85*'Parametros'!$B$2*H267))/2)/1000000</f>
        <v>132.669027352941</v>
      </c>
      <c r="AG267" s="10">
        <f>AC267*1.25*'Parametros'!$B$3*(AB267-(AC267*1.25*'Parametros'!$B$3/(0.85*'Parametros'!$B$2*H267))/2)/1000000</f>
        <v>101.467261323529</v>
      </c>
      <c r="AH267" s="10">
        <f>N267+(AF267+AG267)/D267</f>
        <v>191.891515470588</v>
      </c>
      <c r="AI267" s="10">
        <f>MIN(O267,MAX(N267,AH267))</f>
        <v>191.891515470588</v>
      </c>
      <c r="AJ267" s="10">
        <f>0.17*SQRT('Parametros'!$B$2)*H267*MIN(U267,AB267)/1000</f>
        <v>107.849951281016</v>
      </c>
      <c r="AK267" s="10">
        <f>MAX(AI267/'Parametros'!$B$6-AJ267,0)</f>
        <v>148.005402679768</v>
      </c>
      <c r="AL267" s="10">
        <f>0.66*SQRT('Parametros'!$B$2)*H267*MIN(U267,AB267)/1000</f>
        <v>418.711575561591</v>
      </c>
      <c r="AM267" s="10" t="str">
        <f>IF(AK267&lt;=AL267,"CUMPLE","NO CUMPLE")</f>
        <v>CUMPLE</v>
      </c>
      <c r="AN267" s="15" t="inlineStr">
        <is>
          <t>Nº3 cerrado</t>
        </is>
      </c>
      <c r="AO267" s="17" t="n">
        <v>2</v>
      </c>
      <c r="AP267" s="10">
        <f>ROUNDDOWN(MIN(IF(AK267=0,1000000000,AO267*'Parametros'!$B$11*'Parametros'!$B$4*MIN(U267,AB267)/(AK267*1000)),IF(AV267=0,1000000000,'Parametros'!$B$11/AV267),MIN(U267,AB267)/4,8*'Parametros'!$B$12,24*'Parametros'!$B$9,300)/10,0)*10</f>
        <v>80</v>
      </c>
      <c r="AQ267" s="10">
        <f>ROUNDDOWN(MIN(IF(AK267=0,1000000000,AO267*'Parametros'!$B$11*'Parametros'!$B$4*MIN(U267,AB267)/(AK267*1000)),IF(AV267=0,1000000000,'Parametros'!$B$11/AV267),MIN(U267,AB267)/2,600)/10,0)*10</f>
        <v>130</v>
      </c>
      <c r="AR267" s="10">
        <f>'Parametros'!$B$6*(AJ267+AO267*'Parametros'!$B$11*'Parametros'!$B$4*MIN(U267,AB267)/AP267/1000)</f>
        <v>272.415732210762</v>
      </c>
      <c r="AS267" s="10" t="str">
        <f>IF(AND(AM267="CUMPLE",AR267&gt;=AI267),"CUMPLE","NO CUMPLE")</f>
        <v>CUMPLE</v>
      </c>
      <c r="AT267" s="10">
        <f>'Parametros'!$B$6*0.083*SQRT('Parametros'!$B$2)*(H267*I267)^2/(2*(H267+I267))/1000000</f>
        <v>4.30410823283988</v>
      </c>
      <c r="AU267" s="10" t="str">
        <f>IF(Q267&lt;=AT267,"DESPRECIABLE","DISEÑAR")</f>
        <v>DESPRECIABLE</v>
      </c>
      <c r="AV267" s="10">
        <f>IF(Q267&lt;=AT267,0,Q267*1000000/('Parametros'!$B$6*2*0.85*(H267-2*'Parametros'!$B$7)*(I267-2*'Parametros'!$B$7)*'Parametros'!$B$4))</f>
        <v>0</v>
      </c>
      <c r="AW267" s="10">
        <f>AV267*2*((H267-2*'Parametros'!$B$7)+(I267-2*'Parametros'!$B$7))*'Parametros'!$B$4/'Parametros'!$B$3</f>
        <v>0</v>
      </c>
      <c r="AX267" s="17" t="n">
        <v>0</v>
      </c>
      <c r="AY267" s="10" t="str">
        <f>IF(AV267=0,"DESPRECIABLE",IF('Parametros'!$B$11/AP267&gt;=AV267,"CUMPLE","NO CUMPLE"))</f>
        <v>DESPRECIABLE</v>
      </c>
      <c r="AZ267" s="10" t="str">
        <f>IF(AND(X267="CUMPLE",AE267="CUMPLE",AS267="CUMPLE",OR(AY267="CUMPLE",AY267="DESPRECIABLE")),IF(OR(F267&lt;&gt;H267,G267&lt;&gt;I267),"CUMPLE - REANALIZAR SAP","CUMPLE"),"NO CUMPLE")</f>
        <v>CUMPLE</v>
      </c>
    </row>
    <row r="268">
      <c r="A268" s="24" t="inlineStr">
        <is>
          <t>VR1</t>
        </is>
      </c>
      <c r="B268" s="24" t="inlineStr">
        <is>
          <t>763</t>
        </is>
      </c>
      <c r="C268" s="10" t="n">
        <v>1</v>
      </c>
      <c r="D268" s="10" t="n">
        <v>4</v>
      </c>
      <c r="E268" s="10" t="n">
        <v>4</v>
      </c>
      <c r="F268" s="10" t="n">
        <v>350</v>
      </c>
      <c r="G268" s="10" t="n">
        <v>400</v>
      </c>
      <c r="H268" s="15" t="n">
        <v>350</v>
      </c>
      <c r="I268" s="15" t="n">
        <v>400</v>
      </c>
      <c r="J268" s="16" t="n">
        <v>97.56399999999999</v>
      </c>
      <c r="K268" s="10" t="inlineStr">
        <is>
          <t>763</t>
        </is>
      </c>
      <c r="L268" s="16" t="n">
        <v>36.1844</v>
      </c>
      <c r="M268" s="10" t="inlineStr">
        <is>
          <t>763</t>
        </is>
      </c>
      <c r="N268" s="16" t="n">
        <v>90.679</v>
      </c>
      <c r="O268" s="16" t="n">
        <v>183.599</v>
      </c>
      <c r="P268" s="10" t="inlineStr">
        <is>
          <t>763</t>
        </is>
      </c>
      <c r="Q268" s="16" t="n">
        <v>2.8448</v>
      </c>
      <c r="R268" s="10">
        <f>MAX(MAX(1.4/'Parametros'!$B$3,0.25*SQRT('Parametros'!$B$2)/'Parametros'!$B$3)*H268*U268,(0.85*'Parametros'!$B$2/'Parametros'!$B$3)*(1-SQRT(1-2*(J268*1000000/('Parametros'!$B$5*H268*U268^2))/(0.85*'Parametros'!$B$2)))*H268*U268)</f>
        <v>800.662725912267</v>
      </c>
      <c r="S268" s="17" t="n">
        <v>5</v>
      </c>
      <c r="T268" s="18" t="n">
        <v>1</v>
      </c>
      <c r="U268" s="10">
        <f>IF(T268=1,I268-('Parametros'!$B$7+'Parametros'!$B$9+'Parametros'!$B$12/2),I268-(ROUNDUP(S268/2,0)*('Parametros'!$B$7+'Parametros'!$B$9+'Parametros'!$B$12/2)+ROUNDDOWN(S268/2,0)*('Parametros'!$B$7+'Parametros'!$B$9+'Parametros'!$B$12/2+'Parametros'!$B$12+'Parametros'!$B$10))/S268)</f>
        <v>342.55</v>
      </c>
      <c r="V268" s="10">
        <f>S268*'Parametros'!$B$8</f>
        <v>995</v>
      </c>
      <c r="W268" s="10">
        <f>'Parametros'!$B$5*V268*'Parametros'!$B$3*(U268-(V268*'Parametros'!$B$3/(0.85*'Parametros'!$B$2*H268))/2)/1000000</f>
        <v>119.402124617647</v>
      </c>
      <c r="X268" s="10" t="str">
        <f>IF(W268&gt;=J268,"CUMPLE","NO CUMPLE")</f>
        <v>CUMPLE</v>
      </c>
      <c r="Y268" s="10">
        <f>MAX(MAX(1.4/'Parametros'!$B$3,0.25*SQRT('Parametros'!$B$2)/'Parametros'!$B$3)*H268*AB268,(0.85*'Parametros'!$B$2/'Parametros'!$B$3)*(1-SQRT(1-2*(L268*1000000/('Parametros'!$B$5*H268*AB268^2))/(0.85*'Parametros'!$B$2)))*H268*AB268)</f>
        <v>399.641666666667</v>
      </c>
      <c r="Z268" s="17" t="n">
        <v>3</v>
      </c>
      <c r="AA268" s="18" t="n">
        <v>1</v>
      </c>
      <c r="AB268" s="10">
        <f>IF(AA268=1,I268-('Parametros'!$B$7+'Parametros'!$B$9+'Parametros'!$B$12/2),I268-(ROUNDUP(Z268/2,0)*('Parametros'!$B$7+'Parametros'!$B$9+'Parametros'!$B$12/2)+ROUNDDOWN(Z268/2,0)*('Parametros'!$B$7+'Parametros'!$B$9+'Parametros'!$B$12/2+'Parametros'!$B$12+'Parametros'!$B$10))/Z268)</f>
        <v>342.55</v>
      </c>
      <c r="AC268" s="10">
        <f>Z268*'Parametros'!$B$8</f>
        <v>597</v>
      </c>
      <c r="AD268" s="10">
        <f>'Parametros'!$B$5*AC268*'Parametros'!$B$3*(AB268-(AC268*'Parametros'!$B$3/(0.85*'Parametros'!$B$2*H268))/2)/1000000</f>
        <v>73.905520182353</v>
      </c>
      <c r="AE268" s="10" t="str">
        <f>IF(AD268&gt;=L268,"CUMPLE","NO CUMPLE")</f>
        <v>CUMPLE</v>
      </c>
      <c r="AF268" s="10">
        <f>V268*1.25*'Parametros'!$B$3*(U268-(V268*1.25*'Parametros'!$B$3/(0.85*'Parametros'!$B$2*H268))/2)/1000000</f>
        <v>162.560466176471</v>
      </c>
      <c r="AG268" s="10">
        <f>AC268*1.25*'Parametros'!$B$3*(AB268-(AC268*1.25*'Parametros'!$B$3/(0.85*'Parametros'!$B$2*H268))/2)/1000000</f>
        <v>101.467261323529</v>
      </c>
      <c r="AH268" s="10">
        <f>N268+(AF268+AG268)/D268</f>
        <v>156.685931875</v>
      </c>
      <c r="AI268" s="10">
        <f>MIN(O268,MAX(N268,AH268))</f>
        <v>156.685931875</v>
      </c>
      <c r="AJ268" s="10">
        <f>0.17*SQRT('Parametros'!$B$2)*H268*MIN(U268,AB268)/1000</f>
        <v>107.849951281016</v>
      </c>
      <c r="AK268" s="10">
        <f>MAX(AI268/'Parametros'!$B$6-AJ268,0)</f>
        <v>101.064624552317</v>
      </c>
      <c r="AL268" s="10">
        <f>0.66*SQRT('Parametros'!$B$2)*H268*MIN(U268,AB268)/1000</f>
        <v>418.711575561591</v>
      </c>
      <c r="AM268" s="10" t="str">
        <f>IF(AK268&lt;=AL268,"CUMPLE","NO CUMPLE")</f>
        <v>CUMPLE</v>
      </c>
      <c r="AN268" s="15" t="inlineStr">
        <is>
          <t>Nº3 cerrado</t>
        </is>
      </c>
      <c r="AO268" s="17" t="n">
        <v>2</v>
      </c>
      <c r="AP268" s="10">
        <f>ROUNDDOWN(MIN(IF(AK268=0,1000000000,AO268*'Parametros'!$B$11*'Parametros'!$B$4*MIN(U268,AB268)/(AK268*1000)),IF(AV268=0,1000000000,'Parametros'!$B$11/AV268),MIN(U268,AB268)/4,8*'Parametros'!$B$12,24*'Parametros'!$B$9,300)/10,0)*10</f>
        <v>80</v>
      </c>
      <c r="AQ268" s="10">
        <f>ROUNDDOWN(MIN(IF(AK268=0,1000000000,AO268*'Parametros'!$B$11*'Parametros'!$B$4*MIN(U268,AB268)/(AK268*1000)),IF(AV268=0,1000000000,'Parametros'!$B$11/AV268),MIN(U268,AB268)/2,600)/10,0)*10</f>
        <v>170</v>
      </c>
      <c r="AR268" s="10">
        <f>'Parametros'!$B$6*(AJ268+AO268*'Parametros'!$B$11*'Parametros'!$B$4*MIN(U268,AB268)/AP268/1000)</f>
        <v>272.415732210762</v>
      </c>
      <c r="AS268" s="10" t="str">
        <f>IF(AND(AM268="CUMPLE",AR268&gt;=AI268),"CUMPLE","NO CUMPLE")</f>
        <v>CUMPLE</v>
      </c>
      <c r="AT268" s="10">
        <f>'Parametros'!$B$6*0.083*SQRT('Parametros'!$B$2)*(H268*I268)^2/(2*(H268+I268))/1000000</f>
        <v>4.30410823283988</v>
      </c>
      <c r="AU268" s="10" t="str">
        <f>IF(Q268&lt;=AT268,"DESPRECIABLE","DISEÑAR")</f>
        <v>DESPRECIABLE</v>
      </c>
      <c r="AV268" s="10">
        <f>IF(Q268&lt;=AT268,0,Q268*1000000/('Parametros'!$B$6*2*0.85*(H268-2*'Parametros'!$B$7)*(I268-2*'Parametros'!$B$7)*'Parametros'!$B$4))</f>
        <v>0</v>
      </c>
      <c r="AW268" s="10">
        <f>AV268*2*((H268-2*'Parametros'!$B$7)+(I268-2*'Parametros'!$B$7))*'Parametros'!$B$4/'Parametros'!$B$3</f>
        <v>0</v>
      </c>
      <c r="AX268" s="17" t="n">
        <v>0</v>
      </c>
      <c r="AY268" s="10" t="str">
        <f>IF(AV268=0,"DESPRECIABLE",IF('Parametros'!$B$11/AP268&gt;=AV268,"CUMPLE","NO CUMPLE"))</f>
        <v>DESPRECIABLE</v>
      </c>
      <c r="AZ268" s="10" t="str">
        <f>IF(AND(X268="CUMPLE",AE268="CUMPLE",AS268="CUMPLE",OR(AY268="CUMPLE",AY268="DESPRECIABLE")),IF(OR(F268&lt;&gt;H268,G268&lt;&gt;I268),"CUMPLE - REANALIZAR SAP","CUMPLE"),"NO CUMPLE")</f>
        <v>CUMPLE</v>
      </c>
    </row>
    <row r="269">
      <c r="A269" s="24" t="inlineStr">
        <is>
          <t>VR1</t>
        </is>
      </c>
      <c r="B269" s="24" t="inlineStr">
        <is>
          <t>764</t>
        </is>
      </c>
      <c r="C269" s="10" t="n">
        <v>1</v>
      </c>
      <c r="D269" s="10" t="n">
        <v>4</v>
      </c>
      <c r="E269" s="10" t="n">
        <v>4</v>
      </c>
      <c r="F269" s="10" t="n">
        <v>350</v>
      </c>
      <c r="G269" s="10" t="n">
        <v>400</v>
      </c>
      <c r="H269" s="15" t="n">
        <v>350</v>
      </c>
      <c r="I269" s="15" t="n">
        <v>400</v>
      </c>
      <c r="J269" s="16" t="n">
        <v>97.6092</v>
      </c>
      <c r="K269" s="10" t="inlineStr">
        <is>
          <t>764</t>
        </is>
      </c>
      <c r="L269" s="16" t="n">
        <v>36.2079</v>
      </c>
      <c r="M269" s="10" t="inlineStr">
        <is>
          <t>764</t>
        </is>
      </c>
      <c r="N269" s="16" t="n">
        <v>90.702</v>
      </c>
      <c r="O269" s="16" t="n">
        <v>183.653</v>
      </c>
      <c r="P269" s="10" t="inlineStr">
        <is>
          <t>764</t>
        </is>
      </c>
      <c r="Q269" s="16" t="n">
        <v>2.8625</v>
      </c>
      <c r="R269" s="10">
        <f>MAX(MAX(1.4/'Parametros'!$B$3,0.25*SQRT('Parametros'!$B$2)/'Parametros'!$B$3)*H269*U269,(0.85*'Parametros'!$B$2/'Parametros'!$B$3)*(1-SQRT(1-2*(J269*1000000/('Parametros'!$B$5*H269*U269^2))/(0.85*'Parametros'!$B$2)))*H269*U269)</f>
        <v>801.058451933385</v>
      </c>
      <c r="S269" s="17" t="n">
        <v>5</v>
      </c>
      <c r="T269" s="18" t="n">
        <v>1</v>
      </c>
      <c r="U269" s="10">
        <f>IF(T269=1,I269-('Parametros'!$B$7+'Parametros'!$B$9+'Parametros'!$B$12/2),I269-(ROUNDUP(S269/2,0)*('Parametros'!$B$7+'Parametros'!$B$9+'Parametros'!$B$12/2)+ROUNDDOWN(S269/2,0)*('Parametros'!$B$7+'Parametros'!$B$9+'Parametros'!$B$12/2+'Parametros'!$B$12+'Parametros'!$B$10))/S269)</f>
        <v>342.55</v>
      </c>
      <c r="V269" s="10">
        <f>S269*'Parametros'!$B$8</f>
        <v>995</v>
      </c>
      <c r="W269" s="10">
        <f>'Parametros'!$B$5*V269*'Parametros'!$B$3*(U269-(V269*'Parametros'!$B$3/(0.85*'Parametros'!$B$2*H269))/2)/1000000</f>
        <v>119.402124617647</v>
      </c>
      <c r="X269" s="10" t="str">
        <f>IF(W269&gt;=J269,"CUMPLE","NO CUMPLE")</f>
        <v>CUMPLE</v>
      </c>
      <c r="Y269" s="10">
        <f>MAX(MAX(1.4/'Parametros'!$B$3,0.25*SQRT('Parametros'!$B$2)/'Parametros'!$B$3)*H269*AB269,(0.85*'Parametros'!$B$2/'Parametros'!$B$3)*(1-SQRT(1-2*(L269*1000000/('Parametros'!$B$5*H269*AB269^2))/(0.85*'Parametros'!$B$2)))*H269*AB269)</f>
        <v>399.641666666667</v>
      </c>
      <c r="Z269" s="17" t="n">
        <v>3</v>
      </c>
      <c r="AA269" s="18" t="n">
        <v>1</v>
      </c>
      <c r="AB269" s="10">
        <f>IF(AA269=1,I269-('Parametros'!$B$7+'Parametros'!$B$9+'Parametros'!$B$12/2),I269-(ROUNDUP(Z269/2,0)*('Parametros'!$B$7+'Parametros'!$B$9+'Parametros'!$B$12/2)+ROUNDDOWN(Z269/2,0)*('Parametros'!$B$7+'Parametros'!$B$9+'Parametros'!$B$12/2+'Parametros'!$B$12+'Parametros'!$B$10))/Z269)</f>
        <v>342.55</v>
      </c>
      <c r="AC269" s="10">
        <f>Z269*'Parametros'!$B$8</f>
        <v>597</v>
      </c>
      <c r="AD269" s="10">
        <f>'Parametros'!$B$5*AC269*'Parametros'!$B$3*(AB269-(AC269*'Parametros'!$B$3/(0.85*'Parametros'!$B$2*H269))/2)/1000000</f>
        <v>73.905520182353</v>
      </c>
      <c r="AE269" s="10" t="str">
        <f>IF(AD269&gt;=L269,"CUMPLE","NO CUMPLE")</f>
        <v>CUMPLE</v>
      </c>
      <c r="AF269" s="10">
        <f>V269*1.25*'Parametros'!$B$3*(U269-(V269*1.25*'Parametros'!$B$3/(0.85*'Parametros'!$B$2*H269))/2)/1000000</f>
        <v>162.560466176471</v>
      </c>
      <c r="AG269" s="10">
        <f>AC269*1.25*'Parametros'!$B$3*(AB269-(AC269*1.25*'Parametros'!$B$3/(0.85*'Parametros'!$B$2*H269))/2)/1000000</f>
        <v>101.467261323529</v>
      </c>
      <c r="AH269" s="10">
        <f>N269+(AF269+AG269)/D269</f>
        <v>156.708931875</v>
      </c>
      <c r="AI269" s="10">
        <f>MIN(O269,MAX(N269,AH269))</f>
        <v>156.708931875</v>
      </c>
      <c r="AJ269" s="10">
        <f>0.17*SQRT('Parametros'!$B$2)*H269*MIN(U269,AB269)/1000</f>
        <v>107.849951281016</v>
      </c>
      <c r="AK269" s="10">
        <f>MAX(AI269/'Parametros'!$B$6-AJ269,0)</f>
        <v>101.095291218984</v>
      </c>
      <c r="AL269" s="10">
        <f>0.66*SQRT('Parametros'!$B$2)*H269*MIN(U269,AB269)/1000</f>
        <v>418.711575561591</v>
      </c>
      <c r="AM269" s="10" t="str">
        <f>IF(AK269&lt;=AL269,"CUMPLE","NO CUMPLE")</f>
        <v>CUMPLE</v>
      </c>
      <c r="AN269" s="15" t="inlineStr">
        <is>
          <t>Nº3 cerrado</t>
        </is>
      </c>
      <c r="AO269" s="17" t="n">
        <v>2</v>
      </c>
      <c r="AP269" s="10">
        <f>ROUNDDOWN(MIN(IF(AK269=0,1000000000,AO269*'Parametros'!$B$11*'Parametros'!$B$4*MIN(U269,AB269)/(AK269*1000)),IF(AV269=0,1000000000,'Parametros'!$B$11/AV269),MIN(U269,AB269)/4,8*'Parametros'!$B$12,24*'Parametros'!$B$9,300)/10,0)*10</f>
        <v>80</v>
      </c>
      <c r="AQ269" s="10">
        <f>ROUNDDOWN(MIN(IF(AK269=0,1000000000,AO269*'Parametros'!$B$11*'Parametros'!$B$4*MIN(U269,AB269)/(AK269*1000)),IF(AV269=0,1000000000,'Parametros'!$B$11/AV269),MIN(U269,AB269)/2,600)/10,0)*10</f>
        <v>170</v>
      </c>
      <c r="AR269" s="10">
        <f>'Parametros'!$B$6*(AJ269+AO269*'Parametros'!$B$11*'Parametros'!$B$4*MIN(U269,AB269)/AP269/1000)</f>
        <v>272.415732210762</v>
      </c>
      <c r="AS269" s="10" t="str">
        <f>IF(AND(AM269="CUMPLE",AR269&gt;=AI269),"CUMPLE","NO CUMPLE")</f>
        <v>CUMPLE</v>
      </c>
      <c r="AT269" s="10">
        <f>'Parametros'!$B$6*0.083*SQRT('Parametros'!$B$2)*(H269*I269)^2/(2*(H269+I269))/1000000</f>
        <v>4.30410823283988</v>
      </c>
      <c r="AU269" s="10" t="str">
        <f>IF(Q269&lt;=AT269,"DESPRECIABLE","DISEÑAR")</f>
        <v>DESPRECIABLE</v>
      </c>
      <c r="AV269" s="10">
        <f>IF(Q269&lt;=AT269,0,Q269*1000000/('Parametros'!$B$6*2*0.85*(H269-2*'Parametros'!$B$7)*(I269-2*'Parametros'!$B$7)*'Parametros'!$B$4))</f>
        <v>0</v>
      </c>
      <c r="AW269" s="10">
        <f>AV269*2*((H269-2*'Parametros'!$B$7)+(I269-2*'Parametros'!$B$7))*'Parametros'!$B$4/'Parametros'!$B$3</f>
        <v>0</v>
      </c>
      <c r="AX269" s="17" t="n">
        <v>0</v>
      </c>
      <c r="AY269" s="10" t="str">
        <f>IF(AV269=0,"DESPRECIABLE",IF('Parametros'!$B$11/AP269&gt;=AV269,"CUMPLE","NO CUMPLE"))</f>
        <v>DESPRECIABLE</v>
      </c>
      <c r="AZ269" s="10" t="str">
        <f>IF(AND(X269="CUMPLE",AE269="CUMPLE",AS269="CUMPLE",OR(AY269="CUMPLE",AY269="DESPRECIABLE")),IF(OR(F269&lt;&gt;H269,G269&lt;&gt;I269),"CUMPLE - REANALIZAR SAP","CUMPLE"),"NO CUMPLE")</f>
        <v>CUMPLE</v>
      </c>
    </row>
    <row r="270">
      <c r="A270" s="24" t="inlineStr">
        <is>
          <t>VR1</t>
        </is>
      </c>
      <c r="B270" s="24" t="inlineStr">
        <is>
          <t>765</t>
        </is>
      </c>
      <c r="C270" s="10" t="n">
        <v>1</v>
      </c>
      <c r="D270" s="10" t="n">
        <v>2.5</v>
      </c>
      <c r="E270" s="10" t="n">
        <v>2.5</v>
      </c>
      <c r="F270" s="10" t="n">
        <v>350</v>
      </c>
      <c r="G270" s="10" t="n">
        <v>400</v>
      </c>
      <c r="H270" s="15" t="n">
        <v>350</v>
      </c>
      <c r="I270" s="15" t="n">
        <v>400</v>
      </c>
      <c r="J270" s="16" t="n">
        <v>91.33410000000001</v>
      </c>
      <c r="K270" s="10" t="inlineStr">
        <is>
          <t>765</t>
        </is>
      </c>
      <c r="L270" s="16" t="n">
        <v>63.8042</v>
      </c>
      <c r="M270" s="10" t="inlineStr">
        <is>
          <t>765</t>
        </is>
      </c>
      <c r="N270" s="16" t="n">
        <v>98.29900000000001</v>
      </c>
      <c r="O270" s="16" t="n">
        <v>321.649</v>
      </c>
      <c r="P270" s="10" t="inlineStr">
        <is>
          <t>765</t>
        </is>
      </c>
      <c r="Q270" s="16" t="n">
        <v>0.4366</v>
      </c>
      <c r="R270" s="10">
        <f>MAX(MAX(1.4/'Parametros'!$B$3,0.25*SQRT('Parametros'!$B$2)/'Parametros'!$B$3)*H270*U270,(0.85*'Parametros'!$B$2/'Parametros'!$B$3)*(1-SQRT(1-2*(J270*1000000/('Parametros'!$B$5*H270*U270^2))/(0.85*'Parametros'!$B$2)))*H270*U270)</f>
        <v>746.367688646146</v>
      </c>
      <c r="S270" s="17" t="n">
        <v>4</v>
      </c>
      <c r="T270" s="18" t="n">
        <v>1</v>
      </c>
      <c r="U270" s="10">
        <f>IF(T270=1,I270-('Parametros'!$B$7+'Parametros'!$B$9+'Parametros'!$B$12/2),I270-(ROUNDUP(S270/2,0)*('Parametros'!$B$7+'Parametros'!$B$9+'Parametros'!$B$12/2)+ROUNDDOWN(S270/2,0)*('Parametros'!$B$7+'Parametros'!$B$9+'Parametros'!$B$12/2+'Parametros'!$B$12+'Parametros'!$B$10))/S270)</f>
        <v>342.55</v>
      </c>
      <c r="V270" s="10">
        <f>S270*'Parametros'!$B$8</f>
        <v>796</v>
      </c>
      <c r="W270" s="10">
        <f>'Parametros'!$B$5*V270*'Parametros'!$B$3*(U270-(V270*'Parametros'!$B$3/(0.85*'Parametros'!$B$2*H270))/2)/1000000</f>
        <v>97.0311966352941</v>
      </c>
      <c r="X270" s="10" t="str">
        <f>IF(W270&gt;=J270,"CUMPLE","NO CUMPLE")</f>
        <v>CUMPLE</v>
      </c>
      <c r="Y270" s="10">
        <f>MAX(MAX(1.4/'Parametros'!$B$3,0.25*SQRT('Parametros'!$B$2)/'Parametros'!$B$3)*H270*AB270,(0.85*'Parametros'!$B$2/'Parametros'!$B$3)*(1-SQRT(1-2*(L270*1000000/('Parametros'!$B$5*H270*AB270^2))/(0.85*'Parametros'!$B$2)))*H270*AB270)</f>
        <v>512.054469019048</v>
      </c>
      <c r="Z270" s="17" t="n">
        <v>3</v>
      </c>
      <c r="AA270" s="18" t="n">
        <v>1</v>
      </c>
      <c r="AB270" s="10">
        <f>IF(AA270=1,I270-('Parametros'!$B$7+'Parametros'!$B$9+'Parametros'!$B$12/2),I270-(ROUNDUP(Z270/2,0)*('Parametros'!$B$7+'Parametros'!$B$9+'Parametros'!$B$12/2)+ROUNDDOWN(Z270/2,0)*('Parametros'!$B$7+'Parametros'!$B$9+'Parametros'!$B$12/2+'Parametros'!$B$12+'Parametros'!$B$10))/Z270)</f>
        <v>342.55</v>
      </c>
      <c r="AC270" s="10">
        <f>Z270*'Parametros'!$B$8</f>
        <v>597</v>
      </c>
      <c r="AD270" s="10">
        <f>'Parametros'!$B$5*AC270*'Parametros'!$B$3*(AB270-(AC270*'Parametros'!$B$3/(0.85*'Parametros'!$B$2*H270))/2)/1000000</f>
        <v>73.905520182353</v>
      </c>
      <c r="AE270" s="10" t="str">
        <f>IF(AD270&gt;=L270,"CUMPLE","NO CUMPLE")</f>
        <v>CUMPLE</v>
      </c>
      <c r="AF270" s="10">
        <f>V270*1.25*'Parametros'!$B$3*(U270-(V270*1.25*'Parametros'!$B$3/(0.85*'Parametros'!$B$2*H270))/2)/1000000</f>
        <v>132.669027352941</v>
      </c>
      <c r="AG270" s="10">
        <f>AC270*1.25*'Parametros'!$B$3*(AB270-(AC270*1.25*'Parametros'!$B$3/(0.85*'Parametros'!$B$2*H270))/2)/1000000</f>
        <v>101.467261323529</v>
      </c>
      <c r="AH270" s="10">
        <f>N270+(AF270+AG270)/D270</f>
        <v>191.953515470588</v>
      </c>
      <c r="AI270" s="10">
        <f>MIN(O270,MAX(N270,AH270))</f>
        <v>191.953515470588</v>
      </c>
      <c r="AJ270" s="10">
        <f>0.17*SQRT('Parametros'!$B$2)*H270*MIN(U270,AB270)/1000</f>
        <v>107.849951281016</v>
      </c>
      <c r="AK270" s="10">
        <f>MAX(AI270/'Parametros'!$B$6-AJ270,0)</f>
        <v>148.088069346435</v>
      </c>
      <c r="AL270" s="10">
        <f>0.66*SQRT('Parametros'!$B$2)*H270*MIN(U270,AB270)/1000</f>
        <v>418.711575561591</v>
      </c>
      <c r="AM270" s="10" t="str">
        <f>IF(AK270&lt;=AL270,"CUMPLE","NO CUMPLE")</f>
        <v>CUMPLE</v>
      </c>
      <c r="AN270" s="15" t="inlineStr">
        <is>
          <t>Nº3 cerrado</t>
        </is>
      </c>
      <c r="AO270" s="17" t="n">
        <v>2</v>
      </c>
      <c r="AP270" s="10">
        <f>ROUNDDOWN(MIN(IF(AK270=0,1000000000,AO270*'Parametros'!$B$11*'Parametros'!$B$4*MIN(U270,AB270)/(AK270*1000)),IF(AV270=0,1000000000,'Parametros'!$B$11/AV270),MIN(U270,AB270)/4,8*'Parametros'!$B$12,24*'Parametros'!$B$9,300)/10,0)*10</f>
        <v>80</v>
      </c>
      <c r="AQ270" s="10">
        <f>ROUNDDOWN(MIN(IF(AK270=0,1000000000,AO270*'Parametros'!$B$11*'Parametros'!$B$4*MIN(U270,AB270)/(AK270*1000)),IF(AV270=0,1000000000,'Parametros'!$B$11/AV270),MIN(U270,AB270)/2,600)/10,0)*10</f>
        <v>130</v>
      </c>
      <c r="AR270" s="10">
        <f>'Parametros'!$B$6*(AJ270+AO270*'Parametros'!$B$11*'Parametros'!$B$4*MIN(U270,AB270)/AP270/1000)</f>
        <v>272.415732210762</v>
      </c>
      <c r="AS270" s="10" t="str">
        <f>IF(AND(AM270="CUMPLE",AR270&gt;=AI270),"CUMPLE","NO CUMPLE")</f>
        <v>CUMPLE</v>
      </c>
      <c r="AT270" s="10">
        <f>'Parametros'!$B$6*0.083*SQRT('Parametros'!$B$2)*(H270*I270)^2/(2*(H270+I270))/1000000</f>
        <v>4.30410823283988</v>
      </c>
      <c r="AU270" s="10" t="str">
        <f>IF(Q270&lt;=AT270,"DESPRECIABLE","DISEÑAR")</f>
        <v>DESPRECIABLE</v>
      </c>
      <c r="AV270" s="10">
        <f>IF(Q270&lt;=AT270,0,Q270*1000000/('Parametros'!$B$6*2*0.85*(H270-2*'Parametros'!$B$7)*(I270-2*'Parametros'!$B$7)*'Parametros'!$B$4))</f>
        <v>0</v>
      </c>
      <c r="AW270" s="10">
        <f>AV270*2*((H270-2*'Parametros'!$B$7)+(I270-2*'Parametros'!$B$7))*'Parametros'!$B$4/'Parametros'!$B$3</f>
        <v>0</v>
      </c>
      <c r="AX270" s="17" t="n">
        <v>0</v>
      </c>
      <c r="AY270" s="10" t="str">
        <f>IF(AV270=0,"DESPRECIABLE",IF('Parametros'!$B$11/AP270&gt;=AV270,"CUMPLE","NO CUMPLE"))</f>
        <v>DESPRECIABLE</v>
      </c>
      <c r="AZ270" s="10" t="str">
        <f>IF(AND(X270="CUMPLE",AE270="CUMPLE",AS270="CUMPLE",OR(AY270="CUMPLE",AY270="DESPRECIABLE")),IF(OR(F270&lt;&gt;H270,G270&lt;&gt;I270),"CUMPLE - REANALIZAR SAP","CUMPLE"),"NO CUMPLE")</f>
        <v>CUMPLE</v>
      </c>
    </row>
    <row r="271">
      <c r="A271" s="24" t="inlineStr">
        <is>
          <t>VR1</t>
        </is>
      </c>
      <c r="B271" s="24" t="inlineStr">
        <is>
          <t>766</t>
        </is>
      </c>
      <c r="C271" s="10" t="n">
        <v>1</v>
      </c>
      <c r="D271" s="10" t="n">
        <v>2.6</v>
      </c>
      <c r="E271" s="10" t="n">
        <v>2.6</v>
      </c>
      <c r="F271" s="10" t="n">
        <v>350</v>
      </c>
      <c r="G271" s="10" t="n">
        <v>400</v>
      </c>
      <c r="H271" s="15" t="n">
        <v>350</v>
      </c>
      <c r="I271" s="15" t="n">
        <v>400</v>
      </c>
      <c r="J271" s="16" t="n">
        <v>86.2719</v>
      </c>
      <c r="K271" s="10" t="inlineStr">
        <is>
          <t>766</t>
        </is>
      </c>
      <c r="L271" s="16" t="n">
        <v>57.2297</v>
      </c>
      <c r="M271" s="10" t="inlineStr">
        <is>
          <t>766</t>
        </is>
      </c>
      <c r="N271" s="16" t="n">
        <v>92.68000000000001</v>
      </c>
      <c r="O271" s="16" t="n">
        <v>293.586</v>
      </c>
      <c r="P271" s="10" t="inlineStr">
        <is>
          <t>766</t>
        </is>
      </c>
      <c r="Q271" s="16" t="n">
        <v>0.4079</v>
      </c>
      <c r="R271" s="10">
        <f>MAX(MAX(1.4/'Parametros'!$B$3,0.25*SQRT('Parametros'!$B$2)/'Parametros'!$B$3)*H271*U271,(0.85*'Parametros'!$B$2/'Parametros'!$B$3)*(1-SQRT(1-2*(J271*1000000/('Parametros'!$B$5*H271*U271^2))/(0.85*'Parametros'!$B$2)))*H271*U271)</f>
        <v>702.605815179926</v>
      </c>
      <c r="S271" s="17" t="n">
        <v>4</v>
      </c>
      <c r="T271" s="18" t="n">
        <v>1</v>
      </c>
      <c r="U271" s="10">
        <f>IF(T271=1,I271-('Parametros'!$B$7+'Parametros'!$B$9+'Parametros'!$B$12/2),I271-(ROUNDUP(S271/2,0)*('Parametros'!$B$7+'Parametros'!$B$9+'Parametros'!$B$12/2)+ROUNDDOWN(S271/2,0)*('Parametros'!$B$7+'Parametros'!$B$9+'Parametros'!$B$12/2+'Parametros'!$B$12+'Parametros'!$B$10))/S271)</f>
        <v>342.55</v>
      </c>
      <c r="V271" s="10">
        <f>S271*'Parametros'!$B$8</f>
        <v>796</v>
      </c>
      <c r="W271" s="10">
        <f>'Parametros'!$B$5*V271*'Parametros'!$B$3*(U271-(V271*'Parametros'!$B$3/(0.85*'Parametros'!$B$2*H271))/2)/1000000</f>
        <v>97.0311966352941</v>
      </c>
      <c r="X271" s="10" t="str">
        <f>IF(W271&gt;=J271,"CUMPLE","NO CUMPLE")</f>
        <v>CUMPLE</v>
      </c>
      <c r="Y271" s="10">
        <f>MAX(MAX(1.4/'Parametros'!$B$3,0.25*SQRT('Parametros'!$B$2)/'Parametros'!$B$3)*H271*AB271,(0.85*'Parametros'!$B$2/'Parametros'!$B$3)*(1-SQRT(1-2*(L271*1000000/('Parametros'!$B$5*H271*AB271^2))/(0.85*'Parametros'!$B$2)))*H271*AB271)</f>
        <v>457.37894894104</v>
      </c>
      <c r="Z271" s="17" t="n">
        <v>3</v>
      </c>
      <c r="AA271" s="18" t="n">
        <v>1</v>
      </c>
      <c r="AB271" s="10">
        <f>IF(AA271=1,I271-('Parametros'!$B$7+'Parametros'!$B$9+'Parametros'!$B$12/2),I271-(ROUNDUP(Z271/2,0)*('Parametros'!$B$7+'Parametros'!$B$9+'Parametros'!$B$12/2)+ROUNDDOWN(Z271/2,0)*('Parametros'!$B$7+'Parametros'!$B$9+'Parametros'!$B$12/2+'Parametros'!$B$12+'Parametros'!$B$10))/Z271)</f>
        <v>342.55</v>
      </c>
      <c r="AC271" s="10">
        <f>Z271*'Parametros'!$B$8</f>
        <v>597</v>
      </c>
      <c r="AD271" s="10">
        <f>'Parametros'!$B$5*AC271*'Parametros'!$B$3*(AB271-(AC271*'Parametros'!$B$3/(0.85*'Parametros'!$B$2*H271))/2)/1000000</f>
        <v>73.905520182353</v>
      </c>
      <c r="AE271" s="10" t="str">
        <f>IF(AD271&gt;=L271,"CUMPLE","NO CUMPLE")</f>
        <v>CUMPLE</v>
      </c>
      <c r="AF271" s="10">
        <f>V271*1.25*'Parametros'!$B$3*(U271-(V271*1.25*'Parametros'!$B$3/(0.85*'Parametros'!$B$2*H271))/2)/1000000</f>
        <v>132.669027352941</v>
      </c>
      <c r="AG271" s="10">
        <f>AC271*1.25*'Parametros'!$B$3*(AB271-(AC271*1.25*'Parametros'!$B$3/(0.85*'Parametros'!$B$2*H271))/2)/1000000</f>
        <v>101.467261323529</v>
      </c>
      <c r="AH271" s="10">
        <f>N271+(AF271+AG271)/D271</f>
        <v>182.732418721719</v>
      </c>
      <c r="AI271" s="10">
        <f>MIN(O271,MAX(N271,AH271))</f>
        <v>182.732418721719</v>
      </c>
      <c r="AJ271" s="10">
        <f>0.17*SQRT('Parametros'!$B$2)*H271*MIN(U271,AB271)/1000</f>
        <v>107.849951281016</v>
      </c>
      <c r="AK271" s="10">
        <f>MAX(AI271/'Parametros'!$B$6-AJ271,0)</f>
        <v>135.793273681277</v>
      </c>
      <c r="AL271" s="10">
        <f>0.66*SQRT('Parametros'!$B$2)*H271*MIN(U271,AB271)/1000</f>
        <v>418.711575561591</v>
      </c>
      <c r="AM271" s="10" t="str">
        <f>IF(AK271&lt;=AL271,"CUMPLE","NO CUMPLE")</f>
        <v>CUMPLE</v>
      </c>
      <c r="AN271" s="15" t="inlineStr">
        <is>
          <t>Nº3 cerrado</t>
        </is>
      </c>
      <c r="AO271" s="17" t="n">
        <v>2</v>
      </c>
      <c r="AP271" s="10">
        <f>ROUNDDOWN(MIN(IF(AK271=0,1000000000,AO271*'Parametros'!$B$11*'Parametros'!$B$4*MIN(U271,AB271)/(AK271*1000)),IF(AV271=0,1000000000,'Parametros'!$B$11/AV271),MIN(U271,AB271)/4,8*'Parametros'!$B$12,24*'Parametros'!$B$9,300)/10,0)*10</f>
        <v>80</v>
      </c>
      <c r="AQ271" s="10">
        <f>ROUNDDOWN(MIN(IF(AK271=0,1000000000,AO271*'Parametros'!$B$11*'Parametros'!$B$4*MIN(U271,AB271)/(AK271*1000)),IF(AV271=0,1000000000,'Parametros'!$B$11/AV271),MIN(U271,AB271)/2,600)/10,0)*10</f>
        <v>150</v>
      </c>
      <c r="AR271" s="10">
        <f>'Parametros'!$B$6*(AJ271+AO271*'Parametros'!$B$11*'Parametros'!$B$4*MIN(U271,AB271)/AP271/1000)</f>
        <v>272.415732210762</v>
      </c>
      <c r="AS271" s="10" t="str">
        <f>IF(AND(AM271="CUMPLE",AR271&gt;=AI271),"CUMPLE","NO CUMPLE")</f>
        <v>CUMPLE</v>
      </c>
      <c r="AT271" s="10">
        <f>'Parametros'!$B$6*0.083*SQRT('Parametros'!$B$2)*(H271*I271)^2/(2*(H271+I271))/1000000</f>
        <v>4.30410823283988</v>
      </c>
      <c r="AU271" s="10" t="str">
        <f>IF(Q271&lt;=AT271,"DESPRECIABLE","DISEÑAR")</f>
        <v>DESPRECIABLE</v>
      </c>
      <c r="AV271" s="10">
        <f>IF(Q271&lt;=AT271,0,Q271*1000000/('Parametros'!$B$6*2*0.85*(H271-2*'Parametros'!$B$7)*(I271-2*'Parametros'!$B$7)*'Parametros'!$B$4))</f>
        <v>0</v>
      </c>
      <c r="AW271" s="10">
        <f>AV271*2*((H271-2*'Parametros'!$B$7)+(I271-2*'Parametros'!$B$7))*'Parametros'!$B$4/'Parametros'!$B$3</f>
        <v>0</v>
      </c>
      <c r="AX271" s="17" t="n">
        <v>0</v>
      </c>
      <c r="AY271" s="10" t="str">
        <f>IF(AV271=0,"DESPRECIABLE",IF('Parametros'!$B$11/AP271&gt;=AV271,"CUMPLE","NO CUMPLE"))</f>
        <v>DESPRECIABLE</v>
      </c>
      <c r="AZ271" s="10" t="str">
        <f>IF(AND(X271="CUMPLE",AE271="CUMPLE",AS271="CUMPLE",OR(AY271="CUMPLE",AY271="DESPRECIABLE")),IF(OR(F271&lt;&gt;H271,G271&lt;&gt;I271),"CUMPLE - REANALIZAR SAP","CUMPLE"),"NO CUMPLE")</f>
        <v>CUMPLE</v>
      </c>
    </row>
    <row r="272">
      <c r="A272" s="24" t="inlineStr">
        <is>
          <t>VR1</t>
        </is>
      </c>
      <c r="B272" s="24" t="inlineStr">
        <is>
          <t>767</t>
        </is>
      </c>
      <c r="C272" s="10" t="n">
        <v>1</v>
      </c>
      <c r="D272" s="10" t="n">
        <v>3.65</v>
      </c>
      <c r="E272" s="10" t="n">
        <v>3.65</v>
      </c>
      <c r="F272" s="10" t="n">
        <v>350</v>
      </c>
      <c r="G272" s="10" t="n">
        <v>400</v>
      </c>
      <c r="H272" s="15" t="n">
        <v>350</v>
      </c>
      <c r="I272" s="15" t="n">
        <v>400</v>
      </c>
      <c r="J272" s="16" t="n">
        <v>93.9089</v>
      </c>
      <c r="K272" s="10" t="inlineStr">
        <is>
          <t>767</t>
        </is>
      </c>
      <c r="L272" s="16" t="n">
        <v>41.14</v>
      </c>
      <c r="M272" s="10" t="inlineStr">
        <is>
          <t>767</t>
        </is>
      </c>
      <c r="N272" s="16" t="n">
        <v>89.089</v>
      </c>
      <c r="O272" s="16" t="n">
        <v>219.385</v>
      </c>
      <c r="P272" s="10" t="inlineStr">
        <is>
          <t>767</t>
        </is>
      </c>
      <c r="Q272" s="16" t="n">
        <v>0.2447</v>
      </c>
      <c r="R272" s="10">
        <f>MAX(MAX(1.4/'Parametros'!$B$3,0.25*SQRT('Parametros'!$B$2)/'Parametros'!$B$3)*H272*U272,(0.85*'Parametros'!$B$2/'Parametros'!$B$3)*(1-SQRT(1-2*(J272*1000000/('Parametros'!$B$5*H272*U272^2))/(0.85*'Parametros'!$B$2)))*H272*U272)</f>
        <v>768.748353099188</v>
      </c>
      <c r="S272" s="17" t="n">
        <v>4</v>
      </c>
      <c r="T272" s="18" t="n">
        <v>1</v>
      </c>
      <c r="U272" s="10">
        <f>IF(T272=1,I272-('Parametros'!$B$7+'Parametros'!$B$9+'Parametros'!$B$12/2),I272-(ROUNDUP(S272/2,0)*('Parametros'!$B$7+'Parametros'!$B$9+'Parametros'!$B$12/2)+ROUNDDOWN(S272/2,0)*('Parametros'!$B$7+'Parametros'!$B$9+'Parametros'!$B$12/2+'Parametros'!$B$12+'Parametros'!$B$10))/S272)</f>
        <v>342.55</v>
      </c>
      <c r="V272" s="10">
        <f>S272*'Parametros'!$B$8</f>
        <v>796</v>
      </c>
      <c r="W272" s="10">
        <f>'Parametros'!$B$5*V272*'Parametros'!$B$3*(U272-(V272*'Parametros'!$B$3/(0.85*'Parametros'!$B$2*H272))/2)/1000000</f>
        <v>97.0311966352941</v>
      </c>
      <c r="X272" s="10" t="str">
        <f>IF(W272&gt;=J272,"CUMPLE","NO CUMPLE")</f>
        <v>CUMPLE</v>
      </c>
      <c r="Y272" s="10">
        <f>MAX(MAX(1.4/'Parametros'!$B$3,0.25*SQRT('Parametros'!$B$2)/'Parametros'!$B$3)*H272*AB272,(0.85*'Parametros'!$B$2/'Parametros'!$B$3)*(1-SQRT(1-2*(L272*1000000/('Parametros'!$B$5*H272*AB272^2))/(0.85*'Parametros'!$B$2)))*H272*AB272)</f>
        <v>399.641666666667</v>
      </c>
      <c r="Z272" s="17" t="n">
        <v>3</v>
      </c>
      <c r="AA272" s="18" t="n">
        <v>1</v>
      </c>
      <c r="AB272" s="10">
        <f>IF(AA272=1,I272-('Parametros'!$B$7+'Parametros'!$B$9+'Parametros'!$B$12/2),I272-(ROUNDUP(Z272/2,0)*('Parametros'!$B$7+'Parametros'!$B$9+'Parametros'!$B$12/2)+ROUNDDOWN(Z272/2,0)*('Parametros'!$B$7+'Parametros'!$B$9+'Parametros'!$B$12/2+'Parametros'!$B$12+'Parametros'!$B$10))/Z272)</f>
        <v>342.55</v>
      </c>
      <c r="AC272" s="10">
        <f>Z272*'Parametros'!$B$8</f>
        <v>597</v>
      </c>
      <c r="AD272" s="10">
        <f>'Parametros'!$B$5*AC272*'Parametros'!$B$3*(AB272-(AC272*'Parametros'!$B$3/(0.85*'Parametros'!$B$2*H272))/2)/1000000</f>
        <v>73.905520182353</v>
      </c>
      <c r="AE272" s="10" t="str">
        <f>IF(AD272&gt;=L272,"CUMPLE","NO CUMPLE")</f>
        <v>CUMPLE</v>
      </c>
      <c r="AF272" s="10">
        <f>V272*1.25*'Parametros'!$B$3*(U272-(V272*1.25*'Parametros'!$B$3/(0.85*'Parametros'!$B$2*H272))/2)/1000000</f>
        <v>132.669027352941</v>
      </c>
      <c r="AG272" s="10">
        <f>AC272*1.25*'Parametros'!$B$3*(AB272-(AC272*1.25*'Parametros'!$B$3/(0.85*'Parametros'!$B$2*H272))/2)/1000000</f>
        <v>101.467261323529</v>
      </c>
      <c r="AH272" s="10">
        <f>N272+(AF272+AG272)/D272</f>
        <v>153.235928404512</v>
      </c>
      <c r="AI272" s="10">
        <f>MIN(O272,MAX(N272,AH272))</f>
        <v>153.235928404512</v>
      </c>
      <c r="AJ272" s="10">
        <f>0.17*SQRT('Parametros'!$B$2)*H272*MIN(U272,AB272)/1000</f>
        <v>107.849951281016</v>
      </c>
      <c r="AK272" s="10">
        <f>MAX(AI272/'Parametros'!$B$6-AJ272,0)</f>
        <v>96.4646199250008</v>
      </c>
      <c r="AL272" s="10">
        <f>0.66*SQRT('Parametros'!$B$2)*H272*MIN(U272,AB272)/1000</f>
        <v>418.711575561591</v>
      </c>
      <c r="AM272" s="10" t="str">
        <f>IF(AK272&lt;=AL272,"CUMPLE","NO CUMPLE")</f>
        <v>CUMPLE</v>
      </c>
      <c r="AN272" s="15" t="inlineStr">
        <is>
          <t>Nº3 cerrado</t>
        </is>
      </c>
      <c r="AO272" s="17" t="n">
        <v>2</v>
      </c>
      <c r="AP272" s="10">
        <f>ROUNDDOWN(MIN(IF(AK272=0,1000000000,AO272*'Parametros'!$B$11*'Parametros'!$B$4*MIN(U272,AB272)/(AK272*1000)),IF(AV272=0,1000000000,'Parametros'!$B$11/AV272),MIN(U272,AB272)/4,8*'Parametros'!$B$12,24*'Parametros'!$B$9,300)/10,0)*10</f>
        <v>80</v>
      </c>
      <c r="AQ272" s="10">
        <f>ROUNDDOWN(MIN(IF(AK272=0,1000000000,AO272*'Parametros'!$B$11*'Parametros'!$B$4*MIN(U272,AB272)/(AK272*1000)),IF(AV272=0,1000000000,'Parametros'!$B$11/AV272),MIN(U272,AB272)/2,600)/10,0)*10</f>
        <v>170</v>
      </c>
      <c r="AR272" s="10">
        <f>'Parametros'!$B$6*(AJ272+AO272*'Parametros'!$B$11*'Parametros'!$B$4*MIN(U272,AB272)/AP272/1000)</f>
        <v>272.415732210762</v>
      </c>
      <c r="AS272" s="10" t="str">
        <f>IF(AND(AM272="CUMPLE",AR272&gt;=AI272),"CUMPLE","NO CUMPLE")</f>
        <v>CUMPLE</v>
      </c>
      <c r="AT272" s="10">
        <f>'Parametros'!$B$6*0.083*SQRT('Parametros'!$B$2)*(H272*I272)^2/(2*(H272+I272))/1000000</f>
        <v>4.30410823283988</v>
      </c>
      <c r="AU272" s="10" t="str">
        <f>IF(Q272&lt;=AT272,"DESPRECIABLE","DISEÑAR")</f>
        <v>DESPRECIABLE</v>
      </c>
      <c r="AV272" s="10">
        <f>IF(Q272&lt;=AT272,0,Q272*1000000/('Parametros'!$B$6*2*0.85*(H272-2*'Parametros'!$B$7)*(I272-2*'Parametros'!$B$7)*'Parametros'!$B$4))</f>
        <v>0</v>
      </c>
      <c r="AW272" s="10">
        <f>AV272*2*((H272-2*'Parametros'!$B$7)+(I272-2*'Parametros'!$B$7))*'Parametros'!$B$4/'Parametros'!$B$3</f>
        <v>0</v>
      </c>
      <c r="AX272" s="17" t="n">
        <v>0</v>
      </c>
      <c r="AY272" s="10" t="str">
        <f>IF(AV272=0,"DESPRECIABLE",IF('Parametros'!$B$11/AP272&gt;=AV272,"CUMPLE","NO CUMPLE"))</f>
        <v>DESPRECIABLE</v>
      </c>
      <c r="AZ272" s="10" t="str">
        <f>IF(AND(X272="CUMPLE",AE272="CUMPLE",AS272="CUMPLE",OR(AY272="CUMPLE",AY272="DESPRECIABLE")),IF(OR(F272&lt;&gt;H272,G272&lt;&gt;I272),"CUMPLE - REANALIZAR SAP","CUMPLE"),"NO CUMPLE")</f>
        <v>CUMPLE</v>
      </c>
    </row>
    <row r="273">
      <c r="A273" s="24" t="inlineStr">
        <is>
          <t>VR1</t>
        </is>
      </c>
      <c r="B273" s="24" t="inlineStr">
        <is>
          <t>768</t>
        </is>
      </c>
      <c r="C273" s="10" t="n">
        <v>1</v>
      </c>
      <c r="D273" s="10" t="n">
        <v>2.6</v>
      </c>
      <c r="E273" s="10" t="n">
        <v>2.6</v>
      </c>
      <c r="F273" s="10" t="n">
        <v>350</v>
      </c>
      <c r="G273" s="10" t="n">
        <v>400</v>
      </c>
      <c r="H273" s="15" t="n">
        <v>350</v>
      </c>
      <c r="I273" s="15" t="n">
        <v>400</v>
      </c>
      <c r="J273" s="16" t="n">
        <v>70.29430000000001</v>
      </c>
      <c r="K273" s="10" t="inlineStr">
        <is>
          <t>768</t>
        </is>
      </c>
      <c r="L273" s="16" t="n">
        <v>44.807</v>
      </c>
      <c r="M273" s="10" t="inlineStr">
        <is>
          <t>768</t>
        </is>
      </c>
      <c r="N273" s="16" t="n">
        <v>78.85599999999999</v>
      </c>
      <c r="O273" s="16" t="n">
        <v>231.508</v>
      </c>
      <c r="P273" s="10" t="inlineStr">
        <is>
          <t>768</t>
        </is>
      </c>
      <c r="Q273" s="16" t="n">
        <v>3.6537</v>
      </c>
      <c r="R273" s="10">
        <f>MAX(MAX(1.4/'Parametros'!$B$3,0.25*SQRT('Parametros'!$B$2)/'Parametros'!$B$3)*H273*U273,(0.85*'Parametros'!$B$2/'Parametros'!$B$3)*(1-SQRT(1-2*(J273*1000000/('Parametros'!$B$5*H273*U273^2))/(0.85*'Parametros'!$B$2)))*H273*U273)</f>
        <v>566.498912389734</v>
      </c>
      <c r="S273" s="17" t="n">
        <v>3</v>
      </c>
      <c r="T273" s="18" t="n">
        <v>1</v>
      </c>
      <c r="U273" s="10">
        <f>IF(T273=1,I273-('Parametros'!$B$7+'Parametros'!$B$9+'Parametros'!$B$12/2),I273-(ROUNDUP(S273/2,0)*('Parametros'!$B$7+'Parametros'!$B$9+'Parametros'!$B$12/2)+ROUNDDOWN(S273/2,0)*('Parametros'!$B$7+'Parametros'!$B$9+'Parametros'!$B$12/2+'Parametros'!$B$12+'Parametros'!$B$10))/S273)</f>
        <v>342.55</v>
      </c>
      <c r="V273" s="10">
        <f>S273*'Parametros'!$B$8</f>
        <v>597</v>
      </c>
      <c r="W273" s="10">
        <f>'Parametros'!$B$5*V273*'Parametros'!$B$3*(U273-(V273*'Parametros'!$B$3/(0.85*'Parametros'!$B$2*H273))/2)/1000000</f>
        <v>73.905520182353</v>
      </c>
      <c r="X273" s="10" t="str">
        <f>IF(W273&gt;=J273,"CUMPLE","NO CUMPLE")</f>
        <v>CUMPLE</v>
      </c>
      <c r="Y273" s="10">
        <f>MAX(MAX(1.4/'Parametros'!$B$3,0.25*SQRT('Parametros'!$B$2)/'Parametros'!$B$3)*H273*AB273,(0.85*'Parametros'!$B$2/'Parametros'!$B$3)*(1-SQRT(1-2*(L273*1000000/('Parametros'!$B$5*H273*AB273^2))/(0.85*'Parametros'!$B$2)))*H273*AB273)</f>
        <v>399.641666666667</v>
      </c>
      <c r="Z273" s="17" t="n">
        <v>3</v>
      </c>
      <c r="AA273" s="18" t="n">
        <v>1</v>
      </c>
      <c r="AB273" s="10">
        <f>IF(AA273=1,I273-('Parametros'!$B$7+'Parametros'!$B$9+'Parametros'!$B$12/2),I273-(ROUNDUP(Z273/2,0)*('Parametros'!$B$7+'Parametros'!$B$9+'Parametros'!$B$12/2)+ROUNDDOWN(Z273/2,0)*('Parametros'!$B$7+'Parametros'!$B$9+'Parametros'!$B$12/2+'Parametros'!$B$12+'Parametros'!$B$10))/Z273)</f>
        <v>342.55</v>
      </c>
      <c r="AC273" s="10">
        <f>Z273*'Parametros'!$B$8</f>
        <v>597</v>
      </c>
      <c r="AD273" s="10">
        <f>'Parametros'!$B$5*AC273*'Parametros'!$B$3*(AB273-(AC273*'Parametros'!$B$3/(0.85*'Parametros'!$B$2*H273))/2)/1000000</f>
        <v>73.905520182353</v>
      </c>
      <c r="AE273" s="10" t="str">
        <f>IF(AD273&gt;=L273,"CUMPLE","NO CUMPLE")</f>
        <v>CUMPLE</v>
      </c>
      <c r="AF273" s="10">
        <f>V273*1.25*'Parametros'!$B$3*(U273-(V273*1.25*'Parametros'!$B$3/(0.85*'Parametros'!$B$2*H273))/2)/1000000</f>
        <v>101.467261323529</v>
      </c>
      <c r="AG273" s="10">
        <f>AC273*1.25*'Parametros'!$B$3*(AB273-(AC273*1.25*'Parametros'!$B$3/(0.85*'Parametros'!$B$2*H273))/2)/1000000</f>
        <v>101.467261323529</v>
      </c>
      <c r="AH273" s="10">
        <f>N273+(AF273+AG273)/D273</f>
        <v>156.907739479638</v>
      </c>
      <c r="AI273" s="10">
        <f>MIN(O273,MAX(N273,AH273))</f>
        <v>156.907739479638</v>
      </c>
      <c r="AJ273" s="10">
        <f>0.17*SQRT('Parametros'!$B$2)*H273*MIN(U273,AB273)/1000</f>
        <v>107.849951281016</v>
      </c>
      <c r="AK273" s="10">
        <f>MAX(AI273/'Parametros'!$B$6-AJ273,0)</f>
        <v>101.360368025168</v>
      </c>
      <c r="AL273" s="10">
        <f>0.66*SQRT('Parametros'!$B$2)*H273*MIN(U273,AB273)/1000</f>
        <v>418.711575561591</v>
      </c>
      <c r="AM273" s="10" t="str">
        <f>IF(AK273&lt;=AL273,"CUMPLE","NO CUMPLE")</f>
        <v>CUMPLE</v>
      </c>
      <c r="AN273" s="15" t="inlineStr">
        <is>
          <t>Nº3 cerrado</t>
        </is>
      </c>
      <c r="AO273" s="17" t="n">
        <v>2</v>
      </c>
      <c r="AP273" s="10">
        <f>ROUNDDOWN(MIN(IF(AK273=0,1000000000,AO273*'Parametros'!$B$11*'Parametros'!$B$4*MIN(U273,AB273)/(AK273*1000)),IF(AV273=0,1000000000,'Parametros'!$B$11/AV273),MIN(U273,AB273)/4,8*'Parametros'!$B$12,24*'Parametros'!$B$9,300)/10,0)*10</f>
        <v>80</v>
      </c>
      <c r="AQ273" s="10">
        <f>ROUNDDOWN(MIN(IF(AK273=0,1000000000,AO273*'Parametros'!$B$11*'Parametros'!$B$4*MIN(U273,AB273)/(AK273*1000)),IF(AV273=0,1000000000,'Parametros'!$B$11/AV273),MIN(U273,AB273)/2,600)/10,0)*10</f>
        <v>170</v>
      </c>
      <c r="AR273" s="10">
        <f>'Parametros'!$B$6*(AJ273+AO273*'Parametros'!$B$11*'Parametros'!$B$4*MIN(U273,AB273)/AP273/1000)</f>
        <v>272.415732210762</v>
      </c>
      <c r="AS273" s="10" t="str">
        <f>IF(AND(AM273="CUMPLE",AR273&gt;=AI273),"CUMPLE","NO CUMPLE")</f>
        <v>CUMPLE</v>
      </c>
      <c r="AT273" s="10">
        <f>'Parametros'!$B$6*0.083*SQRT('Parametros'!$B$2)*(H273*I273)^2/(2*(H273+I273))/1000000</f>
        <v>4.30410823283988</v>
      </c>
      <c r="AU273" s="10" t="str">
        <f>IF(Q273&lt;=AT273,"DESPRECIABLE","DISEÑAR")</f>
        <v>DESPRECIABLE</v>
      </c>
      <c r="AV273" s="10">
        <f>IF(Q273&lt;=AT273,0,Q273*1000000/('Parametros'!$B$6*2*0.85*(H273-2*'Parametros'!$B$7)*(I273-2*'Parametros'!$B$7)*'Parametros'!$B$4))</f>
        <v>0</v>
      </c>
      <c r="AW273" s="10">
        <f>AV273*2*((H273-2*'Parametros'!$B$7)+(I273-2*'Parametros'!$B$7))*'Parametros'!$B$4/'Parametros'!$B$3</f>
        <v>0</v>
      </c>
      <c r="AX273" s="17" t="n">
        <v>0</v>
      </c>
      <c r="AY273" s="10" t="str">
        <f>IF(AV273=0,"DESPRECIABLE",IF('Parametros'!$B$11/AP273&gt;=AV273,"CUMPLE","NO CUMPLE"))</f>
        <v>DESPRECIABLE</v>
      </c>
      <c r="AZ273" s="10" t="str">
        <f>IF(AND(X273="CUMPLE",AE273="CUMPLE",AS273="CUMPLE",OR(AY273="CUMPLE",AY273="DESPRECIABLE")),IF(OR(F273&lt;&gt;H273,G273&lt;&gt;I273),"CUMPLE - REANALIZAR SAP","CUMPLE"),"NO CUMPLE")</f>
        <v>CUMPLE</v>
      </c>
    </row>
    <row r="274">
      <c r="A274" s="24" t="inlineStr">
        <is>
          <t>VR1</t>
        </is>
      </c>
      <c r="B274" s="24" t="inlineStr">
        <is>
          <t>803</t>
        </is>
      </c>
      <c r="C274" s="10" t="n">
        <v>1</v>
      </c>
      <c r="D274" s="10" t="n">
        <v>2.6</v>
      </c>
      <c r="E274" s="10" t="n">
        <v>2.6</v>
      </c>
      <c r="F274" s="10" t="n">
        <v>350</v>
      </c>
      <c r="G274" s="10" t="n">
        <v>400</v>
      </c>
      <c r="H274" s="15" t="n">
        <v>350</v>
      </c>
      <c r="I274" s="15" t="n">
        <v>400</v>
      </c>
      <c r="J274" s="16" t="n">
        <v>70.3653</v>
      </c>
      <c r="K274" s="10" t="inlineStr">
        <is>
          <t>803</t>
        </is>
      </c>
      <c r="L274" s="16" t="n">
        <v>44.7644</v>
      </c>
      <c r="M274" s="10" t="inlineStr">
        <is>
          <t>803</t>
        </is>
      </c>
      <c r="N274" s="16" t="n">
        <v>78.90600000000001</v>
      </c>
      <c r="O274" s="16" t="n">
        <v>231.556</v>
      </c>
      <c r="P274" s="10" t="inlineStr">
        <is>
          <t>803</t>
        </is>
      </c>
      <c r="Q274" s="16" t="n">
        <v>3.6537</v>
      </c>
      <c r="R274" s="10">
        <f>MAX(MAX(1.4/'Parametros'!$B$3,0.25*SQRT('Parametros'!$B$2)/'Parametros'!$B$3)*H274*U274,(0.85*'Parametros'!$B$2/'Parametros'!$B$3)*(1-SQRT(1-2*(J274*1000000/('Parametros'!$B$5*H274*U274^2))/(0.85*'Parametros'!$B$2)))*H274*U274)</f>
        <v>567.097152739117</v>
      </c>
      <c r="S274" s="17" t="n">
        <v>3</v>
      </c>
      <c r="T274" s="18" t="n">
        <v>1</v>
      </c>
      <c r="U274" s="10">
        <f>IF(T274=1,I274-('Parametros'!$B$7+'Parametros'!$B$9+'Parametros'!$B$12/2),I274-(ROUNDUP(S274/2,0)*('Parametros'!$B$7+'Parametros'!$B$9+'Parametros'!$B$12/2)+ROUNDDOWN(S274/2,0)*('Parametros'!$B$7+'Parametros'!$B$9+'Parametros'!$B$12/2+'Parametros'!$B$12+'Parametros'!$B$10))/S274)</f>
        <v>342.55</v>
      </c>
      <c r="V274" s="10">
        <f>S274*'Parametros'!$B$8</f>
        <v>597</v>
      </c>
      <c r="W274" s="10">
        <f>'Parametros'!$B$5*V274*'Parametros'!$B$3*(U274-(V274*'Parametros'!$B$3/(0.85*'Parametros'!$B$2*H274))/2)/1000000</f>
        <v>73.905520182353</v>
      </c>
      <c r="X274" s="10" t="str">
        <f>IF(W274&gt;=J274,"CUMPLE","NO CUMPLE")</f>
        <v>CUMPLE</v>
      </c>
      <c r="Y274" s="10">
        <f>MAX(MAX(1.4/'Parametros'!$B$3,0.25*SQRT('Parametros'!$B$2)/'Parametros'!$B$3)*H274*AB274,(0.85*'Parametros'!$B$2/'Parametros'!$B$3)*(1-SQRT(1-2*(L274*1000000/('Parametros'!$B$5*H274*AB274^2))/(0.85*'Parametros'!$B$2)))*H274*AB274)</f>
        <v>399.641666666667</v>
      </c>
      <c r="Z274" s="17" t="n">
        <v>3</v>
      </c>
      <c r="AA274" s="18" t="n">
        <v>1</v>
      </c>
      <c r="AB274" s="10">
        <f>IF(AA274=1,I274-('Parametros'!$B$7+'Parametros'!$B$9+'Parametros'!$B$12/2),I274-(ROUNDUP(Z274/2,0)*('Parametros'!$B$7+'Parametros'!$B$9+'Parametros'!$B$12/2)+ROUNDDOWN(Z274/2,0)*('Parametros'!$B$7+'Parametros'!$B$9+'Parametros'!$B$12/2+'Parametros'!$B$12+'Parametros'!$B$10))/Z274)</f>
        <v>342.55</v>
      </c>
      <c r="AC274" s="10">
        <f>Z274*'Parametros'!$B$8</f>
        <v>597</v>
      </c>
      <c r="AD274" s="10">
        <f>'Parametros'!$B$5*AC274*'Parametros'!$B$3*(AB274-(AC274*'Parametros'!$B$3/(0.85*'Parametros'!$B$2*H274))/2)/1000000</f>
        <v>73.905520182353</v>
      </c>
      <c r="AE274" s="10" t="str">
        <f>IF(AD274&gt;=L274,"CUMPLE","NO CUMPLE")</f>
        <v>CUMPLE</v>
      </c>
      <c r="AF274" s="10">
        <f>V274*1.25*'Parametros'!$B$3*(U274-(V274*1.25*'Parametros'!$B$3/(0.85*'Parametros'!$B$2*H274))/2)/1000000</f>
        <v>101.467261323529</v>
      </c>
      <c r="AG274" s="10">
        <f>AC274*1.25*'Parametros'!$B$3*(AB274-(AC274*1.25*'Parametros'!$B$3/(0.85*'Parametros'!$B$2*H274))/2)/1000000</f>
        <v>101.467261323529</v>
      </c>
      <c r="AH274" s="10">
        <f>N274+(AF274+AG274)/D274</f>
        <v>156.957739479638</v>
      </c>
      <c r="AI274" s="10">
        <f>MIN(O274,MAX(N274,AH274))</f>
        <v>156.957739479638</v>
      </c>
      <c r="AJ274" s="10">
        <f>0.17*SQRT('Parametros'!$B$2)*H274*MIN(U274,AB274)/1000</f>
        <v>107.849951281016</v>
      </c>
      <c r="AK274" s="10">
        <f>MAX(AI274/'Parametros'!$B$6-AJ274,0)</f>
        <v>101.427034691835</v>
      </c>
      <c r="AL274" s="10">
        <f>0.66*SQRT('Parametros'!$B$2)*H274*MIN(U274,AB274)/1000</f>
        <v>418.711575561591</v>
      </c>
      <c r="AM274" s="10" t="str">
        <f>IF(AK274&lt;=AL274,"CUMPLE","NO CUMPLE")</f>
        <v>CUMPLE</v>
      </c>
      <c r="AN274" s="15" t="inlineStr">
        <is>
          <t>Nº3 cerrado</t>
        </is>
      </c>
      <c r="AO274" s="17" t="n">
        <v>2</v>
      </c>
      <c r="AP274" s="10">
        <f>ROUNDDOWN(MIN(IF(AK274=0,1000000000,AO274*'Parametros'!$B$11*'Parametros'!$B$4*MIN(U274,AB274)/(AK274*1000)),IF(AV274=0,1000000000,'Parametros'!$B$11/AV274),MIN(U274,AB274)/4,8*'Parametros'!$B$12,24*'Parametros'!$B$9,300)/10,0)*10</f>
        <v>80</v>
      </c>
      <c r="AQ274" s="10">
        <f>ROUNDDOWN(MIN(IF(AK274=0,1000000000,AO274*'Parametros'!$B$11*'Parametros'!$B$4*MIN(U274,AB274)/(AK274*1000)),IF(AV274=0,1000000000,'Parametros'!$B$11/AV274),MIN(U274,AB274)/2,600)/10,0)*10</f>
        <v>170</v>
      </c>
      <c r="AR274" s="10">
        <f>'Parametros'!$B$6*(AJ274+AO274*'Parametros'!$B$11*'Parametros'!$B$4*MIN(U274,AB274)/AP274/1000)</f>
        <v>272.415732210762</v>
      </c>
      <c r="AS274" s="10" t="str">
        <f>IF(AND(AM274="CUMPLE",AR274&gt;=AI274),"CUMPLE","NO CUMPLE")</f>
        <v>CUMPLE</v>
      </c>
      <c r="AT274" s="10">
        <f>'Parametros'!$B$6*0.083*SQRT('Parametros'!$B$2)*(H274*I274)^2/(2*(H274+I274))/1000000</f>
        <v>4.30410823283988</v>
      </c>
      <c r="AU274" s="10" t="str">
        <f>IF(Q274&lt;=AT274,"DESPRECIABLE","DISEÑAR")</f>
        <v>DESPRECIABLE</v>
      </c>
      <c r="AV274" s="10">
        <f>IF(Q274&lt;=AT274,0,Q274*1000000/('Parametros'!$B$6*2*0.85*(H274-2*'Parametros'!$B$7)*(I274-2*'Parametros'!$B$7)*'Parametros'!$B$4))</f>
        <v>0</v>
      </c>
      <c r="AW274" s="10">
        <f>AV274*2*((H274-2*'Parametros'!$B$7)+(I274-2*'Parametros'!$B$7))*'Parametros'!$B$4/'Parametros'!$B$3</f>
        <v>0</v>
      </c>
      <c r="AX274" s="17" t="n">
        <v>0</v>
      </c>
      <c r="AY274" s="10" t="str">
        <f>IF(AV274=0,"DESPRECIABLE",IF('Parametros'!$B$11/AP274&gt;=AV274,"CUMPLE","NO CUMPLE"))</f>
        <v>DESPRECIABLE</v>
      </c>
      <c r="AZ274" s="10" t="str">
        <f>IF(AND(X274="CUMPLE",AE274="CUMPLE",AS274="CUMPLE",OR(AY274="CUMPLE",AY274="DESPRECIABLE")),IF(OR(F274&lt;&gt;H274,G274&lt;&gt;I274),"CUMPLE - REANALIZAR SAP","CUMPLE"),"NO CUMPLE")</f>
        <v>CUMPLE</v>
      </c>
    </row>
    <row r="275">
      <c r="A275" s="24" t="inlineStr">
        <is>
          <t>VR1</t>
        </is>
      </c>
      <c r="B275" s="24" t="inlineStr">
        <is>
          <t>804</t>
        </is>
      </c>
      <c r="C275" s="10" t="n">
        <v>1</v>
      </c>
      <c r="D275" s="10" t="n">
        <v>3.65</v>
      </c>
      <c r="E275" s="10" t="n">
        <v>3.65</v>
      </c>
      <c r="F275" s="10" t="n">
        <v>350</v>
      </c>
      <c r="G275" s="10" t="n">
        <v>400</v>
      </c>
      <c r="H275" s="15" t="n">
        <v>350</v>
      </c>
      <c r="I275" s="15" t="n">
        <v>400</v>
      </c>
      <c r="J275" s="16" t="n">
        <v>93.8262</v>
      </c>
      <c r="K275" s="10" t="inlineStr">
        <is>
          <t>804</t>
        </is>
      </c>
      <c r="L275" s="16" t="n">
        <v>41.189</v>
      </c>
      <c r="M275" s="10" t="inlineStr">
        <is>
          <t>804</t>
        </is>
      </c>
      <c r="N275" s="16" t="n">
        <v>89.044</v>
      </c>
      <c r="O275" s="16" t="n">
        <v>219.343</v>
      </c>
      <c r="P275" s="10" t="inlineStr">
        <is>
          <t>804</t>
        </is>
      </c>
      <c r="Q275" s="16" t="n">
        <v>0.2446</v>
      </c>
      <c r="R275" s="10">
        <f>MAX(MAX(1.4/'Parametros'!$B$3,0.25*SQRT('Parametros'!$B$2)/'Parametros'!$B$3)*H275*U275,(0.85*'Parametros'!$B$2/'Parametros'!$B$3)*(1-SQRT(1-2*(J275*1000000/('Parametros'!$B$5*H275*U275^2))/(0.85*'Parametros'!$B$2)))*H275*U275)</f>
        <v>768.028216497548</v>
      </c>
      <c r="S275" s="17" t="n">
        <v>4</v>
      </c>
      <c r="T275" s="18" t="n">
        <v>1</v>
      </c>
      <c r="U275" s="10">
        <f>IF(T275=1,I275-('Parametros'!$B$7+'Parametros'!$B$9+'Parametros'!$B$12/2),I275-(ROUNDUP(S275/2,0)*('Parametros'!$B$7+'Parametros'!$B$9+'Parametros'!$B$12/2)+ROUNDDOWN(S275/2,0)*('Parametros'!$B$7+'Parametros'!$B$9+'Parametros'!$B$12/2+'Parametros'!$B$12+'Parametros'!$B$10))/S275)</f>
        <v>342.55</v>
      </c>
      <c r="V275" s="10">
        <f>S275*'Parametros'!$B$8</f>
        <v>796</v>
      </c>
      <c r="W275" s="10">
        <f>'Parametros'!$B$5*V275*'Parametros'!$B$3*(U275-(V275*'Parametros'!$B$3/(0.85*'Parametros'!$B$2*H275))/2)/1000000</f>
        <v>97.0311966352941</v>
      </c>
      <c r="X275" s="10" t="str">
        <f>IF(W275&gt;=J275,"CUMPLE","NO CUMPLE")</f>
        <v>CUMPLE</v>
      </c>
      <c r="Y275" s="10">
        <f>MAX(MAX(1.4/'Parametros'!$B$3,0.25*SQRT('Parametros'!$B$2)/'Parametros'!$B$3)*H275*AB275,(0.85*'Parametros'!$B$2/'Parametros'!$B$3)*(1-SQRT(1-2*(L275*1000000/('Parametros'!$B$5*H275*AB275^2))/(0.85*'Parametros'!$B$2)))*H275*AB275)</f>
        <v>399.641666666667</v>
      </c>
      <c r="Z275" s="17" t="n">
        <v>3</v>
      </c>
      <c r="AA275" s="18" t="n">
        <v>1</v>
      </c>
      <c r="AB275" s="10">
        <f>IF(AA275=1,I275-('Parametros'!$B$7+'Parametros'!$B$9+'Parametros'!$B$12/2),I275-(ROUNDUP(Z275/2,0)*('Parametros'!$B$7+'Parametros'!$B$9+'Parametros'!$B$12/2)+ROUNDDOWN(Z275/2,0)*('Parametros'!$B$7+'Parametros'!$B$9+'Parametros'!$B$12/2+'Parametros'!$B$12+'Parametros'!$B$10))/Z275)</f>
        <v>342.55</v>
      </c>
      <c r="AC275" s="10">
        <f>Z275*'Parametros'!$B$8</f>
        <v>597</v>
      </c>
      <c r="AD275" s="10">
        <f>'Parametros'!$B$5*AC275*'Parametros'!$B$3*(AB275-(AC275*'Parametros'!$B$3/(0.85*'Parametros'!$B$2*H275))/2)/1000000</f>
        <v>73.905520182353</v>
      </c>
      <c r="AE275" s="10" t="str">
        <f>IF(AD275&gt;=L275,"CUMPLE","NO CUMPLE")</f>
        <v>CUMPLE</v>
      </c>
      <c r="AF275" s="10">
        <f>V275*1.25*'Parametros'!$B$3*(U275-(V275*1.25*'Parametros'!$B$3/(0.85*'Parametros'!$B$2*H275))/2)/1000000</f>
        <v>132.669027352941</v>
      </c>
      <c r="AG275" s="10">
        <f>AC275*1.25*'Parametros'!$B$3*(AB275-(AC275*1.25*'Parametros'!$B$3/(0.85*'Parametros'!$B$2*H275))/2)/1000000</f>
        <v>101.467261323529</v>
      </c>
      <c r="AH275" s="10">
        <f>N275+(AF275+AG275)/D275</f>
        <v>153.190928404512</v>
      </c>
      <c r="AI275" s="10">
        <f>MIN(O275,MAX(N275,AH275))</f>
        <v>153.190928404512</v>
      </c>
      <c r="AJ275" s="10">
        <f>0.17*SQRT('Parametros'!$B$2)*H275*MIN(U275,AB275)/1000</f>
        <v>107.849951281016</v>
      </c>
      <c r="AK275" s="10">
        <f>MAX(AI275/'Parametros'!$B$6-AJ275,0)</f>
        <v>96.4046199250007</v>
      </c>
      <c r="AL275" s="10">
        <f>0.66*SQRT('Parametros'!$B$2)*H275*MIN(U275,AB275)/1000</f>
        <v>418.711575561591</v>
      </c>
      <c r="AM275" s="10" t="str">
        <f>IF(AK275&lt;=AL275,"CUMPLE","NO CUMPLE")</f>
        <v>CUMPLE</v>
      </c>
      <c r="AN275" s="15" t="inlineStr">
        <is>
          <t>Nº3 cerrado</t>
        </is>
      </c>
      <c r="AO275" s="17" t="n">
        <v>2</v>
      </c>
      <c r="AP275" s="10">
        <f>ROUNDDOWN(MIN(IF(AK275=0,1000000000,AO275*'Parametros'!$B$11*'Parametros'!$B$4*MIN(U275,AB275)/(AK275*1000)),IF(AV275=0,1000000000,'Parametros'!$B$11/AV275),MIN(U275,AB275)/4,8*'Parametros'!$B$12,24*'Parametros'!$B$9,300)/10,0)*10</f>
        <v>80</v>
      </c>
      <c r="AQ275" s="10">
        <f>ROUNDDOWN(MIN(IF(AK275=0,1000000000,AO275*'Parametros'!$B$11*'Parametros'!$B$4*MIN(U275,AB275)/(AK275*1000)),IF(AV275=0,1000000000,'Parametros'!$B$11/AV275),MIN(U275,AB275)/2,600)/10,0)*10</f>
        <v>170</v>
      </c>
      <c r="AR275" s="10">
        <f>'Parametros'!$B$6*(AJ275+AO275*'Parametros'!$B$11*'Parametros'!$B$4*MIN(U275,AB275)/AP275/1000)</f>
        <v>272.415732210762</v>
      </c>
      <c r="AS275" s="10" t="str">
        <f>IF(AND(AM275="CUMPLE",AR275&gt;=AI275),"CUMPLE","NO CUMPLE")</f>
        <v>CUMPLE</v>
      </c>
      <c r="AT275" s="10">
        <f>'Parametros'!$B$6*0.083*SQRT('Parametros'!$B$2)*(H275*I275)^2/(2*(H275+I275))/1000000</f>
        <v>4.30410823283988</v>
      </c>
      <c r="AU275" s="10" t="str">
        <f>IF(Q275&lt;=AT275,"DESPRECIABLE","DISEÑAR")</f>
        <v>DESPRECIABLE</v>
      </c>
      <c r="AV275" s="10">
        <f>IF(Q275&lt;=AT275,0,Q275*1000000/('Parametros'!$B$6*2*0.85*(H275-2*'Parametros'!$B$7)*(I275-2*'Parametros'!$B$7)*'Parametros'!$B$4))</f>
        <v>0</v>
      </c>
      <c r="AW275" s="10">
        <f>AV275*2*((H275-2*'Parametros'!$B$7)+(I275-2*'Parametros'!$B$7))*'Parametros'!$B$4/'Parametros'!$B$3</f>
        <v>0</v>
      </c>
      <c r="AX275" s="17" t="n">
        <v>0</v>
      </c>
      <c r="AY275" s="10" t="str">
        <f>IF(AV275=0,"DESPRECIABLE",IF('Parametros'!$B$11/AP275&gt;=AV275,"CUMPLE","NO CUMPLE"))</f>
        <v>DESPRECIABLE</v>
      </c>
      <c r="AZ275" s="10" t="str">
        <f>IF(AND(X275="CUMPLE",AE275="CUMPLE",AS275="CUMPLE",OR(AY275="CUMPLE",AY275="DESPRECIABLE")),IF(OR(F275&lt;&gt;H275,G275&lt;&gt;I275),"CUMPLE - REANALIZAR SAP","CUMPLE"),"NO CUMPLE")</f>
        <v>CUMPLE</v>
      </c>
    </row>
    <row r="276">
      <c r="A276" s="24" t="inlineStr">
        <is>
          <t>VR1</t>
        </is>
      </c>
      <c r="B276" s="24" t="inlineStr">
        <is>
          <t>805</t>
        </is>
      </c>
      <c r="C276" s="10" t="n">
        <v>1</v>
      </c>
      <c r="D276" s="10" t="n">
        <v>2.6</v>
      </c>
      <c r="E276" s="10" t="n">
        <v>2.6</v>
      </c>
      <c r="F276" s="10" t="n">
        <v>350</v>
      </c>
      <c r="G276" s="10" t="n">
        <v>400</v>
      </c>
      <c r="H276" s="15" t="n">
        <v>350</v>
      </c>
      <c r="I276" s="15" t="n">
        <v>400</v>
      </c>
      <c r="J276" s="16" t="n">
        <v>86.3597</v>
      </c>
      <c r="K276" s="10" t="inlineStr">
        <is>
          <t>805</t>
        </is>
      </c>
      <c r="L276" s="16" t="n">
        <v>57.2804</v>
      </c>
      <c r="M276" s="10" t="inlineStr">
        <is>
          <t>805</t>
        </is>
      </c>
      <c r="N276" s="16" t="n">
        <v>92.748</v>
      </c>
      <c r="O276" s="16" t="n">
        <v>293.651</v>
      </c>
      <c r="P276" s="10" t="inlineStr">
        <is>
          <t>805</t>
        </is>
      </c>
      <c r="Q276" s="16" t="n">
        <v>0.4083</v>
      </c>
      <c r="R276" s="10">
        <f>MAX(MAX(1.4/'Parametros'!$B$3,0.25*SQRT('Parametros'!$B$2)/'Parametros'!$B$3)*H276*U276,(0.85*'Parametros'!$B$2/'Parametros'!$B$3)*(1-SQRT(1-2*(J276*1000000/('Parametros'!$B$5*H276*U276^2))/(0.85*'Parametros'!$B$2)))*H276*U276)</f>
        <v>703.362151962148</v>
      </c>
      <c r="S276" s="17" t="n">
        <v>4</v>
      </c>
      <c r="T276" s="18" t="n">
        <v>1</v>
      </c>
      <c r="U276" s="10">
        <f>IF(T276=1,I276-('Parametros'!$B$7+'Parametros'!$B$9+'Parametros'!$B$12/2),I276-(ROUNDUP(S276/2,0)*('Parametros'!$B$7+'Parametros'!$B$9+'Parametros'!$B$12/2)+ROUNDDOWN(S276/2,0)*('Parametros'!$B$7+'Parametros'!$B$9+'Parametros'!$B$12/2+'Parametros'!$B$12+'Parametros'!$B$10))/S276)</f>
        <v>342.55</v>
      </c>
      <c r="V276" s="10">
        <f>S276*'Parametros'!$B$8</f>
        <v>796</v>
      </c>
      <c r="W276" s="10">
        <f>'Parametros'!$B$5*V276*'Parametros'!$B$3*(U276-(V276*'Parametros'!$B$3/(0.85*'Parametros'!$B$2*H276))/2)/1000000</f>
        <v>97.0311966352941</v>
      </c>
      <c r="X276" s="10" t="str">
        <f>IF(W276&gt;=J276,"CUMPLE","NO CUMPLE")</f>
        <v>CUMPLE</v>
      </c>
      <c r="Y276" s="10">
        <f>MAX(MAX(1.4/'Parametros'!$B$3,0.25*SQRT('Parametros'!$B$2)/'Parametros'!$B$3)*H276*AB276,(0.85*'Parametros'!$B$2/'Parametros'!$B$3)*(1-SQRT(1-2*(L276*1000000/('Parametros'!$B$5*H276*AB276^2))/(0.85*'Parametros'!$B$2)))*H276*AB276)</f>
        <v>457.798780232424</v>
      </c>
      <c r="Z276" s="17" t="n">
        <v>3</v>
      </c>
      <c r="AA276" s="18" t="n">
        <v>1</v>
      </c>
      <c r="AB276" s="10">
        <f>IF(AA276=1,I276-('Parametros'!$B$7+'Parametros'!$B$9+'Parametros'!$B$12/2),I276-(ROUNDUP(Z276/2,0)*('Parametros'!$B$7+'Parametros'!$B$9+'Parametros'!$B$12/2)+ROUNDDOWN(Z276/2,0)*('Parametros'!$B$7+'Parametros'!$B$9+'Parametros'!$B$12/2+'Parametros'!$B$12+'Parametros'!$B$10))/Z276)</f>
        <v>342.55</v>
      </c>
      <c r="AC276" s="10">
        <f>Z276*'Parametros'!$B$8</f>
        <v>597</v>
      </c>
      <c r="AD276" s="10">
        <f>'Parametros'!$B$5*AC276*'Parametros'!$B$3*(AB276-(AC276*'Parametros'!$B$3/(0.85*'Parametros'!$B$2*H276))/2)/1000000</f>
        <v>73.905520182353</v>
      </c>
      <c r="AE276" s="10" t="str">
        <f>IF(AD276&gt;=L276,"CUMPLE","NO CUMPLE")</f>
        <v>CUMPLE</v>
      </c>
      <c r="AF276" s="10">
        <f>V276*1.25*'Parametros'!$B$3*(U276-(V276*1.25*'Parametros'!$B$3/(0.85*'Parametros'!$B$2*H276))/2)/1000000</f>
        <v>132.669027352941</v>
      </c>
      <c r="AG276" s="10">
        <f>AC276*1.25*'Parametros'!$B$3*(AB276-(AC276*1.25*'Parametros'!$B$3/(0.85*'Parametros'!$B$2*H276))/2)/1000000</f>
        <v>101.467261323529</v>
      </c>
      <c r="AH276" s="10">
        <f>N276+(AF276+AG276)/D276</f>
        <v>182.800418721719</v>
      </c>
      <c r="AI276" s="10">
        <f>MIN(O276,MAX(N276,AH276))</f>
        <v>182.800418721719</v>
      </c>
      <c r="AJ276" s="10">
        <f>0.17*SQRT('Parametros'!$B$2)*H276*MIN(U276,AB276)/1000</f>
        <v>107.849951281016</v>
      </c>
      <c r="AK276" s="10">
        <f>MAX(AI276/'Parametros'!$B$6-AJ276,0)</f>
        <v>135.883940347943</v>
      </c>
      <c r="AL276" s="10">
        <f>0.66*SQRT('Parametros'!$B$2)*H276*MIN(U276,AB276)/1000</f>
        <v>418.711575561591</v>
      </c>
      <c r="AM276" s="10" t="str">
        <f>IF(AK276&lt;=AL276,"CUMPLE","NO CUMPLE")</f>
        <v>CUMPLE</v>
      </c>
      <c r="AN276" s="15" t="inlineStr">
        <is>
          <t>Nº3 cerrado</t>
        </is>
      </c>
      <c r="AO276" s="17" t="n">
        <v>2</v>
      </c>
      <c r="AP276" s="10">
        <f>ROUNDDOWN(MIN(IF(AK276=0,1000000000,AO276*'Parametros'!$B$11*'Parametros'!$B$4*MIN(U276,AB276)/(AK276*1000)),IF(AV276=0,1000000000,'Parametros'!$B$11/AV276),MIN(U276,AB276)/4,8*'Parametros'!$B$12,24*'Parametros'!$B$9,300)/10,0)*10</f>
        <v>80</v>
      </c>
      <c r="AQ276" s="10">
        <f>ROUNDDOWN(MIN(IF(AK276=0,1000000000,AO276*'Parametros'!$B$11*'Parametros'!$B$4*MIN(U276,AB276)/(AK276*1000)),IF(AV276=0,1000000000,'Parametros'!$B$11/AV276),MIN(U276,AB276)/2,600)/10,0)*10</f>
        <v>150</v>
      </c>
      <c r="AR276" s="10">
        <f>'Parametros'!$B$6*(AJ276+AO276*'Parametros'!$B$11*'Parametros'!$B$4*MIN(U276,AB276)/AP276/1000)</f>
        <v>272.415732210762</v>
      </c>
      <c r="AS276" s="10" t="str">
        <f>IF(AND(AM276="CUMPLE",AR276&gt;=AI276),"CUMPLE","NO CUMPLE")</f>
        <v>CUMPLE</v>
      </c>
      <c r="AT276" s="10">
        <f>'Parametros'!$B$6*0.083*SQRT('Parametros'!$B$2)*(H276*I276)^2/(2*(H276+I276))/1000000</f>
        <v>4.30410823283988</v>
      </c>
      <c r="AU276" s="10" t="str">
        <f>IF(Q276&lt;=AT276,"DESPRECIABLE","DISEÑAR")</f>
        <v>DESPRECIABLE</v>
      </c>
      <c r="AV276" s="10">
        <f>IF(Q276&lt;=AT276,0,Q276*1000000/('Parametros'!$B$6*2*0.85*(H276-2*'Parametros'!$B$7)*(I276-2*'Parametros'!$B$7)*'Parametros'!$B$4))</f>
        <v>0</v>
      </c>
      <c r="AW276" s="10">
        <f>AV276*2*((H276-2*'Parametros'!$B$7)+(I276-2*'Parametros'!$B$7))*'Parametros'!$B$4/'Parametros'!$B$3</f>
        <v>0</v>
      </c>
      <c r="AX276" s="17" t="n">
        <v>0</v>
      </c>
      <c r="AY276" s="10" t="str">
        <f>IF(AV276=0,"DESPRECIABLE",IF('Parametros'!$B$11/AP276&gt;=AV276,"CUMPLE","NO CUMPLE"))</f>
        <v>DESPRECIABLE</v>
      </c>
      <c r="AZ276" s="10" t="str">
        <f>IF(AND(X276="CUMPLE",AE276="CUMPLE",AS276="CUMPLE",OR(AY276="CUMPLE",AY276="DESPRECIABLE")),IF(OR(F276&lt;&gt;H276,G276&lt;&gt;I276),"CUMPLE - REANALIZAR SAP","CUMPLE"),"NO CUMPLE")</f>
        <v>CUMPLE</v>
      </c>
    </row>
    <row r="277">
      <c r="A277" s="24" t="inlineStr">
        <is>
          <t>VR1</t>
        </is>
      </c>
      <c r="B277" s="24" t="inlineStr">
        <is>
          <t>806</t>
        </is>
      </c>
      <c r="C277" s="10" t="n">
        <v>1</v>
      </c>
      <c r="D277" s="10" t="n">
        <v>2.5</v>
      </c>
      <c r="E277" s="10" t="n">
        <v>2.5</v>
      </c>
      <c r="F277" s="10" t="n">
        <v>350</v>
      </c>
      <c r="G277" s="10" t="n">
        <v>400</v>
      </c>
      <c r="H277" s="15" t="n">
        <v>350</v>
      </c>
      <c r="I277" s="15" t="n">
        <v>400</v>
      </c>
      <c r="J277" s="16" t="n">
        <v>91.2409</v>
      </c>
      <c r="K277" s="10" t="inlineStr">
        <is>
          <t>806</t>
        </is>
      </c>
      <c r="L277" s="16" t="n">
        <v>63.7464</v>
      </c>
      <c r="M277" s="10" t="inlineStr">
        <is>
          <t>806</t>
        </is>
      </c>
      <c r="N277" s="16" t="n">
        <v>98.221</v>
      </c>
      <c r="O277" s="16" t="n">
        <v>321.566</v>
      </c>
      <c r="P277" s="10" t="inlineStr">
        <is>
          <t>806</t>
        </is>
      </c>
      <c r="Q277" s="16" t="n">
        <v>0.4359</v>
      </c>
      <c r="R277" s="10">
        <f>MAX(MAX(1.4/'Parametros'!$B$3,0.25*SQRT('Parametros'!$B$2)/'Parametros'!$B$3)*H277*U277,(0.85*'Parametros'!$B$2/'Parametros'!$B$3)*(1-SQRT(1-2*(J277*1000000/('Parametros'!$B$5*H277*U277^2))/(0.85*'Parametros'!$B$2)))*H277*U277)</f>
        <v>745.559129124213</v>
      </c>
      <c r="S277" s="17" t="n">
        <v>4</v>
      </c>
      <c r="T277" s="18" t="n">
        <v>1</v>
      </c>
      <c r="U277" s="10">
        <f>IF(T277=1,I277-('Parametros'!$B$7+'Parametros'!$B$9+'Parametros'!$B$12/2),I277-(ROUNDUP(S277/2,0)*('Parametros'!$B$7+'Parametros'!$B$9+'Parametros'!$B$12/2)+ROUNDDOWN(S277/2,0)*('Parametros'!$B$7+'Parametros'!$B$9+'Parametros'!$B$12/2+'Parametros'!$B$12+'Parametros'!$B$10))/S277)</f>
        <v>342.55</v>
      </c>
      <c r="V277" s="10">
        <f>S277*'Parametros'!$B$8</f>
        <v>796</v>
      </c>
      <c r="W277" s="10">
        <f>'Parametros'!$B$5*V277*'Parametros'!$B$3*(U277-(V277*'Parametros'!$B$3/(0.85*'Parametros'!$B$2*H277))/2)/1000000</f>
        <v>97.0311966352941</v>
      </c>
      <c r="X277" s="10" t="str">
        <f>IF(W277&gt;=J277,"CUMPLE","NO CUMPLE")</f>
        <v>CUMPLE</v>
      </c>
      <c r="Y277" s="10">
        <f>MAX(MAX(1.4/'Parametros'!$B$3,0.25*SQRT('Parametros'!$B$2)/'Parametros'!$B$3)*H277*AB277,(0.85*'Parametros'!$B$2/'Parametros'!$B$3)*(1-SQRT(1-2*(L277*1000000/('Parametros'!$B$5*H277*AB277^2))/(0.85*'Parametros'!$B$2)))*H277*AB277)</f>
        <v>511.571713515905</v>
      </c>
      <c r="Z277" s="17" t="n">
        <v>3</v>
      </c>
      <c r="AA277" s="18" t="n">
        <v>1</v>
      </c>
      <c r="AB277" s="10">
        <f>IF(AA277=1,I277-('Parametros'!$B$7+'Parametros'!$B$9+'Parametros'!$B$12/2),I277-(ROUNDUP(Z277/2,0)*('Parametros'!$B$7+'Parametros'!$B$9+'Parametros'!$B$12/2)+ROUNDDOWN(Z277/2,0)*('Parametros'!$B$7+'Parametros'!$B$9+'Parametros'!$B$12/2+'Parametros'!$B$12+'Parametros'!$B$10))/Z277)</f>
        <v>342.55</v>
      </c>
      <c r="AC277" s="10">
        <f>Z277*'Parametros'!$B$8</f>
        <v>597</v>
      </c>
      <c r="AD277" s="10">
        <f>'Parametros'!$B$5*AC277*'Parametros'!$B$3*(AB277-(AC277*'Parametros'!$B$3/(0.85*'Parametros'!$B$2*H277))/2)/1000000</f>
        <v>73.905520182353</v>
      </c>
      <c r="AE277" s="10" t="str">
        <f>IF(AD277&gt;=L277,"CUMPLE","NO CUMPLE")</f>
        <v>CUMPLE</v>
      </c>
      <c r="AF277" s="10">
        <f>V277*1.25*'Parametros'!$B$3*(U277-(V277*1.25*'Parametros'!$B$3/(0.85*'Parametros'!$B$2*H277))/2)/1000000</f>
        <v>132.669027352941</v>
      </c>
      <c r="AG277" s="10">
        <f>AC277*1.25*'Parametros'!$B$3*(AB277-(AC277*1.25*'Parametros'!$B$3/(0.85*'Parametros'!$B$2*H277))/2)/1000000</f>
        <v>101.467261323529</v>
      </c>
      <c r="AH277" s="10">
        <f>N277+(AF277+AG277)/D277</f>
        <v>191.875515470588</v>
      </c>
      <c r="AI277" s="10">
        <f>MIN(O277,MAX(N277,AH277))</f>
        <v>191.875515470588</v>
      </c>
      <c r="AJ277" s="10">
        <f>0.17*SQRT('Parametros'!$B$2)*H277*MIN(U277,AB277)/1000</f>
        <v>107.849951281016</v>
      </c>
      <c r="AK277" s="10">
        <f>MAX(AI277/'Parametros'!$B$6-AJ277,0)</f>
        <v>147.984069346435</v>
      </c>
      <c r="AL277" s="10">
        <f>0.66*SQRT('Parametros'!$B$2)*H277*MIN(U277,AB277)/1000</f>
        <v>418.711575561591</v>
      </c>
      <c r="AM277" s="10" t="str">
        <f>IF(AK277&lt;=AL277,"CUMPLE","NO CUMPLE")</f>
        <v>CUMPLE</v>
      </c>
      <c r="AN277" s="15" t="inlineStr">
        <is>
          <t>Nº3 cerrado</t>
        </is>
      </c>
      <c r="AO277" s="17" t="n">
        <v>2</v>
      </c>
      <c r="AP277" s="10">
        <f>ROUNDDOWN(MIN(IF(AK277=0,1000000000,AO277*'Parametros'!$B$11*'Parametros'!$B$4*MIN(U277,AB277)/(AK277*1000)),IF(AV277=0,1000000000,'Parametros'!$B$11/AV277),MIN(U277,AB277)/4,8*'Parametros'!$B$12,24*'Parametros'!$B$9,300)/10,0)*10</f>
        <v>80</v>
      </c>
      <c r="AQ277" s="10">
        <f>ROUNDDOWN(MIN(IF(AK277=0,1000000000,AO277*'Parametros'!$B$11*'Parametros'!$B$4*MIN(U277,AB277)/(AK277*1000)),IF(AV277=0,1000000000,'Parametros'!$B$11/AV277),MIN(U277,AB277)/2,600)/10,0)*10</f>
        <v>130</v>
      </c>
      <c r="AR277" s="10">
        <f>'Parametros'!$B$6*(AJ277+AO277*'Parametros'!$B$11*'Parametros'!$B$4*MIN(U277,AB277)/AP277/1000)</f>
        <v>272.415732210762</v>
      </c>
      <c r="AS277" s="10" t="str">
        <f>IF(AND(AM277="CUMPLE",AR277&gt;=AI277),"CUMPLE","NO CUMPLE")</f>
        <v>CUMPLE</v>
      </c>
      <c r="AT277" s="10">
        <f>'Parametros'!$B$6*0.083*SQRT('Parametros'!$B$2)*(H277*I277)^2/(2*(H277+I277))/1000000</f>
        <v>4.30410823283988</v>
      </c>
      <c r="AU277" s="10" t="str">
        <f>IF(Q277&lt;=AT277,"DESPRECIABLE","DISEÑAR")</f>
        <v>DESPRECIABLE</v>
      </c>
      <c r="AV277" s="10">
        <f>IF(Q277&lt;=AT277,0,Q277*1000000/('Parametros'!$B$6*2*0.85*(H277-2*'Parametros'!$B$7)*(I277-2*'Parametros'!$B$7)*'Parametros'!$B$4))</f>
        <v>0</v>
      </c>
      <c r="AW277" s="10">
        <f>AV277*2*((H277-2*'Parametros'!$B$7)+(I277-2*'Parametros'!$B$7))*'Parametros'!$B$4/'Parametros'!$B$3</f>
        <v>0</v>
      </c>
      <c r="AX277" s="17" t="n">
        <v>0</v>
      </c>
      <c r="AY277" s="10" t="str">
        <f>IF(AV277=0,"DESPRECIABLE",IF('Parametros'!$B$11/AP277&gt;=AV277,"CUMPLE","NO CUMPLE"))</f>
        <v>DESPRECIABLE</v>
      </c>
      <c r="AZ277" s="10" t="str">
        <f>IF(AND(X277="CUMPLE",AE277="CUMPLE",AS277="CUMPLE",OR(AY277="CUMPLE",AY277="DESPRECIABLE")),IF(OR(F277&lt;&gt;H277,G277&lt;&gt;I277),"CUMPLE - REANALIZAR SAP","CUMPLE"),"NO CUMPLE")</f>
        <v>CUMPLE</v>
      </c>
    </row>
    <row r="278">
      <c r="A278" s="24" t="inlineStr">
        <is>
          <t>VR1</t>
        </is>
      </c>
      <c r="B278" s="24" t="inlineStr">
        <is>
          <t>807</t>
        </is>
      </c>
      <c r="C278" s="10" t="n">
        <v>1</v>
      </c>
      <c r="D278" s="10" t="n">
        <v>4</v>
      </c>
      <c r="E278" s="10" t="n">
        <v>4</v>
      </c>
      <c r="F278" s="10" t="n">
        <v>350</v>
      </c>
      <c r="G278" s="10" t="n">
        <v>400</v>
      </c>
      <c r="H278" s="15" t="n">
        <v>350</v>
      </c>
      <c r="I278" s="15" t="n">
        <v>400</v>
      </c>
      <c r="J278" s="16" t="n">
        <v>97.5515</v>
      </c>
      <c r="K278" s="10" t="inlineStr">
        <is>
          <t>807</t>
        </is>
      </c>
      <c r="L278" s="16" t="n">
        <v>36.1791</v>
      </c>
      <c r="M278" s="10" t="inlineStr">
        <is>
          <t>807</t>
        </is>
      </c>
      <c r="N278" s="16" t="n">
        <v>90.673</v>
      </c>
      <c r="O278" s="16" t="n">
        <v>183.593</v>
      </c>
      <c r="P278" s="10" t="inlineStr">
        <is>
          <t>807</t>
        </is>
      </c>
      <c r="Q278" s="16" t="n">
        <v>2.8437</v>
      </c>
      <c r="R278" s="10">
        <f>MAX(MAX(1.4/'Parametros'!$B$3,0.25*SQRT('Parametros'!$B$2)/'Parametros'!$B$3)*H278*U278,(0.85*'Parametros'!$B$2/'Parametros'!$B$3)*(1-SQRT(1-2*(J278*1000000/('Parametros'!$B$5*H278*U278^2))/(0.85*'Parametros'!$B$2)))*H278*U278)</f>
        <v>800.55329301852</v>
      </c>
      <c r="S278" s="17" t="n">
        <v>5</v>
      </c>
      <c r="T278" s="18" t="n">
        <v>1</v>
      </c>
      <c r="U278" s="10">
        <f>IF(T278=1,I278-('Parametros'!$B$7+'Parametros'!$B$9+'Parametros'!$B$12/2),I278-(ROUNDUP(S278/2,0)*('Parametros'!$B$7+'Parametros'!$B$9+'Parametros'!$B$12/2)+ROUNDDOWN(S278/2,0)*('Parametros'!$B$7+'Parametros'!$B$9+'Parametros'!$B$12/2+'Parametros'!$B$12+'Parametros'!$B$10))/S278)</f>
        <v>342.55</v>
      </c>
      <c r="V278" s="10">
        <f>S278*'Parametros'!$B$8</f>
        <v>995</v>
      </c>
      <c r="W278" s="10">
        <f>'Parametros'!$B$5*V278*'Parametros'!$B$3*(U278-(V278*'Parametros'!$B$3/(0.85*'Parametros'!$B$2*H278))/2)/1000000</f>
        <v>119.402124617647</v>
      </c>
      <c r="X278" s="10" t="str">
        <f>IF(W278&gt;=J278,"CUMPLE","NO CUMPLE")</f>
        <v>CUMPLE</v>
      </c>
      <c r="Y278" s="10">
        <f>MAX(MAX(1.4/'Parametros'!$B$3,0.25*SQRT('Parametros'!$B$2)/'Parametros'!$B$3)*H278*AB278,(0.85*'Parametros'!$B$2/'Parametros'!$B$3)*(1-SQRT(1-2*(L278*1000000/('Parametros'!$B$5*H278*AB278^2))/(0.85*'Parametros'!$B$2)))*H278*AB278)</f>
        <v>399.641666666667</v>
      </c>
      <c r="Z278" s="17" t="n">
        <v>3</v>
      </c>
      <c r="AA278" s="18" t="n">
        <v>1</v>
      </c>
      <c r="AB278" s="10">
        <f>IF(AA278=1,I278-('Parametros'!$B$7+'Parametros'!$B$9+'Parametros'!$B$12/2),I278-(ROUNDUP(Z278/2,0)*('Parametros'!$B$7+'Parametros'!$B$9+'Parametros'!$B$12/2)+ROUNDDOWN(Z278/2,0)*('Parametros'!$B$7+'Parametros'!$B$9+'Parametros'!$B$12/2+'Parametros'!$B$12+'Parametros'!$B$10))/Z278)</f>
        <v>342.55</v>
      </c>
      <c r="AC278" s="10">
        <f>Z278*'Parametros'!$B$8</f>
        <v>597</v>
      </c>
      <c r="AD278" s="10">
        <f>'Parametros'!$B$5*AC278*'Parametros'!$B$3*(AB278-(AC278*'Parametros'!$B$3/(0.85*'Parametros'!$B$2*H278))/2)/1000000</f>
        <v>73.905520182353</v>
      </c>
      <c r="AE278" s="10" t="str">
        <f>IF(AD278&gt;=L278,"CUMPLE","NO CUMPLE")</f>
        <v>CUMPLE</v>
      </c>
      <c r="AF278" s="10">
        <f>V278*1.25*'Parametros'!$B$3*(U278-(V278*1.25*'Parametros'!$B$3/(0.85*'Parametros'!$B$2*H278))/2)/1000000</f>
        <v>162.560466176471</v>
      </c>
      <c r="AG278" s="10">
        <f>AC278*1.25*'Parametros'!$B$3*(AB278-(AC278*1.25*'Parametros'!$B$3/(0.85*'Parametros'!$B$2*H278))/2)/1000000</f>
        <v>101.467261323529</v>
      </c>
      <c r="AH278" s="10">
        <f>N278+(AF278+AG278)/D278</f>
        <v>156.679931875</v>
      </c>
      <c r="AI278" s="10">
        <f>MIN(O278,MAX(N278,AH278))</f>
        <v>156.679931875</v>
      </c>
      <c r="AJ278" s="10">
        <f>0.17*SQRT('Parametros'!$B$2)*H278*MIN(U278,AB278)/1000</f>
        <v>107.849951281016</v>
      </c>
      <c r="AK278" s="10">
        <f>MAX(AI278/'Parametros'!$B$6-AJ278,0)</f>
        <v>101.056624552317</v>
      </c>
      <c r="AL278" s="10">
        <f>0.66*SQRT('Parametros'!$B$2)*H278*MIN(U278,AB278)/1000</f>
        <v>418.711575561591</v>
      </c>
      <c r="AM278" s="10" t="str">
        <f>IF(AK278&lt;=AL278,"CUMPLE","NO CUMPLE")</f>
        <v>CUMPLE</v>
      </c>
      <c r="AN278" s="15" t="inlineStr">
        <is>
          <t>Nº3 cerrado</t>
        </is>
      </c>
      <c r="AO278" s="17" t="n">
        <v>2</v>
      </c>
      <c r="AP278" s="10">
        <f>ROUNDDOWN(MIN(IF(AK278=0,1000000000,AO278*'Parametros'!$B$11*'Parametros'!$B$4*MIN(U278,AB278)/(AK278*1000)),IF(AV278=0,1000000000,'Parametros'!$B$11/AV278),MIN(U278,AB278)/4,8*'Parametros'!$B$12,24*'Parametros'!$B$9,300)/10,0)*10</f>
        <v>80</v>
      </c>
      <c r="AQ278" s="10">
        <f>ROUNDDOWN(MIN(IF(AK278=0,1000000000,AO278*'Parametros'!$B$11*'Parametros'!$B$4*MIN(U278,AB278)/(AK278*1000)),IF(AV278=0,1000000000,'Parametros'!$B$11/AV278),MIN(U278,AB278)/2,600)/10,0)*10</f>
        <v>170</v>
      </c>
      <c r="AR278" s="10">
        <f>'Parametros'!$B$6*(AJ278+AO278*'Parametros'!$B$11*'Parametros'!$B$4*MIN(U278,AB278)/AP278/1000)</f>
        <v>272.415732210762</v>
      </c>
      <c r="AS278" s="10" t="str">
        <f>IF(AND(AM278="CUMPLE",AR278&gt;=AI278),"CUMPLE","NO CUMPLE")</f>
        <v>CUMPLE</v>
      </c>
      <c r="AT278" s="10">
        <f>'Parametros'!$B$6*0.083*SQRT('Parametros'!$B$2)*(H278*I278)^2/(2*(H278+I278))/1000000</f>
        <v>4.30410823283988</v>
      </c>
      <c r="AU278" s="10" t="str">
        <f>IF(Q278&lt;=AT278,"DESPRECIABLE","DISEÑAR")</f>
        <v>DESPRECIABLE</v>
      </c>
      <c r="AV278" s="10">
        <f>IF(Q278&lt;=AT278,0,Q278*1000000/('Parametros'!$B$6*2*0.85*(H278-2*'Parametros'!$B$7)*(I278-2*'Parametros'!$B$7)*'Parametros'!$B$4))</f>
        <v>0</v>
      </c>
      <c r="AW278" s="10">
        <f>AV278*2*((H278-2*'Parametros'!$B$7)+(I278-2*'Parametros'!$B$7))*'Parametros'!$B$4/'Parametros'!$B$3</f>
        <v>0</v>
      </c>
      <c r="AX278" s="17" t="n">
        <v>0</v>
      </c>
      <c r="AY278" s="10" t="str">
        <f>IF(AV278=0,"DESPRECIABLE",IF('Parametros'!$B$11/AP278&gt;=AV278,"CUMPLE","NO CUMPLE"))</f>
        <v>DESPRECIABLE</v>
      </c>
      <c r="AZ278" s="10" t="str">
        <f>IF(AND(X278="CUMPLE",AE278="CUMPLE",AS278="CUMPLE",OR(AY278="CUMPLE",AY278="DESPRECIABLE")),IF(OR(F278&lt;&gt;H278,G278&lt;&gt;I278),"CUMPLE - REANALIZAR SAP","CUMPLE"),"NO CUMPLE")</f>
        <v>CUMPLE</v>
      </c>
    </row>
    <row r="279">
      <c r="A279" s="24" t="inlineStr">
        <is>
          <t>VR1</t>
        </is>
      </c>
      <c r="B279" s="24" t="inlineStr">
        <is>
          <t>808</t>
        </is>
      </c>
      <c r="C279" s="10" t="n">
        <v>1</v>
      </c>
      <c r="D279" s="10" t="n">
        <v>4</v>
      </c>
      <c r="E279" s="10" t="n">
        <v>4</v>
      </c>
      <c r="F279" s="10" t="n">
        <v>350</v>
      </c>
      <c r="G279" s="10" t="n">
        <v>400</v>
      </c>
      <c r="H279" s="15" t="n">
        <v>350</v>
      </c>
      <c r="I279" s="15" t="n">
        <v>400</v>
      </c>
      <c r="J279" s="16" t="n">
        <v>97.62220000000001</v>
      </c>
      <c r="K279" s="10" t="inlineStr">
        <is>
          <t>808</t>
        </is>
      </c>
      <c r="L279" s="16" t="n">
        <v>36.2133</v>
      </c>
      <c r="M279" s="10" t="inlineStr">
        <is>
          <t>808</t>
        </is>
      </c>
      <c r="N279" s="16" t="n">
        <v>90.708</v>
      </c>
      <c r="O279" s="16" t="n">
        <v>183.659</v>
      </c>
      <c r="P279" s="10" t="inlineStr">
        <is>
          <t>808</t>
        </is>
      </c>
      <c r="Q279" s="16" t="n">
        <v>2.8635</v>
      </c>
      <c r="R279" s="10">
        <f>MAX(MAX(1.4/'Parametros'!$B$3,0.25*SQRT('Parametros'!$B$2)/'Parametros'!$B$3)*H279*U279,(0.85*'Parametros'!$B$2/'Parametros'!$B$3)*(1-SQRT(1-2*(J279*1000000/('Parametros'!$B$5*H279*U279^2))/(0.85*'Parametros'!$B$2)))*H279*U279)</f>
        <v>801.172271778102</v>
      </c>
      <c r="S279" s="17" t="n">
        <v>5</v>
      </c>
      <c r="T279" s="18" t="n">
        <v>1</v>
      </c>
      <c r="U279" s="10">
        <f>IF(T279=1,I279-('Parametros'!$B$7+'Parametros'!$B$9+'Parametros'!$B$12/2),I279-(ROUNDUP(S279/2,0)*('Parametros'!$B$7+'Parametros'!$B$9+'Parametros'!$B$12/2)+ROUNDDOWN(S279/2,0)*('Parametros'!$B$7+'Parametros'!$B$9+'Parametros'!$B$12/2+'Parametros'!$B$12+'Parametros'!$B$10))/S279)</f>
        <v>342.55</v>
      </c>
      <c r="V279" s="10">
        <f>S279*'Parametros'!$B$8</f>
        <v>995</v>
      </c>
      <c r="W279" s="10">
        <f>'Parametros'!$B$5*V279*'Parametros'!$B$3*(U279-(V279*'Parametros'!$B$3/(0.85*'Parametros'!$B$2*H279))/2)/1000000</f>
        <v>119.402124617647</v>
      </c>
      <c r="X279" s="10" t="str">
        <f>IF(W279&gt;=J279,"CUMPLE","NO CUMPLE")</f>
        <v>CUMPLE</v>
      </c>
      <c r="Y279" s="10">
        <f>MAX(MAX(1.4/'Parametros'!$B$3,0.25*SQRT('Parametros'!$B$2)/'Parametros'!$B$3)*H279*AB279,(0.85*'Parametros'!$B$2/'Parametros'!$B$3)*(1-SQRT(1-2*(L279*1000000/('Parametros'!$B$5*H279*AB279^2))/(0.85*'Parametros'!$B$2)))*H279*AB279)</f>
        <v>399.641666666667</v>
      </c>
      <c r="Z279" s="17" t="n">
        <v>3</v>
      </c>
      <c r="AA279" s="18" t="n">
        <v>1</v>
      </c>
      <c r="AB279" s="10">
        <f>IF(AA279=1,I279-('Parametros'!$B$7+'Parametros'!$B$9+'Parametros'!$B$12/2),I279-(ROUNDUP(Z279/2,0)*('Parametros'!$B$7+'Parametros'!$B$9+'Parametros'!$B$12/2)+ROUNDDOWN(Z279/2,0)*('Parametros'!$B$7+'Parametros'!$B$9+'Parametros'!$B$12/2+'Parametros'!$B$12+'Parametros'!$B$10))/Z279)</f>
        <v>342.55</v>
      </c>
      <c r="AC279" s="10">
        <f>Z279*'Parametros'!$B$8</f>
        <v>597</v>
      </c>
      <c r="AD279" s="10">
        <f>'Parametros'!$B$5*AC279*'Parametros'!$B$3*(AB279-(AC279*'Parametros'!$B$3/(0.85*'Parametros'!$B$2*H279))/2)/1000000</f>
        <v>73.905520182353</v>
      </c>
      <c r="AE279" s="10" t="str">
        <f>IF(AD279&gt;=L279,"CUMPLE","NO CUMPLE")</f>
        <v>CUMPLE</v>
      </c>
      <c r="AF279" s="10">
        <f>V279*1.25*'Parametros'!$B$3*(U279-(V279*1.25*'Parametros'!$B$3/(0.85*'Parametros'!$B$2*H279))/2)/1000000</f>
        <v>162.560466176471</v>
      </c>
      <c r="AG279" s="10">
        <f>AC279*1.25*'Parametros'!$B$3*(AB279-(AC279*1.25*'Parametros'!$B$3/(0.85*'Parametros'!$B$2*H279))/2)/1000000</f>
        <v>101.467261323529</v>
      </c>
      <c r="AH279" s="10">
        <f>N279+(AF279+AG279)/D279</f>
        <v>156.714931875</v>
      </c>
      <c r="AI279" s="10">
        <f>MIN(O279,MAX(N279,AH279))</f>
        <v>156.714931875</v>
      </c>
      <c r="AJ279" s="10">
        <f>0.17*SQRT('Parametros'!$B$2)*H279*MIN(U279,AB279)/1000</f>
        <v>107.849951281016</v>
      </c>
      <c r="AK279" s="10">
        <f>MAX(AI279/'Parametros'!$B$6-AJ279,0)</f>
        <v>101.103291218984</v>
      </c>
      <c r="AL279" s="10">
        <f>0.66*SQRT('Parametros'!$B$2)*H279*MIN(U279,AB279)/1000</f>
        <v>418.711575561591</v>
      </c>
      <c r="AM279" s="10" t="str">
        <f>IF(AK279&lt;=AL279,"CUMPLE","NO CUMPLE")</f>
        <v>CUMPLE</v>
      </c>
      <c r="AN279" s="15" t="inlineStr">
        <is>
          <t>Nº3 cerrado</t>
        </is>
      </c>
      <c r="AO279" s="17" t="n">
        <v>2</v>
      </c>
      <c r="AP279" s="10">
        <f>ROUNDDOWN(MIN(IF(AK279=0,1000000000,AO279*'Parametros'!$B$11*'Parametros'!$B$4*MIN(U279,AB279)/(AK279*1000)),IF(AV279=0,1000000000,'Parametros'!$B$11/AV279),MIN(U279,AB279)/4,8*'Parametros'!$B$12,24*'Parametros'!$B$9,300)/10,0)*10</f>
        <v>80</v>
      </c>
      <c r="AQ279" s="10">
        <f>ROUNDDOWN(MIN(IF(AK279=0,1000000000,AO279*'Parametros'!$B$11*'Parametros'!$B$4*MIN(U279,AB279)/(AK279*1000)),IF(AV279=0,1000000000,'Parametros'!$B$11/AV279),MIN(U279,AB279)/2,600)/10,0)*10</f>
        <v>170</v>
      </c>
      <c r="AR279" s="10">
        <f>'Parametros'!$B$6*(AJ279+AO279*'Parametros'!$B$11*'Parametros'!$B$4*MIN(U279,AB279)/AP279/1000)</f>
        <v>272.415732210762</v>
      </c>
      <c r="AS279" s="10" t="str">
        <f>IF(AND(AM279="CUMPLE",AR279&gt;=AI279),"CUMPLE","NO CUMPLE")</f>
        <v>CUMPLE</v>
      </c>
      <c r="AT279" s="10">
        <f>'Parametros'!$B$6*0.083*SQRT('Parametros'!$B$2)*(H279*I279)^2/(2*(H279+I279))/1000000</f>
        <v>4.30410823283988</v>
      </c>
      <c r="AU279" s="10" t="str">
        <f>IF(Q279&lt;=AT279,"DESPRECIABLE","DISEÑAR")</f>
        <v>DESPRECIABLE</v>
      </c>
      <c r="AV279" s="10">
        <f>IF(Q279&lt;=AT279,0,Q279*1000000/('Parametros'!$B$6*2*0.85*(H279-2*'Parametros'!$B$7)*(I279-2*'Parametros'!$B$7)*'Parametros'!$B$4))</f>
        <v>0</v>
      </c>
      <c r="AW279" s="10">
        <f>AV279*2*((H279-2*'Parametros'!$B$7)+(I279-2*'Parametros'!$B$7))*'Parametros'!$B$4/'Parametros'!$B$3</f>
        <v>0</v>
      </c>
      <c r="AX279" s="17" t="n">
        <v>0</v>
      </c>
      <c r="AY279" s="10" t="str">
        <f>IF(AV279=0,"DESPRECIABLE",IF('Parametros'!$B$11/AP279&gt;=AV279,"CUMPLE","NO CUMPLE"))</f>
        <v>DESPRECIABLE</v>
      </c>
      <c r="AZ279" s="10" t="str">
        <f>IF(AND(X279="CUMPLE",AE279="CUMPLE",AS279="CUMPLE",OR(AY279="CUMPLE",AY279="DESPRECIABLE")),IF(OR(F279&lt;&gt;H279,G279&lt;&gt;I279),"CUMPLE - REANALIZAR SAP","CUMPLE"),"NO CUMPLE")</f>
        <v>CUMPLE</v>
      </c>
    </row>
    <row r="280">
      <c r="A280" s="24" t="inlineStr">
        <is>
          <t>VR1</t>
        </is>
      </c>
      <c r="B280" s="24" t="inlineStr">
        <is>
          <t>809</t>
        </is>
      </c>
      <c r="C280" s="10" t="n">
        <v>1</v>
      </c>
      <c r="D280" s="10" t="n">
        <v>2.5</v>
      </c>
      <c r="E280" s="10" t="n">
        <v>2.5</v>
      </c>
      <c r="F280" s="10" t="n">
        <v>350</v>
      </c>
      <c r="G280" s="10" t="n">
        <v>400</v>
      </c>
      <c r="H280" s="15" t="n">
        <v>350</v>
      </c>
      <c r="I280" s="15" t="n">
        <v>400</v>
      </c>
      <c r="J280" s="16" t="n">
        <v>91.3533</v>
      </c>
      <c r="K280" s="10" t="inlineStr">
        <is>
          <t>809</t>
        </is>
      </c>
      <c r="L280" s="16" t="n">
        <v>63.8154</v>
      </c>
      <c r="M280" s="10" t="inlineStr">
        <is>
          <t>809</t>
        </is>
      </c>
      <c r="N280" s="16" t="n">
        <v>98.315</v>
      </c>
      <c r="O280" s="16" t="n">
        <v>321.664</v>
      </c>
      <c r="P280" s="10" t="inlineStr">
        <is>
          <t>809</t>
        </is>
      </c>
      <c r="Q280" s="16" t="n">
        <v>0.4374</v>
      </c>
      <c r="R280" s="10">
        <f>MAX(MAX(1.4/'Parametros'!$B$3,0.25*SQRT('Parametros'!$B$2)/'Parametros'!$B$3)*H280*U280,(0.85*'Parametros'!$B$2/'Parametros'!$B$3)*(1-SQRT(1-2*(J280*1000000/('Parametros'!$B$5*H280*U280^2))/(0.85*'Parametros'!$B$2)))*H280*U280)</f>
        <v>746.534272277683</v>
      </c>
      <c r="S280" s="17" t="n">
        <v>4</v>
      </c>
      <c r="T280" s="18" t="n">
        <v>1</v>
      </c>
      <c r="U280" s="10">
        <f>IF(T280=1,I280-('Parametros'!$B$7+'Parametros'!$B$9+'Parametros'!$B$12/2),I280-(ROUNDUP(S280/2,0)*('Parametros'!$B$7+'Parametros'!$B$9+'Parametros'!$B$12/2)+ROUNDDOWN(S280/2,0)*('Parametros'!$B$7+'Parametros'!$B$9+'Parametros'!$B$12/2+'Parametros'!$B$12+'Parametros'!$B$10))/S280)</f>
        <v>342.55</v>
      </c>
      <c r="V280" s="10">
        <f>S280*'Parametros'!$B$8</f>
        <v>796</v>
      </c>
      <c r="W280" s="10">
        <f>'Parametros'!$B$5*V280*'Parametros'!$B$3*(U280-(V280*'Parametros'!$B$3/(0.85*'Parametros'!$B$2*H280))/2)/1000000</f>
        <v>97.0311966352941</v>
      </c>
      <c r="X280" s="10" t="str">
        <f>IF(W280&gt;=J280,"CUMPLE","NO CUMPLE")</f>
        <v>CUMPLE</v>
      </c>
      <c r="Y280" s="10">
        <f>MAX(MAX(1.4/'Parametros'!$B$3,0.25*SQRT('Parametros'!$B$2)/'Parametros'!$B$3)*H280*AB280,(0.85*'Parametros'!$B$2/'Parametros'!$B$3)*(1-SQRT(1-2*(L280*1000000/('Parametros'!$B$5*H280*AB280^2))/(0.85*'Parametros'!$B$2)))*H280*AB280)</f>
        <v>512.148017628958</v>
      </c>
      <c r="Z280" s="17" t="n">
        <v>3</v>
      </c>
      <c r="AA280" s="18" t="n">
        <v>1</v>
      </c>
      <c r="AB280" s="10">
        <f>IF(AA280=1,I280-('Parametros'!$B$7+'Parametros'!$B$9+'Parametros'!$B$12/2),I280-(ROUNDUP(Z280/2,0)*('Parametros'!$B$7+'Parametros'!$B$9+'Parametros'!$B$12/2)+ROUNDDOWN(Z280/2,0)*('Parametros'!$B$7+'Parametros'!$B$9+'Parametros'!$B$12/2+'Parametros'!$B$12+'Parametros'!$B$10))/Z280)</f>
        <v>342.55</v>
      </c>
      <c r="AC280" s="10">
        <f>Z280*'Parametros'!$B$8</f>
        <v>597</v>
      </c>
      <c r="AD280" s="10">
        <f>'Parametros'!$B$5*AC280*'Parametros'!$B$3*(AB280-(AC280*'Parametros'!$B$3/(0.85*'Parametros'!$B$2*H280))/2)/1000000</f>
        <v>73.905520182353</v>
      </c>
      <c r="AE280" s="10" t="str">
        <f>IF(AD280&gt;=L280,"CUMPLE","NO CUMPLE")</f>
        <v>CUMPLE</v>
      </c>
      <c r="AF280" s="10">
        <f>V280*1.25*'Parametros'!$B$3*(U280-(V280*1.25*'Parametros'!$B$3/(0.85*'Parametros'!$B$2*H280))/2)/1000000</f>
        <v>132.669027352941</v>
      </c>
      <c r="AG280" s="10">
        <f>AC280*1.25*'Parametros'!$B$3*(AB280-(AC280*1.25*'Parametros'!$B$3/(0.85*'Parametros'!$B$2*H280))/2)/1000000</f>
        <v>101.467261323529</v>
      </c>
      <c r="AH280" s="10">
        <f>N280+(AF280+AG280)/D280</f>
        <v>191.969515470588</v>
      </c>
      <c r="AI280" s="10">
        <f>MIN(O280,MAX(N280,AH280))</f>
        <v>191.969515470588</v>
      </c>
      <c r="AJ280" s="10">
        <f>0.17*SQRT('Parametros'!$B$2)*H280*MIN(U280,AB280)/1000</f>
        <v>107.849951281016</v>
      </c>
      <c r="AK280" s="10">
        <f>MAX(AI280/'Parametros'!$B$6-AJ280,0)</f>
        <v>148.109402679768</v>
      </c>
      <c r="AL280" s="10">
        <f>0.66*SQRT('Parametros'!$B$2)*H280*MIN(U280,AB280)/1000</f>
        <v>418.711575561591</v>
      </c>
      <c r="AM280" s="10" t="str">
        <f>IF(AK280&lt;=AL280,"CUMPLE","NO CUMPLE")</f>
        <v>CUMPLE</v>
      </c>
      <c r="AN280" s="15" t="inlineStr">
        <is>
          <t>Nº3 cerrado</t>
        </is>
      </c>
      <c r="AO280" s="17" t="n">
        <v>2</v>
      </c>
      <c r="AP280" s="10">
        <f>ROUNDDOWN(MIN(IF(AK280=0,1000000000,AO280*'Parametros'!$B$11*'Parametros'!$B$4*MIN(U280,AB280)/(AK280*1000)),IF(AV280=0,1000000000,'Parametros'!$B$11/AV280),MIN(U280,AB280)/4,8*'Parametros'!$B$12,24*'Parametros'!$B$9,300)/10,0)*10</f>
        <v>80</v>
      </c>
      <c r="AQ280" s="10">
        <f>ROUNDDOWN(MIN(IF(AK280=0,1000000000,AO280*'Parametros'!$B$11*'Parametros'!$B$4*MIN(U280,AB280)/(AK280*1000)),IF(AV280=0,1000000000,'Parametros'!$B$11/AV280),MIN(U280,AB280)/2,600)/10,0)*10</f>
        <v>130</v>
      </c>
      <c r="AR280" s="10">
        <f>'Parametros'!$B$6*(AJ280+AO280*'Parametros'!$B$11*'Parametros'!$B$4*MIN(U280,AB280)/AP280/1000)</f>
        <v>272.415732210762</v>
      </c>
      <c r="AS280" s="10" t="str">
        <f>IF(AND(AM280="CUMPLE",AR280&gt;=AI280),"CUMPLE","NO CUMPLE")</f>
        <v>CUMPLE</v>
      </c>
      <c r="AT280" s="10">
        <f>'Parametros'!$B$6*0.083*SQRT('Parametros'!$B$2)*(H280*I280)^2/(2*(H280+I280))/1000000</f>
        <v>4.30410823283988</v>
      </c>
      <c r="AU280" s="10" t="str">
        <f>IF(Q280&lt;=AT280,"DESPRECIABLE","DISEÑAR")</f>
        <v>DESPRECIABLE</v>
      </c>
      <c r="AV280" s="10">
        <f>IF(Q280&lt;=AT280,0,Q280*1000000/('Parametros'!$B$6*2*0.85*(H280-2*'Parametros'!$B$7)*(I280-2*'Parametros'!$B$7)*'Parametros'!$B$4))</f>
        <v>0</v>
      </c>
      <c r="AW280" s="10">
        <f>AV280*2*((H280-2*'Parametros'!$B$7)+(I280-2*'Parametros'!$B$7))*'Parametros'!$B$4/'Parametros'!$B$3</f>
        <v>0</v>
      </c>
      <c r="AX280" s="17" t="n">
        <v>0</v>
      </c>
      <c r="AY280" s="10" t="str">
        <f>IF(AV280=0,"DESPRECIABLE",IF('Parametros'!$B$11/AP280&gt;=AV280,"CUMPLE","NO CUMPLE"))</f>
        <v>DESPRECIABLE</v>
      </c>
      <c r="AZ280" s="10" t="str">
        <f>IF(AND(X280="CUMPLE",AE280="CUMPLE",AS280="CUMPLE",OR(AY280="CUMPLE",AY280="DESPRECIABLE")),IF(OR(F280&lt;&gt;H280,G280&lt;&gt;I280),"CUMPLE - REANALIZAR SAP","CUMPLE"),"NO CUMPLE")</f>
        <v>CUMPLE</v>
      </c>
    </row>
    <row r="281">
      <c r="A281" s="24" t="inlineStr">
        <is>
          <t>VR1</t>
        </is>
      </c>
      <c r="B281" s="24" t="inlineStr">
        <is>
          <t>810</t>
        </is>
      </c>
      <c r="C281" s="10" t="n">
        <v>1</v>
      </c>
      <c r="D281" s="10" t="n">
        <v>2.6</v>
      </c>
      <c r="E281" s="10" t="n">
        <v>2.6</v>
      </c>
      <c r="F281" s="10" t="n">
        <v>350</v>
      </c>
      <c r="G281" s="10" t="n">
        <v>400</v>
      </c>
      <c r="H281" s="15" t="n">
        <v>350</v>
      </c>
      <c r="I281" s="15" t="n">
        <v>400</v>
      </c>
      <c r="J281" s="16" t="n">
        <v>86.2533</v>
      </c>
      <c r="K281" s="10" t="inlineStr">
        <is>
          <t>810</t>
        </is>
      </c>
      <c r="L281" s="16" t="n">
        <v>57.2189</v>
      </c>
      <c r="M281" s="10" t="inlineStr">
        <is>
          <t>810</t>
        </is>
      </c>
      <c r="N281" s="16" t="n">
        <v>92.66500000000001</v>
      </c>
      <c r="O281" s="16" t="n">
        <v>293.572</v>
      </c>
      <c r="P281" s="10" t="inlineStr">
        <is>
          <t>810</t>
        </is>
      </c>
      <c r="Q281" s="16" t="n">
        <v>0.4066</v>
      </c>
      <c r="R281" s="10">
        <f>MAX(MAX(1.4/'Parametros'!$B$3,0.25*SQRT('Parametros'!$B$2)/'Parametros'!$B$3)*H281*U281,(0.85*'Parametros'!$B$2/'Parametros'!$B$3)*(1-SQRT(1-2*(J281*1000000/('Parametros'!$B$5*H281*U281^2))/(0.85*'Parametros'!$B$2)))*H281*U281)</f>
        <v>702.445600991134</v>
      </c>
      <c r="S281" s="17" t="n">
        <v>4</v>
      </c>
      <c r="T281" s="18" t="n">
        <v>1</v>
      </c>
      <c r="U281" s="10">
        <f>IF(T281=1,I281-('Parametros'!$B$7+'Parametros'!$B$9+'Parametros'!$B$12/2),I281-(ROUNDUP(S281/2,0)*('Parametros'!$B$7+'Parametros'!$B$9+'Parametros'!$B$12/2)+ROUNDDOWN(S281/2,0)*('Parametros'!$B$7+'Parametros'!$B$9+'Parametros'!$B$12/2+'Parametros'!$B$12+'Parametros'!$B$10))/S281)</f>
        <v>342.55</v>
      </c>
      <c r="V281" s="10">
        <f>S281*'Parametros'!$B$8</f>
        <v>796</v>
      </c>
      <c r="W281" s="10">
        <f>'Parametros'!$B$5*V281*'Parametros'!$B$3*(U281-(V281*'Parametros'!$B$3/(0.85*'Parametros'!$B$2*H281))/2)/1000000</f>
        <v>97.0311966352941</v>
      </c>
      <c r="X281" s="10" t="str">
        <f>IF(W281&gt;=J281,"CUMPLE","NO CUMPLE")</f>
        <v>CUMPLE</v>
      </c>
      <c r="Y281" s="10">
        <f>MAX(MAX(1.4/'Parametros'!$B$3,0.25*SQRT('Parametros'!$B$2)/'Parametros'!$B$3)*H281*AB281,(0.85*'Parametros'!$B$2/'Parametros'!$B$3)*(1-SQRT(1-2*(L281*1000000/('Parametros'!$B$5*H281*AB281^2))/(0.85*'Parametros'!$B$2)))*H281*AB281)</f>
        <v>457.289521017075</v>
      </c>
      <c r="Z281" s="17" t="n">
        <v>3</v>
      </c>
      <c r="AA281" s="18" t="n">
        <v>1</v>
      </c>
      <c r="AB281" s="10">
        <f>IF(AA281=1,I281-('Parametros'!$B$7+'Parametros'!$B$9+'Parametros'!$B$12/2),I281-(ROUNDUP(Z281/2,0)*('Parametros'!$B$7+'Parametros'!$B$9+'Parametros'!$B$12/2)+ROUNDDOWN(Z281/2,0)*('Parametros'!$B$7+'Parametros'!$B$9+'Parametros'!$B$12/2+'Parametros'!$B$12+'Parametros'!$B$10))/Z281)</f>
        <v>342.55</v>
      </c>
      <c r="AC281" s="10">
        <f>Z281*'Parametros'!$B$8</f>
        <v>597</v>
      </c>
      <c r="AD281" s="10">
        <f>'Parametros'!$B$5*AC281*'Parametros'!$B$3*(AB281-(AC281*'Parametros'!$B$3/(0.85*'Parametros'!$B$2*H281))/2)/1000000</f>
        <v>73.905520182353</v>
      </c>
      <c r="AE281" s="10" t="str">
        <f>IF(AD281&gt;=L281,"CUMPLE","NO CUMPLE")</f>
        <v>CUMPLE</v>
      </c>
      <c r="AF281" s="10">
        <f>V281*1.25*'Parametros'!$B$3*(U281-(V281*1.25*'Parametros'!$B$3/(0.85*'Parametros'!$B$2*H281))/2)/1000000</f>
        <v>132.669027352941</v>
      </c>
      <c r="AG281" s="10">
        <f>AC281*1.25*'Parametros'!$B$3*(AB281-(AC281*1.25*'Parametros'!$B$3/(0.85*'Parametros'!$B$2*H281))/2)/1000000</f>
        <v>101.467261323529</v>
      </c>
      <c r="AH281" s="10">
        <f>N281+(AF281+AG281)/D281</f>
        <v>182.717418721719</v>
      </c>
      <c r="AI281" s="10">
        <f>MIN(O281,MAX(N281,AH281))</f>
        <v>182.717418721719</v>
      </c>
      <c r="AJ281" s="10">
        <f>0.17*SQRT('Parametros'!$B$2)*H281*MIN(U281,AB281)/1000</f>
        <v>107.849951281016</v>
      </c>
      <c r="AK281" s="10">
        <f>MAX(AI281/'Parametros'!$B$6-AJ281,0)</f>
        <v>135.773273681277</v>
      </c>
      <c r="AL281" s="10">
        <f>0.66*SQRT('Parametros'!$B$2)*H281*MIN(U281,AB281)/1000</f>
        <v>418.711575561591</v>
      </c>
      <c r="AM281" s="10" t="str">
        <f>IF(AK281&lt;=AL281,"CUMPLE","NO CUMPLE")</f>
        <v>CUMPLE</v>
      </c>
      <c r="AN281" s="15" t="inlineStr">
        <is>
          <t>Nº3 cerrado</t>
        </is>
      </c>
      <c r="AO281" s="17" t="n">
        <v>2</v>
      </c>
      <c r="AP281" s="10">
        <f>ROUNDDOWN(MIN(IF(AK281=0,1000000000,AO281*'Parametros'!$B$11*'Parametros'!$B$4*MIN(U281,AB281)/(AK281*1000)),IF(AV281=0,1000000000,'Parametros'!$B$11/AV281),MIN(U281,AB281)/4,8*'Parametros'!$B$12,24*'Parametros'!$B$9,300)/10,0)*10</f>
        <v>80</v>
      </c>
      <c r="AQ281" s="10">
        <f>ROUNDDOWN(MIN(IF(AK281=0,1000000000,AO281*'Parametros'!$B$11*'Parametros'!$B$4*MIN(U281,AB281)/(AK281*1000)),IF(AV281=0,1000000000,'Parametros'!$B$11/AV281),MIN(U281,AB281)/2,600)/10,0)*10</f>
        <v>150</v>
      </c>
      <c r="AR281" s="10">
        <f>'Parametros'!$B$6*(AJ281+AO281*'Parametros'!$B$11*'Parametros'!$B$4*MIN(U281,AB281)/AP281/1000)</f>
        <v>272.415732210762</v>
      </c>
      <c r="AS281" s="10" t="str">
        <f>IF(AND(AM281="CUMPLE",AR281&gt;=AI281),"CUMPLE","NO CUMPLE")</f>
        <v>CUMPLE</v>
      </c>
      <c r="AT281" s="10">
        <f>'Parametros'!$B$6*0.083*SQRT('Parametros'!$B$2)*(H281*I281)^2/(2*(H281+I281))/1000000</f>
        <v>4.30410823283988</v>
      </c>
      <c r="AU281" s="10" t="str">
        <f>IF(Q281&lt;=AT281,"DESPRECIABLE","DISEÑAR")</f>
        <v>DESPRECIABLE</v>
      </c>
      <c r="AV281" s="10">
        <f>IF(Q281&lt;=AT281,0,Q281*1000000/('Parametros'!$B$6*2*0.85*(H281-2*'Parametros'!$B$7)*(I281-2*'Parametros'!$B$7)*'Parametros'!$B$4))</f>
        <v>0</v>
      </c>
      <c r="AW281" s="10">
        <f>AV281*2*((H281-2*'Parametros'!$B$7)+(I281-2*'Parametros'!$B$7))*'Parametros'!$B$4/'Parametros'!$B$3</f>
        <v>0</v>
      </c>
      <c r="AX281" s="17" t="n">
        <v>0</v>
      </c>
      <c r="AY281" s="10" t="str">
        <f>IF(AV281=0,"DESPRECIABLE",IF('Parametros'!$B$11/AP281&gt;=AV281,"CUMPLE","NO CUMPLE"))</f>
        <v>DESPRECIABLE</v>
      </c>
      <c r="AZ281" s="10" t="str">
        <f>IF(AND(X281="CUMPLE",AE281="CUMPLE",AS281="CUMPLE",OR(AY281="CUMPLE",AY281="DESPRECIABLE")),IF(OR(F281&lt;&gt;H281,G281&lt;&gt;I281),"CUMPLE - REANALIZAR SAP","CUMPLE"),"NO CUMPLE")</f>
        <v>CUMPLE</v>
      </c>
    </row>
    <row r="282">
      <c r="A282" s="24" t="inlineStr">
        <is>
          <t>VR1</t>
        </is>
      </c>
      <c r="B282" s="24" t="inlineStr">
        <is>
          <t>811</t>
        </is>
      </c>
      <c r="C282" s="10" t="n">
        <v>1</v>
      </c>
      <c r="D282" s="10" t="n">
        <v>3.65</v>
      </c>
      <c r="E282" s="10" t="n">
        <v>3.65</v>
      </c>
      <c r="F282" s="10" t="n">
        <v>350</v>
      </c>
      <c r="G282" s="10" t="n">
        <v>400</v>
      </c>
      <c r="H282" s="15" t="n">
        <v>350</v>
      </c>
      <c r="I282" s="15" t="n">
        <v>400</v>
      </c>
      <c r="J282" s="16" t="n">
        <v>93.9255</v>
      </c>
      <c r="K282" s="10" t="inlineStr">
        <is>
          <t>811</t>
        </is>
      </c>
      <c r="L282" s="16" t="n">
        <v>41.1305</v>
      </c>
      <c r="M282" s="10" t="inlineStr">
        <is>
          <t>811</t>
        </is>
      </c>
      <c r="N282" s="16" t="n">
        <v>89.098</v>
      </c>
      <c r="O282" s="16" t="n">
        <v>219.394</v>
      </c>
      <c r="P282" s="10" t="inlineStr">
        <is>
          <t>811</t>
        </is>
      </c>
      <c r="Q282" s="16" t="n">
        <v>0.2439</v>
      </c>
      <c r="R282" s="10">
        <f>MAX(MAX(1.4/'Parametros'!$B$3,0.25*SQRT('Parametros'!$B$2)/'Parametros'!$B$3)*H282*U282,(0.85*'Parametros'!$B$2/'Parametros'!$B$3)*(1-SQRT(1-2*(J282*1000000/('Parametros'!$B$5*H282*U282^2))/(0.85*'Parametros'!$B$2)))*H282*U282)</f>
        <v>768.892913261242</v>
      </c>
      <c r="S282" s="17" t="n">
        <v>4</v>
      </c>
      <c r="T282" s="18" t="n">
        <v>1</v>
      </c>
      <c r="U282" s="10">
        <f>IF(T282=1,I282-('Parametros'!$B$7+'Parametros'!$B$9+'Parametros'!$B$12/2),I282-(ROUNDUP(S282/2,0)*('Parametros'!$B$7+'Parametros'!$B$9+'Parametros'!$B$12/2)+ROUNDDOWN(S282/2,0)*('Parametros'!$B$7+'Parametros'!$B$9+'Parametros'!$B$12/2+'Parametros'!$B$12+'Parametros'!$B$10))/S282)</f>
        <v>342.55</v>
      </c>
      <c r="V282" s="10">
        <f>S282*'Parametros'!$B$8</f>
        <v>796</v>
      </c>
      <c r="W282" s="10">
        <f>'Parametros'!$B$5*V282*'Parametros'!$B$3*(U282-(V282*'Parametros'!$B$3/(0.85*'Parametros'!$B$2*H282))/2)/1000000</f>
        <v>97.0311966352941</v>
      </c>
      <c r="X282" s="10" t="str">
        <f>IF(W282&gt;=J282,"CUMPLE","NO CUMPLE")</f>
        <v>CUMPLE</v>
      </c>
      <c r="Y282" s="10">
        <f>MAX(MAX(1.4/'Parametros'!$B$3,0.25*SQRT('Parametros'!$B$2)/'Parametros'!$B$3)*H282*AB282,(0.85*'Parametros'!$B$2/'Parametros'!$B$3)*(1-SQRT(1-2*(L282*1000000/('Parametros'!$B$5*H282*AB282^2))/(0.85*'Parametros'!$B$2)))*H282*AB282)</f>
        <v>399.641666666667</v>
      </c>
      <c r="Z282" s="17" t="n">
        <v>3</v>
      </c>
      <c r="AA282" s="18" t="n">
        <v>1</v>
      </c>
      <c r="AB282" s="10">
        <f>IF(AA282=1,I282-('Parametros'!$B$7+'Parametros'!$B$9+'Parametros'!$B$12/2),I282-(ROUNDUP(Z282/2,0)*('Parametros'!$B$7+'Parametros'!$B$9+'Parametros'!$B$12/2)+ROUNDDOWN(Z282/2,0)*('Parametros'!$B$7+'Parametros'!$B$9+'Parametros'!$B$12/2+'Parametros'!$B$12+'Parametros'!$B$10))/Z282)</f>
        <v>342.55</v>
      </c>
      <c r="AC282" s="10">
        <f>Z282*'Parametros'!$B$8</f>
        <v>597</v>
      </c>
      <c r="AD282" s="10">
        <f>'Parametros'!$B$5*AC282*'Parametros'!$B$3*(AB282-(AC282*'Parametros'!$B$3/(0.85*'Parametros'!$B$2*H282))/2)/1000000</f>
        <v>73.905520182353</v>
      </c>
      <c r="AE282" s="10" t="str">
        <f>IF(AD282&gt;=L282,"CUMPLE","NO CUMPLE")</f>
        <v>CUMPLE</v>
      </c>
      <c r="AF282" s="10">
        <f>V282*1.25*'Parametros'!$B$3*(U282-(V282*1.25*'Parametros'!$B$3/(0.85*'Parametros'!$B$2*H282))/2)/1000000</f>
        <v>132.669027352941</v>
      </c>
      <c r="AG282" s="10">
        <f>AC282*1.25*'Parametros'!$B$3*(AB282-(AC282*1.25*'Parametros'!$B$3/(0.85*'Parametros'!$B$2*H282))/2)/1000000</f>
        <v>101.467261323529</v>
      </c>
      <c r="AH282" s="10">
        <f>N282+(AF282+AG282)/D282</f>
        <v>153.244928404513</v>
      </c>
      <c r="AI282" s="10">
        <f>MIN(O282,MAX(N282,AH282))</f>
        <v>153.244928404513</v>
      </c>
      <c r="AJ282" s="10">
        <f>0.17*SQRT('Parametros'!$B$2)*H282*MIN(U282,AB282)/1000</f>
        <v>107.849951281016</v>
      </c>
      <c r="AK282" s="10">
        <f>MAX(AI282/'Parametros'!$B$6-AJ282,0)</f>
        <v>96.4766199250008</v>
      </c>
      <c r="AL282" s="10">
        <f>0.66*SQRT('Parametros'!$B$2)*H282*MIN(U282,AB282)/1000</f>
        <v>418.711575561591</v>
      </c>
      <c r="AM282" s="10" t="str">
        <f>IF(AK282&lt;=AL282,"CUMPLE","NO CUMPLE")</f>
        <v>CUMPLE</v>
      </c>
      <c r="AN282" s="15" t="inlineStr">
        <is>
          <t>Nº3 cerrado</t>
        </is>
      </c>
      <c r="AO282" s="17" t="n">
        <v>2</v>
      </c>
      <c r="AP282" s="10">
        <f>ROUNDDOWN(MIN(IF(AK282=0,1000000000,AO282*'Parametros'!$B$11*'Parametros'!$B$4*MIN(U282,AB282)/(AK282*1000)),IF(AV282=0,1000000000,'Parametros'!$B$11/AV282),MIN(U282,AB282)/4,8*'Parametros'!$B$12,24*'Parametros'!$B$9,300)/10,0)*10</f>
        <v>80</v>
      </c>
      <c r="AQ282" s="10">
        <f>ROUNDDOWN(MIN(IF(AK282=0,1000000000,AO282*'Parametros'!$B$11*'Parametros'!$B$4*MIN(U282,AB282)/(AK282*1000)),IF(AV282=0,1000000000,'Parametros'!$B$11/AV282),MIN(U282,AB282)/2,600)/10,0)*10</f>
        <v>170</v>
      </c>
      <c r="AR282" s="10">
        <f>'Parametros'!$B$6*(AJ282+AO282*'Parametros'!$B$11*'Parametros'!$B$4*MIN(U282,AB282)/AP282/1000)</f>
        <v>272.415732210762</v>
      </c>
      <c r="AS282" s="10" t="str">
        <f>IF(AND(AM282="CUMPLE",AR282&gt;=AI282),"CUMPLE","NO CUMPLE")</f>
        <v>CUMPLE</v>
      </c>
      <c r="AT282" s="10">
        <f>'Parametros'!$B$6*0.083*SQRT('Parametros'!$B$2)*(H282*I282)^2/(2*(H282+I282))/1000000</f>
        <v>4.30410823283988</v>
      </c>
      <c r="AU282" s="10" t="str">
        <f>IF(Q282&lt;=AT282,"DESPRECIABLE","DISEÑAR")</f>
        <v>DESPRECIABLE</v>
      </c>
      <c r="AV282" s="10">
        <f>IF(Q282&lt;=AT282,0,Q282*1000000/('Parametros'!$B$6*2*0.85*(H282-2*'Parametros'!$B$7)*(I282-2*'Parametros'!$B$7)*'Parametros'!$B$4))</f>
        <v>0</v>
      </c>
      <c r="AW282" s="10">
        <f>AV282*2*((H282-2*'Parametros'!$B$7)+(I282-2*'Parametros'!$B$7))*'Parametros'!$B$4/'Parametros'!$B$3</f>
        <v>0</v>
      </c>
      <c r="AX282" s="17" t="n">
        <v>0</v>
      </c>
      <c r="AY282" s="10" t="str">
        <f>IF(AV282=0,"DESPRECIABLE",IF('Parametros'!$B$11/AP282&gt;=AV282,"CUMPLE","NO CUMPLE"))</f>
        <v>DESPRECIABLE</v>
      </c>
      <c r="AZ282" s="10" t="str">
        <f>IF(AND(X282="CUMPLE",AE282="CUMPLE",AS282="CUMPLE",OR(AY282="CUMPLE",AY282="DESPRECIABLE")),IF(OR(F282&lt;&gt;H282,G282&lt;&gt;I282),"CUMPLE - REANALIZAR SAP","CUMPLE"),"NO CUMPLE")</f>
        <v>CUMPLE</v>
      </c>
    </row>
    <row r="283">
      <c r="A283" s="24" t="inlineStr">
        <is>
          <t>VR1</t>
        </is>
      </c>
      <c r="B283" s="24" t="inlineStr">
        <is>
          <t>812</t>
        </is>
      </c>
      <c r="C283" s="10" t="n">
        <v>1</v>
      </c>
      <c r="D283" s="10" t="n">
        <v>2.6</v>
      </c>
      <c r="E283" s="10" t="n">
        <v>2.6</v>
      </c>
      <c r="F283" s="10" t="n">
        <v>350</v>
      </c>
      <c r="G283" s="10" t="n">
        <v>400</v>
      </c>
      <c r="H283" s="15" t="n">
        <v>350</v>
      </c>
      <c r="I283" s="15" t="n">
        <v>400</v>
      </c>
      <c r="J283" s="16" t="n">
        <v>70.2786</v>
      </c>
      <c r="K283" s="10" t="inlineStr">
        <is>
          <t>812</t>
        </is>
      </c>
      <c r="L283" s="16" t="n">
        <v>44.8159</v>
      </c>
      <c r="M283" s="10" t="inlineStr">
        <is>
          <t>812</t>
        </is>
      </c>
      <c r="N283" s="16" t="n">
        <v>78.845</v>
      </c>
      <c r="O283" s="16" t="n">
        <v>231.497</v>
      </c>
      <c r="P283" s="10" t="inlineStr">
        <is>
          <t>812</t>
        </is>
      </c>
      <c r="Q283" s="16" t="n">
        <v>3.6528</v>
      </c>
      <c r="R283" s="10">
        <f>MAX(MAX(1.4/'Parametros'!$B$3,0.25*SQRT('Parametros'!$B$2)/'Parametros'!$B$3)*H283*U283,(0.85*'Parametros'!$B$2/'Parametros'!$B$3)*(1-SQRT(1-2*(J283*1000000/('Parametros'!$B$5*H283*U283^2))/(0.85*'Parametros'!$B$2)))*H283*U283)</f>
        <v>566.366633198255</v>
      </c>
      <c r="S283" s="17" t="n">
        <v>3</v>
      </c>
      <c r="T283" s="18" t="n">
        <v>1</v>
      </c>
      <c r="U283" s="10">
        <f>IF(T283=1,I283-('Parametros'!$B$7+'Parametros'!$B$9+'Parametros'!$B$12/2),I283-(ROUNDUP(S283/2,0)*('Parametros'!$B$7+'Parametros'!$B$9+'Parametros'!$B$12/2)+ROUNDDOWN(S283/2,0)*('Parametros'!$B$7+'Parametros'!$B$9+'Parametros'!$B$12/2+'Parametros'!$B$12+'Parametros'!$B$10))/S283)</f>
        <v>342.55</v>
      </c>
      <c r="V283" s="10">
        <f>S283*'Parametros'!$B$8</f>
        <v>597</v>
      </c>
      <c r="W283" s="10">
        <f>'Parametros'!$B$5*V283*'Parametros'!$B$3*(U283-(V283*'Parametros'!$B$3/(0.85*'Parametros'!$B$2*H283))/2)/1000000</f>
        <v>73.905520182353</v>
      </c>
      <c r="X283" s="10" t="str">
        <f>IF(W283&gt;=J283,"CUMPLE","NO CUMPLE")</f>
        <v>CUMPLE</v>
      </c>
      <c r="Y283" s="10">
        <f>MAX(MAX(1.4/'Parametros'!$B$3,0.25*SQRT('Parametros'!$B$2)/'Parametros'!$B$3)*H283*AB283,(0.85*'Parametros'!$B$2/'Parametros'!$B$3)*(1-SQRT(1-2*(L283*1000000/('Parametros'!$B$5*H283*AB283^2))/(0.85*'Parametros'!$B$2)))*H283*AB283)</f>
        <v>399.641666666667</v>
      </c>
      <c r="Z283" s="17" t="n">
        <v>3</v>
      </c>
      <c r="AA283" s="18" t="n">
        <v>1</v>
      </c>
      <c r="AB283" s="10">
        <f>IF(AA283=1,I283-('Parametros'!$B$7+'Parametros'!$B$9+'Parametros'!$B$12/2),I283-(ROUNDUP(Z283/2,0)*('Parametros'!$B$7+'Parametros'!$B$9+'Parametros'!$B$12/2)+ROUNDDOWN(Z283/2,0)*('Parametros'!$B$7+'Parametros'!$B$9+'Parametros'!$B$12/2+'Parametros'!$B$12+'Parametros'!$B$10))/Z283)</f>
        <v>342.55</v>
      </c>
      <c r="AC283" s="10">
        <f>Z283*'Parametros'!$B$8</f>
        <v>597</v>
      </c>
      <c r="AD283" s="10">
        <f>'Parametros'!$B$5*AC283*'Parametros'!$B$3*(AB283-(AC283*'Parametros'!$B$3/(0.85*'Parametros'!$B$2*H283))/2)/1000000</f>
        <v>73.905520182353</v>
      </c>
      <c r="AE283" s="10" t="str">
        <f>IF(AD283&gt;=L283,"CUMPLE","NO CUMPLE")</f>
        <v>CUMPLE</v>
      </c>
      <c r="AF283" s="10">
        <f>V283*1.25*'Parametros'!$B$3*(U283-(V283*1.25*'Parametros'!$B$3/(0.85*'Parametros'!$B$2*H283))/2)/1000000</f>
        <v>101.467261323529</v>
      </c>
      <c r="AG283" s="10">
        <f>AC283*1.25*'Parametros'!$B$3*(AB283-(AC283*1.25*'Parametros'!$B$3/(0.85*'Parametros'!$B$2*H283))/2)/1000000</f>
        <v>101.467261323529</v>
      </c>
      <c r="AH283" s="10">
        <f>N283+(AF283+AG283)/D283</f>
        <v>156.896739479638</v>
      </c>
      <c r="AI283" s="10">
        <f>MIN(O283,MAX(N283,AH283))</f>
        <v>156.896739479638</v>
      </c>
      <c r="AJ283" s="10">
        <f>0.17*SQRT('Parametros'!$B$2)*H283*MIN(U283,AB283)/1000</f>
        <v>107.849951281016</v>
      </c>
      <c r="AK283" s="10">
        <f>MAX(AI283/'Parametros'!$B$6-AJ283,0)</f>
        <v>101.345701358501</v>
      </c>
      <c r="AL283" s="10">
        <f>0.66*SQRT('Parametros'!$B$2)*H283*MIN(U283,AB283)/1000</f>
        <v>418.711575561591</v>
      </c>
      <c r="AM283" s="10" t="str">
        <f>IF(AK283&lt;=AL283,"CUMPLE","NO CUMPLE")</f>
        <v>CUMPLE</v>
      </c>
      <c r="AN283" s="15" t="inlineStr">
        <is>
          <t>Nº3 cerrado</t>
        </is>
      </c>
      <c r="AO283" s="17" t="n">
        <v>2</v>
      </c>
      <c r="AP283" s="10">
        <f>ROUNDDOWN(MIN(IF(AK283=0,1000000000,AO283*'Parametros'!$B$11*'Parametros'!$B$4*MIN(U283,AB283)/(AK283*1000)),IF(AV283=0,1000000000,'Parametros'!$B$11/AV283),MIN(U283,AB283)/4,8*'Parametros'!$B$12,24*'Parametros'!$B$9,300)/10,0)*10</f>
        <v>80</v>
      </c>
      <c r="AQ283" s="10">
        <f>ROUNDDOWN(MIN(IF(AK283=0,1000000000,AO283*'Parametros'!$B$11*'Parametros'!$B$4*MIN(U283,AB283)/(AK283*1000)),IF(AV283=0,1000000000,'Parametros'!$B$11/AV283),MIN(U283,AB283)/2,600)/10,0)*10</f>
        <v>170</v>
      </c>
      <c r="AR283" s="10">
        <f>'Parametros'!$B$6*(AJ283+AO283*'Parametros'!$B$11*'Parametros'!$B$4*MIN(U283,AB283)/AP283/1000)</f>
        <v>272.415732210762</v>
      </c>
      <c r="AS283" s="10" t="str">
        <f>IF(AND(AM283="CUMPLE",AR283&gt;=AI283),"CUMPLE","NO CUMPLE")</f>
        <v>CUMPLE</v>
      </c>
      <c r="AT283" s="10">
        <f>'Parametros'!$B$6*0.083*SQRT('Parametros'!$B$2)*(H283*I283)^2/(2*(H283+I283))/1000000</f>
        <v>4.30410823283988</v>
      </c>
      <c r="AU283" s="10" t="str">
        <f>IF(Q283&lt;=AT283,"DESPRECIABLE","DISEÑAR")</f>
        <v>DESPRECIABLE</v>
      </c>
      <c r="AV283" s="10">
        <f>IF(Q283&lt;=AT283,0,Q283*1000000/('Parametros'!$B$6*2*0.85*(H283-2*'Parametros'!$B$7)*(I283-2*'Parametros'!$B$7)*'Parametros'!$B$4))</f>
        <v>0</v>
      </c>
      <c r="AW283" s="10">
        <f>AV283*2*((H283-2*'Parametros'!$B$7)+(I283-2*'Parametros'!$B$7))*'Parametros'!$B$4/'Parametros'!$B$3</f>
        <v>0</v>
      </c>
      <c r="AX283" s="17" t="n">
        <v>0</v>
      </c>
      <c r="AY283" s="10" t="str">
        <f>IF(AV283=0,"DESPRECIABLE",IF('Parametros'!$B$11/AP283&gt;=AV283,"CUMPLE","NO CUMPLE"))</f>
        <v>DESPRECIABLE</v>
      </c>
      <c r="AZ283" s="10" t="str">
        <f>IF(AND(X283="CUMPLE",AE283="CUMPLE",AS283="CUMPLE",OR(AY283="CUMPLE",AY283="DESPRECIABLE")),IF(OR(F283&lt;&gt;H283,G283&lt;&gt;I283),"CUMPLE - REANALIZAR SAP","CUMPLE"),"NO CUMPLE")</f>
        <v>CUMPLE</v>
      </c>
    </row>
    <row r="284">
      <c r="A284" s="24" t="inlineStr">
        <is>
          <t>VR1</t>
        </is>
      </c>
      <c r="B284" s="24" t="inlineStr">
        <is>
          <t>853</t>
        </is>
      </c>
      <c r="C284" s="10" t="n">
        <v>1</v>
      </c>
      <c r="D284" s="10" t="n">
        <v>2.6</v>
      </c>
      <c r="E284" s="10" t="n">
        <v>2.6</v>
      </c>
      <c r="F284" s="10" t="n">
        <v>350</v>
      </c>
      <c r="G284" s="10" t="n">
        <v>400</v>
      </c>
      <c r="H284" s="15" t="n">
        <v>350</v>
      </c>
      <c r="I284" s="15" t="n">
        <v>400</v>
      </c>
      <c r="J284" s="16" t="n">
        <v>45.3115</v>
      </c>
      <c r="K284" s="10" t="inlineStr">
        <is>
          <t>853</t>
        </is>
      </c>
      <c r="L284" s="16" t="n">
        <v>21.1963</v>
      </c>
      <c r="M284" s="10" t="inlineStr">
        <is>
          <t>853</t>
        </is>
      </c>
      <c r="N284" s="16" t="n">
        <v>61.54</v>
      </c>
      <c r="O284" s="16" t="n">
        <v>147.504</v>
      </c>
      <c r="P284" s="10" t="inlineStr">
        <is>
          <t>853</t>
        </is>
      </c>
      <c r="Q284" s="16" t="n">
        <v>2.4204</v>
      </c>
      <c r="R284" s="10">
        <f>MAX(MAX(1.4/'Parametros'!$B$3,0.25*SQRT('Parametros'!$B$2)/'Parametros'!$B$3)*H284*U284,(0.85*'Parametros'!$B$2/'Parametros'!$B$3)*(1-SQRT(1-2*(J284*1000000/('Parametros'!$B$5*H284*U284^2))/(0.85*'Parametros'!$B$2)))*H284*U284)</f>
        <v>399.641666666667</v>
      </c>
      <c r="S284" s="17" t="n">
        <v>3</v>
      </c>
      <c r="T284" s="18" t="n">
        <v>1</v>
      </c>
      <c r="U284" s="10">
        <f>IF(T284=1,I284-('Parametros'!$B$7+'Parametros'!$B$9+'Parametros'!$B$12/2),I284-(ROUNDUP(S284/2,0)*('Parametros'!$B$7+'Parametros'!$B$9+'Parametros'!$B$12/2)+ROUNDDOWN(S284/2,0)*('Parametros'!$B$7+'Parametros'!$B$9+'Parametros'!$B$12/2+'Parametros'!$B$12+'Parametros'!$B$10))/S284)</f>
        <v>342.55</v>
      </c>
      <c r="V284" s="10">
        <f>S284*'Parametros'!$B$8</f>
        <v>597</v>
      </c>
      <c r="W284" s="10">
        <f>'Parametros'!$B$5*V284*'Parametros'!$B$3*(U284-(V284*'Parametros'!$B$3/(0.85*'Parametros'!$B$2*H284))/2)/1000000</f>
        <v>73.905520182353</v>
      </c>
      <c r="X284" s="10" t="str">
        <f>IF(W284&gt;=J284,"CUMPLE","NO CUMPLE")</f>
        <v>CUMPLE</v>
      </c>
      <c r="Y284" s="10">
        <f>MAX(MAX(1.4/'Parametros'!$B$3,0.25*SQRT('Parametros'!$B$2)/'Parametros'!$B$3)*H284*AB284,(0.85*'Parametros'!$B$2/'Parametros'!$B$3)*(1-SQRT(1-2*(L284*1000000/('Parametros'!$B$5*H284*AB284^2))/(0.85*'Parametros'!$B$2)))*H284*AB284)</f>
        <v>399.641666666667</v>
      </c>
      <c r="Z284" s="17" t="n">
        <v>3</v>
      </c>
      <c r="AA284" s="18" t="n">
        <v>1</v>
      </c>
      <c r="AB284" s="10">
        <f>IF(AA284=1,I284-('Parametros'!$B$7+'Parametros'!$B$9+'Parametros'!$B$12/2),I284-(ROUNDUP(Z284/2,0)*('Parametros'!$B$7+'Parametros'!$B$9+'Parametros'!$B$12/2)+ROUNDDOWN(Z284/2,0)*('Parametros'!$B$7+'Parametros'!$B$9+'Parametros'!$B$12/2+'Parametros'!$B$12+'Parametros'!$B$10))/Z284)</f>
        <v>342.55</v>
      </c>
      <c r="AC284" s="10">
        <f>Z284*'Parametros'!$B$8</f>
        <v>597</v>
      </c>
      <c r="AD284" s="10">
        <f>'Parametros'!$B$5*AC284*'Parametros'!$B$3*(AB284-(AC284*'Parametros'!$B$3/(0.85*'Parametros'!$B$2*H284))/2)/1000000</f>
        <v>73.905520182353</v>
      </c>
      <c r="AE284" s="10" t="str">
        <f>IF(AD284&gt;=L284,"CUMPLE","NO CUMPLE")</f>
        <v>CUMPLE</v>
      </c>
      <c r="AF284" s="10">
        <f>V284*1.25*'Parametros'!$B$3*(U284-(V284*1.25*'Parametros'!$B$3/(0.85*'Parametros'!$B$2*H284))/2)/1000000</f>
        <v>101.467261323529</v>
      </c>
      <c r="AG284" s="10">
        <f>AC284*1.25*'Parametros'!$B$3*(AB284-(AC284*1.25*'Parametros'!$B$3/(0.85*'Parametros'!$B$2*H284))/2)/1000000</f>
        <v>101.467261323529</v>
      </c>
      <c r="AH284" s="10">
        <f>N284+(AF284+AG284)/D284</f>
        <v>139.591739479638</v>
      </c>
      <c r="AI284" s="10">
        <f>MIN(O284,MAX(N284,AH284))</f>
        <v>139.591739479638</v>
      </c>
      <c r="AJ284" s="10">
        <f>0.17*SQRT('Parametros'!$B$2)*H284*MIN(U284,AB284)/1000</f>
        <v>107.849951281016</v>
      </c>
      <c r="AK284" s="10">
        <f>MAX(AI284/'Parametros'!$B$6-AJ284,0)</f>
        <v>78.2723680251681</v>
      </c>
      <c r="AL284" s="10">
        <f>0.66*SQRT('Parametros'!$B$2)*H284*MIN(U284,AB284)/1000</f>
        <v>418.711575561591</v>
      </c>
      <c r="AM284" s="10" t="str">
        <f>IF(AK284&lt;=AL284,"CUMPLE","NO CUMPLE")</f>
        <v>CUMPLE</v>
      </c>
      <c r="AN284" s="15" t="inlineStr">
        <is>
          <t>Nº3 cerrado</t>
        </is>
      </c>
      <c r="AO284" s="17" t="n">
        <v>2</v>
      </c>
      <c r="AP284" s="10">
        <f>ROUNDDOWN(MIN(IF(AK284=0,1000000000,AO284*'Parametros'!$B$11*'Parametros'!$B$4*MIN(U284,AB284)/(AK284*1000)),IF(AV284=0,1000000000,'Parametros'!$B$11/AV284),MIN(U284,AB284)/4,8*'Parametros'!$B$12,24*'Parametros'!$B$9,300)/10,0)*10</f>
        <v>80</v>
      </c>
      <c r="AQ284" s="10">
        <f>ROUNDDOWN(MIN(IF(AK284=0,1000000000,AO284*'Parametros'!$B$11*'Parametros'!$B$4*MIN(U284,AB284)/(AK284*1000)),IF(AV284=0,1000000000,'Parametros'!$B$11/AV284),MIN(U284,AB284)/2,600)/10,0)*10</f>
        <v>170</v>
      </c>
      <c r="AR284" s="10">
        <f>'Parametros'!$B$6*(AJ284+AO284*'Parametros'!$B$11*'Parametros'!$B$4*MIN(U284,AB284)/AP284/1000)</f>
        <v>272.415732210762</v>
      </c>
      <c r="AS284" s="10" t="str">
        <f>IF(AND(AM284="CUMPLE",AR284&gt;=AI284),"CUMPLE","NO CUMPLE")</f>
        <v>CUMPLE</v>
      </c>
      <c r="AT284" s="10">
        <f>'Parametros'!$B$6*0.083*SQRT('Parametros'!$B$2)*(H284*I284)^2/(2*(H284+I284))/1000000</f>
        <v>4.30410823283988</v>
      </c>
      <c r="AU284" s="10" t="str">
        <f>IF(Q284&lt;=AT284,"DESPRECIABLE","DISEÑAR")</f>
        <v>DESPRECIABLE</v>
      </c>
      <c r="AV284" s="10">
        <f>IF(Q284&lt;=AT284,0,Q284*1000000/('Parametros'!$B$6*2*0.85*(H284-2*'Parametros'!$B$7)*(I284-2*'Parametros'!$B$7)*'Parametros'!$B$4))</f>
        <v>0</v>
      </c>
      <c r="AW284" s="10">
        <f>AV284*2*((H284-2*'Parametros'!$B$7)+(I284-2*'Parametros'!$B$7))*'Parametros'!$B$4/'Parametros'!$B$3</f>
        <v>0</v>
      </c>
      <c r="AX284" s="17" t="n">
        <v>0</v>
      </c>
      <c r="AY284" s="10" t="str">
        <f>IF(AV284=0,"DESPRECIABLE",IF('Parametros'!$B$11/AP284&gt;=AV284,"CUMPLE","NO CUMPLE"))</f>
        <v>DESPRECIABLE</v>
      </c>
      <c r="AZ284" s="10" t="str">
        <f>IF(AND(X284="CUMPLE",AE284="CUMPLE",AS284="CUMPLE",OR(AY284="CUMPLE",AY284="DESPRECIABLE")),IF(OR(F284&lt;&gt;H284,G284&lt;&gt;I284),"CUMPLE - REANALIZAR SAP","CUMPLE"),"NO CUMPLE")</f>
        <v>CUMPLE</v>
      </c>
    </row>
    <row r="285">
      <c r="A285" s="24" t="inlineStr">
        <is>
          <t>VR1</t>
        </is>
      </c>
      <c r="B285" s="24" t="inlineStr">
        <is>
          <t>854</t>
        </is>
      </c>
      <c r="C285" s="10" t="n">
        <v>1</v>
      </c>
      <c r="D285" s="10" t="n">
        <v>3.65</v>
      </c>
      <c r="E285" s="10" t="n">
        <v>3.65</v>
      </c>
      <c r="F285" s="10" t="n">
        <v>350</v>
      </c>
      <c r="G285" s="10" t="n">
        <v>400</v>
      </c>
      <c r="H285" s="15" t="n">
        <v>350</v>
      </c>
      <c r="I285" s="15" t="n">
        <v>400</v>
      </c>
      <c r="J285" s="16" t="n">
        <v>74.3026</v>
      </c>
      <c r="K285" s="10" t="inlineStr">
        <is>
          <t>854</t>
        </is>
      </c>
      <c r="L285" s="16" t="n">
        <v>25.7653</v>
      </c>
      <c r="M285" s="10" t="inlineStr">
        <is>
          <t>854</t>
        </is>
      </c>
      <c r="N285" s="16" t="n">
        <v>78.462</v>
      </c>
      <c r="O285" s="16" t="n">
        <v>166.376</v>
      </c>
      <c r="P285" s="10" t="inlineStr">
        <is>
          <t>854</t>
        </is>
      </c>
      <c r="Q285" s="16" t="n">
        <v>0.1471</v>
      </c>
      <c r="R285" s="10">
        <f>MAX(MAX(1.4/'Parametros'!$B$3,0.25*SQRT('Parametros'!$B$2)/'Parametros'!$B$3)*H285*U285,(0.85*'Parametros'!$B$2/'Parametros'!$B$3)*(1-SQRT(1-2*(J285*1000000/('Parametros'!$B$5*H285*U285^2))/(0.85*'Parametros'!$B$2)))*H285*U285)</f>
        <v>600.362981761019</v>
      </c>
      <c r="S285" s="17" t="n">
        <v>4</v>
      </c>
      <c r="T285" s="18" t="n">
        <v>1</v>
      </c>
      <c r="U285" s="10">
        <f>IF(T285=1,I285-('Parametros'!$B$7+'Parametros'!$B$9+'Parametros'!$B$12/2),I285-(ROUNDUP(S285/2,0)*('Parametros'!$B$7+'Parametros'!$B$9+'Parametros'!$B$12/2)+ROUNDDOWN(S285/2,0)*('Parametros'!$B$7+'Parametros'!$B$9+'Parametros'!$B$12/2+'Parametros'!$B$12+'Parametros'!$B$10))/S285)</f>
        <v>342.55</v>
      </c>
      <c r="V285" s="10">
        <f>S285*'Parametros'!$B$8</f>
        <v>796</v>
      </c>
      <c r="W285" s="10">
        <f>'Parametros'!$B$5*V285*'Parametros'!$B$3*(U285-(V285*'Parametros'!$B$3/(0.85*'Parametros'!$B$2*H285))/2)/1000000</f>
        <v>97.0311966352941</v>
      </c>
      <c r="X285" s="10" t="str">
        <f>IF(W285&gt;=J285,"CUMPLE","NO CUMPLE")</f>
        <v>CUMPLE</v>
      </c>
      <c r="Y285" s="10">
        <f>MAX(MAX(1.4/'Parametros'!$B$3,0.25*SQRT('Parametros'!$B$2)/'Parametros'!$B$3)*H285*AB285,(0.85*'Parametros'!$B$2/'Parametros'!$B$3)*(1-SQRT(1-2*(L285*1000000/('Parametros'!$B$5*H285*AB285^2))/(0.85*'Parametros'!$B$2)))*H285*AB285)</f>
        <v>399.641666666667</v>
      </c>
      <c r="Z285" s="17" t="n">
        <v>3</v>
      </c>
      <c r="AA285" s="18" t="n">
        <v>1</v>
      </c>
      <c r="AB285" s="10">
        <f>IF(AA285=1,I285-('Parametros'!$B$7+'Parametros'!$B$9+'Parametros'!$B$12/2),I285-(ROUNDUP(Z285/2,0)*('Parametros'!$B$7+'Parametros'!$B$9+'Parametros'!$B$12/2)+ROUNDDOWN(Z285/2,0)*('Parametros'!$B$7+'Parametros'!$B$9+'Parametros'!$B$12/2+'Parametros'!$B$12+'Parametros'!$B$10))/Z285)</f>
        <v>342.55</v>
      </c>
      <c r="AC285" s="10">
        <f>Z285*'Parametros'!$B$8</f>
        <v>597</v>
      </c>
      <c r="AD285" s="10">
        <f>'Parametros'!$B$5*AC285*'Parametros'!$B$3*(AB285-(AC285*'Parametros'!$B$3/(0.85*'Parametros'!$B$2*H285))/2)/1000000</f>
        <v>73.905520182353</v>
      </c>
      <c r="AE285" s="10" t="str">
        <f>IF(AD285&gt;=L285,"CUMPLE","NO CUMPLE")</f>
        <v>CUMPLE</v>
      </c>
      <c r="AF285" s="10">
        <f>V285*1.25*'Parametros'!$B$3*(U285-(V285*1.25*'Parametros'!$B$3/(0.85*'Parametros'!$B$2*H285))/2)/1000000</f>
        <v>132.669027352941</v>
      </c>
      <c r="AG285" s="10">
        <f>AC285*1.25*'Parametros'!$B$3*(AB285-(AC285*1.25*'Parametros'!$B$3/(0.85*'Parametros'!$B$2*H285))/2)/1000000</f>
        <v>101.467261323529</v>
      </c>
      <c r="AH285" s="10">
        <f>N285+(AF285+AG285)/D285</f>
        <v>142.608928404512</v>
      </c>
      <c r="AI285" s="10">
        <f>MIN(O285,MAX(N285,AH285))</f>
        <v>142.608928404512</v>
      </c>
      <c r="AJ285" s="10">
        <f>0.17*SQRT('Parametros'!$B$2)*H285*MIN(U285,AB285)/1000</f>
        <v>107.849951281016</v>
      </c>
      <c r="AK285" s="10">
        <f>MAX(AI285/'Parametros'!$B$6-AJ285,0)</f>
        <v>82.2952865916674</v>
      </c>
      <c r="AL285" s="10">
        <f>0.66*SQRT('Parametros'!$B$2)*H285*MIN(U285,AB285)/1000</f>
        <v>418.711575561591</v>
      </c>
      <c r="AM285" s="10" t="str">
        <f>IF(AK285&lt;=AL285,"CUMPLE","NO CUMPLE")</f>
        <v>CUMPLE</v>
      </c>
      <c r="AN285" s="15" t="inlineStr">
        <is>
          <t>Nº3 cerrado</t>
        </is>
      </c>
      <c r="AO285" s="17" t="n">
        <v>2</v>
      </c>
      <c r="AP285" s="10">
        <f>ROUNDDOWN(MIN(IF(AK285=0,1000000000,AO285*'Parametros'!$B$11*'Parametros'!$B$4*MIN(U285,AB285)/(AK285*1000)),IF(AV285=0,1000000000,'Parametros'!$B$11/AV285),MIN(U285,AB285)/4,8*'Parametros'!$B$12,24*'Parametros'!$B$9,300)/10,0)*10</f>
        <v>80</v>
      </c>
      <c r="AQ285" s="10">
        <f>ROUNDDOWN(MIN(IF(AK285=0,1000000000,AO285*'Parametros'!$B$11*'Parametros'!$B$4*MIN(U285,AB285)/(AK285*1000)),IF(AV285=0,1000000000,'Parametros'!$B$11/AV285),MIN(U285,AB285)/2,600)/10,0)*10</f>
        <v>170</v>
      </c>
      <c r="AR285" s="10">
        <f>'Parametros'!$B$6*(AJ285+AO285*'Parametros'!$B$11*'Parametros'!$B$4*MIN(U285,AB285)/AP285/1000)</f>
        <v>272.415732210762</v>
      </c>
      <c r="AS285" s="10" t="str">
        <f>IF(AND(AM285="CUMPLE",AR285&gt;=AI285),"CUMPLE","NO CUMPLE")</f>
        <v>CUMPLE</v>
      </c>
      <c r="AT285" s="10">
        <f>'Parametros'!$B$6*0.083*SQRT('Parametros'!$B$2)*(H285*I285)^2/(2*(H285+I285))/1000000</f>
        <v>4.30410823283988</v>
      </c>
      <c r="AU285" s="10" t="str">
        <f>IF(Q285&lt;=AT285,"DESPRECIABLE","DISEÑAR")</f>
        <v>DESPRECIABLE</v>
      </c>
      <c r="AV285" s="10">
        <f>IF(Q285&lt;=AT285,0,Q285*1000000/('Parametros'!$B$6*2*0.85*(H285-2*'Parametros'!$B$7)*(I285-2*'Parametros'!$B$7)*'Parametros'!$B$4))</f>
        <v>0</v>
      </c>
      <c r="AW285" s="10">
        <f>AV285*2*((H285-2*'Parametros'!$B$7)+(I285-2*'Parametros'!$B$7))*'Parametros'!$B$4/'Parametros'!$B$3</f>
        <v>0</v>
      </c>
      <c r="AX285" s="17" t="n">
        <v>0</v>
      </c>
      <c r="AY285" s="10" t="str">
        <f>IF(AV285=0,"DESPRECIABLE",IF('Parametros'!$B$11/AP285&gt;=AV285,"CUMPLE","NO CUMPLE"))</f>
        <v>DESPRECIABLE</v>
      </c>
      <c r="AZ285" s="10" t="str">
        <f>IF(AND(X285="CUMPLE",AE285="CUMPLE",AS285="CUMPLE",OR(AY285="CUMPLE",AY285="DESPRECIABLE")),IF(OR(F285&lt;&gt;H285,G285&lt;&gt;I285),"CUMPLE - REANALIZAR SAP","CUMPLE"),"NO CUMPLE")</f>
        <v>CUMPLE</v>
      </c>
    </row>
    <row r="286">
      <c r="A286" s="24" t="inlineStr">
        <is>
          <t>VR1</t>
        </is>
      </c>
      <c r="B286" s="24" t="inlineStr">
        <is>
          <t>855</t>
        </is>
      </c>
      <c r="C286" s="10" t="n">
        <v>1</v>
      </c>
      <c r="D286" s="10" t="n">
        <v>2.6</v>
      </c>
      <c r="E286" s="10" t="n">
        <v>2.6</v>
      </c>
      <c r="F286" s="10" t="n">
        <v>350</v>
      </c>
      <c r="G286" s="10" t="n">
        <v>400</v>
      </c>
      <c r="H286" s="15" t="n">
        <v>350</v>
      </c>
      <c r="I286" s="15" t="n">
        <v>400</v>
      </c>
      <c r="J286" s="16" t="n">
        <v>62.5772</v>
      </c>
      <c r="K286" s="10" t="inlineStr">
        <is>
          <t>855</t>
        </is>
      </c>
      <c r="L286" s="16" t="n">
        <v>32.4102</v>
      </c>
      <c r="M286" s="10" t="inlineStr">
        <is>
          <t>855</t>
        </is>
      </c>
      <c r="N286" s="16" t="n">
        <v>74.22499999999999</v>
      </c>
      <c r="O286" s="16" t="n">
        <v>198.462</v>
      </c>
      <c r="P286" s="10" t="inlineStr">
        <is>
          <t>855</t>
        </is>
      </c>
      <c r="Q286" s="16" t="n">
        <v>0.2373</v>
      </c>
      <c r="R286" s="10">
        <f>MAX(MAX(1.4/'Parametros'!$B$3,0.25*SQRT('Parametros'!$B$2)/'Parametros'!$B$3)*H286*U286,(0.85*'Parametros'!$B$2/'Parametros'!$B$3)*(1-SQRT(1-2*(J286*1000000/('Parametros'!$B$5*H286*U286^2))/(0.85*'Parametros'!$B$2)))*H286*U286)</f>
        <v>501.814307346471</v>
      </c>
      <c r="S286" s="17" t="n">
        <v>3</v>
      </c>
      <c r="T286" s="18" t="n">
        <v>1</v>
      </c>
      <c r="U286" s="10">
        <f>IF(T286=1,I286-('Parametros'!$B$7+'Parametros'!$B$9+'Parametros'!$B$12/2),I286-(ROUNDUP(S286/2,0)*('Parametros'!$B$7+'Parametros'!$B$9+'Parametros'!$B$12/2)+ROUNDDOWN(S286/2,0)*('Parametros'!$B$7+'Parametros'!$B$9+'Parametros'!$B$12/2+'Parametros'!$B$12+'Parametros'!$B$10))/S286)</f>
        <v>342.55</v>
      </c>
      <c r="V286" s="10">
        <f>S286*'Parametros'!$B$8</f>
        <v>597</v>
      </c>
      <c r="W286" s="10">
        <f>'Parametros'!$B$5*V286*'Parametros'!$B$3*(U286-(V286*'Parametros'!$B$3/(0.85*'Parametros'!$B$2*H286))/2)/1000000</f>
        <v>73.905520182353</v>
      </c>
      <c r="X286" s="10" t="str">
        <f>IF(W286&gt;=J286,"CUMPLE","NO CUMPLE")</f>
        <v>CUMPLE</v>
      </c>
      <c r="Y286" s="10">
        <f>MAX(MAX(1.4/'Parametros'!$B$3,0.25*SQRT('Parametros'!$B$2)/'Parametros'!$B$3)*H286*AB286,(0.85*'Parametros'!$B$2/'Parametros'!$B$3)*(1-SQRT(1-2*(L286*1000000/('Parametros'!$B$5*H286*AB286^2))/(0.85*'Parametros'!$B$2)))*H286*AB286)</f>
        <v>399.641666666667</v>
      </c>
      <c r="Z286" s="17" t="n">
        <v>3</v>
      </c>
      <c r="AA286" s="18" t="n">
        <v>1</v>
      </c>
      <c r="AB286" s="10">
        <f>IF(AA286=1,I286-('Parametros'!$B$7+'Parametros'!$B$9+'Parametros'!$B$12/2),I286-(ROUNDUP(Z286/2,0)*('Parametros'!$B$7+'Parametros'!$B$9+'Parametros'!$B$12/2)+ROUNDDOWN(Z286/2,0)*('Parametros'!$B$7+'Parametros'!$B$9+'Parametros'!$B$12/2+'Parametros'!$B$12+'Parametros'!$B$10))/Z286)</f>
        <v>342.55</v>
      </c>
      <c r="AC286" s="10">
        <f>Z286*'Parametros'!$B$8</f>
        <v>597</v>
      </c>
      <c r="AD286" s="10">
        <f>'Parametros'!$B$5*AC286*'Parametros'!$B$3*(AB286-(AC286*'Parametros'!$B$3/(0.85*'Parametros'!$B$2*H286))/2)/1000000</f>
        <v>73.905520182353</v>
      </c>
      <c r="AE286" s="10" t="str">
        <f>IF(AD286&gt;=L286,"CUMPLE","NO CUMPLE")</f>
        <v>CUMPLE</v>
      </c>
      <c r="AF286" s="10">
        <f>V286*1.25*'Parametros'!$B$3*(U286-(V286*1.25*'Parametros'!$B$3/(0.85*'Parametros'!$B$2*H286))/2)/1000000</f>
        <v>101.467261323529</v>
      </c>
      <c r="AG286" s="10">
        <f>AC286*1.25*'Parametros'!$B$3*(AB286-(AC286*1.25*'Parametros'!$B$3/(0.85*'Parametros'!$B$2*H286))/2)/1000000</f>
        <v>101.467261323529</v>
      </c>
      <c r="AH286" s="10">
        <f>N286+(AF286+AG286)/D286</f>
        <v>152.276739479638</v>
      </c>
      <c r="AI286" s="10">
        <f>MIN(O286,MAX(N286,AH286))</f>
        <v>152.276739479638</v>
      </c>
      <c r="AJ286" s="10">
        <f>0.17*SQRT('Parametros'!$B$2)*H286*MIN(U286,AB286)/1000</f>
        <v>107.849951281016</v>
      </c>
      <c r="AK286" s="10">
        <f>MAX(AI286/'Parametros'!$B$6-AJ286,0)</f>
        <v>95.1857013585014</v>
      </c>
      <c r="AL286" s="10">
        <f>0.66*SQRT('Parametros'!$B$2)*H286*MIN(U286,AB286)/1000</f>
        <v>418.711575561591</v>
      </c>
      <c r="AM286" s="10" t="str">
        <f>IF(AK286&lt;=AL286,"CUMPLE","NO CUMPLE")</f>
        <v>CUMPLE</v>
      </c>
      <c r="AN286" s="15" t="inlineStr">
        <is>
          <t>Nº3 cerrado</t>
        </is>
      </c>
      <c r="AO286" s="17" t="n">
        <v>2</v>
      </c>
      <c r="AP286" s="10">
        <f>ROUNDDOWN(MIN(IF(AK286=0,1000000000,AO286*'Parametros'!$B$11*'Parametros'!$B$4*MIN(U286,AB286)/(AK286*1000)),IF(AV286=0,1000000000,'Parametros'!$B$11/AV286),MIN(U286,AB286)/4,8*'Parametros'!$B$12,24*'Parametros'!$B$9,300)/10,0)*10</f>
        <v>80</v>
      </c>
      <c r="AQ286" s="10">
        <f>ROUNDDOWN(MIN(IF(AK286=0,1000000000,AO286*'Parametros'!$B$11*'Parametros'!$B$4*MIN(U286,AB286)/(AK286*1000)),IF(AV286=0,1000000000,'Parametros'!$B$11/AV286),MIN(U286,AB286)/2,600)/10,0)*10</f>
        <v>170</v>
      </c>
      <c r="AR286" s="10">
        <f>'Parametros'!$B$6*(AJ286+AO286*'Parametros'!$B$11*'Parametros'!$B$4*MIN(U286,AB286)/AP286/1000)</f>
        <v>272.415732210762</v>
      </c>
      <c r="AS286" s="10" t="str">
        <f>IF(AND(AM286="CUMPLE",AR286&gt;=AI286),"CUMPLE","NO CUMPLE")</f>
        <v>CUMPLE</v>
      </c>
      <c r="AT286" s="10">
        <f>'Parametros'!$B$6*0.083*SQRT('Parametros'!$B$2)*(H286*I286)^2/(2*(H286+I286))/1000000</f>
        <v>4.30410823283988</v>
      </c>
      <c r="AU286" s="10" t="str">
        <f>IF(Q286&lt;=AT286,"DESPRECIABLE","DISEÑAR")</f>
        <v>DESPRECIABLE</v>
      </c>
      <c r="AV286" s="10">
        <f>IF(Q286&lt;=AT286,0,Q286*1000000/('Parametros'!$B$6*2*0.85*(H286-2*'Parametros'!$B$7)*(I286-2*'Parametros'!$B$7)*'Parametros'!$B$4))</f>
        <v>0</v>
      </c>
      <c r="AW286" s="10">
        <f>AV286*2*((H286-2*'Parametros'!$B$7)+(I286-2*'Parametros'!$B$7))*'Parametros'!$B$4/'Parametros'!$B$3</f>
        <v>0</v>
      </c>
      <c r="AX286" s="17" t="n">
        <v>0</v>
      </c>
      <c r="AY286" s="10" t="str">
        <f>IF(AV286=0,"DESPRECIABLE",IF('Parametros'!$B$11/AP286&gt;=AV286,"CUMPLE","NO CUMPLE"))</f>
        <v>DESPRECIABLE</v>
      </c>
      <c r="AZ286" s="10" t="str">
        <f>IF(AND(X286="CUMPLE",AE286="CUMPLE",AS286="CUMPLE",OR(AY286="CUMPLE",AY286="DESPRECIABLE")),IF(OR(F286&lt;&gt;H286,G286&lt;&gt;I286),"CUMPLE - REANALIZAR SAP","CUMPLE"),"NO CUMPLE")</f>
        <v>CUMPLE</v>
      </c>
    </row>
    <row r="287">
      <c r="A287" s="24" t="inlineStr">
        <is>
          <t>VR1</t>
        </is>
      </c>
      <c r="B287" s="24" t="inlineStr">
        <is>
          <t>856</t>
        </is>
      </c>
      <c r="C287" s="10" t="n">
        <v>1</v>
      </c>
      <c r="D287" s="10" t="n">
        <v>2.5</v>
      </c>
      <c r="E287" s="10" t="n">
        <v>2.5</v>
      </c>
      <c r="F287" s="10" t="n">
        <v>350</v>
      </c>
      <c r="G287" s="10" t="n">
        <v>400</v>
      </c>
      <c r="H287" s="15" t="n">
        <v>350</v>
      </c>
      <c r="I287" s="15" t="n">
        <v>400</v>
      </c>
      <c r="J287" s="16" t="n">
        <v>66.4474</v>
      </c>
      <c r="K287" s="10" t="inlineStr">
        <is>
          <t>856</t>
        </is>
      </c>
      <c r="L287" s="16" t="n">
        <v>36.717</v>
      </c>
      <c r="M287" s="10" t="inlineStr">
        <is>
          <t>856</t>
        </is>
      </c>
      <c r="N287" s="16" t="n">
        <v>77.88</v>
      </c>
      <c r="O287" s="16" t="n">
        <v>215.082</v>
      </c>
      <c r="P287" s="10" t="inlineStr">
        <is>
          <t>856</t>
        </is>
      </c>
      <c r="Q287" s="16" t="n">
        <v>0.3005</v>
      </c>
      <c r="R287" s="10">
        <f>MAX(MAX(1.4/'Parametros'!$B$3,0.25*SQRT('Parametros'!$B$2)/'Parametros'!$B$3)*H287*U287,(0.85*'Parametros'!$B$2/'Parametros'!$B$3)*(1-SQRT(1-2*(J287*1000000/('Parametros'!$B$5*H287*U287^2))/(0.85*'Parametros'!$B$2)))*H287*U287)</f>
        <v>534.170708392961</v>
      </c>
      <c r="S287" s="17" t="n">
        <v>3</v>
      </c>
      <c r="T287" s="18" t="n">
        <v>1</v>
      </c>
      <c r="U287" s="10">
        <f>IF(T287=1,I287-('Parametros'!$B$7+'Parametros'!$B$9+'Parametros'!$B$12/2),I287-(ROUNDUP(S287/2,0)*('Parametros'!$B$7+'Parametros'!$B$9+'Parametros'!$B$12/2)+ROUNDDOWN(S287/2,0)*('Parametros'!$B$7+'Parametros'!$B$9+'Parametros'!$B$12/2+'Parametros'!$B$12+'Parametros'!$B$10))/S287)</f>
        <v>342.55</v>
      </c>
      <c r="V287" s="10">
        <f>S287*'Parametros'!$B$8</f>
        <v>597</v>
      </c>
      <c r="W287" s="10">
        <f>'Parametros'!$B$5*V287*'Parametros'!$B$3*(U287-(V287*'Parametros'!$B$3/(0.85*'Parametros'!$B$2*H287))/2)/1000000</f>
        <v>73.905520182353</v>
      </c>
      <c r="X287" s="10" t="str">
        <f>IF(W287&gt;=J287,"CUMPLE","NO CUMPLE")</f>
        <v>CUMPLE</v>
      </c>
      <c r="Y287" s="10">
        <f>MAX(MAX(1.4/'Parametros'!$B$3,0.25*SQRT('Parametros'!$B$2)/'Parametros'!$B$3)*H287*AB287,(0.85*'Parametros'!$B$2/'Parametros'!$B$3)*(1-SQRT(1-2*(L287*1000000/('Parametros'!$B$5*H287*AB287^2))/(0.85*'Parametros'!$B$2)))*H287*AB287)</f>
        <v>399.641666666667</v>
      </c>
      <c r="Z287" s="17" t="n">
        <v>3</v>
      </c>
      <c r="AA287" s="18" t="n">
        <v>1</v>
      </c>
      <c r="AB287" s="10">
        <f>IF(AA287=1,I287-('Parametros'!$B$7+'Parametros'!$B$9+'Parametros'!$B$12/2),I287-(ROUNDUP(Z287/2,0)*('Parametros'!$B$7+'Parametros'!$B$9+'Parametros'!$B$12/2)+ROUNDDOWN(Z287/2,0)*('Parametros'!$B$7+'Parametros'!$B$9+'Parametros'!$B$12/2+'Parametros'!$B$12+'Parametros'!$B$10))/Z287)</f>
        <v>342.55</v>
      </c>
      <c r="AC287" s="10">
        <f>Z287*'Parametros'!$B$8</f>
        <v>597</v>
      </c>
      <c r="AD287" s="10">
        <f>'Parametros'!$B$5*AC287*'Parametros'!$B$3*(AB287-(AC287*'Parametros'!$B$3/(0.85*'Parametros'!$B$2*H287))/2)/1000000</f>
        <v>73.905520182353</v>
      </c>
      <c r="AE287" s="10" t="str">
        <f>IF(AD287&gt;=L287,"CUMPLE","NO CUMPLE")</f>
        <v>CUMPLE</v>
      </c>
      <c r="AF287" s="10">
        <f>V287*1.25*'Parametros'!$B$3*(U287-(V287*1.25*'Parametros'!$B$3/(0.85*'Parametros'!$B$2*H287))/2)/1000000</f>
        <v>101.467261323529</v>
      </c>
      <c r="AG287" s="10">
        <f>AC287*1.25*'Parametros'!$B$3*(AB287-(AC287*1.25*'Parametros'!$B$3/(0.85*'Parametros'!$B$2*H287))/2)/1000000</f>
        <v>101.467261323529</v>
      </c>
      <c r="AH287" s="10">
        <f>N287+(AF287+AG287)/D287</f>
        <v>159.053809058824</v>
      </c>
      <c r="AI287" s="10">
        <f>MIN(O287,MAX(N287,AH287))</f>
        <v>159.053809058824</v>
      </c>
      <c r="AJ287" s="10">
        <f>0.17*SQRT('Parametros'!$B$2)*H287*MIN(U287,AB287)/1000</f>
        <v>107.849951281016</v>
      </c>
      <c r="AK287" s="10">
        <f>MAX(AI287/'Parametros'!$B$6-AJ287,0)</f>
        <v>104.221794130749</v>
      </c>
      <c r="AL287" s="10">
        <f>0.66*SQRT('Parametros'!$B$2)*H287*MIN(U287,AB287)/1000</f>
        <v>418.711575561591</v>
      </c>
      <c r="AM287" s="10" t="str">
        <f>IF(AK287&lt;=AL287,"CUMPLE","NO CUMPLE")</f>
        <v>CUMPLE</v>
      </c>
      <c r="AN287" s="15" t="inlineStr">
        <is>
          <t>Nº3 cerrado</t>
        </is>
      </c>
      <c r="AO287" s="17" t="n">
        <v>2</v>
      </c>
      <c r="AP287" s="10">
        <f>ROUNDDOWN(MIN(IF(AK287=0,1000000000,AO287*'Parametros'!$B$11*'Parametros'!$B$4*MIN(U287,AB287)/(AK287*1000)),IF(AV287=0,1000000000,'Parametros'!$B$11/AV287),MIN(U287,AB287)/4,8*'Parametros'!$B$12,24*'Parametros'!$B$9,300)/10,0)*10</f>
        <v>80</v>
      </c>
      <c r="AQ287" s="10">
        <f>ROUNDDOWN(MIN(IF(AK287=0,1000000000,AO287*'Parametros'!$B$11*'Parametros'!$B$4*MIN(U287,AB287)/(AK287*1000)),IF(AV287=0,1000000000,'Parametros'!$B$11/AV287),MIN(U287,AB287)/2,600)/10,0)*10</f>
        <v>170</v>
      </c>
      <c r="AR287" s="10">
        <f>'Parametros'!$B$6*(AJ287+AO287*'Parametros'!$B$11*'Parametros'!$B$4*MIN(U287,AB287)/AP287/1000)</f>
        <v>272.415732210762</v>
      </c>
      <c r="AS287" s="10" t="str">
        <f>IF(AND(AM287="CUMPLE",AR287&gt;=AI287),"CUMPLE","NO CUMPLE")</f>
        <v>CUMPLE</v>
      </c>
      <c r="AT287" s="10">
        <f>'Parametros'!$B$6*0.083*SQRT('Parametros'!$B$2)*(H287*I287)^2/(2*(H287+I287))/1000000</f>
        <v>4.30410823283988</v>
      </c>
      <c r="AU287" s="10" t="str">
        <f>IF(Q287&lt;=AT287,"DESPRECIABLE","DISEÑAR")</f>
        <v>DESPRECIABLE</v>
      </c>
      <c r="AV287" s="10">
        <f>IF(Q287&lt;=AT287,0,Q287*1000000/('Parametros'!$B$6*2*0.85*(H287-2*'Parametros'!$B$7)*(I287-2*'Parametros'!$B$7)*'Parametros'!$B$4))</f>
        <v>0</v>
      </c>
      <c r="AW287" s="10">
        <f>AV287*2*((H287-2*'Parametros'!$B$7)+(I287-2*'Parametros'!$B$7))*'Parametros'!$B$4/'Parametros'!$B$3</f>
        <v>0</v>
      </c>
      <c r="AX287" s="17" t="n">
        <v>0</v>
      </c>
      <c r="AY287" s="10" t="str">
        <f>IF(AV287=0,"DESPRECIABLE",IF('Parametros'!$B$11/AP287&gt;=AV287,"CUMPLE","NO CUMPLE"))</f>
        <v>DESPRECIABLE</v>
      </c>
      <c r="AZ287" s="10" t="str">
        <f>IF(AND(X287="CUMPLE",AE287="CUMPLE",AS287="CUMPLE",OR(AY287="CUMPLE",AY287="DESPRECIABLE")),IF(OR(F287&lt;&gt;H287,G287&lt;&gt;I287),"CUMPLE - REANALIZAR SAP","CUMPLE"),"NO CUMPLE")</f>
        <v>CUMPLE</v>
      </c>
    </row>
    <row r="288">
      <c r="A288" s="24" t="inlineStr">
        <is>
          <t>VR1</t>
        </is>
      </c>
      <c r="B288" s="24" t="inlineStr">
        <is>
          <t>857</t>
        </is>
      </c>
      <c r="C288" s="10" t="n">
        <v>1</v>
      </c>
      <c r="D288" s="10" t="n">
        <v>4</v>
      </c>
      <c r="E288" s="10" t="n">
        <v>4</v>
      </c>
      <c r="F288" s="10" t="n">
        <v>350</v>
      </c>
      <c r="G288" s="10" t="n">
        <v>400</v>
      </c>
      <c r="H288" s="15" t="n">
        <v>350</v>
      </c>
      <c r="I288" s="15" t="n">
        <v>400</v>
      </c>
      <c r="J288" s="16" t="n">
        <v>81.6677</v>
      </c>
      <c r="K288" s="10" t="inlineStr">
        <is>
          <t>857</t>
        </is>
      </c>
      <c r="L288" s="16" t="n">
        <v>30.4</v>
      </c>
      <c r="M288" s="10" t="inlineStr">
        <is>
          <t>857</t>
        </is>
      </c>
      <c r="N288" s="16" t="n">
        <v>83.23999999999999</v>
      </c>
      <c r="O288" s="16" t="n">
        <v>144.865</v>
      </c>
      <c r="P288" s="10" t="inlineStr">
        <is>
          <t>857</t>
        </is>
      </c>
      <c r="Q288" s="16" t="n">
        <v>1.6173</v>
      </c>
      <c r="R288" s="10">
        <f>MAX(MAX(1.4/'Parametros'!$B$3,0.25*SQRT('Parametros'!$B$2)/'Parametros'!$B$3)*H288*U288,(0.85*'Parametros'!$B$2/'Parametros'!$B$3)*(1-SQRT(1-2*(J288*1000000/('Parametros'!$B$5*H288*U288^2))/(0.85*'Parametros'!$B$2)))*H288*U288)</f>
        <v>663.074527252346</v>
      </c>
      <c r="S288" s="17" t="n">
        <v>4</v>
      </c>
      <c r="T288" s="18" t="n">
        <v>1</v>
      </c>
      <c r="U288" s="10">
        <f>IF(T288=1,I288-('Parametros'!$B$7+'Parametros'!$B$9+'Parametros'!$B$12/2),I288-(ROUNDUP(S288/2,0)*('Parametros'!$B$7+'Parametros'!$B$9+'Parametros'!$B$12/2)+ROUNDDOWN(S288/2,0)*('Parametros'!$B$7+'Parametros'!$B$9+'Parametros'!$B$12/2+'Parametros'!$B$12+'Parametros'!$B$10))/S288)</f>
        <v>342.55</v>
      </c>
      <c r="V288" s="10">
        <f>S288*'Parametros'!$B$8</f>
        <v>796</v>
      </c>
      <c r="W288" s="10">
        <f>'Parametros'!$B$5*V288*'Parametros'!$B$3*(U288-(V288*'Parametros'!$B$3/(0.85*'Parametros'!$B$2*H288))/2)/1000000</f>
        <v>97.0311966352941</v>
      </c>
      <c r="X288" s="10" t="str">
        <f>IF(W288&gt;=J288,"CUMPLE","NO CUMPLE")</f>
        <v>CUMPLE</v>
      </c>
      <c r="Y288" s="10">
        <f>MAX(MAX(1.4/'Parametros'!$B$3,0.25*SQRT('Parametros'!$B$2)/'Parametros'!$B$3)*H288*AB288,(0.85*'Parametros'!$B$2/'Parametros'!$B$3)*(1-SQRT(1-2*(L288*1000000/('Parametros'!$B$5*H288*AB288^2))/(0.85*'Parametros'!$B$2)))*H288*AB288)</f>
        <v>399.641666666667</v>
      </c>
      <c r="Z288" s="17" t="n">
        <v>3</v>
      </c>
      <c r="AA288" s="18" t="n">
        <v>1</v>
      </c>
      <c r="AB288" s="10">
        <f>IF(AA288=1,I288-('Parametros'!$B$7+'Parametros'!$B$9+'Parametros'!$B$12/2),I288-(ROUNDUP(Z288/2,0)*('Parametros'!$B$7+'Parametros'!$B$9+'Parametros'!$B$12/2)+ROUNDDOWN(Z288/2,0)*('Parametros'!$B$7+'Parametros'!$B$9+'Parametros'!$B$12/2+'Parametros'!$B$12+'Parametros'!$B$10))/Z288)</f>
        <v>342.55</v>
      </c>
      <c r="AC288" s="10">
        <f>Z288*'Parametros'!$B$8</f>
        <v>597</v>
      </c>
      <c r="AD288" s="10">
        <f>'Parametros'!$B$5*AC288*'Parametros'!$B$3*(AB288-(AC288*'Parametros'!$B$3/(0.85*'Parametros'!$B$2*H288))/2)/1000000</f>
        <v>73.905520182353</v>
      </c>
      <c r="AE288" s="10" t="str">
        <f>IF(AD288&gt;=L288,"CUMPLE","NO CUMPLE")</f>
        <v>CUMPLE</v>
      </c>
      <c r="AF288" s="10">
        <f>V288*1.25*'Parametros'!$B$3*(U288-(V288*1.25*'Parametros'!$B$3/(0.85*'Parametros'!$B$2*H288))/2)/1000000</f>
        <v>132.669027352941</v>
      </c>
      <c r="AG288" s="10">
        <f>AC288*1.25*'Parametros'!$B$3*(AB288-(AC288*1.25*'Parametros'!$B$3/(0.85*'Parametros'!$B$2*H288))/2)/1000000</f>
        <v>101.467261323529</v>
      </c>
      <c r="AH288" s="10">
        <f>N288+(AF288+AG288)/D288</f>
        <v>141.774072169118</v>
      </c>
      <c r="AI288" s="10">
        <f>MIN(O288,MAX(N288,AH288))</f>
        <v>141.774072169118</v>
      </c>
      <c r="AJ288" s="10">
        <f>0.17*SQRT('Parametros'!$B$2)*H288*MIN(U288,AB288)/1000</f>
        <v>107.849951281016</v>
      </c>
      <c r="AK288" s="10">
        <f>MAX(AI288/'Parametros'!$B$6-AJ288,0)</f>
        <v>81.1821449444743</v>
      </c>
      <c r="AL288" s="10">
        <f>0.66*SQRT('Parametros'!$B$2)*H288*MIN(U288,AB288)/1000</f>
        <v>418.711575561591</v>
      </c>
      <c r="AM288" s="10" t="str">
        <f>IF(AK288&lt;=AL288,"CUMPLE","NO CUMPLE")</f>
        <v>CUMPLE</v>
      </c>
      <c r="AN288" s="15" t="inlineStr">
        <is>
          <t>Nº3 cerrado</t>
        </is>
      </c>
      <c r="AO288" s="17" t="n">
        <v>2</v>
      </c>
      <c r="AP288" s="10">
        <f>ROUNDDOWN(MIN(IF(AK288=0,1000000000,AO288*'Parametros'!$B$11*'Parametros'!$B$4*MIN(U288,AB288)/(AK288*1000)),IF(AV288=0,1000000000,'Parametros'!$B$11/AV288),MIN(U288,AB288)/4,8*'Parametros'!$B$12,24*'Parametros'!$B$9,300)/10,0)*10</f>
        <v>80</v>
      </c>
      <c r="AQ288" s="10">
        <f>ROUNDDOWN(MIN(IF(AK288=0,1000000000,AO288*'Parametros'!$B$11*'Parametros'!$B$4*MIN(U288,AB288)/(AK288*1000)),IF(AV288=0,1000000000,'Parametros'!$B$11/AV288),MIN(U288,AB288)/2,600)/10,0)*10</f>
        <v>170</v>
      </c>
      <c r="AR288" s="10">
        <f>'Parametros'!$B$6*(AJ288+AO288*'Parametros'!$B$11*'Parametros'!$B$4*MIN(U288,AB288)/AP288/1000)</f>
        <v>272.415732210762</v>
      </c>
      <c r="AS288" s="10" t="str">
        <f>IF(AND(AM288="CUMPLE",AR288&gt;=AI288),"CUMPLE","NO CUMPLE")</f>
        <v>CUMPLE</v>
      </c>
      <c r="AT288" s="10">
        <f>'Parametros'!$B$6*0.083*SQRT('Parametros'!$B$2)*(H288*I288)^2/(2*(H288+I288))/1000000</f>
        <v>4.30410823283988</v>
      </c>
      <c r="AU288" s="10" t="str">
        <f>IF(Q288&lt;=AT288,"DESPRECIABLE","DISEÑAR")</f>
        <v>DESPRECIABLE</v>
      </c>
      <c r="AV288" s="10">
        <f>IF(Q288&lt;=AT288,0,Q288*1000000/('Parametros'!$B$6*2*0.85*(H288-2*'Parametros'!$B$7)*(I288-2*'Parametros'!$B$7)*'Parametros'!$B$4))</f>
        <v>0</v>
      </c>
      <c r="AW288" s="10">
        <f>AV288*2*((H288-2*'Parametros'!$B$7)+(I288-2*'Parametros'!$B$7))*'Parametros'!$B$4/'Parametros'!$B$3</f>
        <v>0</v>
      </c>
      <c r="AX288" s="17" t="n">
        <v>0</v>
      </c>
      <c r="AY288" s="10" t="str">
        <f>IF(AV288=0,"DESPRECIABLE",IF('Parametros'!$B$11/AP288&gt;=AV288,"CUMPLE","NO CUMPLE"))</f>
        <v>DESPRECIABLE</v>
      </c>
      <c r="AZ288" s="10" t="str">
        <f>IF(AND(X288="CUMPLE",AE288="CUMPLE",AS288="CUMPLE",OR(AY288="CUMPLE",AY288="DESPRECIABLE")),IF(OR(F288&lt;&gt;H288,G288&lt;&gt;I288),"CUMPLE - REANALIZAR SAP","CUMPLE"),"NO CUMPLE")</f>
        <v>CUMPLE</v>
      </c>
    </row>
    <row r="289">
      <c r="A289" s="24" t="inlineStr">
        <is>
          <t>VR1</t>
        </is>
      </c>
      <c r="B289" s="24" t="inlineStr">
        <is>
          <t>858</t>
        </is>
      </c>
      <c r="C289" s="10" t="n">
        <v>1</v>
      </c>
      <c r="D289" s="10" t="n">
        <v>4</v>
      </c>
      <c r="E289" s="10" t="n">
        <v>4</v>
      </c>
      <c r="F289" s="10" t="n">
        <v>350</v>
      </c>
      <c r="G289" s="10" t="n">
        <v>400</v>
      </c>
      <c r="H289" s="15" t="n">
        <v>350</v>
      </c>
      <c r="I289" s="15" t="n">
        <v>400</v>
      </c>
      <c r="J289" s="16" t="n">
        <v>81.7169</v>
      </c>
      <c r="K289" s="10" t="inlineStr">
        <is>
          <t>858</t>
        </is>
      </c>
      <c r="L289" s="16" t="n">
        <v>30.4121</v>
      </c>
      <c r="M289" s="10" t="inlineStr">
        <is>
          <t>858</t>
        </is>
      </c>
      <c r="N289" s="16" t="n">
        <v>83.265</v>
      </c>
      <c r="O289" s="16" t="n">
        <v>144.932</v>
      </c>
      <c r="P289" s="10" t="inlineStr">
        <is>
          <t>858</t>
        </is>
      </c>
      <c r="Q289" s="16" t="n">
        <v>1.6126</v>
      </c>
      <c r="R289" s="10">
        <f>MAX(MAX(1.4/'Parametros'!$B$3,0.25*SQRT('Parametros'!$B$2)/'Parametros'!$B$3)*H289*U289,(0.85*'Parametros'!$B$2/'Parametros'!$B$3)*(1-SQRT(1-2*(J289*1000000/('Parametros'!$B$5*H289*U289^2))/(0.85*'Parametros'!$B$2)))*H289*U289)</f>
        <v>663.495607029946</v>
      </c>
      <c r="S289" s="17" t="n">
        <v>4</v>
      </c>
      <c r="T289" s="18" t="n">
        <v>1</v>
      </c>
      <c r="U289" s="10">
        <f>IF(T289=1,I289-('Parametros'!$B$7+'Parametros'!$B$9+'Parametros'!$B$12/2),I289-(ROUNDUP(S289/2,0)*('Parametros'!$B$7+'Parametros'!$B$9+'Parametros'!$B$12/2)+ROUNDDOWN(S289/2,0)*('Parametros'!$B$7+'Parametros'!$B$9+'Parametros'!$B$12/2+'Parametros'!$B$12+'Parametros'!$B$10))/S289)</f>
        <v>342.55</v>
      </c>
      <c r="V289" s="10">
        <f>S289*'Parametros'!$B$8</f>
        <v>796</v>
      </c>
      <c r="W289" s="10">
        <f>'Parametros'!$B$5*V289*'Parametros'!$B$3*(U289-(V289*'Parametros'!$B$3/(0.85*'Parametros'!$B$2*H289))/2)/1000000</f>
        <v>97.0311966352941</v>
      </c>
      <c r="X289" s="10" t="str">
        <f>IF(W289&gt;=J289,"CUMPLE","NO CUMPLE")</f>
        <v>CUMPLE</v>
      </c>
      <c r="Y289" s="10">
        <f>MAX(MAX(1.4/'Parametros'!$B$3,0.25*SQRT('Parametros'!$B$2)/'Parametros'!$B$3)*H289*AB289,(0.85*'Parametros'!$B$2/'Parametros'!$B$3)*(1-SQRT(1-2*(L289*1000000/('Parametros'!$B$5*H289*AB289^2))/(0.85*'Parametros'!$B$2)))*H289*AB289)</f>
        <v>399.641666666667</v>
      </c>
      <c r="Z289" s="17" t="n">
        <v>3</v>
      </c>
      <c r="AA289" s="18" t="n">
        <v>1</v>
      </c>
      <c r="AB289" s="10">
        <f>IF(AA289=1,I289-('Parametros'!$B$7+'Parametros'!$B$9+'Parametros'!$B$12/2),I289-(ROUNDUP(Z289/2,0)*('Parametros'!$B$7+'Parametros'!$B$9+'Parametros'!$B$12/2)+ROUNDDOWN(Z289/2,0)*('Parametros'!$B$7+'Parametros'!$B$9+'Parametros'!$B$12/2+'Parametros'!$B$12+'Parametros'!$B$10))/Z289)</f>
        <v>342.55</v>
      </c>
      <c r="AC289" s="10">
        <f>Z289*'Parametros'!$B$8</f>
        <v>597</v>
      </c>
      <c r="AD289" s="10">
        <f>'Parametros'!$B$5*AC289*'Parametros'!$B$3*(AB289-(AC289*'Parametros'!$B$3/(0.85*'Parametros'!$B$2*H289))/2)/1000000</f>
        <v>73.905520182353</v>
      </c>
      <c r="AE289" s="10" t="str">
        <f>IF(AD289&gt;=L289,"CUMPLE","NO CUMPLE")</f>
        <v>CUMPLE</v>
      </c>
      <c r="AF289" s="10">
        <f>V289*1.25*'Parametros'!$B$3*(U289-(V289*1.25*'Parametros'!$B$3/(0.85*'Parametros'!$B$2*H289))/2)/1000000</f>
        <v>132.669027352941</v>
      </c>
      <c r="AG289" s="10">
        <f>AC289*1.25*'Parametros'!$B$3*(AB289-(AC289*1.25*'Parametros'!$B$3/(0.85*'Parametros'!$B$2*H289))/2)/1000000</f>
        <v>101.467261323529</v>
      </c>
      <c r="AH289" s="10">
        <f>N289+(AF289+AG289)/D289</f>
        <v>141.799072169118</v>
      </c>
      <c r="AI289" s="10">
        <f>MIN(O289,MAX(N289,AH289))</f>
        <v>141.799072169118</v>
      </c>
      <c r="AJ289" s="10">
        <f>0.17*SQRT('Parametros'!$B$2)*H289*MIN(U289,AB289)/1000</f>
        <v>107.849951281016</v>
      </c>
      <c r="AK289" s="10">
        <f>MAX(AI289/'Parametros'!$B$6-AJ289,0)</f>
        <v>81.2154782778076</v>
      </c>
      <c r="AL289" s="10">
        <f>0.66*SQRT('Parametros'!$B$2)*H289*MIN(U289,AB289)/1000</f>
        <v>418.711575561591</v>
      </c>
      <c r="AM289" s="10" t="str">
        <f>IF(AK289&lt;=AL289,"CUMPLE","NO CUMPLE")</f>
        <v>CUMPLE</v>
      </c>
      <c r="AN289" s="15" t="inlineStr">
        <is>
          <t>Nº3 cerrado</t>
        </is>
      </c>
      <c r="AO289" s="17" t="n">
        <v>2</v>
      </c>
      <c r="AP289" s="10">
        <f>ROUNDDOWN(MIN(IF(AK289=0,1000000000,AO289*'Parametros'!$B$11*'Parametros'!$B$4*MIN(U289,AB289)/(AK289*1000)),IF(AV289=0,1000000000,'Parametros'!$B$11/AV289),MIN(U289,AB289)/4,8*'Parametros'!$B$12,24*'Parametros'!$B$9,300)/10,0)*10</f>
        <v>80</v>
      </c>
      <c r="AQ289" s="10">
        <f>ROUNDDOWN(MIN(IF(AK289=0,1000000000,AO289*'Parametros'!$B$11*'Parametros'!$B$4*MIN(U289,AB289)/(AK289*1000)),IF(AV289=0,1000000000,'Parametros'!$B$11/AV289),MIN(U289,AB289)/2,600)/10,0)*10</f>
        <v>170</v>
      </c>
      <c r="AR289" s="10">
        <f>'Parametros'!$B$6*(AJ289+AO289*'Parametros'!$B$11*'Parametros'!$B$4*MIN(U289,AB289)/AP289/1000)</f>
        <v>272.415732210762</v>
      </c>
      <c r="AS289" s="10" t="str">
        <f>IF(AND(AM289="CUMPLE",AR289&gt;=AI289),"CUMPLE","NO CUMPLE")</f>
        <v>CUMPLE</v>
      </c>
      <c r="AT289" s="10">
        <f>'Parametros'!$B$6*0.083*SQRT('Parametros'!$B$2)*(H289*I289)^2/(2*(H289+I289))/1000000</f>
        <v>4.30410823283988</v>
      </c>
      <c r="AU289" s="10" t="str">
        <f>IF(Q289&lt;=AT289,"DESPRECIABLE","DISEÑAR")</f>
        <v>DESPRECIABLE</v>
      </c>
      <c r="AV289" s="10">
        <f>IF(Q289&lt;=AT289,0,Q289*1000000/('Parametros'!$B$6*2*0.85*(H289-2*'Parametros'!$B$7)*(I289-2*'Parametros'!$B$7)*'Parametros'!$B$4))</f>
        <v>0</v>
      </c>
      <c r="AW289" s="10">
        <f>AV289*2*((H289-2*'Parametros'!$B$7)+(I289-2*'Parametros'!$B$7))*'Parametros'!$B$4/'Parametros'!$B$3</f>
        <v>0</v>
      </c>
      <c r="AX289" s="17" t="n">
        <v>0</v>
      </c>
      <c r="AY289" s="10" t="str">
        <f>IF(AV289=0,"DESPRECIABLE",IF('Parametros'!$B$11/AP289&gt;=AV289,"CUMPLE","NO CUMPLE"))</f>
        <v>DESPRECIABLE</v>
      </c>
      <c r="AZ289" s="10" t="str">
        <f>IF(AND(X289="CUMPLE",AE289="CUMPLE",AS289="CUMPLE",OR(AY289="CUMPLE",AY289="DESPRECIABLE")),IF(OR(F289&lt;&gt;H289,G289&lt;&gt;I289),"CUMPLE - REANALIZAR SAP","CUMPLE"),"NO CUMPLE")</f>
        <v>CUMPLE</v>
      </c>
    </row>
    <row r="290">
      <c r="A290" s="24" t="inlineStr">
        <is>
          <t>VR1</t>
        </is>
      </c>
      <c r="B290" s="24" t="inlineStr">
        <is>
          <t>859</t>
        </is>
      </c>
      <c r="C290" s="10" t="n">
        <v>1</v>
      </c>
      <c r="D290" s="10" t="n">
        <v>2.5</v>
      </c>
      <c r="E290" s="10" t="n">
        <v>2.5</v>
      </c>
      <c r="F290" s="10" t="n">
        <v>350</v>
      </c>
      <c r="G290" s="10" t="n">
        <v>400</v>
      </c>
      <c r="H290" s="15" t="n">
        <v>350</v>
      </c>
      <c r="I290" s="15" t="n">
        <v>400</v>
      </c>
      <c r="J290" s="16" t="n">
        <v>66.5313</v>
      </c>
      <c r="K290" s="10" t="inlineStr">
        <is>
          <t>859</t>
        </is>
      </c>
      <c r="L290" s="16" t="n">
        <v>36.7692</v>
      </c>
      <c r="M290" s="10" t="inlineStr">
        <is>
          <t>859</t>
        </is>
      </c>
      <c r="N290" s="16" t="n">
        <v>77.95</v>
      </c>
      <c r="O290" s="16" t="n">
        <v>215.153</v>
      </c>
      <c r="P290" s="10" t="inlineStr">
        <is>
          <t>859</t>
        </is>
      </c>
      <c r="Q290" s="16" t="n">
        <v>0.2997</v>
      </c>
      <c r="R290" s="10">
        <f>MAX(MAX(1.4/'Parametros'!$B$3,0.25*SQRT('Parametros'!$B$2)/'Parametros'!$B$3)*H290*U290,(0.85*'Parametros'!$B$2/'Parametros'!$B$3)*(1-SQRT(1-2*(J290*1000000/('Parametros'!$B$5*H290*U290^2))/(0.85*'Parametros'!$B$2)))*H290*U290)</f>
        <v>534.87399790215</v>
      </c>
      <c r="S290" s="17" t="n">
        <v>3</v>
      </c>
      <c r="T290" s="18" t="n">
        <v>1</v>
      </c>
      <c r="U290" s="10">
        <f>IF(T290=1,I290-('Parametros'!$B$7+'Parametros'!$B$9+'Parametros'!$B$12/2),I290-(ROUNDUP(S290/2,0)*('Parametros'!$B$7+'Parametros'!$B$9+'Parametros'!$B$12/2)+ROUNDDOWN(S290/2,0)*('Parametros'!$B$7+'Parametros'!$B$9+'Parametros'!$B$12/2+'Parametros'!$B$12+'Parametros'!$B$10))/S290)</f>
        <v>342.55</v>
      </c>
      <c r="V290" s="10">
        <f>S290*'Parametros'!$B$8</f>
        <v>597</v>
      </c>
      <c r="W290" s="10">
        <f>'Parametros'!$B$5*V290*'Parametros'!$B$3*(U290-(V290*'Parametros'!$B$3/(0.85*'Parametros'!$B$2*H290))/2)/1000000</f>
        <v>73.905520182353</v>
      </c>
      <c r="X290" s="10" t="str">
        <f>IF(W290&gt;=J290,"CUMPLE","NO CUMPLE")</f>
        <v>CUMPLE</v>
      </c>
      <c r="Y290" s="10">
        <f>MAX(MAX(1.4/'Parametros'!$B$3,0.25*SQRT('Parametros'!$B$2)/'Parametros'!$B$3)*H290*AB290,(0.85*'Parametros'!$B$2/'Parametros'!$B$3)*(1-SQRT(1-2*(L290*1000000/('Parametros'!$B$5*H290*AB290^2))/(0.85*'Parametros'!$B$2)))*H290*AB290)</f>
        <v>399.641666666667</v>
      </c>
      <c r="Z290" s="17" t="n">
        <v>3</v>
      </c>
      <c r="AA290" s="18" t="n">
        <v>1</v>
      </c>
      <c r="AB290" s="10">
        <f>IF(AA290=1,I290-('Parametros'!$B$7+'Parametros'!$B$9+'Parametros'!$B$12/2),I290-(ROUNDUP(Z290/2,0)*('Parametros'!$B$7+'Parametros'!$B$9+'Parametros'!$B$12/2)+ROUNDDOWN(Z290/2,0)*('Parametros'!$B$7+'Parametros'!$B$9+'Parametros'!$B$12/2+'Parametros'!$B$12+'Parametros'!$B$10))/Z290)</f>
        <v>342.55</v>
      </c>
      <c r="AC290" s="10">
        <f>Z290*'Parametros'!$B$8</f>
        <v>597</v>
      </c>
      <c r="AD290" s="10">
        <f>'Parametros'!$B$5*AC290*'Parametros'!$B$3*(AB290-(AC290*'Parametros'!$B$3/(0.85*'Parametros'!$B$2*H290))/2)/1000000</f>
        <v>73.905520182353</v>
      </c>
      <c r="AE290" s="10" t="str">
        <f>IF(AD290&gt;=L290,"CUMPLE","NO CUMPLE")</f>
        <v>CUMPLE</v>
      </c>
      <c r="AF290" s="10">
        <f>V290*1.25*'Parametros'!$B$3*(U290-(V290*1.25*'Parametros'!$B$3/(0.85*'Parametros'!$B$2*H290))/2)/1000000</f>
        <v>101.467261323529</v>
      </c>
      <c r="AG290" s="10">
        <f>AC290*1.25*'Parametros'!$B$3*(AB290-(AC290*1.25*'Parametros'!$B$3/(0.85*'Parametros'!$B$2*H290))/2)/1000000</f>
        <v>101.467261323529</v>
      </c>
      <c r="AH290" s="10">
        <f>N290+(AF290+AG290)/D290</f>
        <v>159.123809058824</v>
      </c>
      <c r="AI290" s="10">
        <f>MIN(O290,MAX(N290,AH290))</f>
        <v>159.123809058824</v>
      </c>
      <c r="AJ290" s="10">
        <f>0.17*SQRT('Parametros'!$B$2)*H290*MIN(U290,AB290)/1000</f>
        <v>107.849951281016</v>
      </c>
      <c r="AK290" s="10">
        <f>MAX(AI290/'Parametros'!$B$6-AJ290,0)</f>
        <v>104.315127464082</v>
      </c>
      <c r="AL290" s="10">
        <f>0.66*SQRT('Parametros'!$B$2)*H290*MIN(U290,AB290)/1000</f>
        <v>418.711575561591</v>
      </c>
      <c r="AM290" s="10" t="str">
        <f>IF(AK290&lt;=AL290,"CUMPLE","NO CUMPLE")</f>
        <v>CUMPLE</v>
      </c>
      <c r="AN290" s="15" t="inlineStr">
        <is>
          <t>Nº3 cerrado</t>
        </is>
      </c>
      <c r="AO290" s="17" t="n">
        <v>2</v>
      </c>
      <c r="AP290" s="10">
        <f>ROUNDDOWN(MIN(IF(AK290=0,1000000000,AO290*'Parametros'!$B$11*'Parametros'!$B$4*MIN(U290,AB290)/(AK290*1000)),IF(AV290=0,1000000000,'Parametros'!$B$11/AV290),MIN(U290,AB290)/4,8*'Parametros'!$B$12,24*'Parametros'!$B$9,300)/10,0)*10</f>
        <v>80</v>
      </c>
      <c r="AQ290" s="10">
        <f>ROUNDDOWN(MIN(IF(AK290=0,1000000000,AO290*'Parametros'!$B$11*'Parametros'!$B$4*MIN(U290,AB290)/(AK290*1000)),IF(AV290=0,1000000000,'Parametros'!$B$11/AV290),MIN(U290,AB290)/2,600)/10,0)*10</f>
        <v>170</v>
      </c>
      <c r="AR290" s="10">
        <f>'Parametros'!$B$6*(AJ290+AO290*'Parametros'!$B$11*'Parametros'!$B$4*MIN(U290,AB290)/AP290/1000)</f>
        <v>272.415732210762</v>
      </c>
      <c r="AS290" s="10" t="str">
        <f>IF(AND(AM290="CUMPLE",AR290&gt;=AI290),"CUMPLE","NO CUMPLE")</f>
        <v>CUMPLE</v>
      </c>
      <c r="AT290" s="10">
        <f>'Parametros'!$B$6*0.083*SQRT('Parametros'!$B$2)*(H290*I290)^2/(2*(H290+I290))/1000000</f>
        <v>4.30410823283988</v>
      </c>
      <c r="AU290" s="10" t="str">
        <f>IF(Q290&lt;=AT290,"DESPRECIABLE","DISEÑAR")</f>
        <v>DESPRECIABLE</v>
      </c>
      <c r="AV290" s="10">
        <f>IF(Q290&lt;=AT290,0,Q290*1000000/('Parametros'!$B$6*2*0.85*(H290-2*'Parametros'!$B$7)*(I290-2*'Parametros'!$B$7)*'Parametros'!$B$4))</f>
        <v>0</v>
      </c>
      <c r="AW290" s="10">
        <f>AV290*2*((H290-2*'Parametros'!$B$7)+(I290-2*'Parametros'!$B$7))*'Parametros'!$B$4/'Parametros'!$B$3</f>
        <v>0</v>
      </c>
      <c r="AX290" s="17" t="n">
        <v>0</v>
      </c>
      <c r="AY290" s="10" t="str">
        <f>IF(AV290=0,"DESPRECIABLE",IF('Parametros'!$B$11/AP290&gt;=AV290,"CUMPLE","NO CUMPLE"))</f>
        <v>DESPRECIABLE</v>
      </c>
      <c r="AZ290" s="10" t="str">
        <f>IF(AND(X290="CUMPLE",AE290="CUMPLE",AS290="CUMPLE",OR(AY290="CUMPLE",AY290="DESPRECIABLE")),IF(OR(F290&lt;&gt;H290,G290&lt;&gt;I290),"CUMPLE - REANALIZAR SAP","CUMPLE"),"NO CUMPLE")</f>
        <v>CUMPLE</v>
      </c>
    </row>
    <row r="291">
      <c r="A291" s="24" t="inlineStr">
        <is>
          <t>VR1</t>
        </is>
      </c>
      <c r="B291" s="24" t="inlineStr">
        <is>
          <t>860</t>
        </is>
      </c>
      <c r="C291" s="10" t="n">
        <v>1</v>
      </c>
      <c r="D291" s="10" t="n">
        <v>2.6</v>
      </c>
      <c r="E291" s="10" t="n">
        <v>2.6</v>
      </c>
      <c r="F291" s="10" t="n">
        <v>350</v>
      </c>
      <c r="G291" s="10" t="n">
        <v>400</v>
      </c>
      <c r="H291" s="15" t="n">
        <v>350</v>
      </c>
      <c r="I291" s="15" t="n">
        <v>400</v>
      </c>
      <c r="J291" s="16" t="n">
        <v>62.4984</v>
      </c>
      <c r="K291" s="10" t="inlineStr">
        <is>
          <t>860</t>
        </is>
      </c>
      <c r="L291" s="16" t="n">
        <v>32.3655</v>
      </c>
      <c r="M291" s="10" t="inlineStr">
        <is>
          <t>860</t>
        </is>
      </c>
      <c r="N291" s="16" t="n">
        <v>74.164</v>
      </c>
      <c r="O291" s="16" t="n">
        <v>198.403</v>
      </c>
      <c r="P291" s="10" t="inlineStr">
        <is>
          <t>860</t>
        </is>
      </c>
      <c r="Q291" s="16" t="n">
        <v>0.2384</v>
      </c>
      <c r="R291" s="10">
        <f>MAX(MAX(1.4/'Parametros'!$B$3,0.25*SQRT('Parametros'!$B$2)/'Parametros'!$B$3)*H291*U291,(0.85*'Parametros'!$B$2/'Parametros'!$B$3)*(1-SQRT(1-2*(J291*1000000/('Parametros'!$B$5*H291*U291^2))/(0.85*'Parametros'!$B$2)))*H291*U291)</f>
        <v>501.157236423331</v>
      </c>
      <c r="S291" s="17" t="n">
        <v>3</v>
      </c>
      <c r="T291" s="18" t="n">
        <v>1</v>
      </c>
      <c r="U291" s="10">
        <f>IF(T291=1,I291-('Parametros'!$B$7+'Parametros'!$B$9+'Parametros'!$B$12/2),I291-(ROUNDUP(S291/2,0)*('Parametros'!$B$7+'Parametros'!$B$9+'Parametros'!$B$12/2)+ROUNDDOWN(S291/2,0)*('Parametros'!$B$7+'Parametros'!$B$9+'Parametros'!$B$12/2+'Parametros'!$B$12+'Parametros'!$B$10))/S291)</f>
        <v>342.55</v>
      </c>
      <c r="V291" s="10">
        <f>S291*'Parametros'!$B$8</f>
        <v>597</v>
      </c>
      <c r="W291" s="10">
        <f>'Parametros'!$B$5*V291*'Parametros'!$B$3*(U291-(V291*'Parametros'!$B$3/(0.85*'Parametros'!$B$2*H291))/2)/1000000</f>
        <v>73.905520182353</v>
      </c>
      <c r="X291" s="10" t="str">
        <f>IF(W291&gt;=J291,"CUMPLE","NO CUMPLE")</f>
        <v>CUMPLE</v>
      </c>
      <c r="Y291" s="10">
        <f>MAX(MAX(1.4/'Parametros'!$B$3,0.25*SQRT('Parametros'!$B$2)/'Parametros'!$B$3)*H291*AB291,(0.85*'Parametros'!$B$2/'Parametros'!$B$3)*(1-SQRT(1-2*(L291*1000000/('Parametros'!$B$5*H291*AB291^2))/(0.85*'Parametros'!$B$2)))*H291*AB291)</f>
        <v>399.641666666667</v>
      </c>
      <c r="Z291" s="17" t="n">
        <v>3</v>
      </c>
      <c r="AA291" s="18" t="n">
        <v>1</v>
      </c>
      <c r="AB291" s="10">
        <f>IF(AA291=1,I291-('Parametros'!$B$7+'Parametros'!$B$9+'Parametros'!$B$12/2),I291-(ROUNDUP(Z291/2,0)*('Parametros'!$B$7+'Parametros'!$B$9+'Parametros'!$B$12/2)+ROUNDDOWN(Z291/2,0)*('Parametros'!$B$7+'Parametros'!$B$9+'Parametros'!$B$12/2+'Parametros'!$B$12+'Parametros'!$B$10))/Z291)</f>
        <v>342.55</v>
      </c>
      <c r="AC291" s="10">
        <f>Z291*'Parametros'!$B$8</f>
        <v>597</v>
      </c>
      <c r="AD291" s="10">
        <f>'Parametros'!$B$5*AC291*'Parametros'!$B$3*(AB291-(AC291*'Parametros'!$B$3/(0.85*'Parametros'!$B$2*H291))/2)/1000000</f>
        <v>73.905520182353</v>
      </c>
      <c r="AE291" s="10" t="str">
        <f>IF(AD291&gt;=L291,"CUMPLE","NO CUMPLE")</f>
        <v>CUMPLE</v>
      </c>
      <c r="AF291" s="10">
        <f>V291*1.25*'Parametros'!$B$3*(U291-(V291*1.25*'Parametros'!$B$3/(0.85*'Parametros'!$B$2*H291))/2)/1000000</f>
        <v>101.467261323529</v>
      </c>
      <c r="AG291" s="10">
        <f>AC291*1.25*'Parametros'!$B$3*(AB291-(AC291*1.25*'Parametros'!$B$3/(0.85*'Parametros'!$B$2*H291))/2)/1000000</f>
        <v>101.467261323529</v>
      </c>
      <c r="AH291" s="10">
        <f>N291+(AF291+AG291)/D291</f>
        <v>152.215739479638</v>
      </c>
      <c r="AI291" s="10">
        <f>MIN(O291,MAX(N291,AH291))</f>
        <v>152.215739479638</v>
      </c>
      <c r="AJ291" s="10">
        <f>0.17*SQRT('Parametros'!$B$2)*H291*MIN(U291,AB291)/1000</f>
        <v>107.849951281016</v>
      </c>
      <c r="AK291" s="10">
        <f>MAX(AI291/'Parametros'!$B$6-AJ291,0)</f>
        <v>95.1043680251681</v>
      </c>
      <c r="AL291" s="10">
        <f>0.66*SQRT('Parametros'!$B$2)*H291*MIN(U291,AB291)/1000</f>
        <v>418.711575561591</v>
      </c>
      <c r="AM291" s="10" t="str">
        <f>IF(AK291&lt;=AL291,"CUMPLE","NO CUMPLE")</f>
        <v>CUMPLE</v>
      </c>
      <c r="AN291" s="15" t="inlineStr">
        <is>
          <t>Nº3 cerrado</t>
        </is>
      </c>
      <c r="AO291" s="17" t="n">
        <v>2</v>
      </c>
      <c r="AP291" s="10">
        <f>ROUNDDOWN(MIN(IF(AK291=0,1000000000,AO291*'Parametros'!$B$11*'Parametros'!$B$4*MIN(U291,AB291)/(AK291*1000)),IF(AV291=0,1000000000,'Parametros'!$B$11/AV291),MIN(U291,AB291)/4,8*'Parametros'!$B$12,24*'Parametros'!$B$9,300)/10,0)*10</f>
        <v>80</v>
      </c>
      <c r="AQ291" s="10">
        <f>ROUNDDOWN(MIN(IF(AK291=0,1000000000,AO291*'Parametros'!$B$11*'Parametros'!$B$4*MIN(U291,AB291)/(AK291*1000)),IF(AV291=0,1000000000,'Parametros'!$B$11/AV291),MIN(U291,AB291)/2,600)/10,0)*10</f>
        <v>170</v>
      </c>
      <c r="AR291" s="10">
        <f>'Parametros'!$B$6*(AJ291+AO291*'Parametros'!$B$11*'Parametros'!$B$4*MIN(U291,AB291)/AP291/1000)</f>
        <v>272.415732210762</v>
      </c>
      <c r="AS291" s="10" t="str">
        <f>IF(AND(AM291="CUMPLE",AR291&gt;=AI291),"CUMPLE","NO CUMPLE")</f>
        <v>CUMPLE</v>
      </c>
      <c r="AT291" s="10">
        <f>'Parametros'!$B$6*0.083*SQRT('Parametros'!$B$2)*(H291*I291)^2/(2*(H291+I291))/1000000</f>
        <v>4.30410823283988</v>
      </c>
      <c r="AU291" s="10" t="str">
        <f>IF(Q291&lt;=AT291,"DESPRECIABLE","DISEÑAR")</f>
        <v>DESPRECIABLE</v>
      </c>
      <c r="AV291" s="10">
        <f>IF(Q291&lt;=AT291,0,Q291*1000000/('Parametros'!$B$6*2*0.85*(H291-2*'Parametros'!$B$7)*(I291-2*'Parametros'!$B$7)*'Parametros'!$B$4))</f>
        <v>0</v>
      </c>
      <c r="AW291" s="10">
        <f>AV291*2*((H291-2*'Parametros'!$B$7)+(I291-2*'Parametros'!$B$7))*'Parametros'!$B$4/'Parametros'!$B$3</f>
        <v>0</v>
      </c>
      <c r="AX291" s="17" t="n">
        <v>0</v>
      </c>
      <c r="AY291" s="10" t="str">
        <f>IF(AV291=0,"DESPRECIABLE",IF('Parametros'!$B$11/AP291&gt;=AV291,"CUMPLE","NO CUMPLE"))</f>
        <v>DESPRECIABLE</v>
      </c>
      <c r="AZ291" s="10" t="str">
        <f>IF(AND(X291="CUMPLE",AE291="CUMPLE",AS291="CUMPLE",OR(AY291="CUMPLE",AY291="DESPRECIABLE")),IF(OR(F291&lt;&gt;H291,G291&lt;&gt;I291),"CUMPLE - REANALIZAR SAP","CUMPLE"),"NO CUMPLE")</f>
        <v>CUMPLE</v>
      </c>
    </row>
    <row r="292">
      <c r="A292" s="24" t="inlineStr">
        <is>
          <t>VR1</t>
        </is>
      </c>
      <c r="B292" s="24" t="inlineStr">
        <is>
          <t>861</t>
        </is>
      </c>
      <c r="C292" s="10" t="n">
        <v>1</v>
      </c>
      <c r="D292" s="10" t="n">
        <v>3.65</v>
      </c>
      <c r="E292" s="10" t="n">
        <v>3.65</v>
      </c>
      <c r="F292" s="10" t="n">
        <v>350</v>
      </c>
      <c r="G292" s="10" t="n">
        <v>400</v>
      </c>
      <c r="H292" s="15" t="n">
        <v>350</v>
      </c>
      <c r="I292" s="15" t="n">
        <v>400</v>
      </c>
      <c r="J292" s="16" t="n">
        <v>74.3771</v>
      </c>
      <c r="K292" s="10" t="inlineStr">
        <is>
          <t>861</t>
        </is>
      </c>
      <c r="L292" s="16" t="n">
        <v>25.7266</v>
      </c>
      <c r="M292" s="10" t="inlineStr">
        <is>
          <t>861</t>
        </is>
      </c>
      <c r="N292" s="16" t="n">
        <v>78.502</v>
      </c>
      <c r="O292" s="16" t="n">
        <v>166.414</v>
      </c>
      <c r="P292" s="10" t="inlineStr">
        <is>
          <t>861</t>
        </is>
      </c>
      <c r="Q292" s="16" t="n">
        <v>0.1482</v>
      </c>
      <c r="R292" s="10">
        <f>MAX(MAX(1.4/'Parametros'!$B$3,0.25*SQRT('Parametros'!$B$2)/'Parametros'!$B$3)*H292*U292,(0.85*'Parametros'!$B$2/'Parametros'!$B$3)*(1-SQRT(1-2*(J292*1000000/('Parametros'!$B$5*H292*U292^2))/(0.85*'Parametros'!$B$2)))*H292*U292)</f>
        <v>600.994146882139</v>
      </c>
      <c r="S292" s="17" t="n">
        <v>4</v>
      </c>
      <c r="T292" s="18" t="n">
        <v>1</v>
      </c>
      <c r="U292" s="10">
        <f>IF(T292=1,I292-('Parametros'!$B$7+'Parametros'!$B$9+'Parametros'!$B$12/2),I292-(ROUNDUP(S292/2,0)*('Parametros'!$B$7+'Parametros'!$B$9+'Parametros'!$B$12/2)+ROUNDDOWN(S292/2,0)*('Parametros'!$B$7+'Parametros'!$B$9+'Parametros'!$B$12/2+'Parametros'!$B$12+'Parametros'!$B$10))/S292)</f>
        <v>342.55</v>
      </c>
      <c r="V292" s="10">
        <f>S292*'Parametros'!$B$8</f>
        <v>796</v>
      </c>
      <c r="W292" s="10">
        <f>'Parametros'!$B$5*V292*'Parametros'!$B$3*(U292-(V292*'Parametros'!$B$3/(0.85*'Parametros'!$B$2*H292))/2)/1000000</f>
        <v>97.0311966352941</v>
      </c>
      <c r="X292" s="10" t="str">
        <f>IF(W292&gt;=J292,"CUMPLE","NO CUMPLE")</f>
        <v>CUMPLE</v>
      </c>
      <c r="Y292" s="10">
        <f>MAX(MAX(1.4/'Parametros'!$B$3,0.25*SQRT('Parametros'!$B$2)/'Parametros'!$B$3)*H292*AB292,(0.85*'Parametros'!$B$2/'Parametros'!$B$3)*(1-SQRT(1-2*(L292*1000000/('Parametros'!$B$5*H292*AB292^2))/(0.85*'Parametros'!$B$2)))*H292*AB292)</f>
        <v>399.641666666667</v>
      </c>
      <c r="Z292" s="17" t="n">
        <v>3</v>
      </c>
      <c r="AA292" s="18" t="n">
        <v>1</v>
      </c>
      <c r="AB292" s="10">
        <f>IF(AA292=1,I292-('Parametros'!$B$7+'Parametros'!$B$9+'Parametros'!$B$12/2),I292-(ROUNDUP(Z292/2,0)*('Parametros'!$B$7+'Parametros'!$B$9+'Parametros'!$B$12/2)+ROUNDDOWN(Z292/2,0)*('Parametros'!$B$7+'Parametros'!$B$9+'Parametros'!$B$12/2+'Parametros'!$B$12+'Parametros'!$B$10))/Z292)</f>
        <v>342.55</v>
      </c>
      <c r="AC292" s="10">
        <f>Z292*'Parametros'!$B$8</f>
        <v>597</v>
      </c>
      <c r="AD292" s="10">
        <f>'Parametros'!$B$5*AC292*'Parametros'!$B$3*(AB292-(AC292*'Parametros'!$B$3/(0.85*'Parametros'!$B$2*H292))/2)/1000000</f>
        <v>73.905520182353</v>
      </c>
      <c r="AE292" s="10" t="str">
        <f>IF(AD292&gt;=L292,"CUMPLE","NO CUMPLE")</f>
        <v>CUMPLE</v>
      </c>
      <c r="AF292" s="10">
        <f>V292*1.25*'Parametros'!$B$3*(U292-(V292*1.25*'Parametros'!$B$3/(0.85*'Parametros'!$B$2*H292))/2)/1000000</f>
        <v>132.669027352941</v>
      </c>
      <c r="AG292" s="10">
        <f>AC292*1.25*'Parametros'!$B$3*(AB292-(AC292*1.25*'Parametros'!$B$3/(0.85*'Parametros'!$B$2*H292))/2)/1000000</f>
        <v>101.467261323529</v>
      </c>
      <c r="AH292" s="10">
        <f>N292+(AF292+AG292)/D292</f>
        <v>142.648928404513</v>
      </c>
      <c r="AI292" s="10">
        <f>MIN(O292,MAX(N292,AH292))</f>
        <v>142.648928404513</v>
      </c>
      <c r="AJ292" s="10">
        <f>0.17*SQRT('Parametros'!$B$2)*H292*MIN(U292,AB292)/1000</f>
        <v>107.849951281016</v>
      </c>
      <c r="AK292" s="10">
        <f>MAX(AI292/'Parametros'!$B$6-AJ292,0)</f>
        <v>82.3486199250008</v>
      </c>
      <c r="AL292" s="10">
        <f>0.66*SQRT('Parametros'!$B$2)*H292*MIN(U292,AB292)/1000</f>
        <v>418.711575561591</v>
      </c>
      <c r="AM292" s="10" t="str">
        <f>IF(AK292&lt;=AL292,"CUMPLE","NO CUMPLE")</f>
        <v>CUMPLE</v>
      </c>
      <c r="AN292" s="15" t="inlineStr">
        <is>
          <t>Nº3 cerrado</t>
        </is>
      </c>
      <c r="AO292" s="17" t="n">
        <v>2</v>
      </c>
      <c r="AP292" s="10">
        <f>ROUNDDOWN(MIN(IF(AK292=0,1000000000,AO292*'Parametros'!$B$11*'Parametros'!$B$4*MIN(U292,AB292)/(AK292*1000)),IF(AV292=0,1000000000,'Parametros'!$B$11/AV292),MIN(U292,AB292)/4,8*'Parametros'!$B$12,24*'Parametros'!$B$9,300)/10,0)*10</f>
        <v>80</v>
      </c>
      <c r="AQ292" s="10">
        <f>ROUNDDOWN(MIN(IF(AK292=0,1000000000,AO292*'Parametros'!$B$11*'Parametros'!$B$4*MIN(U292,AB292)/(AK292*1000)),IF(AV292=0,1000000000,'Parametros'!$B$11/AV292),MIN(U292,AB292)/2,600)/10,0)*10</f>
        <v>170</v>
      </c>
      <c r="AR292" s="10">
        <f>'Parametros'!$B$6*(AJ292+AO292*'Parametros'!$B$11*'Parametros'!$B$4*MIN(U292,AB292)/AP292/1000)</f>
        <v>272.415732210762</v>
      </c>
      <c r="AS292" s="10" t="str">
        <f>IF(AND(AM292="CUMPLE",AR292&gt;=AI292),"CUMPLE","NO CUMPLE")</f>
        <v>CUMPLE</v>
      </c>
      <c r="AT292" s="10">
        <f>'Parametros'!$B$6*0.083*SQRT('Parametros'!$B$2)*(H292*I292)^2/(2*(H292+I292))/1000000</f>
        <v>4.30410823283988</v>
      </c>
      <c r="AU292" s="10" t="str">
        <f>IF(Q292&lt;=AT292,"DESPRECIABLE","DISEÑAR")</f>
        <v>DESPRECIABLE</v>
      </c>
      <c r="AV292" s="10">
        <f>IF(Q292&lt;=AT292,0,Q292*1000000/('Parametros'!$B$6*2*0.85*(H292-2*'Parametros'!$B$7)*(I292-2*'Parametros'!$B$7)*'Parametros'!$B$4))</f>
        <v>0</v>
      </c>
      <c r="AW292" s="10">
        <f>AV292*2*((H292-2*'Parametros'!$B$7)+(I292-2*'Parametros'!$B$7))*'Parametros'!$B$4/'Parametros'!$B$3</f>
        <v>0</v>
      </c>
      <c r="AX292" s="17" t="n">
        <v>0</v>
      </c>
      <c r="AY292" s="10" t="str">
        <f>IF(AV292=0,"DESPRECIABLE",IF('Parametros'!$B$11/AP292&gt;=AV292,"CUMPLE","NO CUMPLE"))</f>
        <v>DESPRECIABLE</v>
      </c>
      <c r="AZ292" s="10" t="str">
        <f>IF(AND(X292="CUMPLE",AE292="CUMPLE",AS292="CUMPLE",OR(AY292="CUMPLE",AY292="DESPRECIABLE")),IF(OR(F292&lt;&gt;H292,G292&lt;&gt;I292),"CUMPLE - REANALIZAR SAP","CUMPLE"),"NO CUMPLE")</f>
        <v>CUMPLE</v>
      </c>
    </row>
    <row r="293">
      <c r="A293" s="24" t="inlineStr">
        <is>
          <t>VR1</t>
        </is>
      </c>
      <c r="B293" s="24" t="inlineStr">
        <is>
          <t>862</t>
        </is>
      </c>
      <c r="C293" s="10" t="n">
        <v>1</v>
      </c>
      <c r="D293" s="10" t="n">
        <v>2.6</v>
      </c>
      <c r="E293" s="10" t="n">
        <v>2.6</v>
      </c>
      <c r="F293" s="10" t="n">
        <v>350</v>
      </c>
      <c r="G293" s="10" t="n">
        <v>400</v>
      </c>
      <c r="H293" s="15" t="n">
        <v>350</v>
      </c>
      <c r="I293" s="15" t="n">
        <v>400</v>
      </c>
      <c r="J293" s="16" t="n">
        <v>45.2501</v>
      </c>
      <c r="K293" s="10" t="inlineStr">
        <is>
          <t>862</t>
        </is>
      </c>
      <c r="L293" s="16" t="n">
        <v>21.2323</v>
      </c>
      <c r="M293" s="10" t="inlineStr">
        <is>
          <t>862</t>
        </is>
      </c>
      <c r="N293" s="16" t="n">
        <v>61.497</v>
      </c>
      <c r="O293" s="16" t="n">
        <v>147.463</v>
      </c>
      <c r="P293" s="10" t="inlineStr">
        <is>
          <t>862</t>
        </is>
      </c>
      <c r="Q293" s="16" t="n">
        <v>2.4215</v>
      </c>
      <c r="R293" s="10">
        <f>MAX(MAX(1.4/'Parametros'!$B$3,0.25*SQRT('Parametros'!$B$2)/'Parametros'!$B$3)*H293*U293,(0.85*'Parametros'!$B$2/'Parametros'!$B$3)*(1-SQRT(1-2*(J293*1000000/('Parametros'!$B$5*H293*U293^2))/(0.85*'Parametros'!$B$2)))*H293*U293)</f>
        <v>399.641666666667</v>
      </c>
      <c r="S293" s="17" t="n">
        <v>3</v>
      </c>
      <c r="T293" s="18" t="n">
        <v>1</v>
      </c>
      <c r="U293" s="10">
        <f>IF(T293=1,I293-('Parametros'!$B$7+'Parametros'!$B$9+'Parametros'!$B$12/2),I293-(ROUNDUP(S293/2,0)*('Parametros'!$B$7+'Parametros'!$B$9+'Parametros'!$B$12/2)+ROUNDDOWN(S293/2,0)*('Parametros'!$B$7+'Parametros'!$B$9+'Parametros'!$B$12/2+'Parametros'!$B$12+'Parametros'!$B$10))/S293)</f>
        <v>342.55</v>
      </c>
      <c r="V293" s="10">
        <f>S293*'Parametros'!$B$8</f>
        <v>597</v>
      </c>
      <c r="W293" s="10">
        <f>'Parametros'!$B$5*V293*'Parametros'!$B$3*(U293-(V293*'Parametros'!$B$3/(0.85*'Parametros'!$B$2*H293))/2)/1000000</f>
        <v>73.905520182353</v>
      </c>
      <c r="X293" s="10" t="str">
        <f>IF(W293&gt;=J293,"CUMPLE","NO CUMPLE")</f>
        <v>CUMPLE</v>
      </c>
      <c r="Y293" s="10">
        <f>MAX(MAX(1.4/'Parametros'!$B$3,0.25*SQRT('Parametros'!$B$2)/'Parametros'!$B$3)*H293*AB293,(0.85*'Parametros'!$B$2/'Parametros'!$B$3)*(1-SQRT(1-2*(L293*1000000/('Parametros'!$B$5*H293*AB293^2))/(0.85*'Parametros'!$B$2)))*H293*AB293)</f>
        <v>399.641666666667</v>
      </c>
      <c r="Z293" s="17" t="n">
        <v>3</v>
      </c>
      <c r="AA293" s="18" t="n">
        <v>1</v>
      </c>
      <c r="AB293" s="10">
        <f>IF(AA293=1,I293-('Parametros'!$B$7+'Parametros'!$B$9+'Parametros'!$B$12/2),I293-(ROUNDUP(Z293/2,0)*('Parametros'!$B$7+'Parametros'!$B$9+'Parametros'!$B$12/2)+ROUNDDOWN(Z293/2,0)*('Parametros'!$B$7+'Parametros'!$B$9+'Parametros'!$B$12/2+'Parametros'!$B$12+'Parametros'!$B$10))/Z293)</f>
        <v>342.55</v>
      </c>
      <c r="AC293" s="10">
        <f>Z293*'Parametros'!$B$8</f>
        <v>597</v>
      </c>
      <c r="AD293" s="10">
        <f>'Parametros'!$B$5*AC293*'Parametros'!$B$3*(AB293-(AC293*'Parametros'!$B$3/(0.85*'Parametros'!$B$2*H293))/2)/1000000</f>
        <v>73.905520182353</v>
      </c>
      <c r="AE293" s="10" t="str">
        <f>IF(AD293&gt;=L293,"CUMPLE","NO CUMPLE")</f>
        <v>CUMPLE</v>
      </c>
      <c r="AF293" s="10">
        <f>V293*1.25*'Parametros'!$B$3*(U293-(V293*1.25*'Parametros'!$B$3/(0.85*'Parametros'!$B$2*H293))/2)/1000000</f>
        <v>101.467261323529</v>
      </c>
      <c r="AG293" s="10">
        <f>AC293*1.25*'Parametros'!$B$3*(AB293-(AC293*1.25*'Parametros'!$B$3/(0.85*'Parametros'!$B$2*H293))/2)/1000000</f>
        <v>101.467261323529</v>
      </c>
      <c r="AH293" s="10">
        <f>N293+(AF293+AG293)/D293</f>
        <v>139.548739479638</v>
      </c>
      <c r="AI293" s="10">
        <f>MIN(O293,MAX(N293,AH293))</f>
        <v>139.548739479638</v>
      </c>
      <c r="AJ293" s="10">
        <f>0.17*SQRT('Parametros'!$B$2)*H293*MIN(U293,AB293)/1000</f>
        <v>107.849951281016</v>
      </c>
      <c r="AK293" s="10">
        <f>MAX(AI293/'Parametros'!$B$6-AJ293,0)</f>
        <v>78.2150346918348</v>
      </c>
      <c r="AL293" s="10">
        <f>0.66*SQRT('Parametros'!$B$2)*H293*MIN(U293,AB293)/1000</f>
        <v>418.711575561591</v>
      </c>
      <c r="AM293" s="10" t="str">
        <f>IF(AK293&lt;=AL293,"CUMPLE","NO CUMPLE")</f>
        <v>CUMPLE</v>
      </c>
      <c r="AN293" s="15" t="inlineStr">
        <is>
          <t>Nº3 cerrado</t>
        </is>
      </c>
      <c r="AO293" s="17" t="n">
        <v>2</v>
      </c>
      <c r="AP293" s="10">
        <f>ROUNDDOWN(MIN(IF(AK293=0,1000000000,AO293*'Parametros'!$B$11*'Parametros'!$B$4*MIN(U293,AB293)/(AK293*1000)),IF(AV293=0,1000000000,'Parametros'!$B$11/AV293),MIN(U293,AB293)/4,8*'Parametros'!$B$12,24*'Parametros'!$B$9,300)/10,0)*10</f>
        <v>80</v>
      </c>
      <c r="AQ293" s="10">
        <f>ROUNDDOWN(MIN(IF(AK293=0,1000000000,AO293*'Parametros'!$B$11*'Parametros'!$B$4*MIN(U293,AB293)/(AK293*1000)),IF(AV293=0,1000000000,'Parametros'!$B$11/AV293),MIN(U293,AB293)/2,600)/10,0)*10</f>
        <v>170</v>
      </c>
      <c r="AR293" s="10">
        <f>'Parametros'!$B$6*(AJ293+AO293*'Parametros'!$B$11*'Parametros'!$B$4*MIN(U293,AB293)/AP293/1000)</f>
        <v>272.415732210762</v>
      </c>
      <c r="AS293" s="10" t="str">
        <f>IF(AND(AM293="CUMPLE",AR293&gt;=AI293),"CUMPLE","NO CUMPLE")</f>
        <v>CUMPLE</v>
      </c>
      <c r="AT293" s="10">
        <f>'Parametros'!$B$6*0.083*SQRT('Parametros'!$B$2)*(H293*I293)^2/(2*(H293+I293))/1000000</f>
        <v>4.30410823283988</v>
      </c>
      <c r="AU293" s="10" t="str">
        <f>IF(Q293&lt;=AT293,"DESPRECIABLE","DISEÑAR")</f>
        <v>DESPRECIABLE</v>
      </c>
      <c r="AV293" s="10">
        <f>IF(Q293&lt;=AT293,0,Q293*1000000/('Parametros'!$B$6*2*0.85*(H293-2*'Parametros'!$B$7)*(I293-2*'Parametros'!$B$7)*'Parametros'!$B$4))</f>
        <v>0</v>
      </c>
      <c r="AW293" s="10">
        <f>AV293*2*((H293-2*'Parametros'!$B$7)+(I293-2*'Parametros'!$B$7))*'Parametros'!$B$4/'Parametros'!$B$3</f>
        <v>0</v>
      </c>
      <c r="AX293" s="17" t="n">
        <v>0</v>
      </c>
      <c r="AY293" s="10" t="str">
        <f>IF(AV293=0,"DESPRECIABLE",IF('Parametros'!$B$11/AP293&gt;=AV293,"CUMPLE","NO CUMPLE"))</f>
        <v>DESPRECIABLE</v>
      </c>
      <c r="AZ293" s="10" t="str">
        <f>IF(AND(X293="CUMPLE",AE293="CUMPLE",AS293="CUMPLE",OR(AY293="CUMPLE",AY293="DESPRECIABLE")),IF(OR(F293&lt;&gt;H293,G293&lt;&gt;I293),"CUMPLE - REANALIZAR SAP","CUMPLE"),"NO CUMPLE")</f>
        <v>CUMPLE</v>
      </c>
    </row>
    <row r="294">
      <c r="A294" s="24" t="inlineStr">
        <is>
          <t>VR1</t>
        </is>
      </c>
      <c r="B294" s="24" t="inlineStr">
        <is>
          <t>897</t>
        </is>
      </c>
      <c r="C294" s="10" t="n">
        <v>1</v>
      </c>
      <c r="D294" s="10" t="n">
        <v>2.6</v>
      </c>
      <c r="E294" s="10" t="n">
        <v>2.6</v>
      </c>
      <c r="F294" s="10" t="n">
        <v>350</v>
      </c>
      <c r="G294" s="10" t="n">
        <v>400</v>
      </c>
      <c r="H294" s="15" t="n">
        <v>350</v>
      </c>
      <c r="I294" s="15" t="n">
        <v>400</v>
      </c>
      <c r="J294" s="16" t="n">
        <v>45.3309</v>
      </c>
      <c r="K294" s="10" t="inlineStr">
        <is>
          <t>897</t>
        </is>
      </c>
      <c r="L294" s="16" t="n">
        <v>21.1859</v>
      </c>
      <c r="M294" s="10" t="inlineStr">
        <is>
          <t>897</t>
        </is>
      </c>
      <c r="N294" s="16" t="n">
        <v>61.554</v>
      </c>
      <c r="O294" s="16" t="n">
        <v>147.518</v>
      </c>
      <c r="P294" s="10" t="inlineStr">
        <is>
          <t>897</t>
        </is>
      </c>
      <c r="Q294" s="16" t="n">
        <v>2.4219</v>
      </c>
      <c r="R294" s="10">
        <f>MAX(MAX(1.4/'Parametros'!$B$3,0.25*SQRT('Parametros'!$B$2)/'Parametros'!$B$3)*H294*U294,(0.85*'Parametros'!$B$2/'Parametros'!$B$3)*(1-SQRT(1-2*(J294*1000000/('Parametros'!$B$5*H294*U294^2))/(0.85*'Parametros'!$B$2)))*H294*U294)</f>
        <v>399.641666666667</v>
      </c>
      <c r="S294" s="17" t="n">
        <v>3</v>
      </c>
      <c r="T294" s="18" t="n">
        <v>1</v>
      </c>
      <c r="U294" s="10">
        <f>IF(T294=1,I294-('Parametros'!$B$7+'Parametros'!$B$9+'Parametros'!$B$12/2),I294-(ROUNDUP(S294/2,0)*('Parametros'!$B$7+'Parametros'!$B$9+'Parametros'!$B$12/2)+ROUNDDOWN(S294/2,0)*('Parametros'!$B$7+'Parametros'!$B$9+'Parametros'!$B$12/2+'Parametros'!$B$12+'Parametros'!$B$10))/S294)</f>
        <v>342.55</v>
      </c>
      <c r="V294" s="10">
        <f>S294*'Parametros'!$B$8</f>
        <v>597</v>
      </c>
      <c r="W294" s="10">
        <f>'Parametros'!$B$5*V294*'Parametros'!$B$3*(U294-(V294*'Parametros'!$B$3/(0.85*'Parametros'!$B$2*H294))/2)/1000000</f>
        <v>73.905520182353</v>
      </c>
      <c r="X294" s="10" t="str">
        <f>IF(W294&gt;=J294,"CUMPLE","NO CUMPLE")</f>
        <v>CUMPLE</v>
      </c>
      <c r="Y294" s="10">
        <f>MAX(MAX(1.4/'Parametros'!$B$3,0.25*SQRT('Parametros'!$B$2)/'Parametros'!$B$3)*H294*AB294,(0.85*'Parametros'!$B$2/'Parametros'!$B$3)*(1-SQRT(1-2*(L294*1000000/('Parametros'!$B$5*H294*AB294^2))/(0.85*'Parametros'!$B$2)))*H294*AB294)</f>
        <v>399.641666666667</v>
      </c>
      <c r="Z294" s="17" t="n">
        <v>3</v>
      </c>
      <c r="AA294" s="18" t="n">
        <v>1</v>
      </c>
      <c r="AB294" s="10">
        <f>IF(AA294=1,I294-('Parametros'!$B$7+'Parametros'!$B$9+'Parametros'!$B$12/2),I294-(ROUNDUP(Z294/2,0)*('Parametros'!$B$7+'Parametros'!$B$9+'Parametros'!$B$12/2)+ROUNDDOWN(Z294/2,0)*('Parametros'!$B$7+'Parametros'!$B$9+'Parametros'!$B$12/2+'Parametros'!$B$12+'Parametros'!$B$10))/Z294)</f>
        <v>342.55</v>
      </c>
      <c r="AC294" s="10">
        <f>Z294*'Parametros'!$B$8</f>
        <v>597</v>
      </c>
      <c r="AD294" s="10">
        <f>'Parametros'!$B$5*AC294*'Parametros'!$B$3*(AB294-(AC294*'Parametros'!$B$3/(0.85*'Parametros'!$B$2*H294))/2)/1000000</f>
        <v>73.905520182353</v>
      </c>
      <c r="AE294" s="10" t="str">
        <f>IF(AD294&gt;=L294,"CUMPLE","NO CUMPLE")</f>
        <v>CUMPLE</v>
      </c>
      <c r="AF294" s="10">
        <f>V294*1.25*'Parametros'!$B$3*(U294-(V294*1.25*'Parametros'!$B$3/(0.85*'Parametros'!$B$2*H294))/2)/1000000</f>
        <v>101.467261323529</v>
      </c>
      <c r="AG294" s="10">
        <f>AC294*1.25*'Parametros'!$B$3*(AB294-(AC294*1.25*'Parametros'!$B$3/(0.85*'Parametros'!$B$2*H294))/2)/1000000</f>
        <v>101.467261323529</v>
      </c>
      <c r="AH294" s="10">
        <f>N294+(AF294+AG294)/D294</f>
        <v>139.605739479638</v>
      </c>
      <c r="AI294" s="10">
        <f>MIN(O294,MAX(N294,AH294))</f>
        <v>139.605739479638</v>
      </c>
      <c r="AJ294" s="10">
        <f>0.17*SQRT('Parametros'!$B$2)*H294*MIN(U294,AB294)/1000</f>
        <v>107.849951281016</v>
      </c>
      <c r="AK294" s="10">
        <f>MAX(AI294/'Parametros'!$B$6-AJ294,0)</f>
        <v>78.2910346918348</v>
      </c>
      <c r="AL294" s="10">
        <f>0.66*SQRT('Parametros'!$B$2)*H294*MIN(U294,AB294)/1000</f>
        <v>418.711575561591</v>
      </c>
      <c r="AM294" s="10" t="str">
        <f>IF(AK294&lt;=AL294,"CUMPLE","NO CUMPLE")</f>
        <v>CUMPLE</v>
      </c>
      <c r="AN294" s="15" t="inlineStr">
        <is>
          <t>Nº3 cerrado</t>
        </is>
      </c>
      <c r="AO294" s="17" t="n">
        <v>2</v>
      </c>
      <c r="AP294" s="10">
        <f>ROUNDDOWN(MIN(IF(AK294=0,1000000000,AO294*'Parametros'!$B$11*'Parametros'!$B$4*MIN(U294,AB294)/(AK294*1000)),IF(AV294=0,1000000000,'Parametros'!$B$11/AV294),MIN(U294,AB294)/4,8*'Parametros'!$B$12,24*'Parametros'!$B$9,300)/10,0)*10</f>
        <v>80</v>
      </c>
      <c r="AQ294" s="10">
        <f>ROUNDDOWN(MIN(IF(AK294=0,1000000000,AO294*'Parametros'!$B$11*'Parametros'!$B$4*MIN(U294,AB294)/(AK294*1000)),IF(AV294=0,1000000000,'Parametros'!$B$11/AV294),MIN(U294,AB294)/2,600)/10,0)*10</f>
        <v>170</v>
      </c>
      <c r="AR294" s="10">
        <f>'Parametros'!$B$6*(AJ294+AO294*'Parametros'!$B$11*'Parametros'!$B$4*MIN(U294,AB294)/AP294/1000)</f>
        <v>272.415732210762</v>
      </c>
      <c r="AS294" s="10" t="str">
        <f>IF(AND(AM294="CUMPLE",AR294&gt;=AI294),"CUMPLE","NO CUMPLE")</f>
        <v>CUMPLE</v>
      </c>
      <c r="AT294" s="10">
        <f>'Parametros'!$B$6*0.083*SQRT('Parametros'!$B$2)*(H294*I294)^2/(2*(H294+I294))/1000000</f>
        <v>4.30410823283988</v>
      </c>
      <c r="AU294" s="10" t="str">
        <f>IF(Q294&lt;=AT294,"DESPRECIABLE","DISEÑAR")</f>
        <v>DESPRECIABLE</v>
      </c>
      <c r="AV294" s="10">
        <f>IF(Q294&lt;=AT294,0,Q294*1000000/('Parametros'!$B$6*2*0.85*(H294-2*'Parametros'!$B$7)*(I294-2*'Parametros'!$B$7)*'Parametros'!$B$4))</f>
        <v>0</v>
      </c>
      <c r="AW294" s="10">
        <f>AV294*2*((H294-2*'Parametros'!$B$7)+(I294-2*'Parametros'!$B$7))*'Parametros'!$B$4/'Parametros'!$B$3</f>
        <v>0</v>
      </c>
      <c r="AX294" s="17" t="n">
        <v>0</v>
      </c>
      <c r="AY294" s="10" t="str">
        <f>IF(AV294=0,"DESPRECIABLE",IF('Parametros'!$B$11/AP294&gt;=AV294,"CUMPLE","NO CUMPLE"))</f>
        <v>DESPRECIABLE</v>
      </c>
      <c r="AZ294" s="10" t="str">
        <f>IF(AND(X294="CUMPLE",AE294="CUMPLE",AS294="CUMPLE",OR(AY294="CUMPLE",AY294="DESPRECIABLE")),IF(OR(F294&lt;&gt;H294,G294&lt;&gt;I294),"CUMPLE - REANALIZAR SAP","CUMPLE"),"NO CUMPLE")</f>
        <v>CUMPLE</v>
      </c>
    </row>
    <row r="295">
      <c r="A295" s="24" t="inlineStr">
        <is>
          <t>VR1</t>
        </is>
      </c>
      <c r="B295" s="24" t="inlineStr">
        <is>
          <t>898</t>
        </is>
      </c>
      <c r="C295" s="10" t="n">
        <v>1</v>
      </c>
      <c r="D295" s="10" t="n">
        <v>3.65</v>
      </c>
      <c r="E295" s="10" t="n">
        <v>3.65</v>
      </c>
      <c r="F295" s="10" t="n">
        <v>350</v>
      </c>
      <c r="G295" s="10" t="n">
        <v>400</v>
      </c>
      <c r="H295" s="15" t="n">
        <v>350</v>
      </c>
      <c r="I295" s="15" t="n">
        <v>400</v>
      </c>
      <c r="J295" s="16" t="n">
        <v>74.2821</v>
      </c>
      <c r="K295" s="10" t="inlineStr">
        <is>
          <t>898</t>
        </is>
      </c>
      <c r="L295" s="16" t="n">
        <v>25.7756</v>
      </c>
      <c r="M295" s="10" t="inlineStr">
        <is>
          <t>898</t>
        </is>
      </c>
      <c r="N295" s="16" t="n">
        <v>78.45</v>
      </c>
      <c r="O295" s="16" t="n">
        <v>166.365</v>
      </c>
      <c r="P295" s="10" t="inlineStr">
        <is>
          <t>898</t>
        </is>
      </c>
      <c r="Q295" s="16" t="n">
        <v>0.1479</v>
      </c>
      <c r="R295" s="10">
        <f>MAX(MAX(1.4/'Parametros'!$B$3,0.25*SQRT('Parametros'!$B$2)/'Parametros'!$B$3)*H295*U295,(0.85*'Parametros'!$B$2/'Parametros'!$B$3)*(1-SQRT(1-2*(J295*1000000/('Parametros'!$B$5*H295*U295^2))/(0.85*'Parametros'!$B$2)))*H295*U295)</f>
        <v>600.189316736687</v>
      </c>
      <c r="S295" s="17" t="n">
        <v>4</v>
      </c>
      <c r="T295" s="18" t="n">
        <v>1</v>
      </c>
      <c r="U295" s="10">
        <f>IF(T295=1,I295-('Parametros'!$B$7+'Parametros'!$B$9+'Parametros'!$B$12/2),I295-(ROUNDUP(S295/2,0)*('Parametros'!$B$7+'Parametros'!$B$9+'Parametros'!$B$12/2)+ROUNDDOWN(S295/2,0)*('Parametros'!$B$7+'Parametros'!$B$9+'Parametros'!$B$12/2+'Parametros'!$B$12+'Parametros'!$B$10))/S295)</f>
        <v>342.55</v>
      </c>
      <c r="V295" s="10">
        <f>S295*'Parametros'!$B$8</f>
        <v>796</v>
      </c>
      <c r="W295" s="10">
        <f>'Parametros'!$B$5*V295*'Parametros'!$B$3*(U295-(V295*'Parametros'!$B$3/(0.85*'Parametros'!$B$2*H295))/2)/1000000</f>
        <v>97.0311966352941</v>
      </c>
      <c r="X295" s="10" t="str">
        <f>IF(W295&gt;=J295,"CUMPLE","NO CUMPLE")</f>
        <v>CUMPLE</v>
      </c>
      <c r="Y295" s="10">
        <f>MAX(MAX(1.4/'Parametros'!$B$3,0.25*SQRT('Parametros'!$B$2)/'Parametros'!$B$3)*H295*AB295,(0.85*'Parametros'!$B$2/'Parametros'!$B$3)*(1-SQRT(1-2*(L295*1000000/('Parametros'!$B$5*H295*AB295^2))/(0.85*'Parametros'!$B$2)))*H295*AB295)</f>
        <v>399.641666666667</v>
      </c>
      <c r="Z295" s="17" t="n">
        <v>3</v>
      </c>
      <c r="AA295" s="18" t="n">
        <v>1</v>
      </c>
      <c r="AB295" s="10">
        <f>IF(AA295=1,I295-('Parametros'!$B$7+'Parametros'!$B$9+'Parametros'!$B$12/2),I295-(ROUNDUP(Z295/2,0)*('Parametros'!$B$7+'Parametros'!$B$9+'Parametros'!$B$12/2)+ROUNDDOWN(Z295/2,0)*('Parametros'!$B$7+'Parametros'!$B$9+'Parametros'!$B$12/2+'Parametros'!$B$12+'Parametros'!$B$10))/Z295)</f>
        <v>342.55</v>
      </c>
      <c r="AC295" s="10">
        <f>Z295*'Parametros'!$B$8</f>
        <v>597</v>
      </c>
      <c r="AD295" s="10">
        <f>'Parametros'!$B$5*AC295*'Parametros'!$B$3*(AB295-(AC295*'Parametros'!$B$3/(0.85*'Parametros'!$B$2*H295))/2)/1000000</f>
        <v>73.905520182353</v>
      </c>
      <c r="AE295" s="10" t="str">
        <f>IF(AD295&gt;=L295,"CUMPLE","NO CUMPLE")</f>
        <v>CUMPLE</v>
      </c>
      <c r="AF295" s="10">
        <f>V295*1.25*'Parametros'!$B$3*(U295-(V295*1.25*'Parametros'!$B$3/(0.85*'Parametros'!$B$2*H295))/2)/1000000</f>
        <v>132.669027352941</v>
      </c>
      <c r="AG295" s="10">
        <f>AC295*1.25*'Parametros'!$B$3*(AB295-(AC295*1.25*'Parametros'!$B$3/(0.85*'Parametros'!$B$2*H295))/2)/1000000</f>
        <v>101.467261323529</v>
      </c>
      <c r="AH295" s="10">
        <f>N295+(AF295+AG295)/D295</f>
        <v>142.596928404512</v>
      </c>
      <c r="AI295" s="10">
        <f>MIN(O295,MAX(N295,AH295))</f>
        <v>142.596928404512</v>
      </c>
      <c r="AJ295" s="10">
        <f>0.17*SQRT('Parametros'!$B$2)*H295*MIN(U295,AB295)/1000</f>
        <v>107.849951281016</v>
      </c>
      <c r="AK295" s="10">
        <f>MAX(AI295/'Parametros'!$B$6-AJ295,0)</f>
        <v>82.2792865916674</v>
      </c>
      <c r="AL295" s="10">
        <f>0.66*SQRT('Parametros'!$B$2)*H295*MIN(U295,AB295)/1000</f>
        <v>418.711575561591</v>
      </c>
      <c r="AM295" s="10" t="str">
        <f>IF(AK295&lt;=AL295,"CUMPLE","NO CUMPLE")</f>
        <v>CUMPLE</v>
      </c>
      <c r="AN295" s="15" t="inlineStr">
        <is>
          <t>Nº3 cerrado</t>
        </is>
      </c>
      <c r="AO295" s="17" t="n">
        <v>2</v>
      </c>
      <c r="AP295" s="10">
        <f>ROUNDDOWN(MIN(IF(AK295=0,1000000000,AO295*'Parametros'!$B$11*'Parametros'!$B$4*MIN(U295,AB295)/(AK295*1000)),IF(AV295=0,1000000000,'Parametros'!$B$11/AV295),MIN(U295,AB295)/4,8*'Parametros'!$B$12,24*'Parametros'!$B$9,300)/10,0)*10</f>
        <v>80</v>
      </c>
      <c r="AQ295" s="10">
        <f>ROUNDDOWN(MIN(IF(AK295=0,1000000000,AO295*'Parametros'!$B$11*'Parametros'!$B$4*MIN(U295,AB295)/(AK295*1000)),IF(AV295=0,1000000000,'Parametros'!$B$11/AV295),MIN(U295,AB295)/2,600)/10,0)*10</f>
        <v>170</v>
      </c>
      <c r="AR295" s="10">
        <f>'Parametros'!$B$6*(AJ295+AO295*'Parametros'!$B$11*'Parametros'!$B$4*MIN(U295,AB295)/AP295/1000)</f>
        <v>272.415732210762</v>
      </c>
      <c r="AS295" s="10" t="str">
        <f>IF(AND(AM295="CUMPLE",AR295&gt;=AI295),"CUMPLE","NO CUMPLE")</f>
        <v>CUMPLE</v>
      </c>
      <c r="AT295" s="10">
        <f>'Parametros'!$B$6*0.083*SQRT('Parametros'!$B$2)*(H295*I295)^2/(2*(H295+I295))/1000000</f>
        <v>4.30410823283988</v>
      </c>
      <c r="AU295" s="10" t="str">
        <f>IF(Q295&lt;=AT295,"DESPRECIABLE","DISEÑAR")</f>
        <v>DESPRECIABLE</v>
      </c>
      <c r="AV295" s="10">
        <f>IF(Q295&lt;=AT295,0,Q295*1000000/('Parametros'!$B$6*2*0.85*(H295-2*'Parametros'!$B$7)*(I295-2*'Parametros'!$B$7)*'Parametros'!$B$4))</f>
        <v>0</v>
      </c>
      <c r="AW295" s="10">
        <f>AV295*2*((H295-2*'Parametros'!$B$7)+(I295-2*'Parametros'!$B$7))*'Parametros'!$B$4/'Parametros'!$B$3</f>
        <v>0</v>
      </c>
      <c r="AX295" s="17" t="n">
        <v>0</v>
      </c>
      <c r="AY295" s="10" t="str">
        <f>IF(AV295=0,"DESPRECIABLE",IF('Parametros'!$B$11/AP295&gt;=AV295,"CUMPLE","NO CUMPLE"))</f>
        <v>DESPRECIABLE</v>
      </c>
      <c r="AZ295" s="10" t="str">
        <f>IF(AND(X295="CUMPLE",AE295="CUMPLE",AS295="CUMPLE",OR(AY295="CUMPLE",AY295="DESPRECIABLE")),IF(OR(F295&lt;&gt;H295,G295&lt;&gt;I295),"CUMPLE - REANALIZAR SAP","CUMPLE"),"NO CUMPLE")</f>
        <v>CUMPLE</v>
      </c>
    </row>
    <row r="296">
      <c r="A296" s="24" t="inlineStr">
        <is>
          <t>VR1</t>
        </is>
      </c>
      <c r="B296" s="24" t="inlineStr">
        <is>
          <t>899</t>
        </is>
      </c>
      <c r="C296" s="10" t="n">
        <v>1</v>
      </c>
      <c r="D296" s="10" t="n">
        <v>2.6</v>
      </c>
      <c r="E296" s="10" t="n">
        <v>2.6</v>
      </c>
      <c r="F296" s="10" t="n">
        <v>350</v>
      </c>
      <c r="G296" s="10" t="n">
        <v>400</v>
      </c>
      <c r="H296" s="15" t="n">
        <v>350</v>
      </c>
      <c r="I296" s="15" t="n">
        <v>400</v>
      </c>
      <c r="J296" s="16" t="n">
        <v>62.5999</v>
      </c>
      <c r="K296" s="10" t="inlineStr">
        <is>
          <t>899</t>
        </is>
      </c>
      <c r="L296" s="16" t="n">
        <v>32.4225</v>
      </c>
      <c r="M296" s="10" t="inlineStr">
        <is>
          <t>899</t>
        </is>
      </c>
      <c r="N296" s="16" t="n">
        <v>74.24299999999999</v>
      </c>
      <c r="O296" s="16" t="n">
        <v>198.479</v>
      </c>
      <c r="P296" s="10" t="inlineStr">
        <is>
          <t>899</t>
        </is>
      </c>
      <c r="Q296" s="16" t="n">
        <v>0.2391</v>
      </c>
      <c r="R296" s="10">
        <f>MAX(MAX(1.4/'Parametros'!$B$3,0.25*SQRT('Parametros'!$B$2)/'Parametros'!$B$3)*H296*U296,(0.85*'Parametros'!$B$2/'Parametros'!$B$3)*(1-SQRT(1-2*(J296*1000000/('Parametros'!$B$5*H296*U296^2))/(0.85*'Parametros'!$B$2)))*H296*U296)</f>
        <v>502.003603198417</v>
      </c>
      <c r="S296" s="17" t="n">
        <v>3</v>
      </c>
      <c r="T296" s="18" t="n">
        <v>1</v>
      </c>
      <c r="U296" s="10">
        <f>IF(T296=1,I296-('Parametros'!$B$7+'Parametros'!$B$9+'Parametros'!$B$12/2),I296-(ROUNDUP(S296/2,0)*('Parametros'!$B$7+'Parametros'!$B$9+'Parametros'!$B$12/2)+ROUNDDOWN(S296/2,0)*('Parametros'!$B$7+'Parametros'!$B$9+'Parametros'!$B$12/2+'Parametros'!$B$12+'Parametros'!$B$10))/S296)</f>
        <v>342.55</v>
      </c>
      <c r="V296" s="10">
        <f>S296*'Parametros'!$B$8</f>
        <v>597</v>
      </c>
      <c r="W296" s="10">
        <f>'Parametros'!$B$5*V296*'Parametros'!$B$3*(U296-(V296*'Parametros'!$B$3/(0.85*'Parametros'!$B$2*H296))/2)/1000000</f>
        <v>73.905520182353</v>
      </c>
      <c r="X296" s="10" t="str">
        <f>IF(W296&gt;=J296,"CUMPLE","NO CUMPLE")</f>
        <v>CUMPLE</v>
      </c>
      <c r="Y296" s="10">
        <f>MAX(MAX(1.4/'Parametros'!$B$3,0.25*SQRT('Parametros'!$B$2)/'Parametros'!$B$3)*H296*AB296,(0.85*'Parametros'!$B$2/'Parametros'!$B$3)*(1-SQRT(1-2*(L296*1000000/('Parametros'!$B$5*H296*AB296^2))/(0.85*'Parametros'!$B$2)))*H296*AB296)</f>
        <v>399.641666666667</v>
      </c>
      <c r="Z296" s="17" t="n">
        <v>3</v>
      </c>
      <c r="AA296" s="18" t="n">
        <v>1</v>
      </c>
      <c r="AB296" s="10">
        <f>IF(AA296=1,I296-('Parametros'!$B$7+'Parametros'!$B$9+'Parametros'!$B$12/2),I296-(ROUNDUP(Z296/2,0)*('Parametros'!$B$7+'Parametros'!$B$9+'Parametros'!$B$12/2)+ROUNDDOWN(Z296/2,0)*('Parametros'!$B$7+'Parametros'!$B$9+'Parametros'!$B$12/2+'Parametros'!$B$12+'Parametros'!$B$10))/Z296)</f>
        <v>342.55</v>
      </c>
      <c r="AC296" s="10">
        <f>Z296*'Parametros'!$B$8</f>
        <v>597</v>
      </c>
      <c r="AD296" s="10">
        <f>'Parametros'!$B$5*AC296*'Parametros'!$B$3*(AB296-(AC296*'Parametros'!$B$3/(0.85*'Parametros'!$B$2*H296))/2)/1000000</f>
        <v>73.905520182353</v>
      </c>
      <c r="AE296" s="10" t="str">
        <f>IF(AD296&gt;=L296,"CUMPLE","NO CUMPLE")</f>
        <v>CUMPLE</v>
      </c>
      <c r="AF296" s="10">
        <f>V296*1.25*'Parametros'!$B$3*(U296-(V296*1.25*'Parametros'!$B$3/(0.85*'Parametros'!$B$2*H296))/2)/1000000</f>
        <v>101.467261323529</v>
      </c>
      <c r="AG296" s="10">
        <f>AC296*1.25*'Parametros'!$B$3*(AB296-(AC296*1.25*'Parametros'!$B$3/(0.85*'Parametros'!$B$2*H296))/2)/1000000</f>
        <v>101.467261323529</v>
      </c>
      <c r="AH296" s="10">
        <f>N296+(AF296+AG296)/D296</f>
        <v>152.294739479638</v>
      </c>
      <c r="AI296" s="10">
        <f>MIN(O296,MAX(N296,AH296))</f>
        <v>152.294739479638</v>
      </c>
      <c r="AJ296" s="10">
        <f>0.17*SQRT('Parametros'!$B$2)*H296*MIN(U296,AB296)/1000</f>
        <v>107.849951281016</v>
      </c>
      <c r="AK296" s="10">
        <f>MAX(AI296/'Parametros'!$B$6-AJ296,0)</f>
        <v>95.2097013585014</v>
      </c>
      <c r="AL296" s="10">
        <f>0.66*SQRT('Parametros'!$B$2)*H296*MIN(U296,AB296)/1000</f>
        <v>418.711575561591</v>
      </c>
      <c r="AM296" s="10" t="str">
        <f>IF(AK296&lt;=AL296,"CUMPLE","NO CUMPLE")</f>
        <v>CUMPLE</v>
      </c>
      <c r="AN296" s="15" t="inlineStr">
        <is>
          <t>Nº3 cerrado</t>
        </is>
      </c>
      <c r="AO296" s="17" t="n">
        <v>2</v>
      </c>
      <c r="AP296" s="10">
        <f>ROUNDDOWN(MIN(IF(AK296=0,1000000000,AO296*'Parametros'!$B$11*'Parametros'!$B$4*MIN(U296,AB296)/(AK296*1000)),IF(AV296=0,1000000000,'Parametros'!$B$11/AV296),MIN(U296,AB296)/4,8*'Parametros'!$B$12,24*'Parametros'!$B$9,300)/10,0)*10</f>
        <v>80</v>
      </c>
      <c r="AQ296" s="10">
        <f>ROUNDDOWN(MIN(IF(AK296=0,1000000000,AO296*'Parametros'!$B$11*'Parametros'!$B$4*MIN(U296,AB296)/(AK296*1000)),IF(AV296=0,1000000000,'Parametros'!$B$11/AV296),MIN(U296,AB296)/2,600)/10,0)*10</f>
        <v>170</v>
      </c>
      <c r="AR296" s="10">
        <f>'Parametros'!$B$6*(AJ296+AO296*'Parametros'!$B$11*'Parametros'!$B$4*MIN(U296,AB296)/AP296/1000)</f>
        <v>272.415732210762</v>
      </c>
      <c r="AS296" s="10" t="str">
        <f>IF(AND(AM296="CUMPLE",AR296&gt;=AI296),"CUMPLE","NO CUMPLE")</f>
        <v>CUMPLE</v>
      </c>
      <c r="AT296" s="10">
        <f>'Parametros'!$B$6*0.083*SQRT('Parametros'!$B$2)*(H296*I296)^2/(2*(H296+I296))/1000000</f>
        <v>4.30410823283988</v>
      </c>
      <c r="AU296" s="10" t="str">
        <f>IF(Q296&lt;=AT296,"DESPRECIABLE","DISEÑAR")</f>
        <v>DESPRECIABLE</v>
      </c>
      <c r="AV296" s="10">
        <f>IF(Q296&lt;=AT296,0,Q296*1000000/('Parametros'!$B$6*2*0.85*(H296-2*'Parametros'!$B$7)*(I296-2*'Parametros'!$B$7)*'Parametros'!$B$4))</f>
        <v>0</v>
      </c>
      <c r="AW296" s="10">
        <f>AV296*2*((H296-2*'Parametros'!$B$7)+(I296-2*'Parametros'!$B$7))*'Parametros'!$B$4/'Parametros'!$B$3</f>
        <v>0</v>
      </c>
      <c r="AX296" s="17" t="n">
        <v>0</v>
      </c>
      <c r="AY296" s="10" t="str">
        <f>IF(AV296=0,"DESPRECIABLE",IF('Parametros'!$B$11/AP296&gt;=AV296,"CUMPLE","NO CUMPLE"))</f>
        <v>DESPRECIABLE</v>
      </c>
      <c r="AZ296" s="10" t="str">
        <f>IF(AND(X296="CUMPLE",AE296="CUMPLE",AS296="CUMPLE",OR(AY296="CUMPLE",AY296="DESPRECIABLE")),IF(OR(F296&lt;&gt;H296,G296&lt;&gt;I296),"CUMPLE - REANALIZAR SAP","CUMPLE"),"NO CUMPLE")</f>
        <v>CUMPLE</v>
      </c>
    </row>
    <row r="297">
      <c r="A297" s="24" t="inlineStr">
        <is>
          <t>VR1</t>
        </is>
      </c>
      <c r="B297" s="24" t="inlineStr">
        <is>
          <t>900</t>
        </is>
      </c>
      <c r="C297" s="10" t="n">
        <v>1</v>
      </c>
      <c r="D297" s="10" t="n">
        <v>2.5</v>
      </c>
      <c r="E297" s="10" t="n">
        <v>2.5</v>
      </c>
      <c r="F297" s="10" t="n">
        <v>350</v>
      </c>
      <c r="G297" s="10" t="n">
        <v>400</v>
      </c>
      <c r="H297" s="15" t="n">
        <v>350</v>
      </c>
      <c r="I297" s="15" t="n">
        <v>400</v>
      </c>
      <c r="J297" s="16" t="n">
        <v>66.42359999999999</v>
      </c>
      <c r="K297" s="10" t="inlineStr">
        <is>
          <t>900</t>
        </is>
      </c>
      <c r="L297" s="16" t="n">
        <v>36.704</v>
      </c>
      <c r="M297" s="10" t="inlineStr">
        <is>
          <t>900</t>
        </is>
      </c>
      <c r="N297" s="16" t="n">
        <v>77.861</v>
      </c>
      <c r="O297" s="16" t="n">
        <v>215.063</v>
      </c>
      <c r="P297" s="10" t="inlineStr">
        <is>
          <t>900</t>
        </is>
      </c>
      <c r="Q297" s="16" t="n">
        <v>0.2994</v>
      </c>
      <c r="R297" s="10">
        <f>MAX(MAX(1.4/'Parametros'!$B$3,0.25*SQRT('Parametros'!$B$2)/'Parametros'!$B$3)*H297*U297,(0.85*'Parametros'!$B$2/'Parametros'!$B$3)*(1-SQRT(1-2*(J297*1000000/('Parametros'!$B$5*H297*U297^2))/(0.85*'Parametros'!$B$2)))*H297*U297)</f>
        <v>533.971219914515</v>
      </c>
      <c r="S297" s="17" t="n">
        <v>3</v>
      </c>
      <c r="T297" s="18" t="n">
        <v>1</v>
      </c>
      <c r="U297" s="10">
        <f>IF(T297=1,I297-('Parametros'!$B$7+'Parametros'!$B$9+'Parametros'!$B$12/2),I297-(ROUNDUP(S297/2,0)*('Parametros'!$B$7+'Parametros'!$B$9+'Parametros'!$B$12/2)+ROUNDDOWN(S297/2,0)*('Parametros'!$B$7+'Parametros'!$B$9+'Parametros'!$B$12/2+'Parametros'!$B$12+'Parametros'!$B$10))/S297)</f>
        <v>342.55</v>
      </c>
      <c r="V297" s="10">
        <f>S297*'Parametros'!$B$8</f>
        <v>597</v>
      </c>
      <c r="W297" s="10">
        <f>'Parametros'!$B$5*V297*'Parametros'!$B$3*(U297-(V297*'Parametros'!$B$3/(0.85*'Parametros'!$B$2*H297))/2)/1000000</f>
        <v>73.905520182353</v>
      </c>
      <c r="X297" s="10" t="str">
        <f>IF(W297&gt;=J297,"CUMPLE","NO CUMPLE")</f>
        <v>CUMPLE</v>
      </c>
      <c r="Y297" s="10">
        <f>MAX(MAX(1.4/'Parametros'!$B$3,0.25*SQRT('Parametros'!$B$2)/'Parametros'!$B$3)*H297*AB297,(0.85*'Parametros'!$B$2/'Parametros'!$B$3)*(1-SQRT(1-2*(L297*1000000/('Parametros'!$B$5*H297*AB297^2))/(0.85*'Parametros'!$B$2)))*H297*AB297)</f>
        <v>399.641666666667</v>
      </c>
      <c r="Z297" s="17" t="n">
        <v>3</v>
      </c>
      <c r="AA297" s="18" t="n">
        <v>1</v>
      </c>
      <c r="AB297" s="10">
        <f>IF(AA297=1,I297-('Parametros'!$B$7+'Parametros'!$B$9+'Parametros'!$B$12/2),I297-(ROUNDUP(Z297/2,0)*('Parametros'!$B$7+'Parametros'!$B$9+'Parametros'!$B$12/2)+ROUNDDOWN(Z297/2,0)*('Parametros'!$B$7+'Parametros'!$B$9+'Parametros'!$B$12/2+'Parametros'!$B$12+'Parametros'!$B$10))/Z297)</f>
        <v>342.55</v>
      </c>
      <c r="AC297" s="10">
        <f>Z297*'Parametros'!$B$8</f>
        <v>597</v>
      </c>
      <c r="AD297" s="10">
        <f>'Parametros'!$B$5*AC297*'Parametros'!$B$3*(AB297-(AC297*'Parametros'!$B$3/(0.85*'Parametros'!$B$2*H297))/2)/1000000</f>
        <v>73.905520182353</v>
      </c>
      <c r="AE297" s="10" t="str">
        <f>IF(AD297&gt;=L297,"CUMPLE","NO CUMPLE")</f>
        <v>CUMPLE</v>
      </c>
      <c r="AF297" s="10">
        <f>V297*1.25*'Parametros'!$B$3*(U297-(V297*1.25*'Parametros'!$B$3/(0.85*'Parametros'!$B$2*H297))/2)/1000000</f>
        <v>101.467261323529</v>
      </c>
      <c r="AG297" s="10">
        <f>AC297*1.25*'Parametros'!$B$3*(AB297-(AC297*1.25*'Parametros'!$B$3/(0.85*'Parametros'!$B$2*H297))/2)/1000000</f>
        <v>101.467261323529</v>
      </c>
      <c r="AH297" s="10">
        <f>N297+(AF297+AG297)/D297</f>
        <v>159.034809058824</v>
      </c>
      <c r="AI297" s="10">
        <f>MIN(O297,MAX(N297,AH297))</f>
        <v>159.034809058824</v>
      </c>
      <c r="AJ297" s="10">
        <f>0.17*SQRT('Parametros'!$B$2)*H297*MIN(U297,AB297)/1000</f>
        <v>107.849951281016</v>
      </c>
      <c r="AK297" s="10">
        <f>MAX(AI297/'Parametros'!$B$6-AJ297,0)</f>
        <v>104.196460797416</v>
      </c>
      <c r="AL297" s="10">
        <f>0.66*SQRT('Parametros'!$B$2)*H297*MIN(U297,AB297)/1000</f>
        <v>418.711575561591</v>
      </c>
      <c r="AM297" s="10" t="str">
        <f>IF(AK297&lt;=AL297,"CUMPLE","NO CUMPLE")</f>
        <v>CUMPLE</v>
      </c>
      <c r="AN297" s="15" t="inlineStr">
        <is>
          <t>Nº3 cerrado</t>
        </is>
      </c>
      <c r="AO297" s="17" t="n">
        <v>2</v>
      </c>
      <c r="AP297" s="10">
        <f>ROUNDDOWN(MIN(IF(AK297=0,1000000000,AO297*'Parametros'!$B$11*'Parametros'!$B$4*MIN(U297,AB297)/(AK297*1000)),IF(AV297=0,1000000000,'Parametros'!$B$11/AV297),MIN(U297,AB297)/4,8*'Parametros'!$B$12,24*'Parametros'!$B$9,300)/10,0)*10</f>
        <v>80</v>
      </c>
      <c r="AQ297" s="10">
        <f>ROUNDDOWN(MIN(IF(AK297=0,1000000000,AO297*'Parametros'!$B$11*'Parametros'!$B$4*MIN(U297,AB297)/(AK297*1000)),IF(AV297=0,1000000000,'Parametros'!$B$11/AV297),MIN(U297,AB297)/2,600)/10,0)*10</f>
        <v>170</v>
      </c>
      <c r="AR297" s="10">
        <f>'Parametros'!$B$6*(AJ297+AO297*'Parametros'!$B$11*'Parametros'!$B$4*MIN(U297,AB297)/AP297/1000)</f>
        <v>272.415732210762</v>
      </c>
      <c r="AS297" s="10" t="str">
        <f>IF(AND(AM297="CUMPLE",AR297&gt;=AI297),"CUMPLE","NO CUMPLE")</f>
        <v>CUMPLE</v>
      </c>
      <c r="AT297" s="10">
        <f>'Parametros'!$B$6*0.083*SQRT('Parametros'!$B$2)*(H297*I297)^2/(2*(H297+I297))/1000000</f>
        <v>4.30410823283988</v>
      </c>
      <c r="AU297" s="10" t="str">
        <f>IF(Q297&lt;=AT297,"DESPRECIABLE","DISEÑAR")</f>
        <v>DESPRECIABLE</v>
      </c>
      <c r="AV297" s="10">
        <f>IF(Q297&lt;=AT297,0,Q297*1000000/('Parametros'!$B$6*2*0.85*(H297-2*'Parametros'!$B$7)*(I297-2*'Parametros'!$B$7)*'Parametros'!$B$4))</f>
        <v>0</v>
      </c>
      <c r="AW297" s="10">
        <f>AV297*2*((H297-2*'Parametros'!$B$7)+(I297-2*'Parametros'!$B$7))*'Parametros'!$B$4/'Parametros'!$B$3</f>
        <v>0</v>
      </c>
      <c r="AX297" s="17" t="n">
        <v>0</v>
      </c>
      <c r="AY297" s="10" t="str">
        <f>IF(AV297=0,"DESPRECIABLE",IF('Parametros'!$B$11/AP297&gt;=AV297,"CUMPLE","NO CUMPLE"))</f>
        <v>DESPRECIABLE</v>
      </c>
      <c r="AZ297" s="10" t="str">
        <f>IF(AND(X297="CUMPLE",AE297="CUMPLE",AS297="CUMPLE",OR(AY297="CUMPLE",AY297="DESPRECIABLE")),IF(OR(F297&lt;&gt;H297,G297&lt;&gt;I297),"CUMPLE - REANALIZAR SAP","CUMPLE"),"NO CUMPLE")</f>
        <v>CUMPLE</v>
      </c>
    </row>
    <row r="298">
      <c r="A298" s="24" t="inlineStr">
        <is>
          <t>VR1</t>
        </is>
      </c>
      <c r="B298" s="24" t="inlineStr">
        <is>
          <t>901</t>
        </is>
      </c>
      <c r="C298" s="10" t="n">
        <v>1</v>
      </c>
      <c r="D298" s="10" t="n">
        <v>4</v>
      </c>
      <c r="E298" s="10" t="n">
        <v>4</v>
      </c>
      <c r="F298" s="10" t="n">
        <v>350</v>
      </c>
      <c r="G298" s="10" t="n">
        <v>400</v>
      </c>
      <c r="H298" s="15" t="n">
        <v>350</v>
      </c>
      <c r="I298" s="15" t="n">
        <v>400</v>
      </c>
      <c r="J298" s="16" t="n">
        <v>81.6525</v>
      </c>
      <c r="K298" s="10" t="inlineStr">
        <is>
          <t>901</t>
        </is>
      </c>
      <c r="L298" s="16" t="n">
        <v>30.3971</v>
      </c>
      <c r="M298" s="10" t="inlineStr">
        <is>
          <t>901</t>
        </is>
      </c>
      <c r="N298" s="16" t="n">
        <v>83.233</v>
      </c>
      <c r="O298" s="16" t="n">
        <v>144.858</v>
      </c>
      <c r="P298" s="10" t="inlineStr">
        <is>
          <t>901</t>
        </is>
      </c>
      <c r="Q298" s="16" t="n">
        <v>1.6182</v>
      </c>
      <c r="R298" s="10">
        <f>MAX(MAX(1.4/'Parametros'!$B$3,0.25*SQRT('Parametros'!$B$2)/'Parametros'!$B$3)*H298*U298,(0.85*'Parametros'!$B$2/'Parametros'!$B$3)*(1-SQRT(1-2*(J298*1000000/('Parametros'!$B$5*H298*U298^2))/(0.85*'Parametros'!$B$2)))*H298*U298)</f>
        <v>662.944443412443</v>
      </c>
      <c r="S298" s="17" t="n">
        <v>4</v>
      </c>
      <c r="T298" s="18" t="n">
        <v>1</v>
      </c>
      <c r="U298" s="10">
        <f>IF(T298=1,I298-('Parametros'!$B$7+'Parametros'!$B$9+'Parametros'!$B$12/2),I298-(ROUNDUP(S298/2,0)*('Parametros'!$B$7+'Parametros'!$B$9+'Parametros'!$B$12/2)+ROUNDDOWN(S298/2,0)*('Parametros'!$B$7+'Parametros'!$B$9+'Parametros'!$B$12/2+'Parametros'!$B$12+'Parametros'!$B$10))/S298)</f>
        <v>342.55</v>
      </c>
      <c r="V298" s="10">
        <f>S298*'Parametros'!$B$8</f>
        <v>796</v>
      </c>
      <c r="W298" s="10">
        <f>'Parametros'!$B$5*V298*'Parametros'!$B$3*(U298-(V298*'Parametros'!$B$3/(0.85*'Parametros'!$B$2*H298))/2)/1000000</f>
        <v>97.0311966352941</v>
      </c>
      <c r="X298" s="10" t="str">
        <f>IF(W298&gt;=J298,"CUMPLE","NO CUMPLE")</f>
        <v>CUMPLE</v>
      </c>
      <c r="Y298" s="10">
        <f>MAX(MAX(1.4/'Parametros'!$B$3,0.25*SQRT('Parametros'!$B$2)/'Parametros'!$B$3)*H298*AB298,(0.85*'Parametros'!$B$2/'Parametros'!$B$3)*(1-SQRT(1-2*(L298*1000000/('Parametros'!$B$5*H298*AB298^2))/(0.85*'Parametros'!$B$2)))*H298*AB298)</f>
        <v>399.641666666667</v>
      </c>
      <c r="Z298" s="17" t="n">
        <v>3</v>
      </c>
      <c r="AA298" s="18" t="n">
        <v>1</v>
      </c>
      <c r="AB298" s="10">
        <f>IF(AA298=1,I298-('Parametros'!$B$7+'Parametros'!$B$9+'Parametros'!$B$12/2),I298-(ROUNDUP(Z298/2,0)*('Parametros'!$B$7+'Parametros'!$B$9+'Parametros'!$B$12/2)+ROUNDDOWN(Z298/2,0)*('Parametros'!$B$7+'Parametros'!$B$9+'Parametros'!$B$12/2+'Parametros'!$B$12+'Parametros'!$B$10))/Z298)</f>
        <v>342.55</v>
      </c>
      <c r="AC298" s="10">
        <f>Z298*'Parametros'!$B$8</f>
        <v>597</v>
      </c>
      <c r="AD298" s="10">
        <f>'Parametros'!$B$5*AC298*'Parametros'!$B$3*(AB298-(AC298*'Parametros'!$B$3/(0.85*'Parametros'!$B$2*H298))/2)/1000000</f>
        <v>73.905520182353</v>
      </c>
      <c r="AE298" s="10" t="str">
        <f>IF(AD298&gt;=L298,"CUMPLE","NO CUMPLE")</f>
        <v>CUMPLE</v>
      </c>
      <c r="AF298" s="10">
        <f>V298*1.25*'Parametros'!$B$3*(U298-(V298*1.25*'Parametros'!$B$3/(0.85*'Parametros'!$B$2*H298))/2)/1000000</f>
        <v>132.669027352941</v>
      </c>
      <c r="AG298" s="10">
        <f>AC298*1.25*'Parametros'!$B$3*(AB298-(AC298*1.25*'Parametros'!$B$3/(0.85*'Parametros'!$B$2*H298))/2)/1000000</f>
        <v>101.467261323529</v>
      </c>
      <c r="AH298" s="10">
        <f>N298+(AF298+AG298)/D298</f>
        <v>141.767072169118</v>
      </c>
      <c r="AI298" s="10">
        <f>MIN(O298,MAX(N298,AH298))</f>
        <v>141.767072169118</v>
      </c>
      <c r="AJ298" s="10">
        <f>0.17*SQRT('Parametros'!$B$2)*H298*MIN(U298,AB298)/1000</f>
        <v>107.849951281016</v>
      </c>
      <c r="AK298" s="10">
        <f>MAX(AI298/'Parametros'!$B$6-AJ298,0)</f>
        <v>81.172811611141</v>
      </c>
      <c r="AL298" s="10">
        <f>0.66*SQRT('Parametros'!$B$2)*H298*MIN(U298,AB298)/1000</f>
        <v>418.711575561591</v>
      </c>
      <c r="AM298" s="10" t="str">
        <f>IF(AK298&lt;=AL298,"CUMPLE","NO CUMPLE")</f>
        <v>CUMPLE</v>
      </c>
      <c r="AN298" s="15" t="inlineStr">
        <is>
          <t>Nº3 cerrado</t>
        </is>
      </c>
      <c r="AO298" s="17" t="n">
        <v>2</v>
      </c>
      <c r="AP298" s="10">
        <f>ROUNDDOWN(MIN(IF(AK298=0,1000000000,AO298*'Parametros'!$B$11*'Parametros'!$B$4*MIN(U298,AB298)/(AK298*1000)),IF(AV298=0,1000000000,'Parametros'!$B$11/AV298),MIN(U298,AB298)/4,8*'Parametros'!$B$12,24*'Parametros'!$B$9,300)/10,0)*10</f>
        <v>80</v>
      </c>
      <c r="AQ298" s="10">
        <f>ROUNDDOWN(MIN(IF(AK298=0,1000000000,AO298*'Parametros'!$B$11*'Parametros'!$B$4*MIN(U298,AB298)/(AK298*1000)),IF(AV298=0,1000000000,'Parametros'!$B$11/AV298),MIN(U298,AB298)/2,600)/10,0)*10</f>
        <v>170</v>
      </c>
      <c r="AR298" s="10">
        <f>'Parametros'!$B$6*(AJ298+AO298*'Parametros'!$B$11*'Parametros'!$B$4*MIN(U298,AB298)/AP298/1000)</f>
        <v>272.415732210762</v>
      </c>
      <c r="AS298" s="10" t="str">
        <f>IF(AND(AM298="CUMPLE",AR298&gt;=AI298),"CUMPLE","NO CUMPLE")</f>
        <v>CUMPLE</v>
      </c>
      <c r="AT298" s="10">
        <f>'Parametros'!$B$6*0.083*SQRT('Parametros'!$B$2)*(H298*I298)^2/(2*(H298+I298))/1000000</f>
        <v>4.30410823283988</v>
      </c>
      <c r="AU298" s="10" t="str">
        <f>IF(Q298&lt;=AT298,"DESPRECIABLE","DISEÑAR")</f>
        <v>DESPRECIABLE</v>
      </c>
      <c r="AV298" s="10">
        <f>IF(Q298&lt;=AT298,0,Q298*1000000/('Parametros'!$B$6*2*0.85*(H298-2*'Parametros'!$B$7)*(I298-2*'Parametros'!$B$7)*'Parametros'!$B$4))</f>
        <v>0</v>
      </c>
      <c r="AW298" s="10">
        <f>AV298*2*((H298-2*'Parametros'!$B$7)+(I298-2*'Parametros'!$B$7))*'Parametros'!$B$4/'Parametros'!$B$3</f>
        <v>0</v>
      </c>
      <c r="AX298" s="17" t="n">
        <v>0</v>
      </c>
      <c r="AY298" s="10" t="str">
        <f>IF(AV298=0,"DESPRECIABLE",IF('Parametros'!$B$11/AP298&gt;=AV298,"CUMPLE","NO CUMPLE"))</f>
        <v>DESPRECIABLE</v>
      </c>
      <c r="AZ298" s="10" t="str">
        <f>IF(AND(X298="CUMPLE",AE298="CUMPLE",AS298="CUMPLE",OR(AY298="CUMPLE",AY298="DESPRECIABLE")),IF(OR(F298&lt;&gt;H298,G298&lt;&gt;I298),"CUMPLE - REANALIZAR SAP","CUMPLE"),"NO CUMPLE")</f>
        <v>CUMPLE</v>
      </c>
    </row>
    <row r="299">
      <c r="A299" s="24" t="inlineStr">
        <is>
          <t>VR1</t>
        </is>
      </c>
      <c r="B299" s="24" t="inlineStr">
        <is>
          <t>902</t>
        </is>
      </c>
      <c r="C299" s="10" t="n">
        <v>1</v>
      </c>
      <c r="D299" s="10" t="n">
        <v>4</v>
      </c>
      <c r="E299" s="10" t="n">
        <v>4</v>
      </c>
      <c r="F299" s="10" t="n">
        <v>350</v>
      </c>
      <c r="G299" s="10" t="n">
        <v>400</v>
      </c>
      <c r="H299" s="15" t="n">
        <v>350</v>
      </c>
      <c r="I299" s="15" t="n">
        <v>400</v>
      </c>
      <c r="J299" s="16" t="n">
        <v>81.7328</v>
      </c>
      <c r="K299" s="10" t="inlineStr">
        <is>
          <t>902</t>
        </is>
      </c>
      <c r="L299" s="16" t="n">
        <v>30.415</v>
      </c>
      <c r="M299" s="10" t="inlineStr">
        <is>
          <t>902</t>
        </is>
      </c>
      <c r="N299" s="16" t="n">
        <v>83.27200000000001</v>
      </c>
      <c r="O299" s="16" t="n">
        <v>144.939</v>
      </c>
      <c r="P299" s="10" t="inlineStr">
        <is>
          <t>902</t>
        </is>
      </c>
      <c r="Q299" s="16" t="n">
        <v>1.6121</v>
      </c>
      <c r="R299" s="10">
        <f>MAX(MAX(1.4/'Parametros'!$B$3,0.25*SQRT('Parametros'!$B$2)/'Parametros'!$B$3)*H299*U299,(0.85*'Parametros'!$B$2/'Parametros'!$B$3)*(1-SQRT(1-2*(J299*1000000/('Parametros'!$B$5*H299*U299^2))/(0.85*'Parametros'!$B$2)))*H299*U299)</f>
        <v>663.63169387374</v>
      </c>
      <c r="S299" s="17" t="n">
        <v>4</v>
      </c>
      <c r="T299" s="18" t="n">
        <v>1</v>
      </c>
      <c r="U299" s="10">
        <f>IF(T299=1,I299-('Parametros'!$B$7+'Parametros'!$B$9+'Parametros'!$B$12/2),I299-(ROUNDUP(S299/2,0)*('Parametros'!$B$7+'Parametros'!$B$9+'Parametros'!$B$12/2)+ROUNDDOWN(S299/2,0)*('Parametros'!$B$7+'Parametros'!$B$9+'Parametros'!$B$12/2+'Parametros'!$B$12+'Parametros'!$B$10))/S299)</f>
        <v>342.55</v>
      </c>
      <c r="V299" s="10">
        <f>S299*'Parametros'!$B$8</f>
        <v>796</v>
      </c>
      <c r="W299" s="10">
        <f>'Parametros'!$B$5*V299*'Parametros'!$B$3*(U299-(V299*'Parametros'!$B$3/(0.85*'Parametros'!$B$2*H299))/2)/1000000</f>
        <v>97.0311966352941</v>
      </c>
      <c r="X299" s="10" t="str">
        <f>IF(W299&gt;=J299,"CUMPLE","NO CUMPLE")</f>
        <v>CUMPLE</v>
      </c>
      <c r="Y299" s="10">
        <f>MAX(MAX(1.4/'Parametros'!$B$3,0.25*SQRT('Parametros'!$B$2)/'Parametros'!$B$3)*H299*AB299,(0.85*'Parametros'!$B$2/'Parametros'!$B$3)*(1-SQRT(1-2*(L299*1000000/('Parametros'!$B$5*H299*AB299^2))/(0.85*'Parametros'!$B$2)))*H299*AB299)</f>
        <v>399.641666666667</v>
      </c>
      <c r="Z299" s="17" t="n">
        <v>3</v>
      </c>
      <c r="AA299" s="18" t="n">
        <v>1</v>
      </c>
      <c r="AB299" s="10">
        <f>IF(AA299=1,I299-('Parametros'!$B$7+'Parametros'!$B$9+'Parametros'!$B$12/2),I299-(ROUNDUP(Z299/2,0)*('Parametros'!$B$7+'Parametros'!$B$9+'Parametros'!$B$12/2)+ROUNDDOWN(Z299/2,0)*('Parametros'!$B$7+'Parametros'!$B$9+'Parametros'!$B$12/2+'Parametros'!$B$12+'Parametros'!$B$10))/Z299)</f>
        <v>342.55</v>
      </c>
      <c r="AC299" s="10">
        <f>Z299*'Parametros'!$B$8</f>
        <v>597</v>
      </c>
      <c r="AD299" s="10">
        <f>'Parametros'!$B$5*AC299*'Parametros'!$B$3*(AB299-(AC299*'Parametros'!$B$3/(0.85*'Parametros'!$B$2*H299))/2)/1000000</f>
        <v>73.905520182353</v>
      </c>
      <c r="AE299" s="10" t="str">
        <f>IF(AD299&gt;=L299,"CUMPLE","NO CUMPLE")</f>
        <v>CUMPLE</v>
      </c>
      <c r="AF299" s="10">
        <f>V299*1.25*'Parametros'!$B$3*(U299-(V299*1.25*'Parametros'!$B$3/(0.85*'Parametros'!$B$2*H299))/2)/1000000</f>
        <v>132.669027352941</v>
      </c>
      <c r="AG299" s="10">
        <f>AC299*1.25*'Parametros'!$B$3*(AB299-(AC299*1.25*'Parametros'!$B$3/(0.85*'Parametros'!$B$2*H299))/2)/1000000</f>
        <v>101.467261323529</v>
      </c>
      <c r="AH299" s="10">
        <f>N299+(AF299+AG299)/D299</f>
        <v>141.806072169118</v>
      </c>
      <c r="AI299" s="10">
        <f>MIN(O299,MAX(N299,AH299))</f>
        <v>141.806072169118</v>
      </c>
      <c r="AJ299" s="10">
        <f>0.17*SQRT('Parametros'!$B$2)*H299*MIN(U299,AB299)/1000</f>
        <v>107.849951281016</v>
      </c>
      <c r="AK299" s="10">
        <f>MAX(AI299/'Parametros'!$B$6-AJ299,0)</f>
        <v>81.224811611141</v>
      </c>
      <c r="AL299" s="10">
        <f>0.66*SQRT('Parametros'!$B$2)*H299*MIN(U299,AB299)/1000</f>
        <v>418.711575561591</v>
      </c>
      <c r="AM299" s="10" t="str">
        <f>IF(AK299&lt;=AL299,"CUMPLE","NO CUMPLE")</f>
        <v>CUMPLE</v>
      </c>
      <c r="AN299" s="15" t="inlineStr">
        <is>
          <t>Nº3 cerrado</t>
        </is>
      </c>
      <c r="AO299" s="17" t="n">
        <v>2</v>
      </c>
      <c r="AP299" s="10">
        <f>ROUNDDOWN(MIN(IF(AK299=0,1000000000,AO299*'Parametros'!$B$11*'Parametros'!$B$4*MIN(U299,AB299)/(AK299*1000)),IF(AV299=0,1000000000,'Parametros'!$B$11/AV299),MIN(U299,AB299)/4,8*'Parametros'!$B$12,24*'Parametros'!$B$9,300)/10,0)*10</f>
        <v>80</v>
      </c>
      <c r="AQ299" s="10">
        <f>ROUNDDOWN(MIN(IF(AK299=0,1000000000,AO299*'Parametros'!$B$11*'Parametros'!$B$4*MIN(U299,AB299)/(AK299*1000)),IF(AV299=0,1000000000,'Parametros'!$B$11/AV299),MIN(U299,AB299)/2,600)/10,0)*10</f>
        <v>170</v>
      </c>
      <c r="AR299" s="10">
        <f>'Parametros'!$B$6*(AJ299+AO299*'Parametros'!$B$11*'Parametros'!$B$4*MIN(U299,AB299)/AP299/1000)</f>
        <v>272.415732210762</v>
      </c>
      <c r="AS299" s="10" t="str">
        <f>IF(AND(AM299="CUMPLE",AR299&gt;=AI299),"CUMPLE","NO CUMPLE")</f>
        <v>CUMPLE</v>
      </c>
      <c r="AT299" s="10">
        <f>'Parametros'!$B$6*0.083*SQRT('Parametros'!$B$2)*(H299*I299)^2/(2*(H299+I299))/1000000</f>
        <v>4.30410823283988</v>
      </c>
      <c r="AU299" s="10" t="str">
        <f>IF(Q299&lt;=AT299,"DESPRECIABLE","DISEÑAR")</f>
        <v>DESPRECIABLE</v>
      </c>
      <c r="AV299" s="10">
        <f>IF(Q299&lt;=AT299,0,Q299*1000000/('Parametros'!$B$6*2*0.85*(H299-2*'Parametros'!$B$7)*(I299-2*'Parametros'!$B$7)*'Parametros'!$B$4))</f>
        <v>0</v>
      </c>
      <c r="AW299" s="10">
        <f>AV299*2*((H299-2*'Parametros'!$B$7)+(I299-2*'Parametros'!$B$7))*'Parametros'!$B$4/'Parametros'!$B$3</f>
        <v>0</v>
      </c>
      <c r="AX299" s="17" t="n">
        <v>0</v>
      </c>
      <c r="AY299" s="10" t="str">
        <f>IF(AV299=0,"DESPRECIABLE",IF('Parametros'!$B$11/AP299&gt;=AV299,"CUMPLE","NO CUMPLE"))</f>
        <v>DESPRECIABLE</v>
      </c>
      <c r="AZ299" s="10" t="str">
        <f>IF(AND(X299="CUMPLE",AE299="CUMPLE",AS299="CUMPLE",OR(AY299="CUMPLE",AY299="DESPRECIABLE")),IF(OR(F299&lt;&gt;H299,G299&lt;&gt;I299),"CUMPLE - REANALIZAR SAP","CUMPLE"),"NO CUMPLE")</f>
        <v>CUMPLE</v>
      </c>
    </row>
    <row r="300">
      <c r="A300" s="24" t="inlineStr">
        <is>
          <t>VR1</t>
        </is>
      </c>
      <c r="B300" s="24" t="inlineStr">
        <is>
          <t>903</t>
        </is>
      </c>
      <c r="C300" s="10" t="n">
        <v>1</v>
      </c>
      <c r="D300" s="10" t="n">
        <v>2.5</v>
      </c>
      <c r="E300" s="10" t="n">
        <v>2.5</v>
      </c>
      <c r="F300" s="10" t="n">
        <v>350</v>
      </c>
      <c r="G300" s="10" t="n">
        <v>400</v>
      </c>
      <c r="H300" s="15" t="n">
        <v>350</v>
      </c>
      <c r="I300" s="15" t="n">
        <v>400</v>
      </c>
      <c r="J300" s="16" t="n">
        <v>66.5548</v>
      </c>
      <c r="K300" s="10" t="inlineStr">
        <is>
          <t>903</t>
        </is>
      </c>
      <c r="L300" s="16" t="n">
        <v>36.7821</v>
      </c>
      <c r="M300" s="10" t="inlineStr">
        <is>
          <t>903</t>
        </is>
      </c>
      <c r="N300" s="16" t="n">
        <v>77.96899999999999</v>
      </c>
      <c r="O300" s="16" t="n">
        <v>215.172</v>
      </c>
      <c r="P300" s="10" t="inlineStr">
        <is>
          <t>903</t>
        </is>
      </c>
      <c r="Q300" s="16" t="n">
        <v>0.3007</v>
      </c>
      <c r="R300" s="10">
        <f>MAX(MAX(1.4/'Parametros'!$B$3,0.25*SQRT('Parametros'!$B$2)/'Parametros'!$B$3)*H300*U300,(0.85*'Parametros'!$B$2/'Parametros'!$B$3)*(1-SQRT(1-2*(J300*1000000/('Parametros'!$B$5*H300*U300^2))/(0.85*'Parametros'!$B$2)))*H300*U300)</f>
        <v>535.071000191996</v>
      </c>
      <c r="S300" s="17" t="n">
        <v>3</v>
      </c>
      <c r="T300" s="18" t="n">
        <v>1</v>
      </c>
      <c r="U300" s="10">
        <f>IF(T300=1,I300-('Parametros'!$B$7+'Parametros'!$B$9+'Parametros'!$B$12/2),I300-(ROUNDUP(S300/2,0)*('Parametros'!$B$7+'Parametros'!$B$9+'Parametros'!$B$12/2)+ROUNDDOWN(S300/2,0)*('Parametros'!$B$7+'Parametros'!$B$9+'Parametros'!$B$12/2+'Parametros'!$B$12+'Parametros'!$B$10))/S300)</f>
        <v>342.55</v>
      </c>
      <c r="V300" s="10">
        <f>S300*'Parametros'!$B$8</f>
        <v>597</v>
      </c>
      <c r="W300" s="10">
        <f>'Parametros'!$B$5*V300*'Parametros'!$B$3*(U300-(V300*'Parametros'!$B$3/(0.85*'Parametros'!$B$2*H300))/2)/1000000</f>
        <v>73.905520182353</v>
      </c>
      <c r="X300" s="10" t="str">
        <f>IF(W300&gt;=J300,"CUMPLE","NO CUMPLE")</f>
        <v>CUMPLE</v>
      </c>
      <c r="Y300" s="10">
        <f>MAX(MAX(1.4/'Parametros'!$B$3,0.25*SQRT('Parametros'!$B$2)/'Parametros'!$B$3)*H300*AB300,(0.85*'Parametros'!$B$2/'Parametros'!$B$3)*(1-SQRT(1-2*(L300*1000000/('Parametros'!$B$5*H300*AB300^2))/(0.85*'Parametros'!$B$2)))*H300*AB300)</f>
        <v>399.641666666667</v>
      </c>
      <c r="Z300" s="17" t="n">
        <v>3</v>
      </c>
      <c r="AA300" s="18" t="n">
        <v>1</v>
      </c>
      <c r="AB300" s="10">
        <f>IF(AA300=1,I300-('Parametros'!$B$7+'Parametros'!$B$9+'Parametros'!$B$12/2),I300-(ROUNDUP(Z300/2,0)*('Parametros'!$B$7+'Parametros'!$B$9+'Parametros'!$B$12/2)+ROUNDDOWN(Z300/2,0)*('Parametros'!$B$7+'Parametros'!$B$9+'Parametros'!$B$12/2+'Parametros'!$B$12+'Parametros'!$B$10))/Z300)</f>
        <v>342.55</v>
      </c>
      <c r="AC300" s="10">
        <f>Z300*'Parametros'!$B$8</f>
        <v>597</v>
      </c>
      <c r="AD300" s="10">
        <f>'Parametros'!$B$5*AC300*'Parametros'!$B$3*(AB300-(AC300*'Parametros'!$B$3/(0.85*'Parametros'!$B$2*H300))/2)/1000000</f>
        <v>73.905520182353</v>
      </c>
      <c r="AE300" s="10" t="str">
        <f>IF(AD300&gt;=L300,"CUMPLE","NO CUMPLE")</f>
        <v>CUMPLE</v>
      </c>
      <c r="AF300" s="10">
        <f>V300*1.25*'Parametros'!$B$3*(U300-(V300*1.25*'Parametros'!$B$3/(0.85*'Parametros'!$B$2*H300))/2)/1000000</f>
        <v>101.467261323529</v>
      </c>
      <c r="AG300" s="10">
        <f>AC300*1.25*'Parametros'!$B$3*(AB300-(AC300*1.25*'Parametros'!$B$3/(0.85*'Parametros'!$B$2*H300))/2)/1000000</f>
        <v>101.467261323529</v>
      </c>
      <c r="AH300" s="10">
        <f>N300+(AF300+AG300)/D300</f>
        <v>159.142809058824</v>
      </c>
      <c r="AI300" s="10">
        <f>MIN(O300,MAX(N300,AH300))</f>
        <v>159.142809058824</v>
      </c>
      <c r="AJ300" s="10">
        <f>0.17*SQRT('Parametros'!$B$2)*H300*MIN(U300,AB300)/1000</f>
        <v>107.849951281016</v>
      </c>
      <c r="AK300" s="10">
        <f>MAX(AI300/'Parametros'!$B$6-AJ300,0)</f>
        <v>104.340460797415</v>
      </c>
      <c r="AL300" s="10">
        <f>0.66*SQRT('Parametros'!$B$2)*H300*MIN(U300,AB300)/1000</f>
        <v>418.711575561591</v>
      </c>
      <c r="AM300" s="10" t="str">
        <f>IF(AK300&lt;=AL300,"CUMPLE","NO CUMPLE")</f>
        <v>CUMPLE</v>
      </c>
      <c r="AN300" s="15" t="inlineStr">
        <is>
          <t>Nº3 cerrado</t>
        </is>
      </c>
      <c r="AO300" s="17" t="n">
        <v>2</v>
      </c>
      <c r="AP300" s="10">
        <f>ROUNDDOWN(MIN(IF(AK300=0,1000000000,AO300*'Parametros'!$B$11*'Parametros'!$B$4*MIN(U300,AB300)/(AK300*1000)),IF(AV300=0,1000000000,'Parametros'!$B$11/AV300),MIN(U300,AB300)/4,8*'Parametros'!$B$12,24*'Parametros'!$B$9,300)/10,0)*10</f>
        <v>80</v>
      </c>
      <c r="AQ300" s="10">
        <f>ROUNDDOWN(MIN(IF(AK300=0,1000000000,AO300*'Parametros'!$B$11*'Parametros'!$B$4*MIN(U300,AB300)/(AK300*1000)),IF(AV300=0,1000000000,'Parametros'!$B$11/AV300),MIN(U300,AB300)/2,600)/10,0)*10</f>
        <v>170</v>
      </c>
      <c r="AR300" s="10">
        <f>'Parametros'!$B$6*(AJ300+AO300*'Parametros'!$B$11*'Parametros'!$B$4*MIN(U300,AB300)/AP300/1000)</f>
        <v>272.415732210762</v>
      </c>
      <c r="AS300" s="10" t="str">
        <f>IF(AND(AM300="CUMPLE",AR300&gt;=AI300),"CUMPLE","NO CUMPLE")</f>
        <v>CUMPLE</v>
      </c>
      <c r="AT300" s="10">
        <f>'Parametros'!$B$6*0.083*SQRT('Parametros'!$B$2)*(H300*I300)^2/(2*(H300+I300))/1000000</f>
        <v>4.30410823283988</v>
      </c>
      <c r="AU300" s="10" t="str">
        <f>IF(Q300&lt;=AT300,"DESPRECIABLE","DISEÑAR")</f>
        <v>DESPRECIABLE</v>
      </c>
      <c r="AV300" s="10">
        <f>IF(Q300&lt;=AT300,0,Q300*1000000/('Parametros'!$B$6*2*0.85*(H300-2*'Parametros'!$B$7)*(I300-2*'Parametros'!$B$7)*'Parametros'!$B$4))</f>
        <v>0</v>
      </c>
      <c r="AW300" s="10">
        <f>AV300*2*((H300-2*'Parametros'!$B$7)+(I300-2*'Parametros'!$B$7))*'Parametros'!$B$4/'Parametros'!$B$3</f>
        <v>0</v>
      </c>
      <c r="AX300" s="17" t="n">
        <v>0</v>
      </c>
      <c r="AY300" s="10" t="str">
        <f>IF(AV300=0,"DESPRECIABLE",IF('Parametros'!$B$11/AP300&gt;=AV300,"CUMPLE","NO CUMPLE"))</f>
        <v>DESPRECIABLE</v>
      </c>
      <c r="AZ300" s="10" t="str">
        <f>IF(AND(X300="CUMPLE",AE300="CUMPLE",AS300="CUMPLE",OR(AY300="CUMPLE",AY300="DESPRECIABLE")),IF(OR(F300&lt;&gt;H300,G300&lt;&gt;I300),"CUMPLE - REANALIZAR SAP","CUMPLE"),"NO CUMPLE")</f>
        <v>CUMPLE</v>
      </c>
    </row>
    <row r="301">
      <c r="A301" s="24" t="inlineStr">
        <is>
          <t>VR1</t>
        </is>
      </c>
      <c r="B301" s="24" t="inlineStr">
        <is>
          <t>904</t>
        </is>
      </c>
      <c r="C301" s="10" t="n">
        <v>1</v>
      </c>
      <c r="D301" s="10" t="n">
        <v>2.6</v>
      </c>
      <c r="E301" s="10" t="n">
        <v>2.6</v>
      </c>
      <c r="F301" s="10" t="n">
        <v>350</v>
      </c>
      <c r="G301" s="10" t="n">
        <v>400</v>
      </c>
      <c r="H301" s="15" t="n">
        <v>350</v>
      </c>
      <c r="I301" s="15" t="n">
        <v>400</v>
      </c>
      <c r="J301" s="16" t="n">
        <v>62.4757</v>
      </c>
      <c r="K301" s="10" t="inlineStr">
        <is>
          <t>904</t>
        </is>
      </c>
      <c r="L301" s="16" t="n">
        <v>32.3532</v>
      </c>
      <c r="M301" s="10" t="inlineStr">
        <is>
          <t>904</t>
        </is>
      </c>
      <c r="N301" s="16" t="n">
        <v>74.14700000000001</v>
      </c>
      <c r="O301" s="16" t="n">
        <v>198.385</v>
      </c>
      <c r="P301" s="10" t="inlineStr">
        <is>
          <t>904</t>
        </is>
      </c>
      <c r="Q301" s="16" t="n">
        <v>0.2368</v>
      </c>
      <c r="R301" s="10">
        <f>MAX(MAX(1.4/'Parametros'!$B$3,0.25*SQRT('Parametros'!$B$2)/'Parametros'!$B$3)*H301*U301,(0.85*'Parametros'!$B$2/'Parametros'!$B$3)*(1-SQRT(1-2*(J301*1000000/('Parametros'!$B$5*H301*U301^2))/(0.85*'Parametros'!$B$2)))*H301*U301)</f>
        <v>500.967966030663</v>
      </c>
      <c r="S301" s="17" t="n">
        <v>3</v>
      </c>
      <c r="T301" s="18" t="n">
        <v>1</v>
      </c>
      <c r="U301" s="10">
        <f>IF(T301=1,I301-('Parametros'!$B$7+'Parametros'!$B$9+'Parametros'!$B$12/2),I301-(ROUNDUP(S301/2,0)*('Parametros'!$B$7+'Parametros'!$B$9+'Parametros'!$B$12/2)+ROUNDDOWN(S301/2,0)*('Parametros'!$B$7+'Parametros'!$B$9+'Parametros'!$B$12/2+'Parametros'!$B$12+'Parametros'!$B$10))/S301)</f>
        <v>342.55</v>
      </c>
      <c r="V301" s="10">
        <f>S301*'Parametros'!$B$8</f>
        <v>597</v>
      </c>
      <c r="W301" s="10">
        <f>'Parametros'!$B$5*V301*'Parametros'!$B$3*(U301-(V301*'Parametros'!$B$3/(0.85*'Parametros'!$B$2*H301))/2)/1000000</f>
        <v>73.905520182353</v>
      </c>
      <c r="X301" s="10" t="str">
        <f>IF(W301&gt;=J301,"CUMPLE","NO CUMPLE")</f>
        <v>CUMPLE</v>
      </c>
      <c r="Y301" s="10">
        <f>MAX(MAX(1.4/'Parametros'!$B$3,0.25*SQRT('Parametros'!$B$2)/'Parametros'!$B$3)*H301*AB301,(0.85*'Parametros'!$B$2/'Parametros'!$B$3)*(1-SQRT(1-2*(L301*1000000/('Parametros'!$B$5*H301*AB301^2))/(0.85*'Parametros'!$B$2)))*H301*AB301)</f>
        <v>399.641666666667</v>
      </c>
      <c r="Z301" s="17" t="n">
        <v>3</v>
      </c>
      <c r="AA301" s="18" t="n">
        <v>1</v>
      </c>
      <c r="AB301" s="10">
        <f>IF(AA301=1,I301-('Parametros'!$B$7+'Parametros'!$B$9+'Parametros'!$B$12/2),I301-(ROUNDUP(Z301/2,0)*('Parametros'!$B$7+'Parametros'!$B$9+'Parametros'!$B$12/2)+ROUNDDOWN(Z301/2,0)*('Parametros'!$B$7+'Parametros'!$B$9+'Parametros'!$B$12/2+'Parametros'!$B$12+'Parametros'!$B$10))/Z301)</f>
        <v>342.55</v>
      </c>
      <c r="AC301" s="10">
        <f>Z301*'Parametros'!$B$8</f>
        <v>597</v>
      </c>
      <c r="AD301" s="10">
        <f>'Parametros'!$B$5*AC301*'Parametros'!$B$3*(AB301-(AC301*'Parametros'!$B$3/(0.85*'Parametros'!$B$2*H301))/2)/1000000</f>
        <v>73.905520182353</v>
      </c>
      <c r="AE301" s="10" t="str">
        <f>IF(AD301&gt;=L301,"CUMPLE","NO CUMPLE")</f>
        <v>CUMPLE</v>
      </c>
      <c r="AF301" s="10">
        <f>V301*1.25*'Parametros'!$B$3*(U301-(V301*1.25*'Parametros'!$B$3/(0.85*'Parametros'!$B$2*H301))/2)/1000000</f>
        <v>101.467261323529</v>
      </c>
      <c r="AG301" s="10">
        <f>AC301*1.25*'Parametros'!$B$3*(AB301-(AC301*1.25*'Parametros'!$B$3/(0.85*'Parametros'!$B$2*H301))/2)/1000000</f>
        <v>101.467261323529</v>
      </c>
      <c r="AH301" s="10">
        <f>N301+(AF301+AG301)/D301</f>
        <v>152.198739479638</v>
      </c>
      <c r="AI301" s="10">
        <f>MIN(O301,MAX(N301,AH301))</f>
        <v>152.198739479638</v>
      </c>
      <c r="AJ301" s="10">
        <f>0.17*SQRT('Parametros'!$B$2)*H301*MIN(U301,AB301)/1000</f>
        <v>107.849951281016</v>
      </c>
      <c r="AK301" s="10">
        <f>MAX(AI301/'Parametros'!$B$6-AJ301,0)</f>
        <v>95.0817013585014</v>
      </c>
      <c r="AL301" s="10">
        <f>0.66*SQRT('Parametros'!$B$2)*H301*MIN(U301,AB301)/1000</f>
        <v>418.711575561591</v>
      </c>
      <c r="AM301" s="10" t="str">
        <f>IF(AK301&lt;=AL301,"CUMPLE","NO CUMPLE")</f>
        <v>CUMPLE</v>
      </c>
      <c r="AN301" s="15" t="inlineStr">
        <is>
          <t>Nº3 cerrado</t>
        </is>
      </c>
      <c r="AO301" s="17" t="n">
        <v>2</v>
      </c>
      <c r="AP301" s="10">
        <f>ROUNDDOWN(MIN(IF(AK301=0,1000000000,AO301*'Parametros'!$B$11*'Parametros'!$B$4*MIN(U301,AB301)/(AK301*1000)),IF(AV301=0,1000000000,'Parametros'!$B$11/AV301),MIN(U301,AB301)/4,8*'Parametros'!$B$12,24*'Parametros'!$B$9,300)/10,0)*10</f>
        <v>80</v>
      </c>
      <c r="AQ301" s="10">
        <f>ROUNDDOWN(MIN(IF(AK301=0,1000000000,AO301*'Parametros'!$B$11*'Parametros'!$B$4*MIN(U301,AB301)/(AK301*1000)),IF(AV301=0,1000000000,'Parametros'!$B$11/AV301),MIN(U301,AB301)/2,600)/10,0)*10</f>
        <v>170</v>
      </c>
      <c r="AR301" s="10">
        <f>'Parametros'!$B$6*(AJ301+AO301*'Parametros'!$B$11*'Parametros'!$B$4*MIN(U301,AB301)/AP301/1000)</f>
        <v>272.415732210762</v>
      </c>
      <c r="AS301" s="10" t="str">
        <f>IF(AND(AM301="CUMPLE",AR301&gt;=AI301),"CUMPLE","NO CUMPLE")</f>
        <v>CUMPLE</v>
      </c>
      <c r="AT301" s="10">
        <f>'Parametros'!$B$6*0.083*SQRT('Parametros'!$B$2)*(H301*I301)^2/(2*(H301+I301))/1000000</f>
        <v>4.30410823283988</v>
      </c>
      <c r="AU301" s="10" t="str">
        <f>IF(Q301&lt;=AT301,"DESPRECIABLE","DISEÑAR")</f>
        <v>DESPRECIABLE</v>
      </c>
      <c r="AV301" s="10">
        <f>IF(Q301&lt;=AT301,0,Q301*1000000/('Parametros'!$B$6*2*0.85*(H301-2*'Parametros'!$B$7)*(I301-2*'Parametros'!$B$7)*'Parametros'!$B$4))</f>
        <v>0</v>
      </c>
      <c r="AW301" s="10">
        <f>AV301*2*((H301-2*'Parametros'!$B$7)+(I301-2*'Parametros'!$B$7))*'Parametros'!$B$4/'Parametros'!$B$3</f>
        <v>0</v>
      </c>
      <c r="AX301" s="17" t="n">
        <v>0</v>
      </c>
      <c r="AY301" s="10" t="str">
        <f>IF(AV301=0,"DESPRECIABLE",IF('Parametros'!$B$11/AP301&gt;=AV301,"CUMPLE","NO CUMPLE"))</f>
        <v>DESPRECIABLE</v>
      </c>
      <c r="AZ301" s="10" t="str">
        <f>IF(AND(X301="CUMPLE",AE301="CUMPLE",AS301="CUMPLE",OR(AY301="CUMPLE",AY301="DESPRECIABLE")),IF(OR(F301&lt;&gt;H301,G301&lt;&gt;I301),"CUMPLE - REANALIZAR SAP","CUMPLE"),"NO CUMPLE")</f>
        <v>CUMPLE</v>
      </c>
    </row>
    <row r="302">
      <c r="A302" s="24" t="inlineStr">
        <is>
          <t>VR1</t>
        </is>
      </c>
      <c r="B302" s="24" t="inlineStr">
        <is>
          <t>905</t>
        </is>
      </c>
      <c r="C302" s="10" t="n">
        <v>1</v>
      </c>
      <c r="D302" s="10" t="n">
        <v>3.65</v>
      </c>
      <c r="E302" s="10" t="n">
        <v>3.65</v>
      </c>
      <c r="F302" s="10" t="n">
        <v>350</v>
      </c>
      <c r="G302" s="10" t="n">
        <v>400</v>
      </c>
      <c r="H302" s="15" t="n">
        <v>350</v>
      </c>
      <c r="I302" s="15" t="n">
        <v>400</v>
      </c>
      <c r="J302" s="16" t="n">
        <v>74.39749999999999</v>
      </c>
      <c r="K302" s="10" t="inlineStr">
        <is>
          <t>905</t>
        </is>
      </c>
      <c r="L302" s="16" t="n">
        <v>25.7163</v>
      </c>
      <c r="M302" s="10" t="inlineStr">
        <is>
          <t>905</t>
        </is>
      </c>
      <c r="N302" s="16" t="n">
        <v>78.51300000000001</v>
      </c>
      <c r="O302" s="16" t="n">
        <v>166.425</v>
      </c>
      <c r="P302" s="10" t="inlineStr">
        <is>
          <t>905</t>
        </is>
      </c>
      <c r="Q302" s="16" t="n">
        <v>0.1473</v>
      </c>
      <c r="R302" s="10">
        <f>MAX(MAX(1.4/'Parametros'!$B$3,0.25*SQRT('Parametros'!$B$2)/'Parametros'!$B$3)*H302*U302,(0.85*'Parametros'!$B$2/'Parametros'!$B$3)*(1-SQRT(1-2*(J302*1000000/('Parametros'!$B$5*H302*U302^2))/(0.85*'Parametros'!$B$2)))*H302*U302)</f>
        <v>601.166987208201</v>
      </c>
      <c r="S302" s="17" t="n">
        <v>4</v>
      </c>
      <c r="T302" s="18" t="n">
        <v>1</v>
      </c>
      <c r="U302" s="10">
        <f>IF(T302=1,I302-('Parametros'!$B$7+'Parametros'!$B$9+'Parametros'!$B$12/2),I302-(ROUNDUP(S302/2,0)*('Parametros'!$B$7+'Parametros'!$B$9+'Parametros'!$B$12/2)+ROUNDDOWN(S302/2,0)*('Parametros'!$B$7+'Parametros'!$B$9+'Parametros'!$B$12/2+'Parametros'!$B$12+'Parametros'!$B$10))/S302)</f>
        <v>342.55</v>
      </c>
      <c r="V302" s="10">
        <f>S302*'Parametros'!$B$8</f>
        <v>796</v>
      </c>
      <c r="W302" s="10">
        <f>'Parametros'!$B$5*V302*'Parametros'!$B$3*(U302-(V302*'Parametros'!$B$3/(0.85*'Parametros'!$B$2*H302))/2)/1000000</f>
        <v>97.0311966352941</v>
      </c>
      <c r="X302" s="10" t="str">
        <f>IF(W302&gt;=J302,"CUMPLE","NO CUMPLE")</f>
        <v>CUMPLE</v>
      </c>
      <c r="Y302" s="10">
        <f>MAX(MAX(1.4/'Parametros'!$B$3,0.25*SQRT('Parametros'!$B$2)/'Parametros'!$B$3)*H302*AB302,(0.85*'Parametros'!$B$2/'Parametros'!$B$3)*(1-SQRT(1-2*(L302*1000000/('Parametros'!$B$5*H302*AB302^2))/(0.85*'Parametros'!$B$2)))*H302*AB302)</f>
        <v>399.641666666667</v>
      </c>
      <c r="Z302" s="17" t="n">
        <v>3</v>
      </c>
      <c r="AA302" s="18" t="n">
        <v>1</v>
      </c>
      <c r="AB302" s="10">
        <f>IF(AA302=1,I302-('Parametros'!$B$7+'Parametros'!$B$9+'Parametros'!$B$12/2),I302-(ROUNDUP(Z302/2,0)*('Parametros'!$B$7+'Parametros'!$B$9+'Parametros'!$B$12/2)+ROUNDDOWN(Z302/2,0)*('Parametros'!$B$7+'Parametros'!$B$9+'Parametros'!$B$12/2+'Parametros'!$B$12+'Parametros'!$B$10))/Z302)</f>
        <v>342.55</v>
      </c>
      <c r="AC302" s="10">
        <f>Z302*'Parametros'!$B$8</f>
        <v>597</v>
      </c>
      <c r="AD302" s="10">
        <f>'Parametros'!$B$5*AC302*'Parametros'!$B$3*(AB302-(AC302*'Parametros'!$B$3/(0.85*'Parametros'!$B$2*H302))/2)/1000000</f>
        <v>73.905520182353</v>
      </c>
      <c r="AE302" s="10" t="str">
        <f>IF(AD302&gt;=L302,"CUMPLE","NO CUMPLE")</f>
        <v>CUMPLE</v>
      </c>
      <c r="AF302" s="10">
        <f>V302*1.25*'Parametros'!$B$3*(U302-(V302*1.25*'Parametros'!$B$3/(0.85*'Parametros'!$B$2*H302))/2)/1000000</f>
        <v>132.669027352941</v>
      </c>
      <c r="AG302" s="10">
        <f>AC302*1.25*'Parametros'!$B$3*(AB302-(AC302*1.25*'Parametros'!$B$3/(0.85*'Parametros'!$B$2*H302))/2)/1000000</f>
        <v>101.467261323529</v>
      </c>
      <c r="AH302" s="10">
        <f>N302+(AF302+AG302)/D302</f>
        <v>142.659928404512</v>
      </c>
      <c r="AI302" s="10">
        <f>MIN(O302,MAX(N302,AH302))</f>
        <v>142.659928404512</v>
      </c>
      <c r="AJ302" s="10">
        <f>0.17*SQRT('Parametros'!$B$2)*H302*MIN(U302,AB302)/1000</f>
        <v>107.849951281016</v>
      </c>
      <c r="AK302" s="10">
        <f>MAX(AI302/'Parametros'!$B$6-AJ302,0)</f>
        <v>82.3632865916674</v>
      </c>
      <c r="AL302" s="10">
        <f>0.66*SQRT('Parametros'!$B$2)*H302*MIN(U302,AB302)/1000</f>
        <v>418.711575561591</v>
      </c>
      <c r="AM302" s="10" t="str">
        <f>IF(AK302&lt;=AL302,"CUMPLE","NO CUMPLE")</f>
        <v>CUMPLE</v>
      </c>
      <c r="AN302" s="15" t="inlineStr">
        <is>
          <t>Nº3 cerrado</t>
        </is>
      </c>
      <c r="AO302" s="17" t="n">
        <v>2</v>
      </c>
      <c r="AP302" s="10">
        <f>ROUNDDOWN(MIN(IF(AK302=0,1000000000,AO302*'Parametros'!$B$11*'Parametros'!$B$4*MIN(U302,AB302)/(AK302*1000)),IF(AV302=0,1000000000,'Parametros'!$B$11/AV302),MIN(U302,AB302)/4,8*'Parametros'!$B$12,24*'Parametros'!$B$9,300)/10,0)*10</f>
        <v>80</v>
      </c>
      <c r="AQ302" s="10">
        <f>ROUNDDOWN(MIN(IF(AK302=0,1000000000,AO302*'Parametros'!$B$11*'Parametros'!$B$4*MIN(U302,AB302)/(AK302*1000)),IF(AV302=0,1000000000,'Parametros'!$B$11/AV302),MIN(U302,AB302)/2,600)/10,0)*10</f>
        <v>170</v>
      </c>
      <c r="AR302" s="10">
        <f>'Parametros'!$B$6*(AJ302+AO302*'Parametros'!$B$11*'Parametros'!$B$4*MIN(U302,AB302)/AP302/1000)</f>
        <v>272.415732210762</v>
      </c>
      <c r="AS302" s="10" t="str">
        <f>IF(AND(AM302="CUMPLE",AR302&gt;=AI302),"CUMPLE","NO CUMPLE")</f>
        <v>CUMPLE</v>
      </c>
      <c r="AT302" s="10">
        <f>'Parametros'!$B$6*0.083*SQRT('Parametros'!$B$2)*(H302*I302)^2/(2*(H302+I302))/1000000</f>
        <v>4.30410823283988</v>
      </c>
      <c r="AU302" s="10" t="str">
        <f>IF(Q302&lt;=AT302,"DESPRECIABLE","DISEÑAR")</f>
        <v>DESPRECIABLE</v>
      </c>
      <c r="AV302" s="10">
        <f>IF(Q302&lt;=AT302,0,Q302*1000000/('Parametros'!$B$6*2*0.85*(H302-2*'Parametros'!$B$7)*(I302-2*'Parametros'!$B$7)*'Parametros'!$B$4))</f>
        <v>0</v>
      </c>
      <c r="AW302" s="10">
        <f>AV302*2*((H302-2*'Parametros'!$B$7)+(I302-2*'Parametros'!$B$7))*'Parametros'!$B$4/'Parametros'!$B$3</f>
        <v>0</v>
      </c>
      <c r="AX302" s="17" t="n">
        <v>0</v>
      </c>
      <c r="AY302" s="10" t="str">
        <f>IF(AV302=0,"DESPRECIABLE",IF('Parametros'!$B$11/AP302&gt;=AV302,"CUMPLE","NO CUMPLE"))</f>
        <v>DESPRECIABLE</v>
      </c>
      <c r="AZ302" s="10" t="str">
        <f>IF(AND(X302="CUMPLE",AE302="CUMPLE",AS302="CUMPLE",OR(AY302="CUMPLE",AY302="DESPRECIABLE")),IF(OR(F302&lt;&gt;H302,G302&lt;&gt;I302),"CUMPLE - REANALIZAR SAP","CUMPLE"),"NO CUMPLE")</f>
        <v>CUMPLE</v>
      </c>
    </row>
    <row r="303">
      <c r="A303" s="24" t="inlineStr">
        <is>
          <t>VR1</t>
        </is>
      </c>
      <c r="B303" s="24" t="inlineStr">
        <is>
          <t>906</t>
        </is>
      </c>
      <c r="C303" s="10" t="n">
        <v>1</v>
      </c>
      <c r="D303" s="10" t="n">
        <v>2.6</v>
      </c>
      <c r="E303" s="10" t="n">
        <v>2.6</v>
      </c>
      <c r="F303" s="10" t="n">
        <v>350</v>
      </c>
      <c r="G303" s="10" t="n">
        <v>400</v>
      </c>
      <c r="H303" s="15" t="n">
        <v>350</v>
      </c>
      <c r="I303" s="15" t="n">
        <v>400</v>
      </c>
      <c r="J303" s="16" t="n">
        <v>45.2309</v>
      </c>
      <c r="K303" s="10" t="inlineStr">
        <is>
          <t>906</t>
        </is>
      </c>
      <c r="L303" s="16" t="n">
        <v>21.2426</v>
      </c>
      <c r="M303" s="10" t="inlineStr">
        <is>
          <t>906</t>
        </is>
      </c>
      <c r="N303" s="16" t="n">
        <v>61.484</v>
      </c>
      <c r="O303" s="16" t="n">
        <v>147.45</v>
      </c>
      <c r="P303" s="10" t="inlineStr">
        <is>
          <t>906</t>
        </is>
      </c>
      <c r="Q303" s="16" t="n">
        <v>2.4207</v>
      </c>
      <c r="R303" s="10">
        <f>MAX(MAX(1.4/'Parametros'!$B$3,0.25*SQRT('Parametros'!$B$2)/'Parametros'!$B$3)*H303*U303,(0.85*'Parametros'!$B$2/'Parametros'!$B$3)*(1-SQRT(1-2*(J303*1000000/('Parametros'!$B$5*H303*U303^2))/(0.85*'Parametros'!$B$2)))*H303*U303)</f>
        <v>399.641666666667</v>
      </c>
      <c r="S303" s="17" t="n">
        <v>3</v>
      </c>
      <c r="T303" s="18" t="n">
        <v>1</v>
      </c>
      <c r="U303" s="10">
        <f>IF(T303=1,I303-('Parametros'!$B$7+'Parametros'!$B$9+'Parametros'!$B$12/2),I303-(ROUNDUP(S303/2,0)*('Parametros'!$B$7+'Parametros'!$B$9+'Parametros'!$B$12/2)+ROUNDDOWN(S303/2,0)*('Parametros'!$B$7+'Parametros'!$B$9+'Parametros'!$B$12/2+'Parametros'!$B$12+'Parametros'!$B$10))/S303)</f>
        <v>342.55</v>
      </c>
      <c r="V303" s="10">
        <f>S303*'Parametros'!$B$8</f>
        <v>597</v>
      </c>
      <c r="W303" s="10">
        <f>'Parametros'!$B$5*V303*'Parametros'!$B$3*(U303-(V303*'Parametros'!$B$3/(0.85*'Parametros'!$B$2*H303))/2)/1000000</f>
        <v>73.905520182353</v>
      </c>
      <c r="X303" s="10" t="str">
        <f>IF(W303&gt;=J303,"CUMPLE","NO CUMPLE")</f>
        <v>CUMPLE</v>
      </c>
      <c r="Y303" s="10">
        <f>MAX(MAX(1.4/'Parametros'!$B$3,0.25*SQRT('Parametros'!$B$2)/'Parametros'!$B$3)*H303*AB303,(0.85*'Parametros'!$B$2/'Parametros'!$B$3)*(1-SQRT(1-2*(L303*1000000/('Parametros'!$B$5*H303*AB303^2))/(0.85*'Parametros'!$B$2)))*H303*AB303)</f>
        <v>399.641666666667</v>
      </c>
      <c r="Z303" s="17" t="n">
        <v>3</v>
      </c>
      <c r="AA303" s="18" t="n">
        <v>1</v>
      </c>
      <c r="AB303" s="10">
        <f>IF(AA303=1,I303-('Parametros'!$B$7+'Parametros'!$B$9+'Parametros'!$B$12/2),I303-(ROUNDUP(Z303/2,0)*('Parametros'!$B$7+'Parametros'!$B$9+'Parametros'!$B$12/2)+ROUNDDOWN(Z303/2,0)*('Parametros'!$B$7+'Parametros'!$B$9+'Parametros'!$B$12/2+'Parametros'!$B$12+'Parametros'!$B$10))/Z303)</f>
        <v>342.55</v>
      </c>
      <c r="AC303" s="10">
        <f>Z303*'Parametros'!$B$8</f>
        <v>597</v>
      </c>
      <c r="AD303" s="10">
        <f>'Parametros'!$B$5*AC303*'Parametros'!$B$3*(AB303-(AC303*'Parametros'!$B$3/(0.85*'Parametros'!$B$2*H303))/2)/1000000</f>
        <v>73.905520182353</v>
      </c>
      <c r="AE303" s="10" t="str">
        <f>IF(AD303&gt;=L303,"CUMPLE","NO CUMPLE")</f>
        <v>CUMPLE</v>
      </c>
      <c r="AF303" s="10">
        <f>V303*1.25*'Parametros'!$B$3*(U303-(V303*1.25*'Parametros'!$B$3/(0.85*'Parametros'!$B$2*H303))/2)/1000000</f>
        <v>101.467261323529</v>
      </c>
      <c r="AG303" s="10">
        <f>AC303*1.25*'Parametros'!$B$3*(AB303-(AC303*1.25*'Parametros'!$B$3/(0.85*'Parametros'!$B$2*H303))/2)/1000000</f>
        <v>101.467261323529</v>
      </c>
      <c r="AH303" s="10">
        <f>N303+(AF303+AG303)/D303</f>
        <v>139.535739479638</v>
      </c>
      <c r="AI303" s="10">
        <f>MIN(O303,MAX(N303,AH303))</f>
        <v>139.535739479638</v>
      </c>
      <c r="AJ303" s="10">
        <f>0.17*SQRT('Parametros'!$B$2)*H303*MIN(U303,AB303)/1000</f>
        <v>107.849951281016</v>
      </c>
      <c r="AK303" s="10">
        <f>MAX(AI303/'Parametros'!$B$6-AJ303,0)</f>
        <v>78.1977013585014</v>
      </c>
      <c r="AL303" s="10">
        <f>0.66*SQRT('Parametros'!$B$2)*H303*MIN(U303,AB303)/1000</f>
        <v>418.711575561591</v>
      </c>
      <c r="AM303" s="10" t="str">
        <f>IF(AK303&lt;=AL303,"CUMPLE","NO CUMPLE")</f>
        <v>CUMPLE</v>
      </c>
      <c r="AN303" s="15" t="inlineStr">
        <is>
          <t>Nº3 cerrado</t>
        </is>
      </c>
      <c r="AO303" s="17" t="n">
        <v>2</v>
      </c>
      <c r="AP303" s="10">
        <f>ROUNDDOWN(MIN(IF(AK303=0,1000000000,AO303*'Parametros'!$B$11*'Parametros'!$B$4*MIN(U303,AB303)/(AK303*1000)),IF(AV303=0,1000000000,'Parametros'!$B$11/AV303),MIN(U303,AB303)/4,8*'Parametros'!$B$12,24*'Parametros'!$B$9,300)/10,0)*10</f>
        <v>80</v>
      </c>
      <c r="AQ303" s="10">
        <f>ROUNDDOWN(MIN(IF(AK303=0,1000000000,AO303*'Parametros'!$B$11*'Parametros'!$B$4*MIN(U303,AB303)/(AK303*1000)),IF(AV303=0,1000000000,'Parametros'!$B$11/AV303),MIN(U303,AB303)/2,600)/10,0)*10</f>
        <v>170</v>
      </c>
      <c r="AR303" s="10">
        <f>'Parametros'!$B$6*(AJ303+AO303*'Parametros'!$B$11*'Parametros'!$B$4*MIN(U303,AB303)/AP303/1000)</f>
        <v>272.415732210762</v>
      </c>
      <c r="AS303" s="10" t="str">
        <f>IF(AND(AM303="CUMPLE",AR303&gt;=AI303),"CUMPLE","NO CUMPLE")</f>
        <v>CUMPLE</v>
      </c>
      <c r="AT303" s="10">
        <f>'Parametros'!$B$6*0.083*SQRT('Parametros'!$B$2)*(H303*I303)^2/(2*(H303+I303))/1000000</f>
        <v>4.30410823283988</v>
      </c>
      <c r="AU303" s="10" t="str">
        <f>IF(Q303&lt;=AT303,"DESPRECIABLE","DISEÑAR")</f>
        <v>DESPRECIABLE</v>
      </c>
      <c r="AV303" s="10">
        <f>IF(Q303&lt;=AT303,0,Q303*1000000/('Parametros'!$B$6*2*0.85*(H303-2*'Parametros'!$B$7)*(I303-2*'Parametros'!$B$7)*'Parametros'!$B$4))</f>
        <v>0</v>
      </c>
      <c r="AW303" s="10">
        <f>AV303*2*((H303-2*'Parametros'!$B$7)+(I303-2*'Parametros'!$B$7))*'Parametros'!$B$4/'Parametros'!$B$3</f>
        <v>0</v>
      </c>
      <c r="AX303" s="17" t="n">
        <v>0</v>
      </c>
      <c r="AY303" s="10" t="str">
        <f>IF(AV303=0,"DESPRECIABLE",IF('Parametros'!$B$11/AP303&gt;=AV303,"CUMPLE","NO CUMPLE"))</f>
        <v>DESPRECIABLE</v>
      </c>
      <c r="AZ303" s="10" t="str">
        <f>IF(AND(X303="CUMPLE",AE303="CUMPLE",AS303="CUMPLE",OR(AY303="CUMPLE",AY303="DESPRECIABLE")),IF(OR(F303&lt;&gt;H303,G303&lt;&gt;I303),"CUMPLE - REANALIZAR SAP","CUMPLE"),"NO CUMPLE")</f>
        <v>CUMPLE</v>
      </c>
    </row>
    <row r="304">
      <c r="A304" s="24" t="inlineStr">
        <is>
          <t>VR1</t>
        </is>
      </c>
      <c r="B304" s="24" t="inlineStr">
        <is>
          <t>947</t>
        </is>
      </c>
      <c r="C304" s="10" t="n">
        <v>1</v>
      </c>
      <c r="D304" s="10" t="n">
        <v>2.6</v>
      </c>
      <c r="E304" s="10" t="n">
        <v>2.6</v>
      </c>
      <c r="F304" s="10" t="n">
        <v>350</v>
      </c>
      <c r="G304" s="10" t="n">
        <v>400</v>
      </c>
      <c r="H304" s="15" t="n">
        <v>350</v>
      </c>
      <c r="I304" s="15" t="n">
        <v>400</v>
      </c>
      <c r="J304" s="16" t="n">
        <v>19.2484</v>
      </c>
      <c r="K304" s="10" t="inlineStr">
        <is>
          <t>947</t>
        </is>
      </c>
      <c r="L304" s="16" t="n">
        <v>9.472300000000001</v>
      </c>
      <c r="M304" s="10" t="inlineStr">
        <is>
          <t>947</t>
        </is>
      </c>
      <c r="N304" s="16" t="n">
        <v>33.74</v>
      </c>
      <c r="O304" s="16" t="n">
        <v>60.143</v>
      </c>
      <c r="P304" s="10" t="inlineStr">
        <is>
          <t>947</t>
        </is>
      </c>
      <c r="Q304" s="16" t="n">
        <v>2.16</v>
      </c>
      <c r="R304" s="10">
        <f>MAX(MAX(1.4/'Parametros'!$B$3,0.25*SQRT('Parametros'!$B$2)/'Parametros'!$B$3)*H304*U304,(0.85*'Parametros'!$B$2/'Parametros'!$B$3)*(1-SQRT(1-2*(J304*1000000/('Parametros'!$B$5*H304*U304^2))/(0.85*'Parametros'!$B$2)))*H304*U304)</f>
        <v>399.641666666667</v>
      </c>
      <c r="S304" s="17" t="n">
        <v>3</v>
      </c>
      <c r="T304" s="18" t="n">
        <v>1</v>
      </c>
      <c r="U304" s="10">
        <f>IF(T304=1,I304-('Parametros'!$B$7+'Parametros'!$B$9+'Parametros'!$B$12/2),I304-(ROUNDUP(S304/2,0)*('Parametros'!$B$7+'Parametros'!$B$9+'Parametros'!$B$12/2)+ROUNDDOWN(S304/2,0)*('Parametros'!$B$7+'Parametros'!$B$9+'Parametros'!$B$12/2+'Parametros'!$B$12+'Parametros'!$B$10))/S304)</f>
        <v>342.55</v>
      </c>
      <c r="V304" s="10">
        <f>S304*'Parametros'!$B$8</f>
        <v>597</v>
      </c>
      <c r="W304" s="10">
        <f>'Parametros'!$B$5*V304*'Parametros'!$B$3*(U304-(V304*'Parametros'!$B$3/(0.85*'Parametros'!$B$2*H304))/2)/1000000</f>
        <v>73.905520182353</v>
      </c>
      <c r="X304" s="10" t="str">
        <f>IF(W304&gt;=J304,"CUMPLE","NO CUMPLE")</f>
        <v>CUMPLE</v>
      </c>
      <c r="Y304" s="10">
        <f>MAX(MAX(1.4/'Parametros'!$B$3,0.25*SQRT('Parametros'!$B$2)/'Parametros'!$B$3)*H304*AB304,(0.85*'Parametros'!$B$2/'Parametros'!$B$3)*(1-SQRT(1-2*(L304*1000000/('Parametros'!$B$5*H304*AB304^2))/(0.85*'Parametros'!$B$2)))*H304*AB304)</f>
        <v>399.641666666667</v>
      </c>
      <c r="Z304" s="17" t="n">
        <v>3</v>
      </c>
      <c r="AA304" s="18" t="n">
        <v>1</v>
      </c>
      <c r="AB304" s="10">
        <f>IF(AA304=1,I304-('Parametros'!$B$7+'Parametros'!$B$9+'Parametros'!$B$12/2),I304-(ROUNDUP(Z304/2,0)*('Parametros'!$B$7+'Parametros'!$B$9+'Parametros'!$B$12/2)+ROUNDDOWN(Z304/2,0)*('Parametros'!$B$7+'Parametros'!$B$9+'Parametros'!$B$12/2+'Parametros'!$B$12+'Parametros'!$B$10))/Z304)</f>
        <v>342.55</v>
      </c>
      <c r="AC304" s="10">
        <f>Z304*'Parametros'!$B$8</f>
        <v>597</v>
      </c>
      <c r="AD304" s="10">
        <f>'Parametros'!$B$5*AC304*'Parametros'!$B$3*(AB304-(AC304*'Parametros'!$B$3/(0.85*'Parametros'!$B$2*H304))/2)/1000000</f>
        <v>73.905520182353</v>
      </c>
      <c r="AE304" s="10" t="str">
        <f>IF(AD304&gt;=L304,"CUMPLE","NO CUMPLE")</f>
        <v>CUMPLE</v>
      </c>
      <c r="AF304" s="10">
        <f>V304*1.25*'Parametros'!$B$3*(U304-(V304*1.25*'Parametros'!$B$3/(0.85*'Parametros'!$B$2*H304))/2)/1000000</f>
        <v>101.467261323529</v>
      </c>
      <c r="AG304" s="10">
        <f>AC304*1.25*'Parametros'!$B$3*(AB304-(AC304*1.25*'Parametros'!$B$3/(0.85*'Parametros'!$B$2*H304))/2)/1000000</f>
        <v>101.467261323529</v>
      </c>
      <c r="AH304" s="10">
        <f>N304+(AF304+AG304)/D304</f>
        <v>111.791739479638</v>
      </c>
      <c r="AI304" s="10">
        <f>MIN(O304,MAX(N304,AH304))</f>
        <v>60.143</v>
      </c>
      <c r="AJ304" s="10">
        <f>0.17*SQRT('Parametros'!$B$2)*H304*MIN(U304,AB304)/1000</f>
        <v>107.849951281016</v>
      </c>
      <c r="AK304" s="10">
        <f>MAX(AI304/'Parametros'!$B$6-AJ304,0)</f>
        <v>0</v>
      </c>
      <c r="AL304" s="10">
        <f>0.66*SQRT('Parametros'!$B$2)*H304*MIN(U304,AB304)/1000</f>
        <v>418.711575561591</v>
      </c>
      <c r="AM304" s="10" t="str">
        <f>IF(AK304&lt;=AL304,"CUMPLE","NO CUMPLE")</f>
        <v>CUMPLE</v>
      </c>
      <c r="AN304" s="15" t="inlineStr">
        <is>
          <t>Nº3 cerrado</t>
        </is>
      </c>
      <c r="AO304" s="17" t="n">
        <v>2</v>
      </c>
      <c r="AP304" s="10">
        <f>ROUNDDOWN(MIN(IF(AK304=0,1000000000,AO304*'Parametros'!$B$11*'Parametros'!$B$4*MIN(U304,AB304)/(AK304*1000)),IF(AV304=0,1000000000,'Parametros'!$B$11/AV304),MIN(U304,AB304)/4,8*'Parametros'!$B$12,24*'Parametros'!$B$9,300)/10,0)*10</f>
        <v>80</v>
      </c>
      <c r="AQ304" s="10">
        <f>ROUNDDOWN(MIN(IF(AK304=0,1000000000,AO304*'Parametros'!$B$11*'Parametros'!$B$4*MIN(U304,AB304)/(AK304*1000)),IF(AV304=0,1000000000,'Parametros'!$B$11/AV304),MIN(U304,AB304)/2,600)/10,0)*10</f>
        <v>170</v>
      </c>
      <c r="AR304" s="10">
        <f>'Parametros'!$B$6*(AJ304+AO304*'Parametros'!$B$11*'Parametros'!$B$4*MIN(U304,AB304)/AP304/1000)</f>
        <v>272.415732210762</v>
      </c>
      <c r="AS304" s="10" t="str">
        <f>IF(AND(AM304="CUMPLE",AR304&gt;=AI304),"CUMPLE","NO CUMPLE")</f>
        <v>CUMPLE</v>
      </c>
      <c r="AT304" s="10">
        <f>'Parametros'!$B$6*0.083*SQRT('Parametros'!$B$2)*(H304*I304)^2/(2*(H304+I304))/1000000</f>
        <v>4.30410823283988</v>
      </c>
      <c r="AU304" s="10" t="str">
        <f>IF(Q304&lt;=AT304,"DESPRECIABLE","DISEÑAR")</f>
        <v>DESPRECIABLE</v>
      </c>
      <c r="AV304" s="10">
        <f>IF(Q304&lt;=AT304,0,Q304*1000000/('Parametros'!$B$6*2*0.85*(H304-2*'Parametros'!$B$7)*(I304-2*'Parametros'!$B$7)*'Parametros'!$B$4))</f>
        <v>0</v>
      </c>
      <c r="AW304" s="10">
        <f>AV304*2*((H304-2*'Parametros'!$B$7)+(I304-2*'Parametros'!$B$7))*'Parametros'!$B$4/'Parametros'!$B$3</f>
        <v>0</v>
      </c>
      <c r="AX304" s="17" t="n">
        <v>0</v>
      </c>
      <c r="AY304" s="10" t="str">
        <f>IF(AV304=0,"DESPRECIABLE",IF('Parametros'!$B$11/AP304&gt;=AV304,"CUMPLE","NO CUMPLE"))</f>
        <v>DESPRECIABLE</v>
      </c>
      <c r="AZ304" s="10" t="str">
        <f>IF(AND(X304="CUMPLE",AE304="CUMPLE",AS304="CUMPLE",OR(AY304="CUMPLE",AY304="DESPRECIABLE")),IF(OR(F304&lt;&gt;H304,G304&lt;&gt;I304),"CUMPLE - REANALIZAR SAP","CUMPLE"),"NO CUMPLE")</f>
        <v>CUMPLE</v>
      </c>
    </row>
    <row r="305">
      <c r="A305" s="24" t="inlineStr">
        <is>
          <t>VR1</t>
        </is>
      </c>
      <c r="B305" s="24" t="inlineStr">
        <is>
          <t>948</t>
        </is>
      </c>
      <c r="C305" s="10" t="n">
        <v>1</v>
      </c>
      <c r="D305" s="10" t="n">
        <v>3.65</v>
      </c>
      <c r="E305" s="10" t="n">
        <v>3.65</v>
      </c>
      <c r="F305" s="10" t="n">
        <v>350</v>
      </c>
      <c r="G305" s="10" t="n">
        <v>400</v>
      </c>
      <c r="H305" s="15" t="n">
        <v>350</v>
      </c>
      <c r="I305" s="15" t="n">
        <v>400</v>
      </c>
      <c r="J305" s="16" t="n">
        <v>42.8085</v>
      </c>
      <c r="K305" s="10" t="inlineStr">
        <is>
          <t>948</t>
        </is>
      </c>
      <c r="L305" s="16" t="n">
        <v>16.6876</v>
      </c>
      <c r="M305" s="10" t="inlineStr">
        <is>
          <t>948</t>
        </is>
      </c>
      <c r="N305" s="16" t="n">
        <v>48.625</v>
      </c>
      <c r="O305" s="16" t="n">
        <v>94.602</v>
      </c>
      <c r="P305" s="10" t="inlineStr">
        <is>
          <t>948</t>
        </is>
      </c>
      <c r="Q305" s="16" t="n">
        <v>0.2272</v>
      </c>
      <c r="R305" s="10">
        <f>MAX(MAX(1.4/'Parametros'!$B$3,0.25*SQRT('Parametros'!$B$2)/'Parametros'!$B$3)*H305*U305,(0.85*'Parametros'!$B$2/'Parametros'!$B$3)*(1-SQRT(1-2*(J305*1000000/('Parametros'!$B$5*H305*U305^2))/(0.85*'Parametros'!$B$2)))*H305*U305)</f>
        <v>399.641666666667</v>
      </c>
      <c r="S305" s="17" t="n">
        <v>3</v>
      </c>
      <c r="T305" s="18" t="n">
        <v>1</v>
      </c>
      <c r="U305" s="10">
        <f>IF(T305=1,I305-('Parametros'!$B$7+'Parametros'!$B$9+'Parametros'!$B$12/2),I305-(ROUNDUP(S305/2,0)*('Parametros'!$B$7+'Parametros'!$B$9+'Parametros'!$B$12/2)+ROUNDDOWN(S305/2,0)*('Parametros'!$B$7+'Parametros'!$B$9+'Parametros'!$B$12/2+'Parametros'!$B$12+'Parametros'!$B$10))/S305)</f>
        <v>342.55</v>
      </c>
      <c r="V305" s="10">
        <f>S305*'Parametros'!$B$8</f>
        <v>597</v>
      </c>
      <c r="W305" s="10">
        <f>'Parametros'!$B$5*V305*'Parametros'!$B$3*(U305-(V305*'Parametros'!$B$3/(0.85*'Parametros'!$B$2*H305))/2)/1000000</f>
        <v>73.905520182353</v>
      </c>
      <c r="X305" s="10" t="str">
        <f>IF(W305&gt;=J305,"CUMPLE","NO CUMPLE")</f>
        <v>CUMPLE</v>
      </c>
      <c r="Y305" s="10">
        <f>MAX(MAX(1.4/'Parametros'!$B$3,0.25*SQRT('Parametros'!$B$2)/'Parametros'!$B$3)*H305*AB305,(0.85*'Parametros'!$B$2/'Parametros'!$B$3)*(1-SQRT(1-2*(L305*1000000/('Parametros'!$B$5*H305*AB305^2))/(0.85*'Parametros'!$B$2)))*H305*AB305)</f>
        <v>399.641666666667</v>
      </c>
      <c r="Z305" s="17" t="n">
        <v>3</v>
      </c>
      <c r="AA305" s="18" t="n">
        <v>1</v>
      </c>
      <c r="AB305" s="10">
        <f>IF(AA305=1,I305-('Parametros'!$B$7+'Parametros'!$B$9+'Parametros'!$B$12/2),I305-(ROUNDUP(Z305/2,0)*('Parametros'!$B$7+'Parametros'!$B$9+'Parametros'!$B$12/2)+ROUNDDOWN(Z305/2,0)*('Parametros'!$B$7+'Parametros'!$B$9+'Parametros'!$B$12/2+'Parametros'!$B$12+'Parametros'!$B$10))/Z305)</f>
        <v>342.55</v>
      </c>
      <c r="AC305" s="10">
        <f>Z305*'Parametros'!$B$8</f>
        <v>597</v>
      </c>
      <c r="AD305" s="10">
        <f>'Parametros'!$B$5*AC305*'Parametros'!$B$3*(AB305-(AC305*'Parametros'!$B$3/(0.85*'Parametros'!$B$2*H305))/2)/1000000</f>
        <v>73.905520182353</v>
      </c>
      <c r="AE305" s="10" t="str">
        <f>IF(AD305&gt;=L305,"CUMPLE","NO CUMPLE")</f>
        <v>CUMPLE</v>
      </c>
      <c r="AF305" s="10">
        <f>V305*1.25*'Parametros'!$B$3*(U305-(V305*1.25*'Parametros'!$B$3/(0.85*'Parametros'!$B$2*H305))/2)/1000000</f>
        <v>101.467261323529</v>
      </c>
      <c r="AG305" s="10">
        <f>AC305*1.25*'Parametros'!$B$3*(AB305-(AC305*1.25*'Parametros'!$B$3/(0.85*'Parametros'!$B$2*H305))/2)/1000000</f>
        <v>101.467261323529</v>
      </c>
      <c r="AH305" s="10">
        <f>N305+(AF305+AG305)/D305</f>
        <v>104.223499355359</v>
      </c>
      <c r="AI305" s="10">
        <f>MIN(O305,MAX(N305,AH305))</f>
        <v>94.602</v>
      </c>
      <c r="AJ305" s="10">
        <f>0.17*SQRT('Parametros'!$B$2)*H305*MIN(U305,AB305)/1000</f>
        <v>107.849951281016</v>
      </c>
      <c r="AK305" s="10">
        <f>MAX(AI305/'Parametros'!$B$6-AJ305,0)</f>
        <v>18.2860487189841</v>
      </c>
      <c r="AL305" s="10">
        <f>0.66*SQRT('Parametros'!$B$2)*H305*MIN(U305,AB305)/1000</f>
        <v>418.711575561591</v>
      </c>
      <c r="AM305" s="10" t="str">
        <f>IF(AK305&lt;=AL305,"CUMPLE","NO CUMPLE")</f>
        <v>CUMPLE</v>
      </c>
      <c r="AN305" s="15" t="inlineStr">
        <is>
          <t>Nº3 cerrado</t>
        </is>
      </c>
      <c r="AO305" s="17" t="n">
        <v>2</v>
      </c>
      <c r="AP305" s="10">
        <f>ROUNDDOWN(MIN(IF(AK305=0,1000000000,AO305*'Parametros'!$B$11*'Parametros'!$B$4*MIN(U305,AB305)/(AK305*1000)),IF(AV305=0,1000000000,'Parametros'!$B$11/AV305),MIN(U305,AB305)/4,8*'Parametros'!$B$12,24*'Parametros'!$B$9,300)/10,0)*10</f>
        <v>80</v>
      </c>
      <c r="AQ305" s="10">
        <f>ROUNDDOWN(MIN(IF(AK305=0,1000000000,AO305*'Parametros'!$B$11*'Parametros'!$B$4*MIN(U305,AB305)/(AK305*1000)),IF(AV305=0,1000000000,'Parametros'!$B$11/AV305),MIN(U305,AB305)/2,600)/10,0)*10</f>
        <v>170</v>
      </c>
      <c r="AR305" s="10">
        <f>'Parametros'!$B$6*(AJ305+AO305*'Parametros'!$B$11*'Parametros'!$B$4*MIN(U305,AB305)/AP305/1000)</f>
        <v>272.415732210762</v>
      </c>
      <c r="AS305" s="10" t="str">
        <f>IF(AND(AM305="CUMPLE",AR305&gt;=AI305),"CUMPLE","NO CUMPLE")</f>
        <v>CUMPLE</v>
      </c>
      <c r="AT305" s="10">
        <f>'Parametros'!$B$6*0.083*SQRT('Parametros'!$B$2)*(H305*I305)^2/(2*(H305+I305))/1000000</f>
        <v>4.30410823283988</v>
      </c>
      <c r="AU305" s="10" t="str">
        <f>IF(Q305&lt;=AT305,"DESPRECIABLE","DISEÑAR")</f>
        <v>DESPRECIABLE</v>
      </c>
      <c r="AV305" s="10">
        <f>IF(Q305&lt;=AT305,0,Q305*1000000/('Parametros'!$B$6*2*0.85*(H305-2*'Parametros'!$B$7)*(I305-2*'Parametros'!$B$7)*'Parametros'!$B$4))</f>
        <v>0</v>
      </c>
      <c r="AW305" s="10">
        <f>AV305*2*((H305-2*'Parametros'!$B$7)+(I305-2*'Parametros'!$B$7))*'Parametros'!$B$4/'Parametros'!$B$3</f>
        <v>0</v>
      </c>
      <c r="AX305" s="17" t="n">
        <v>0</v>
      </c>
      <c r="AY305" s="10" t="str">
        <f>IF(AV305=0,"DESPRECIABLE",IF('Parametros'!$B$11/AP305&gt;=AV305,"CUMPLE","NO CUMPLE"))</f>
        <v>DESPRECIABLE</v>
      </c>
      <c r="AZ305" s="10" t="str">
        <f>IF(AND(X305="CUMPLE",AE305="CUMPLE",AS305="CUMPLE",OR(AY305="CUMPLE",AY305="DESPRECIABLE")),IF(OR(F305&lt;&gt;H305,G305&lt;&gt;I305),"CUMPLE - REANALIZAR SAP","CUMPLE"),"NO CUMPLE")</f>
        <v>CUMPLE</v>
      </c>
    </row>
    <row r="306">
      <c r="A306" s="24" t="inlineStr">
        <is>
          <t>VR1</t>
        </is>
      </c>
      <c r="B306" s="24" t="inlineStr">
        <is>
          <t>949</t>
        </is>
      </c>
      <c r="C306" s="10" t="n">
        <v>1</v>
      </c>
      <c r="D306" s="10" t="n">
        <v>2.6</v>
      </c>
      <c r="E306" s="10" t="n">
        <v>2.6</v>
      </c>
      <c r="F306" s="10" t="n">
        <v>350</v>
      </c>
      <c r="G306" s="10" t="n">
        <v>400</v>
      </c>
      <c r="H306" s="15" t="n">
        <v>350</v>
      </c>
      <c r="I306" s="15" t="n">
        <v>400</v>
      </c>
      <c r="J306" s="16" t="n">
        <v>32.0497</v>
      </c>
      <c r="K306" s="10" t="inlineStr">
        <is>
          <t>949</t>
        </is>
      </c>
      <c r="L306" s="16" t="n">
        <v>11.5566</v>
      </c>
      <c r="M306" s="10" t="inlineStr">
        <is>
          <t>949</t>
        </is>
      </c>
      <c r="N306" s="16" t="n">
        <v>40.961</v>
      </c>
      <c r="O306" s="16" t="n">
        <v>88.88500000000001</v>
      </c>
      <c r="P306" s="10" t="inlineStr">
        <is>
          <t>949</t>
        </is>
      </c>
      <c r="Q306" s="16" t="n">
        <v>0.1318</v>
      </c>
      <c r="R306" s="10">
        <f>MAX(MAX(1.4/'Parametros'!$B$3,0.25*SQRT('Parametros'!$B$2)/'Parametros'!$B$3)*H306*U306,(0.85*'Parametros'!$B$2/'Parametros'!$B$3)*(1-SQRT(1-2*(J306*1000000/('Parametros'!$B$5*H306*U306^2))/(0.85*'Parametros'!$B$2)))*H306*U306)</f>
        <v>399.641666666667</v>
      </c>
      <c r="S306" s="17" t="n">
        <v>3</v>
      </c>
      <c r="T306" s="18" t="n">
        <v>1</v>
      </c>
      <c r="U306" s="10">
        <f>IF(T306=1,I306-('Parametros'!$B$7+'Parametros'!$B$9+'Parametros'!$B$12/2),I306-(ROUNDUP(S306/2,0)*('Parametros'!$B$7+'Parametros'!$B$9+'Parametros'!$B$12/2)+ROUNDDOWN(S306/2,0)*('Parametros'!$B$7+'Parametros'!$B$9+'Parametros'!$B$12/2+'Parametros'!$B$12+'Parametros'!$B$10))/S306)</f>
        <v>342.55</v>
      </c>
      <c r="V306" s="10">
        <f>S306*'Parametros'!$B$8</f>
        <v>597</v>
      </c>
      <c r="W306" s="10">
        <f>'Parametros'!$B$5*V306*'Parametros'!$B$3*(U306-(V306*'Parametros'!$B$3/(0.85*'Parametros'!$B$2*H306))/2)/1000000</f>
        <v>73.905520182353</v>
      </c>
      <c r="X306" s="10" t="str">
        <f>IF(W306&gt;=J306,"CUMPLE","NO CUMPLE")</f>
        <v>CUMPLE</v>
      </c>
      <c r="Y306" s="10">
        <f>MAX(MAX(1.4/'Parametros'!$B$3,0.25*SQRT('Parametros'!$B$2)/'Parametros'!$B$3)*H306*AB306,(0.85*'Parametros'!$B$2/'Parametros'!$B$3)*(1-SQRT(1-2*(L306*1000000/('Parametros'!$B$5*H306*AB306^2))/(0.85*'Parametros'!$B$2)))*H306*AB306)</f>
        <v>399.641666666667</v>
      </c>
      <c r="Z306" s="17" t="n">
        <v>3</v>
      </c>
      <c r="AA306" s="18" t="n">
        <v>1</v>
      </c>
      <c r="AB306" s="10">
        <f>IF(AA306=1,I306-('Parametros'!$B$7+'Parametros'!$B$9+'Parametros'!$B$12/2),I306-(ROUNDUP(Z306/2,0)*('Parametros'!$B$7+'Parametros'!$B$9+'Parametros'!$B$12/2)+ROUNDDOWN(Z306/2,0)*('Parametros'!$B$7+'Parametros'!$B$9+'Parametros'!$B$12/2+'Parametros'!$B$12+'Parametros'!$B$10))/Z306)</f>
        <v>342.55</v>
      </c>
      <c r="AC306" s="10">
        <f>Z306*'Parametros'!$B$8</f>
        <v>597</v>
      </c>
      <c r="AD306" s="10">
        <f>'Parametros'!$B$5*AC306*'Parametros'!$B$3*(AB306-(AC306*'Parametros'!$B$3/(0.85*'Parametros'!$B$2*H306))/2)/1000000</f>
        <v>73.905520182353</v>
      </c>
      <c r="AE306" s="10" t="str">
        <f>IF(AD306&gt;=L306,"CUMPLE","NO CUMPLE")</f>
        <v>CUMPLE</v>
      </c>
      <c r="AF306" s="10">
        <f>V306*1.25*'Parametros'!$B$3*(U306-(V306*1.25*'Parametros'!$B$3/(0.85*'Parametros'!$B$2*H306))/2)/1000000</f>
        <v>101.467261323529</v>
      </c>
      <c r="AG306" s="10">
        <f>AC306*1.25*'Parametros'!$B$3*(AB306-(AC306*1.25*'Parametros'!$B$3/(0.85*'Parametros'!$B$2*H306))/2)/1000000</f>
        <v>101.467261323529</v>
      </c>
      <c r="AH306" s="10">
        <f>N306+(AF306+AG306)/D306</f>
        <v>119.012739479638</v>
      </c>
      <c r="AI306" s="10">
        <f>MIN(O306,MAX(N306,AH306))</f>
        <v>88.885</v>
      </c>
      <c r="AJ306" s="10">
        <f>0.17*SQRT('Parametros'!$B$2)*H306*MIN(U306,AB306)/1000</f>
        <v>107.849951281016</v>
      </c>
      <c r="AK306" s="10">
        <f>MAX(AI306/'Parametros'!$B$6-AJ306,0)</f>
        <v>10.6633820523174</v>
      </c>
      <c r="AL306" s="10">
        <f>0.66*SQRT('Parametros'!$B$2)*H306*MIN(U306,AB306)/1000</f>
        <v>418.711575561591</v>
      </c>
      <c r="AM306" s="10" t="str">
        <f>IF(AK306&lt;=AL306,"CUMPLE","NO CUMPLE")</f>
        <v>CUMPLE</v>
      </c>
      <c r="AN306" s="15" t="inlineStr">
        <is>
          <t>Nº3 cerrado</t>
        </is>
      </c>
      <c r="AO306" s="17" t="n">
        <v>2</v>
      </c>
      <c r="AP306" s="10">
        <f>ROUNDDOWN(MIN(IF(AK306=0,1000000000,AO306*'Parametros'!$B$11*'Parametros'!$B$4*MIN(U306,AB306)/(AK306*1000)),IF(AV306=0,1000000000,'Parametros'!$B$11/AV306),MIN(U306,AB306)/4,8*'Parametros'!$B$12,24*'Parametros'!$B$9,300)/10,0)*10</f>
        <v>80</v>
      </c>
      <c r="AQ306" s="10">
        <f>ROUNDDOWN(MIN(IF(AK306=0,1000000000,AO306*'Parametros'!$B$11*'Parametros'!$B$4*MIN(U306,AB306)/(AK306*1000)),IF(AV306=0,1000000000,'Parametros'!$B$11/AV306),MIN(U306,AB306)/2,600)/10,0)*10</f>
        <v>170</v>
      </c>
      <c r="AR306" s="10">
        <f>'Parametros'!$B$6*(AJ306+AO306*'Parametros'!$B$11*'Parametros'!$B$4*MIN(U306,AB306)/AP306/1000)</f>
        <v>272.415732210762</v>
      </c>
      <c r="AS306" s="10" t="str">
        <f>IF(AND(AM306="CUMPLE",AR306&gt;=AI306),"CUMPLE","NO CUMPLE")</f>
        <v>CUMPLE</v>
      </c>
      <c r="AT306" s="10">
        <f>'Parametros'!$B$6*0.083*SQRT('Parametros'!$B$2)*(H306*I306)^2/(2*(H306+I306))/1000000</f>
        <v>4.30410823283988</v>
      </c>
      <c r="AU306" s="10" t="str">
        <f>IF(Q306&lt;=AT306,"DESPRECIABLE","DISEÑAR")</f>
        <v>DESPRECIABLE</v>
      </c>
      <c r="AV306" s="10">
        <f>IF(Q306&lt;=AT306,0,Q306*1000000/('Parametros'!$B$6*2*0.85*(H306-2*'Parametros'!$B$7)*(I306-2*'Parametros'!$B$7)*'Parametros'!$B$4))</f>
        <v>0</v>
      </c>
      <c r="AW306" s="10">
        <f>AV306*2*((H306-2*'Parametros'!$B$7)+(I306-2*'Parametros'!$B$7))*'Parametros'!$B$4/'Parametros'!$B$3</f>
        <v>0</v>
      </c>
      <c r="AX306" s="17" t="n">
        <v>0</v>
      </c>
      <c r="AY306" s="10" t="str">
        <f>IF(AV306=0,"DESPRECIABLE",IF('Parametros'!$B$11/AP306&gt;=AV306,"CUMPLE","NO CUMPLE"))</f>
        <v>DESPRECIABLE</v>
      </c>
      <c r="AZ306" s="10" t="str">
        <f>IF(AND(X306="CUMPLE",AE306="CUMPLE",AS306="CUMPLE",OR(AY306="CUMPLE",AY306="DESPRECIABLE")),IF(OR(F306&lt;&gt;H306,G306&lt;&gt;I306),"CUMPLE - REANALIZAR SAP","CUMPLE"),"NO CUMPLE")</f>
        <v>CUMPLE</v>
      </c>
    </row>
    <row r="307">
      <c r="A307" s="24" t="inlineStr">
        <is>
          <t>VR1</t>
        </is>
      </c>
      <c r="B307" s="24" t="inlineStr">
        <is>
          <t>950</t>
        </is>
      </c>
      <c r="C307" s="10" t="n">
        <v>1</v>
      </c>
      <c r="D307" s="10" t="n">
        <v>2.5</v>
      </c>
      <c r="E307" s="10" t="n">
        <v>2.5</v>
      </c>
      <c r="F307" s="10" t="n">
        <v>350</v>
      </c>
      <c r="G307" s="10" t="n">
        <v>400</v>
      </c>
      <c r="H307" s="15" t="n">
        <v>350</v>
      </c>
      <c r="I307" s="15" t="n">
        <v>400</v>
      </c>
      <c r="J307" s="16" t="n">
        <v>34.8746</v>
      </c>
      <c r="K307" s="10" t="inlineStr">
        <is>
          <t>950</t>
        </is>
      </c>
      <c r="L307" s="16" t="n">
        <v>14.4107</v>
      </c>
      <c r="M307" s="10" t="inlineStr">
        <is>
          <t>950</t>
        </is>
      </c>
      <c r="N307" s="16" t="n">
        <v>42.797</v>
      </c>
      <c r="O307" s="16" t="n">
        <v>98.64</v>
      </c>
      <c r="P307" s="10" t="inlineStr">
        <is>
          <t>950</t>
        </is>
      </c>
      <c r="Q307" s="16" t="n">
        <v>0.4047</v>
      </c>
      <c r="R307" s="10">
        <f>MAX(MAX(1.4/'Parametros'!$B$3,0.25*SQRT('Parametros'!$B$2)/'Parametros'!$B$3)*H307*U307,(0.85*'Parametros'!$B$2/'Parametros'!$B$3)*(1-SQRT(1-2*(J307*1000000/('Parametros'!$B$5*H307*U307^2))/(0.85*'Parametros'!$B$2)))*H307*U307)</f>
        <v>399.641666666667</v>
      </c>
      <c r="S307" s="17" t="n">
        <v>3</v>
      </c>
      <c r="T307" s="18" t="n">
        <v>1</v>
      </c>
      <c r="U307" s="10">
        <f>IF(T307=1,I307-('Parametros'!$B$7+'Parametros'!$B$9+'Parametros'!$B$12/2),I307-(ROUNDUP(S307/2,0)*('Parametros'!$B$7+'Parametros'!$B$9+'Parametros'!$B$12/2)+ROUNDDOWN(S307/2,0)*('Parametros'!$B$7+'Parametros'!$B$9+'Parametros'!$B$12/2+'Parametros'!$B$12+'Parametros'!$B$10))/S307)</f>
        <v>342.55</v>
      </c>
      <c r="V307" s="10">
        <f>S307*'Parametros'!$B$8</f>
        <v>597</v>
      </c>
      <c r="W307" s="10">
        <f>'Parametros'!$B$5*V307*'Parametros'!$B$3*(U307-(V307*'Parametros'!$B$3/(0.85*'Parametros'!$B$2*H307))/2)/1000000</f>
        <v>73.905520182353</v>
      </c>
      <c r="X307" s="10" t="str">
        <f>IF(W307&gt;=J307,"CUMPLE","NO CUMPLE")</f>
        <v>CUMPLE</v>
      </c>
      <c r="Y307" s="10">
        <f>MAX(MAX(1.4/'Parametros'!$B$3,0.25*SQRT('Parametros'!$B$2)/'Parametros'!$B$3)*H307*AB307,(0.85*'Parametros'!$B$2/'Parametros'!$B$3)*(1-SQRT(1-2*(L307*1000000/('Parametros'!$B$5*H307*AB307^2))/(0.85*'Parametros'!$B$2)))*H307*AB307)</f>
        <v>399.641666666667</v>
      </c>
      <c r="Z307" s="17" t="n">
        <v>3</v>
      </c>
      <c r="AA307" s="18" t="n">
        <v>1</v>
      </c>
      <c r="AB307" s="10">
        <f>IF(AA307=1,I307-('Parametros'!$B$7+'Parametros'!$B$9+'Parametros'!$B$12/2),I307-(ROUNDUP(Z307/2,0)*('Parametros'!$B$7+'Parametros'!$B$9+'Parametros'!$B$12/2)+ROUNDDOWN(Z307/2,0)*('Parametros'!$B$7+'Parametros'!$B$9+'Parametros'!$B$12/2+'Parametros'!$B$12+'Parametros'!$B$10))/Z307)</f>
        <v>342.55</v>
      </c>
      <c r="AC307" s="10">
        <f>Z307*'Parametros'!$B$8</f>
        <v>597</v>
      </c>
      <c r="AD307" s="10">
        <f>'Parametros'!$B$5*AC307*'Parametros'!$B$3*(AB307-(AC307*'Parametros'!$B$3/(0.85*'Parametros'!$B$2*H307))/2)/1000000</f>
        <v>73.905520182353</v>
      </c>
      <c r="AE307" s="10" t="str">
        <f>IF(AD307&gt;=L307,"CUMPLE","NO CUMPLE")</f>
        <v>CUMPLE</v>
      </c>
      <c r="AF307" s="10">
        <f>V307*1.25*'Parametros'!$B$3*(U307-(V307*1.25*'Parametros'!$B$3/(0.85*'Parametros'!$B$2*H307))/2)/1000000</f>
        <v>101.467261323529</v>
      </c>
      <c r="AG307" s="10">
        <f>AC307*1.25*'Parametros'!$B$3*(AB307-(AC307*1.25*'Parametros'!$B$3/(0.85*'Parametros'!$B$2*H307))/2)/1000000</f>
        <v>101.467261323529</v>
      </c>
      <c r="AH307" s="10">
        <f>N307+(AF307+AG307)/D307</f>
        <v>123.970809058824</v>
      </c>
      <c r="AI307" s="10">
        <f>MIN(O307,MAX(N307,AH307))</f>
        <v>98.64</v>
      </c>
      <c r="AJ307" s="10">
        <f>0.17*SQRT('Parametros'!$B$2)*H307*MIN(U307,AB307)/1000</f>
        <v>107.849951281016</v>
      </c>
      <c r="AK307" s="10">
        <f>MAX(AI307/'Parametros'!$B$6-AJ307,0)</f>
        <v>23.6700487189841</v>
      </c>
      <c r="AL307" s="10">
        <f>0.66*SQRT('Parametros'!$B$2)*H307*MIN(U307,AB307)/1000</f>
        <v>418.711575561591</v>
      </c>
      <c r="AM307" s="10" t="str">
        <f>IF(AK307&lt;=AL307,"CUMPLE","NO CUMPLE")</f>
        <v>CUMPLE</v>
      </c>
      <c r="AN307" s="15" t="inlineStr">
        <is>
          <t>Nº3 cerrado</t>
        </is>
      </c>
      <c r="AO307" s="17" t="n">
        <v>2</v>
      </c>
      <c r="AP307" s="10">
        <f>ROUNDDOWN(MIN(IF(AK307=0,1000000000,AO307*'Parametros'!$B$11*'Parametros'!$B$4*MIN(U307,AB307)/(AK307*1000)),IF(AV307=0,1000000000,'Parametros'!$B$11/AV307),MIN(U307,AB307)/4,8*'Parametros'!$B$12,24*'Parametros'!$B$9,300)/10,0)*10</f>
        <v>80</v>
      </c>
      <c r="AQ307" s="10">
        <f>ROUNDDOWN(MIN(IF(AK307=0,1000000000,AO307*'Parametros'!$B$11*'Parametros'!$B$4*MIN(U307,AB307)/(AK307*1000)),IF(AV307=0,1000000000,'Parametros'!$B$11/AV307),MIN(U307,AB307)/2,600)/10,0)*10</f>
        <v>170</v>
      </c>
      <c r="AR307" s="10">
        <f>'Parametros'!$B$6*(AJ307+AO307*'Parametros'!$B$11*'Parametros'!$B$4*MIN(U307,AB307)/AP307/1000)</f>
        <v>272.415732210762</v>
      </c>
      <c r="AS307" s="10" t="str">
        <f>IF(AND(AM307="CUMPLE",AR307&gt;=AI307),"CUMPLE","NO CUMPLE")</f>
        <v>CUMPLE</v>
      </c>
      <c r="AT307" s="10">
        <f>'Parametros'!$B$6*0.083*SQRT('Parametros'!$B$2)*(H307*I307)^2/(2*(H307+I307))/1000000</f>
        <v>4.30410823283988</v>
      </c>
      <c r="AU307" s="10" t="str">
        <f>IF(Q307&lt;=AT307,"DESPRECIABLE","DISEÑAR")</f>
        <v>DESPRECIABLE</v>
      </c>
      <c r="AV307" s="10">
        <f>IF(Q307&lt;=AT307,0,Q307*1000000/('Parametros'!$B$6*2*0.85*(H307-2*'Parametros'!$B$7)*(I307-2*'Parametros'!$B$7)*'Parametros'!$B$4))</f>
        <v>0</v>
      </c>
      <c r="AW307" s="10">
        <f>AV307*2*((H307-2*'Parametros'!$B$7)+(I307-2*'Parametros'!$B$7))*'Parametros'!$B$4/'Parametros'!$B$3</f>
        <v>0</v>
      </c>
      <c r="AX307" s="17" t="n">
        <v>0</v>
      </c>
      <c r="AY307" s="10" t="str">
        <f>IF(AV307=0,"DESPRECIABLE",IF('Parametros'!$B$11/AP307&gt;=AV307,"CUMPLE","NO CUMPLE"))</f>
        <v>DESPRECIABLE</v>
      </c>
      <c r="AZ307" s="10" t="str">
        <f>IF(AND(X307="CUMPLE",AE307="CUMPLE",AS307="CUMPLE",OR(AY307="CUMPLE",AY307="DESPRECIABLE")),IF(OR(F307&lt;&gt;H307,G307&lt;&gt;I307),"CUMPLE - REANALIZAR SAP","CUMPLE"),"NO CUMPLE")</f>
        <v>CUMPLE</v>
      </c>
    </row>
    <row r="308">
      <c r="A308" s="24" t="inlineStr">
        <is>
          <t>VR1</t>
        </is>
      </c>
      <c r="B308" s="24" t="inlineStr">
        <is>
          <t>951</t>
        </is>
      </c>
      <c r="C308" s="10" t="n">
        <v>1</v>
      </c>
      <c r="D308" s="10" t="n">
        <v>4</v>
      </c>
      <c r="E308" s="10" t="n">
        <v>4</v>
      </c>
      <c r="F308" s="10" t="n">
        <v>350</v>
      </c>
      <c r="G308" s="10" t="n">
        <v>400</v>
      </c>
      <c r="H308" s="15" t="n">
        <v>350</v>
      </c>
      <c r="I308" s="15" t="n">
        <v>400</v>
      </c>
      <c r="J308" s="16" t="n">
        <v>47.9151</v>
      </c>
      <c r="K308" s="10" t="inlineStr">
        <is>
          <t>951</t>
        </is>
      </c>
      <c r="L308" s="16" t="n">
        <v>22.7756</v>
      </c>
      <c r="M308" s="10" t="inlineStr">
        <is>
          <t>951</t>
        </is>
      </c>
      <c r="N308" s="16" t="n">
        <v>56.17</v>
      </c>
      <c r="O308" s="16" t="n">
        <v>80.818</v>
      </c>
      <c r="P308" s="10" t="inlineStr">
        <is>
          <t>951</t>
        </is>
      </c>
      <c r="Q308" s="16" t="n">
        <v>1.068</v>
      </c>
      <c r="R308" s="10">
        <f>MAX(MAX(1.4/'Parametros'!$B$3,0.25*SQRT('Parametros'!$B$2)/'Parametros'!$B$3)*H308*U308,(0.85*'Parametros'!$B$2/'Parametros'!$B$3)*(1-SQRT(1-2*(J308*1000000/('Parametros'!$B$5*H308*U308^2))/(0.85*'Parametros'!$B$2)))*H308*U308)</f>
        <v>399.641666666667</v>
      </c>
      <c r="S308" s="17" t="n">
        <v>3</v>
      </c>
      <c r="T308" s="18" t="n">
        <v>1</v>
      </c>
      <c r="U308" s="10">
        <f>IF(T308=1,I308-('Parametros'!$B$7+'Parametros'!$B$9+'Parametros'!$B$12/2),I308-(ROUNDUP(S308/2,0)*('Parametros'!$B$7+'Parametros'!$B$9+'Parametros'!$B$12/2)+ROUNDDOWN(S308/2,0)*('Parametros'!$B$7+'Parametros'!$B$9+'Parametros'!$B$12/2+'Parametros'!$B$12+'Parametros'!$B$10))/S308)</f>
        <v>342.55</v>
      </c>
      <c r="V308" s="10">
        <f>S308*'Parametros'!$B$8</f>
        <v>597</v>
      </c>
      <c r="W308" s="10">
        <f>'Parametros'!$B$5*V308*'Parametros'!$B$3*(U308-(V308*'Parametros'!$B$3/(0.85*'Parametros'!$B$2*H308))/2)/1000000</f>
        <v>73.905520182353</v>
      </c>
      <c r="X308" s="10" t="str">
        <f>IF(W308&gt;=J308,"CUMPLE","NO CUMPLE")</f>
        <v>CUMPLE</v>
      </c>
      <c r="Y308" s="10">
        <f>MAX(MAX(1.4/'Parametros'!$B$3,0.25*SQRT('Parametros'!$B$2)/'Parametros'!$B$3)*H308*AB308,(0.85*'Parametros'!$B$2/'Parametros'!$B$3)*(1-SQRT(1-2*(L308*1000000/('Parametros'!$B$5*H308*AB308^2))/(0.85*'Parametros'!$B$2)))*H308*AB308)</f>
        <v>399.641666666667</v>
      </c>
      <c r="Z308" s="17" t="n">
        <v>3</v>
      </c>
      <c r="AA308" s="18" t="n">
        <v>1</v>
      </c>
      <c r="AB308" s="10">
        <f>IF(AA308=1,I308-('Parametros'!$B$7+'Parametros'!$B$9+'Parametros'!$B$12/2),I308-(ROUNDUP(Z308/2,0)*('Parametros'!$B$7+'Parametros'!$B$9+'Parametros'!$B$12/2)+ROUNDDOWN(Z308/2,0)*('Parametros'!$B$7+'Parametros'!$B$9+'Parametros'!$B$12/2+'Parametros'!$B$12+'Parametros'!$B$10))/Z308)</f>
        <v>342.55</v>
      </c>
      <c r="AC308" s="10">
        <f>Z308*'Parametros'!$B$8</f>
        <v>597</v>
      </c>
      <c r="AD308" s="10">
        <f>'Parametros'!$B$5*AC308*'Parametros'!$B$3*(AB308-(AC308*'Parametros'!$B$3/(0.85*'Parametros'!$B$2*H308))/2)/1000000</f>
        <v>73.905520182353</v>
      </c>
      <c r="AE308" s="10" t="str">
        <f>IF(AD308&gt;=L308,"CUMPLE","NO CUMPLE")</f>
        <v>CUMPLE</v>
      </c>
      <c r="AF308" s="10">
        <f>V308*1.25*'Parametros'!$B$3*(U308-(V308*1.25*'Parametros'!$B$3/(0.85*'Parametros'!$B$2*H308))/2)/1000000</f>
        <v>101.467261323529</v>
      </c>
      <c r="AG308" s="10">
        <f>AC308*1.25*'Parametros'!$B$3*(AB308-(AC308*1.25*'Parametros'!$B$3/(0.85*'Parametros'!$B$2*H308))/2)/1000000</f>
        <v>101.467261323529</v>
      </c>
      <c r="AH308" s="10">
        <f>N308+(AF308+AG308)/D308</f>
        <v>106.903630661765</v>
      </c>
      <c r="AI308" s="10">
        <f>MIN(O308,MAX(N308,AH308))</f>
        <v>80.818</v>
      </c>
      <c r="AJ308" s="10">
        <f>0.17*SQRT('Parametros'!$B$2)*H308*MIN(U308,AB308)/1000</f>
        <v>107.849951281016</v>
      </c>
      <c r="AK308" s="10">
        <f>MAX(AI308/'Parametros'!$B$6-AJ308,0)</f>
        <v>0</v>
      </c>
      <c r="AL308" s="10">
        <f>0.66*SQRT('Parametros'!$B$2)*H308*MIN(U308,AB308)/1000</f>
        <v>418.711575561591</v>
      </c>
      <c r="AM308" s="10" t="str">
        <f>IF(AK308&lt;=AL308,"CUMPLE","NO CUMPLE")</f>
        <v>CUMPLE</v>
      </c>
      <c r="AN308" s="15" t="inlineStr">
        <is>
          <t>Nº3 cerrado</t>
        </is>
      </c>
      <c r="AO308" s="17" t="n">
        <v>2</v>
      </c>
      <c r="AP308" s="10">
        <f>ROUNDDOWN(MIN(IF(AK308=0,1000000000,AO308*'Parametros'!$B$11*'Parametros'!$B$4*MIN(U308,AB308)/(AK308*1000)),IF(AV308=0,1000000000,'Parametros'!$B$11/AV308),MIN(U308,AB308)/4,8*'Parametros'!$B$12,24*'Parametros'!$B$9,300)/10,0)*10</f>
        <v>80</v>
      </c>
      <c r="AQ308" s="10">
        <f>ROUNDDOWN(MIN(IF(AK308=0,1000000000,AO308*'Parametros'!$B$11*'Parametros'!$B$4*MIN(U308,AB308)/(AK308*1000)),IF(AV308=0,1000000000,'Parametros'!$B$11/AV308),MIN(U308,AB308)/2,600)/10,0)*10</f>
        <v>170</v>
      </c>
      <c r="AR308" s="10">
        <f>'Parametros'!$B$6*(AJ308+AO308*'Parametros'!$B$11*'Parametros'!$B$4*MIN(U308,AB308)/AP308/1000)</f>
        <v>272.415732210762</v>
      </c>
      <c r="AS308" s="10" t="str">
        <f>IF(AND(AM308="CUMPLE",AR308&gt;=AI308),"CUMPLE","NO CUMPLE")</f>
        <v>CUMPLE</v>
      </c>
      <c r="AT308" s="10">
        <f>'Parametros'!$B$6*0.083*SQRT('Parametros'!$B$2)*(H308*I308)^2/(2*(H308+I308))/1000000</f>
        <v>4.30410823283988</v>
      </c>
      <c r="AU308" s="10" t="str">
        <f>IF(Q308&lt;=AT308,"DESPRECIABLE","DISEÑAR")</f>
        <v>DESPRECIABLE</v>
      </c>
      <c r="AV308" s="10">
        <f>IF(Q308&lt;=AT308,0,Q308*1000000/('Parametros'!$B$6*2*0.85*(H308-2*'Parametros'!$B$7)*(I308-2*'Parametros'!$B$7)*'Parametros'!$B$4))</f>
        <v>0</v>
      </c>
      <c r="AW308" s="10">
        <f>AV308*2*((H308-2*'Parametros'!$B$7)+(I308-2*'Parametros'!$B$7))*'Parametros'!$B$4/'Parametros'!$B$3</f>
        <v>0</v>
      </c>
      <c r="AX308" s="17" t="n">
        <v>0</v>
      </c>
      <c r="AY308" s="10" t="str">
        <f>IF(AV308=0,"DESPRECIABLE",IF('Parametros'!$B$11/AP308&gt;=AV308,"CUMPLE","NO CUMPLE"))</f>
        <v>DESPRECIABLE</v>
      </c>
      <c r="AZ308" s="10" t="str">
        <f>IF(AND(X308="CUMPLE",AE308="CUMPLE",AS308="CUMPLE",OR(AY308="CUMPLE",AY308="DESPRECIABLE")),IF(OR(F308&lt;&gt;H308,G308&lt;&gt;I308),"CUMPLE - REANALIZAR SAP","CUMPLE"),"NO CUMPLE")</f>
        <v>CUMPLE</v>
      </c>
    </row>
    <row r="309">
      <c r="A309" s="24" t="inlineStr">
        <is>
          <t>VR1</t>
        </is>
      </c>
      <c r="B309" s="24" t="inlineStr">
        <is>
          <t>952</t>
        </is>
      </c>
      <c r="C309" s="10" t="n">
        <v>1</v>
      </c>
      <c r="D309" s="10" t="n">
        <v>4</v>
      </c>
      <c r="E309" s="10" t="n">
        <v>4</v>
      </c>
      <c r="F309" s="10" t="n">
        <v>350</v>
      </c>
      <c r="G309" s="10" t="n">
        <v>400</v>
      </c>
      <c r="H309" s="15" t="n">
        <v>350</v>
      </c>
      <c r="I309" s="15" t="n">
        <v>400</v>
      </c>
      <c r="J309" s="16" t="n">
        <v>47.9626</v>
      </c>
      <c r="K309" s="10" t="inlineStr">
        <is>
          <t>952</t>
        </is>
      </c>
      <c r="L309" s="16" t="n">
        <v>22.7969</v>
      </c>
      <c r="M309" s="10" t="inlineStr">
        <is>
          <t>952</t>
        </is>
      </c>
      <c r="N309" s="16" t="n">
        <v>56.188</v>
      </c>
      <c r="O309" s="16" t="n">
        <v>80.90900000000001</v>
      </c>
      <c r="P309" s="10" t="inlineStr">
        <is>
          <t>952</t>
        </is>
      </c>
      <c r="Q309" s="16" t="n">
        <v>1.0982</v>
      </c>
      <c r="R309" s="10">
        <f>MAX(MAX(1.4/'Parametros'!$B$3,0.25*SQRT('Parametros'!$B$2)/'Parametros'!$B$3)*H309*U309,(0.85*'Parametros'!$B$2/'Parametros'!$B$3)*(1-SQRT(1-2*(J309*1000000/('Parametros'!$B$5*H309*U309^2))/(0.85*'Parametros'!$B$2)))*H309*U309)</f>
        <v>399.641666666667</v>
      </c>
      <c r="S309" s="17" t="n">
        <v>3</v>
      </c>
      <c r="T309" s="18" t="n">
        <v>1</v>
      </c>
      <c r="U309" s="10">
        <f>IF(T309=1,I309-('Parametros'!$B$7+'Parametros'!$B$9+'Parametros'!$B$12/2),I309-(ROUNDUP(S309/2,0)*('Parametros'!$B$7+'Parametros'!$B$9+'Parametros'!$B$12/2)+ROUNDDOWN(S309/2,0)*('Parametros'!$B$7+'Parametros'!$B$9+'Parametros'!$B$12/2+'Parametros'!$B$12+'Parametros'!$B$10))/S309)</f>
        <v>342.55</v>
      </c>
      <c r="V309" s="10">
        <f>S309*'Parametros'!$B$8</f>
        <v>597</v>
      </c>
      <c r="W309" s="10">
        <f>'Parametros'!$B$5*V309*'Parametros'!$B$3*(U309-(V309*'Parametros'!$B$3/(0.85*'Parametros'!$B$2*H309))/2)/1000000</f>
        <v>73.905520182353</v>
      </c>
      <c r="X309" s="10" t="str">
        <f>IF(W309&gt;=J309,"CUMPLE","NO CUMPLE")</f>
        <v>CUMPLE</v>
      </c>
      <c r="Y309" s="10">
        <f>MAX(MAX(1.4/'Parametros'!$B$3,0.25*SQRT('Parametros'!$B$2)/'Parametros'!$B$3)*H309*AB309,(0.85*'Parametros'!$B$2/'Parametros'!$B$3)*(1-SQRT(1-2*(L309*1000000/('Parametros'!$B$5*H309*AB309^2))/(0.85*'Parametros'!$B$2)))*H309*AB309)</f>
        <v>399.641666666667</v>
      </c>
      <c r="Z309" s="17" t="n">
        <v>3</v>
      </c>
      <c r="AA309" s="18" t="n">
        <v>1</v>
      </c>
      <c r="AB309" s="10">
        <f>IF(AA309=1,I309-('Parametros'!$B$7+'Parametros'!$B$9+'Parametros'!$B$12/2),I309-(ROUNDUP(Z309/2,0)*('Parametros'!$B$7+'Parametros'!$B$9+'Parametros'!$B$12/2)+ROUNDDOWN(Z309/2,0)*('Parametros'!$B$7+'Parametros'!$B$9+'Parametros'!$B$12/2+'Parametros'!$B$12+'Parametros'!$B$10))/Z309)</f>
        <v>342.55</v>
      </c>
      <c r="AC309" s="10">
        <f>Z309*'Parametros'!$B$8</f>
        <v>597</v>
      </c>
      <c r="AD309" s="10">
        <f>'Parametros'!$B$5*AC309*'Parametros'!$B$3*(AB309-(AC309*'Parametros'!$B$3/(0.85*'Parametros'!$B$2*H309))/2)/1000000</f>
        <v>73.905520182353</v>
      </c>
      <c r="AE309" s="10" t="str">
        <f>IF(AD309&gt;=L309,"CUMPLE","NO CUMPLE")</f>
        <v>CUMPLE</v>
      </c>
      <c r="AF309" s="10">
        <f>V309*1.25*'Parametros'!$B$3*(U309-(V309*1.25*'Parametros'!$B$3/(0.85*'Parametros'!$B$2*H309))/2)/1000000</f>
        <v>101.467261323529</v>
      </c>
      <c r="AG309" s="10">
        <f>AC309*1.25*'Parametros'!$B$3*(AB309-(AC309*1.25*'Parametros'!$B$3/(0.85*'Parametros'!$B$2*H309))/2)/1000000</f>
        <v>101.467261323529</v>
      </c>
      <c r="AH309" s="10">
        <f>N309+(AF309+AG309)/D309</f>
        <v>106.921630661765</v>
      </c>
      <c r="AI309" s="10">
        <f>MIN(O309,MAX(N309,AH309))</f>
        <v>80.909</v>
      </c>
      <c r="AJ309" s="10">
        <f>0.17*SQRT('Parametros'!$B$2)*H309*MIN(U309,AB309)/1000</f>
        <v>107.849951281016</v>
      </c>
      <c r="AK309" s="10">
        <f>MAX(AI309/'Parametros'!$B$6-AJ309,0)</f>
        <v>0.02871538565077</v>
      </c>
      <c r="AL309" s="10">
        <f>0.66*SQRT('Parametros'!$B$2)*H309*MIN(U309,AB309)/1000</f>
        <v>418.711575561591</v>
      </c>
      <c r="AM309" s="10" t="str">
        <f>IF(AK309&lt;=AL309,"CUMPLE","NO CUMPLE")</f>
        <v>CUMPLE</v>
      </c>
      <c r="AN309" s="15" t="inlineStr">
        <is>
          <t>Nº3 cerrado</t>
        </is>
      </c>
      <c r="AO309" s="17" t="n">
        <v>2</v>
      </c>
      <c r="AP309" s="10">
        <f>ROUNDDOWN(MIN(IF(AK309=0,1000000000,AO309*'Parametros'!$B$11*'Parametros'!$B$4*MIN(U309,AB309)/(AK309*1000)),IF(AV309=0,1000000000,'Parametros'!$B$11/AV309),MIN(U309,AB309)/4,8*'Parametros'!$B$12,24*'Parametros'!$B$9,300)/10,0)*10</f>
        <v>80</v>
      </c>
      <c r="AQ309" s="10">
        <f>ROUNDDOWN(MIN(IF(AK309=0,1000000000,AO309*'Parametros'!$B$11*'Parametros'!$B$4*MIN(U309,AB309)/(AK309*1000)),IF(AV309=0,1000000000,'Parametros'!$B$11/AV309),MIN(U309,AB309)/2,600)/10,0)*10</f>
        <v>170</v>
      </c>
      <c r="AR309" s="10">
        <f>'Parametros'!$B$6*(AJ309+AO309*'Parametros'!$B$11*'Parametros'!$B$4*MIN(U309,AB309)/AP309/1000)</f>
        <v>272.415732210762</v>
      </c>
      <c r="AS309" s="10" t="str">
        <f>IF(AND(AM309="CUMPLE",AR309&gt;=AI309),"CUMPLE","NO CUMPLE")</f>
        <v>CUMPLE</v>
      </c>
      <c r="AT309" s="10">
        <f>'Parametros'!$B$6*0.083*SQRT('Parametros'!$B$2)*(H309*I309)^2/(2*(H309+I309))/1000000</f>
        <v>4.30410823283988</v>
      </c>
      <c r="AU309" s="10" t="str">
        <f>IF(Q309&lt;=AT309,"DESPRECIABLE","DISEÑAR")</f>
        <v>DESPRECIABLE</v>
      </c>
      <c r="AV309" s="10">
        <f>IF(Q309&lt;=AT309,0,Q309*1000000/('Parametros'!$B$6*2*0.85*(H309-2*'Parametros'!$B$7)*(I309-2*'Parametros'!$B$7)*'Parametros'!$B$4))</f>
        <v>0</v>
      </c>
      <c r="AW309" s="10">
        <f>AV309*2*((H309-2*'Parametros'!$B$7)+(I309-2*'Parametros'!$B$7))*'Parametros'!$B$4/'Parametros'!$B$3</f>
        <v>0</v>
      </c>
      <c r="AX309" s="17" t="n">
        <v>0</v>
      </c>
      <c r="AY309" s="10" t="str">
        <f>IF(AV309=0,"DESPRECIABLE",IF('Parametros'!$B$11/AP309&gt;=AV309,"CUMPLE","NO CUMPLE"))</f>
        <v>DESPRECIABLE</v>
      </c>
      <c r="AZ309" s="10" t="str">
        <f>IF(AND(X309="CUMPLE",AE309="CUMPLE",AS309="CUMPLE",OR(AY309="CUMPLE",AY309="DESPRECIABLE")),IF(OR(F309&lt;&gt;H309,G309&lt;&gt;I309),"CUMPLE - REANALIZAR SAP","CUMPLE"),"NO CUMPLE")</f>
        <v>CUMPLE</v>
      </c>
    </row>
    <row r="310">
      <c r="A310" s="24" t="inlineStr">
        <is>
          <t>VR1</t>
        </is>
      </c>
      <c r="B310" s="24" t="inlineStr">
        <is>
          <t>953</t>
        </is>
      </c>
      <c r="C310" s="10" t="n">
        <v>1</v>
      </c>
      <c r="D310" s="10" t="n">
        <v>2.5</v>
      </c>
      <c r="E310" s="10" t="n">
        <v>2.5</v>
      </c>
      <c r="F310" s="10" t="n">
        <v>350</v>
      </c>
      <c r="G310" s="10" t="n">
        <v>400</v>
      </c>
      <c r="H310" s="15" t="n">
        <v>350</v>
      </c>
      <c r="I310" s="15" t="n">
        <v>400</v>
      </c>
      <c r="J310" s="16" t="n">
        <v>34.9284</v>
      </c>
      <c r="K310" s="10" t="inlineStr">
        <is>
          <t>953</t>
        </is>
      </c>
      <c r="L310" s="16" t="n">
        <v>14.44</v>
      </c>
      <c r="M310" s="10" t="inlineStr">
        <is>
          <t>953</t>
        </is>
      </c>
      <c r="N310" s="16" t="n">
        <v>42.841</v>
      </c>
      <c r="O310" s="16" t="n">
        <v>98.675</v>
      </c>
      <c r="P310" s="10" t="inlineStr">
        <is>
          <t>953</t>
        </is>
      </c>
      <c r="Q310" s="16" t="n">
        <v>0.4063</v>
      </c>
      <c r="R310" s="10">
        <f>MAX(MAX(1.4/'Parametros'!$B$3,0.25*SQRT('Parametros'!$B$2)/'Parametros'!$B$3)*H310*U310,(0.85*'Parametros'!$B$2/'Parametros'!$B$3)*(1-SQRT(1-2*(J310*1000000/('Parametros'!$B$5*H310*U310^2))/(0.85*'Parametros'!$B$2)))*H310*U310)</f>
        <v>399.641666666667</v>
      </c>
      <c r="S310" s="17" t="n">
        <v>3</v>
      </c>
      <c r="T310" s="18" t="n">
        <v>1</v>
      </c>
      <c r="U310" s="10">
        <f>IF(T310=1,I310-('Parametros'!$B$7+'Parametros'!$B$9+'Parametros'!$B$12/2),I310-(ROUNDUP(S310/2,0)*('Parametros'!$B$7+'Parametros'!$B$9+'Parametros'!$B$12/2)+ROUNDDOWN(S310/2,0)*('Parametros'!$B$7+'Parametros'!$B$9+'Parametros'!$B$12/2+'Parametros'!$B$12+'Parametros'!$B$10))/S310)</f>
        <v>342.55</v>
      </c>
      <c r="V310" s="10">
        <f>S310*'Parametros'!$B$8</f>
        <v>597</v>
      </c>
      <c r="W310" s="10">
        <f>'Parametros'!$B$5*V310*'Parametros'!$B$3*(U310-(V310*'Parametros'!$B$3/(0.85*'Parametros'!$B$2*H310))/2)/1000000</f>
        <v>73.905520182353</v>
      </c>
      <c r="X310" s="10" t="str">
        <f>IF(W310&gt;=J310,"CUMPLE","NO CUMPLE")</f>
        <v>CUMPLE</v>
      </c>
      <c r="Y310" s="10">
        <f>MAX(MAX(1.4/'Parametros'!$B$3,0.25*SQRT('Parametros'!$B$2)/'Parametros'!$B$3)*H310*AB310,(0.85*'Parametros'!$B$2/'Parametros'!$B$3)*(1-SQRT(1-2*(L310*1000000/('Parametros'!$B$5*H310*AB310^2))/(0.85*'Parametros'!$B$2)))*H310*AB310)</f>
        <v>399.641666666667</v>
      </c>
      <c r="Z310" s="17" t="n">
        <v>3</v>
      </c>
      <c r="AA310" s="18" t="n">
        <v>1</v>
      </c>
      <c r="AB310" s="10">
        <f>IF(AA310=1,I310-('Parametros'!$B$7+'Parametros'!$B$9+'Parametros'!$B$12/2),I310-(ROUNDUP(Z310/2,0)*('Parametros'!$B$7+'Parametros'!$B$9+'Parametros'!$B$12/2)+ROUNDDOWN(Z310/2,0)*('Parametros'!$B$7+'Parametros'!$B$9+'Parametros'!$B$12/2+'Parametros'!$B$12+'Parametros'!$B$10))/Z310)</f>
        <v>342.55</v>
      </c>
      <c r="AC310" s="10">
        <f>Z310*'Parametros'!$B$8</f>
        <v>597</v>
      </c>
      <c r="AD310" s="10">
        <f>'Parametros'!$B$5*AC310*'Parametros'!$B$3*(AB310-(AC310*'Parametros'!$B$3/(0.85*'Parametros'!$B$2*H310))/2)/1000000</f>
        <v>73.905520182353</v>
      </c>
      <c r="AE310" s="10" t="str">
        <f>IF(AD310&gt;=L310,"CUMPLE","NO CUMPLE")</f>
        <v>CUMPLE</v>
      </c>
      <c r="AF310" s="10">
        <f>V310*1.25*'Parametros'!$B$3*(U310-(V310*1.25*'Parametros'!$B$3/(0.85*'Parametros'!$B$2*H310))/2)/1000000</f>
        <v>101.467261323529</v>
      </c>
      <c r="AG310" s="10">
        <f>AC310*1.25*'Parametros'!$B$3*(AB310-(AC310*1.25*'Parametros'!$B$3/(0.85*'Parametros'!$B$2*H310))/2)/1000000</f>
        <v>101.467261323529</v>
      </c>
      <c r="AH310" s="10">
        <f>N310+(AF310+AG310)/D310</f>
        <v>124.014809058824</v>
      </c>
      <c r="AI310" s="10">
        <f>MIN(O310,MAX(N310,AH310))</f>
        <v>98.675</v>
      </c>
      <c r="AJ310" s="10">
        <f>0.17*SQRT('Parametros'!$B$2)*H310*MIN(U310,AB310)/1000</f>
        <v>107.849951281016</v>
      </c>
      <c r="AK310" s="10">
        <f>MAX(AI310/'Parametros'!$B$6-AJ310,0)</f>
        <v>23.7167153856508</v>
      </c>
      <c r="AL310" s="10">
        <f>0.66*SQRT('Parametros'!$B$2)*H310*MIN(U310,AB310)/1000</f>
        <v>418.711575561591</v>
      </c>
      <c r="AM310" s="10" t="str">
        <f>IF(AK310&lt;=AL310,"CUMPLE","NO CUMPLE")</f>
        <v>CUMPLE</v>
      </c>
      <c r="AN310" s="15" t="inlineStr">
        <is>
          <t>Nº3 cerrado</t>
        </is>
      </c>
      <c r="AO310" s="17" t="n">
        <v>2</v>
      </c>
      <c r="AP310" s="10">
        <f>ROUNDDOWN(MIN(IF(AK310=0,1000000000,AO310*'Parametros'!$B$11*'Parametros'!$B$4*MIN(U310,AB310)/(AK310*1000)),IF(AV310=0,1000000000,'Parametros'!$B$11/AV310),MIN(U310,AB310)/4,8*'Parametros'!$B$12,24*'Parametros'!$B$9,300)/10,0)*10</f>
        <v>80</v>
      </c>
      <c r="AQ310" s="10">
        <f>ROUNDDOWN(MIN(IF(AK310=0,1000000000,AO310*'Parametros'!$B$11*'Parametros'!$B$4*MIN(U310,AB310)/(AK310*1000)),IF(AV310=0,1000000000,'Parametros'!$B$11/AV310),MIN(U310,AB310)/2,600)/10,0)*10</f>
        <v>170</v>
      </c>
      <c r="AR310" s="10">
        <f>'Parametros'!$B$6*(AJ310+AO310*'Parametros'!$B$11*'Parametros'!$B$4*MIN(U310,AB310)/AP310/1000)</f>
        <v>272.415732210762</v>
      </c>
      <c r="AS310" s="10" t="str">
        <f>IF(AND(AM310="CUMPLE",AR310&gt;=AI310),"CUMPLE","NO CUMPLE")</f>
        <v>CUMPLE</v>
      </c>
      <c r="AT310" s="10">
        <f>'Parametros'!$B$6*0.083*SQRT('Parametros'!$B$2)*(H310*I310)^2/(2*(H310+I310))/1000000</f>
        <v>4.30410823283988</v>
      </c>
      <c r="AU310" s="10" t="str">
        <f>IF(Q310&lt;=AT310,"DESPRECIABLE","DISEÑAR")</f>
        <v>DESPRECIABLE</v>
      </c>
      <c r="AV310" s="10">
        <f>IF(Q310&lt;=AT310,0,Q310*1000000/('Parametros'!$B$6*2*0.85*(H310-2*'Parametros'!$B$7)*(I310-2*'Parametros'!$B$7)*'Parametros'!$B$4))</f>
        <v>0</v>
      </c>
      <c r="AW310" s="10">
        <f>AV310*2*((H310-2*'Parametros'!$B$7)+(I310-2*'Parametros'!$B$7))*'Parametros'!$B$4/'Parametros'!$B$3</f>
        <v>0</v>
      </c>
      <c r="AX310" s="17" t="n">
        <v>0</v>
      </c>
      <c r="AY310" s="10" t="str">
        <f>IF(AV310=0,"DESPRECIABLE",IF('Parametros'!$B$11/AP310&gt;=AV310,"CUMPLE","NO CUMPLE"))</f>
        <v>DESPRECIABLE</v>
      </c>
      <c r="AZ310" s="10" t="str">
        <f>IF(AND(X310="CUMPLE",AE310="CUMPLE",AS310="CUMPLE",OR(AY310="CUMPLE",AY310="DESPRECIABLE")),IF(OR(F310&lt;&gt;H310,G310&lt;&gt;I310),"CUMPLE - REANALIZAR SAP","CUMPLE"),"NO CUMPLE")</f>
        <v>CUMPLE</v>
      </c>
    </row>
    <row r="311">
      <c r="A311" s="24" t="inlineStr">
        <is>
          <t>VR1</t>
        </is>
      </c>
      <c r="B311" s="24" t="inlineStr">
        <is>
          <t>954</t>
        </is>
      </c>
      <c r="C311" s="10" t="n">
        <v>1</v>
      </c>
      <c r="D311" s="10" t="n">
        <v>2.6</v>
      </c>
      <c r="E311" s="10" t="n">
        <v>2.6</v>
      </c>
      <c r="F311" s="10" t="n">
        <v>350</v>
      </c>
      <c r="G311" s="10" t="n">
        <v>400</v>
      </c>
      <c r="H311" s="15" t="n">
        <v>350</v>
      </c>
      <c r="I311" s="15" t="n">
        <v>400</v>
      </c>
      <c r="J311" s="16" t="n">
        <v>31.9994</v>
      </c>
      <c r="K311" s="10" t="inlineStr">
        <is>
          <t>954</t>
        </is>
      </c>
      <c r="L311" s="16" t="n">
        <v>11.5287</v>
      </c>
      <c r="M311" s="10" t="inlineStr">
        <is>
          <t>954</t>
        </is>
      </c>
      <c r="N311" s="16" t="n">
        <v>40.922</v>
      </c>
      <c r="O311" s="16" t="n">
        <v>88.848</v>
      </c>
      <c r="P311" s="10" t="inlineStr">
        <is>
          <t>954</t>
        </is>
      </c>
      <c r="Q311" s="16" t="n">
        <v>0.1321</v>
      </c>
      <c r="R311" s="10">
        <f>MAX(MAX(1.4/'Parametros'!$B$3,0.25*SQRT('Parametros'!$B$2)/'Parametros'!$B$3)*H311*U311,(0.85*'Parametros'!$B$2/'Parametros'!$B$3)*(1-SQRT(1-2*(J311*1000000/('Parametros'!$B$5*H311*U311^2))/(0.85*'Parametros'!$B$2)))*H311*U311)</f>
        <v>399.641666666667</v>
      </c>
      <c r="S311" s="17" t="n">
        <v>3</v>
      </c>
      <c r="T311" s="18" t="n">
        <v>1</v>
      </c>
      <c r="U311" s="10">
        <f>IF(T311=1,I311-('Parametros'!$B$7+'Parametros'!$B$9+'Parametros'!$B$12/2),I311-(ROUNDUP(S311/2,0)*('Parametros'!$B$7+'Parametros'!$B$9+'Parametros'!$B$12/2)+ROUNDDOWN(S311/2,0)*('Parametros'!$B$7+'Parametros'!$B$9+'Parametros'!$B$12/2+'Parametros'!$B$12+'Parametros'!$B$10))/S311)</f>
        <v>342.55</v>
      </c>
      <c r="V311" s="10">
        <f>S311*'Parametros'!$B$8</f>
        <v>597</v>
      </c>
      <c r="W311" s="10">
        <f>'Parametros'!$B$5*V311*'Parametros'!$B$3*(U311-(V311*'Parametros'!$B$3/(0.85*'Parametros'!$B$2*H311))/2)/1000000</f>
        <v>73.905520182353</v>
      </c>
      <c r="X311" s="10" t="str">
        <f>IF(W311&gt;=J311,"CUMPLE","NO CUMPLE")</f>
        <v>CUMPLE</v>
      </c>
      <c r="Y311" s="10">
        <f>MAX(MAX(1.4/'Parametros'!$B$3,0.25*SQRT('Parametros'!$B$2)/'Parametros'!$B$3)*H311*AB311,(0.85*'Parametros'!$B$2/'Parametros'!$B$3)*(1-SQRT(1-2*(L311*1000000/('Parametros'!$B$5*H311*AB311^2))/(0.85*'Parametros'!$B$2)))*H311*AB311)</f>
        <v>399.641666666667</v>
      </c>
      <c r="Z311" s="17" t="n">
        <v>3</v>
      </c>
      <c r="AA311" s="18" t="n">
        <v>1</v>
      </c>
      <c r="AB311" s="10">
        <f>IF(AA311=1,I311-('Parametros'!$B$7+'Parametros'!$B$9+'Parametros'!$B$12/2),I311-(ROUNDUP(Z311/2,0)*('Parametros'!$B$7+'Parametros'!$B$9+'Parametros'!$B$12/2)+ROUNDDOWN(Z311/2,0)*('Parametros'!$B$7+'Parametros'!$B$9+'Parametros'!$B$12/2+'Parametros'!$B$12+'Parametros'!$B$10))/Z311)</f>
        <v>342.55</v>
      </c>
      <c r="AC311" s="10">
        <f>Z311*'Parametros'!$B$8</f>
        <v>597</v>
      </c>
      <c r="AD311" s="10">
        <f>'Parametros'!$B$5*AC311*'Parametros'!$B$3*(AB311-(AC311*'Parametros'!$B$3/(0.85*'Parametros'!$B$2*H311))/2)/1000000</f>
        <v>73.905520182353</v>
      </c>
      <c r="AE311" s="10" t="str">
        <f>IF(AD311&gt;=L311,"CUMPLE","NO CUMPLE")</f>
        <v>CUMPLE</v>
      </c>
      <c r="AF311" s="10">
        <f>V311*1.25*'Parametros'!$B$3*(U311-(V311*1.25*'Parametros'!$B$3/(0.85*'Parametros'!$B$2*H311))/2)/1000000</f>
        <v>101.467261323529</v>
      </c>
      <c r="AG311" s="10">
        <f>AC311*1.25*'Parametros'!$B$3*(AB311-(AC311*1.25*'Parametros'!$B$3/(0.85*'Parametros'!$B$2*H311))/2)/1000000</f>
        <v>101.467261323529</v>
      </c>
      <c r="AH311" s="10">
        <f>N311+(AF311+AG311)/D311</f>
        <v>118.973739479638</v>
      </c>
      <c r="AI311" s="10">
        <f>MIN(O311,MAX(N311,AH311))</f>
        <v>88.848</v>
      </c>
      <c r="AJ311" s="10">
        <f>0.17*SQRT('Parametros'!$B$2)*H311*MIN(U311,AB311)/1000</f>
        <v>107.849951281016</v>
      </c>
      <c r="AK311" s="10">
        <f>MAX(AI311/'Parametros'!$B$6-AJ311,0)</f>
        <v>10.6140487189841</v>
      </c>
      <c r="AL311" s="10">
        <f>0.66*SQRT('Parametros'!$B$2)*H311*MIN(U311,AB311)/1000</f>
        <v>418.711575561591</v>
      </c>
      <c r="AM311" s="10" t="str">
        <f>IF(AK311&lt;=AL311,"CUMPLE","NO CUMPLE")</f>
        <v>CUMPLE</v>
      </c>
      <c r="AN311" s="15" t="inlineStr">
        <is>
          <t>Nº3 cerrado</t>
        </is>
      </c>
      <c r="AO311" s="17" t="n">
        <v>2</v>
      </c>
      <c r="AP311" s="10">
        <f>ROUNDDOWN(MIN(IF(AK311=0,1000000000,AO311*'Parametros'!$B$11*'Parametros'!$B$4*MIN(U311,AB311)/(AK311*1000)),IF(AV311=0,1000000000,'Parametros'!$B$11/AV311),MIN(U311,AB311)/4,8*'Parametros'!$B$12,24*'Parametros'!$B$9,300)/10,0)*10</f>
        <v>80</v>
      </c>
      <c r="AQ311" s="10">
        <f>ROUNDDOWN(MIN(IF(AK311=0,1000000000,AO311*'Parametros'!$B$11*'Parametros'!$B$4*MIN(U311,AB311)/(AK311*1000)),IF(AV311=0,1000000000,'Parametros'!$B$11/AV311),MIN(U311,AB311)/2,600)/10,0)*10</f>
        <v>170</v>
      </c>
      <c r="AR311" s="10">
        <f>'Parametros'!$B$6*(AJ311+AO311*'Parametros'!$B$11*'Parametros'!$B$4*MIN(U311,AB311)/AP311/1000)</f>
        <v>272.415732210762</v>
      </c>
      <c r="AS311" s="10" t="str">
        <f>IF(AND(AM311="CUMPLE",AR311&gt;=AI311),"CUMPLE","NO CUMPLE")</f>
        <v>CUMPLE</v>
      </c>
      <c r="AT311" s="10">
        <f>'Parametros'!$B$6*0.083*SQRT('Parametros'!$B$2)*(H311*I311)^2/(2*(H311+I311))/1000000</f>
        <v>4.30410823283988</v>
      </c>
      <c r="AU311" s="10" t="str">
        <f>IF(Q311&lt;=AT311,"DESPRECIABLE","DISEÑAR")</f>
        <v>DESPRECIABLE</v>
      </c>
      <c r="AV311" s="10">
        <f>IF(Q311&lt;=AT311,0,Q311*1000000/('Parametros'!$B$6*2*0.85*(H311-2*'Parametros'!$B$7)*(I311-2*'Parametros'!$B$7)*'Parametros'!$B$4))</f>
        <v>0</v>
      </c>
      <c r="AW311" s="10">
        <f>AV311*2*((H311-2*'Parametros'!$B$7)+(I311-2*'Parametros'!$B$7))*'Parametros'!$B$4/'Parametros'!$B$3</f>
        <v>0</v>
      </c>
      <c r="AX311" s="17" t="n">
        <v>0</v>
      </c>
      <c r="AY311" s="10" t="str">
        <f>IF(AV311=0,"DESPRECIABLE",IF('Parametros'!$B$11/AP311&gt;=AV311,"CUMPLE","NO CUMPLE"))</f>
        <v>DESPRECIABLE</v>
      </c>
      <c r="AZ311" s="10" t="str">
        <f>IF(AND(X311="CUMPLE",AE311="CUMPLE",AS311="CUMPLE",OR(AY311="CUMPLE",AY311="DESPRECIABLE")),IF(OR(F311&lt;&gt;H311,G311&lt;&gt;I311),"CUMPLE - REANALIZAR SAP","CUMPLE"),"NO CUMPLE")</f>
        <v>CUMPLE</v>
      </c>
    </row>
    <row r="312">
      <c r="A312" s="24" t="inlineStr">
        <is>
          <t>VR1</t>
        </is>
      </c>
      <c r="B312" s="24" t="inlineStr">
        <is>
          <t>955</t>
        </is>
      </c>
      <c r="C312" s="10" t="n">
        <v>1</v>
      </c>
      <c r="D312" s="10" t="n">
        <v>3.65</v>
      </c>
      <c r="E312" s="10" t="n">
        <v>3.65</v>
      </c>
      <c r="F312" s="10" t="n">
        <v>350</v>
      </c>
      <c r="G312" s="10" t="n">
        <v>400</v>
      </c>
      <c r="H312" s="15" t="n">
        <v>350</v>
      </c>
      <c r="I312" s="15" t="n">
        <v>400</v>
      </c>
      <c r="J312" s="16" t="n">
        <v>42.864</v>
      </c>
      <c r="K312" s="10" t="inlineStr">
        <is>
          <t>955</t>
        </is>
      </c>
      <c r="L312" s="16" t="n">
        <v>16.6722</v>
      </c>
      <c r="M312" s="10" t="inlineStr">
        <is>
          <t>955</t>
        </is>
      </c>
      <c r="N312" s="16" t="n">
        <v>48.655</v>
      </c>
      <c r="O312" s="16" t="n">
        <v>94.63</v>
      </c>
      <c r="P312" s="10" t="inlineStr">
        <is>
          <t>955</t>
        </is>
      </c>
      <c r="Q312" s="16" t="n">
        <v>0.2284</v>
      </c>
      <c r="R312" s="10">
        <f>MAX(MAX(1.4/'Parametros'!$B$3,0.25*SQRT('Parametros'!$B$2)/'Parametros'!$B$3)*H312*U312,(0.85*'Parametros'!$B$2/'Parametros'!$B$3)*(1-SQRT(1-2*(J312*1000000/('Parametros'!$B$5*H312*U312^2))/(0.85*'Parametros'!$B$2)))*H312*U312)</f>
        <v>399.641666666667</v>
      </c>
      <c r="S312" s="17" t="n">
        <v>3</v>
      </c>
      <c r="T312" s="18" t="n">
        <v>1</v>
      </c>
      <c r="U312" s="10">
        <f>IF(T312=1,I312-('Parametros'!$B$7+'Parametros'!$B$9+'Parametros'!$B$12/2),I312-(ROUNDUP(S312/2,0)*('Parametros'!$B$7+'Parametros'!$B$9+'Parametros'!$B$12/2)+ROUNDDOWN(S312/2,0)*('Parametros'!$B$7+'Parametros'!$B$9+'Parametros'!$B$12/2+'Parametros'!$B$12+'Parametros'!$B$10))/S312)</f>
        <v>342.55</v>
      </c>
      <c r="V312" s="10">
        <f>S312*'Parametros'!$B$8</f>
        <v>597</v>
      </c>
      <c r="W312" s="10">
        <f>'Parametros'!$B$5*V312*'Parametros'!$B$3*(U312-(V312*'Parametros'!$B$3/(0.85*'Parametros'!$B$2*H312))/2)/1000000</f>
        <v>73.905520182353</v>
      </c>
      <c r="X312" s="10" t="str">
        <f>IF(W312&gt;=J312,"CUMPLE","NO CUMPLE")</f>
        <v>CUMPLE</v>
      </c>
      <c r="Y312" s="10">
        <f>MAX(MAX(1.4/'Parametros'!$B$3,0.25*SQRT('Parametros'!$B$2)/'Parametros'!$B$3)*H312*AB312,(0.85*'Parametros'!$B$2/'Parametros'!$B$3)*(1-SQRT(1-2*(L312*1000000/('Parametros'!$B$5*H312*AB312^2))/(0.85*'Parametros'!$B$2)))*H312*AB312)</f>
        <v>399.641666666667</v>
      </c>
      <c r="Z312" s="17" t="n">
        <v>3</v>
      </c>
      <c r="AA312" s="18" t="n">
        <v>1</v>
      </c>
      <c r="AB312" s="10">
        <f>IF(AA312=1,I312-('Parametros'!$B$7+'Parametros'!$B$9+'Parametros'!$B$12/2),I312-(ROUNDUP(Z312/2,0)*('Parametros'!$B$7+'Parametros'!$B$9+'Parametros'!$B$12/2)+ROUNDDOWN(Z312/2,0)*('Parametros'!$B$7+'Parametros'!$B$9+'Parametros'!$B$12/2+'Parametros'!$B$12+'Parametros'!$B$10))/Z312)</f>
        <v>342.55</v>
      </c>
      <c r="AC312" s="10">
        <f>Z312*'Parametros'!$B$8</f>
        <v>597</v>
      </c>
      <c r="AD312" s="10">
        <f>'Parametros'!$B$5*AC312*'Parametros'!$B$3*(AB312-(AC312*'Parametros'!$B$3/(0.85*'Parametros'!$B$2*H312))/2)/1000000</f>
        <v>73.905520182353</v>
      </c>
      <c r="AE312" s="10" t="str">
        <f>IF(AD312&gt;=L312,"CUMPLE","NO CUMPLE")</f>
        <v>CUMPLE</v>
      </c>
      <c r="AF312" s="10">
        <f>V312*1.25*'Parametros'!$B$3*(U312-(V312*1.25*'Parametros'!$B$3/(0.85*'Parametros'!$B$2*H312))/2)/1000000</f>
        <v>101.467261323529</v>
      </c>
      <c r="AG312" s="10">
        <f>AC312*1.25*'Parametros'!$B$3*(AB312-(AC312*1.25*'Parametros'!$B$3/(0.85*'Parametros'!$B$2*H312))/2)/1000000</f>
        <v>101.467261323529</v>
      </c>
      <c r="AH312" s="10">
        <f>N312+(AF312+AG312)/D312</f>
        <v>104.253499355359</v>
      </c>
      <c r="AI312" s="10">
        <f>MIN(O312,MAX(N312,AH312))</f>
        <v>94.63</v>
      </c>
      <c r="AJ312" s="10">
        <f>0.17*SQRT('Parametros'!$B$2)*H312*MIN(U312,AB312)/1000</f>
        <v>107.849951281016</v>
      </c>
      <c r="AK312" s="10">
        <f>MAX(AI312/'Parametros'!$B$6-AJ312,0)</f>
        <v>18.3233820523174</v>
      </c>
      <c r="AL312" s="10">
        <f>0.66*SQRT('Parametros'!$B$2)*H312*MIN(U312,AB312)/1000</f>
        <v>418.711575561591</v>
      </c>
      <c r="AM312" s="10" t="str">
        <f>IF(AK312&lt;=AL312,"CUMPLE","NO CUMPLE")</f>
        <v>CUMPLE</v>
      </c>
      <c r="AN312" s="15" t="inlineStr">
        <is>
          <t>Nº3 cerrado</t>
        </is>
      </c>
      <c r="AO312" s="17" t="n">
        <v>2</v>
      </c>
      <c r="AP312" s="10">
        <f>ROUNDDOWN(MIN(IF(AK312=0,1000000000,AO312*'Parametros'!$B$11*'Parametros'!$B$4*MIN(U312,AB312)/(AK312*1000)),IF(AV312=0,1000000000,'Parametros'!$B$11/AV312),MIN(U312,AB312)/4,8*'Parametros'!$B$12,24*'Parametros'!$B$9,300)/10,0)*10</f>
        <v>80</v>
      </c>
      <c r="AQ312" s="10">
        <f>ROUNDDOWN(MIN(IF(AK312=0,1000000000,AO312*'Parametros'!$B$11*'Parametros'!$B$4*MIN(U312,AB312)/(AK312*1000)),IF(AV312=0,1000000000,'Parametros'!$B$11/AV312),MIN(U312,AB312)/2,600)/10,0)*10</f>
        <v>170</v>
      </c>
      <c r="AR312" s="10">
        <f>'Parametros'!$B$6*(AJ312+AO312*'Parametros'!$B$11*'Parametros'!$B$4*MIN(U312,AB312)/AP312/1000)</f>
        <v>272.415732210762</v>
      </c>
      <c r="AS312" s="10" t="str">
        <f>IF(AND(AM312="CUMPLE",AR312&gt;=AI312),"CUMPLE","NO CUMPLE")</f>
        <v>CUMPLE</v>
      </c>
      <c r="AT312" s="10">
        <f>'Parametros'!$B$6*0.083*SQRT('Parametros'!$B$2)*(H312*I312)^2/(2*(H312+I312))/1000000</f>
        <v>4.30410823283988</v>
      </c>
      <c r="AU312" s="10" t="str">
        <f>IF(Q312&lt;=AT312,"DESPRECIABLE","DISEÑAR")</f>
        <v>DESPRECIABLE</v>
      </c>
      <c r="AV312" s="10">
        <f>IF(Q312&lt;=AT312,0,Q312*1000000/('Parametros'!$B$6*2*0.85*(H312-2*'Parametros'!$B$7)*(I312-2*'Parametros'!$B$7)*'Parametros'!$B$4))</f>
        <v>0</v>
      </c>
      <c r="AW312" s="10">
        <f>AV312*2*((H312-2*'Parametros'!$B$7)+(I312-2*'Parametros'!$B$7))*'Parametros'!$B$4/'Parametros'!$B$3</f>
        <v>0</v>
      </c>
      <c r="AX312" s="17" t="n">
        <v>0</v>
      </c>
      <c r="AY312" s="10" t="str">
        <f>IF(AV312=0,"DESPRECIABLE",IF('Parametros'!$B$11/AP312&gt;=AV312,"CUMPLE","NO CUMPLE"))</f>
        <v>DESPRECIABLE</v>
      </c>
      <c r="AZ312" s="10" t="str">
        <f>IF(AND(X312="CUMPLE",AE312="CUMPLE",AS312="CUMPLE",OR(AY312="CUMPLE",AY312="DESPRECIABLE")),IF(OR(F312&lt;&gt;H312,G312&lt;&gt;I312),"CUMPLE - REANALIZAR SAP","CUMPLE"),"NO CUMPLE")</f>
        <v>CUMPLE</v>
      </c>
    </row>
    <row r="313">
      <c r="A313" s="24" t="inlineStr">
        <is>
          <t>VR1</t>
        </is>
      </c>
      <c r="B313" s="24" t="inlineStr">
        <is>
          <t>956</t>
        </is>
      </c>
      <c r="C313" s="10" t="n">
        <v>1</v>
      </c>
      <c r="D313" s="10" t="n">
        <v>2.6</v>
      </c>
      <c r="E313" s="10" t="n">
        <v>2.6</v>
      </c>
      <c r="F313" s="10" t="n">
        <v>350</v>
      </c>
      <c r="G313" s="10" t="n">
        <v>400</v>
      </c>
      <c r="H313" s="15" t="n">
        <v>350</v>
      </c>
      <c r="I313" s="15" t="n">
        <v>400</v>
      </c>
      <c r="J313" s="16" t="n">
        <v>19.2107</v>
      </c>
      <c r="K313" s="10" t="inlineStr">
        <is>
          <t>956</t>
        </is>
      </c>
      <c r="L313" s="16" t="n">
        <v>9.476599999999999</v>
      </c>
      <c r="M313" s="10" t="inlineStr">
        <is>
          <t>956</t>
        </is>
      </c>
      <c r="N313" s="16" t="n">
        <v>33.713</v>
      </c>
      <c r="O313" s="16" t="n">
        <v>60.118</v>
      </c>
      <c r="P313" s="10" t="inlineStr">
        <is>
          <t>956</t>
        </is>
      </c>
      <c r="Q313" s="16" t="n">
        <v>2.1618</v>
      </c>
      <c r="R313" s="10">
        <f>MAX(MAX(1.4/'Parametros'!$B$3,0.25*SQRT('Parametros'!$B$2)/'Parametros'!$B$3)*H313*U313,(0.85*'Parametros'!$B$2/'Parametros'!$B$3)*(1-SQRT(1-2*(J313*1000000/('Parametros'!$B$5*H313*U313^2))/(0.85*'Parametros'!$B$2)))*H313*U313)</f>
        <v>399.641666666667</v>
      </c>
      <c r="S313" s="17" t="n">
        <v>3</v>
      </c>
      <c r="T313" s="18" t="n">
        <v>1</v>
      </c>
      <c r="U313" s="10">
        <f>IF(T313=1,I313-('Parametros'!$B$7+'Parametros'!$B$9+'Parametros'!$B$12/2),I313-(ROUNDUP(S313/2,0)*('Parametros'!$B$7+'Parametros'!$B$9+'Parametros'!$B$12/2)+ROUNDDOWN(S313/2,0)*('Parametros'!$B$7+'Parametros'!$B$9+'Parametros'!$B$12/2+'Parametros'!$B$12+'Parametros'!$B$10))/S313)</f>
        <v>342.55</v>
      </c>
      <c r="V313" s="10">
        <f>S313*'Parametros'!$B$8</f>
        <v>597</v>
      </c>
      <c r="W313" s="10">
        <f>'Parametros'!$B$5*V313*'Parametros'!$B$3*(U313-(V313*'Parametros'!$B$3/(0.85*'Parametros'!$B$2*H313))/2)/1000000</f>
        <v>73.905520182353</v>
      </c>
      <c r="X313" s="10" t="str">
        <f>IF(W313&gt;=J313,"CUMPLE","NO CUMPLE")</f>
        <v>CUMPLE</v>
      </c>
      <c r="Y313" s="10">
        <f>MAX(MAX(1.4/'Parametros'!$B$3,0.25*SQRT('Parametros'!$B$2)/'Parametros'!$B$3)*H313*AB313,(0.85*'Parametros'!$B$2/'Parametros'!$B$3)*(1-SQRT(1-2*(L313*1000000/('Parametros'!$B$5*H313*AB313^2))/(0.85*'Parametros'!$B$2)))*H313*AB313)</f>
        <v>399.641666666667</v>
      </c>
      <c r="Z313" s="17" t="n">
        <v>3</v>
      </c>
      <c r="AA313" s="18" t="n">
        <v>1</v>
      </c>
      <c r="AB313" s="10">
        <f>IF(AA313=1,I313-('Parametros'!$B$7+'Parametros'!$B$9+'Parametros'!$B$12/2),I313-(ROUNDUP(Z313/2,0)*('Parametros'!$B$7+'Parametros'!$B$9+'Parametros'!$B$12/2)+ROUNDDOWN(Z313/2,0)*('Parametros'!$B$7+'Parametros'!$B$9+'Parametros'!$B$12/2+'Parametros'!$B$12+'Parametros'!$B$10))/Z313)</f>
        <v>342.55</v>
      </c>
      <c r="AC313" s="10">
        <f>Z313*'Parametros'!$B$8</f>
        <v>597</v>
      </c>
      <c r="AD313" s="10">
        <f>'Parametros'!$B$5*AC313*'Parametros'!$B$3*(AB313-(AC313*'Parametros'!$B$3/(0.85*'Parametros'!$B$2*H313))/2)/1000000</f>
        <v>73.905520182353</v>
      </c>
      <c r="AE313" s="10" t="str">
        <f>IF(AD313&gt;=L313,"CUMPLE","NO CUMPLE")</f>
        <v>CUMPLE</v>
      </c>
      <c r="AF313" s="10">
        <f>V313*1.25*'Parametros'!$B$3*(U313-(V313*1.25*'Parametros'!$B$3/(0.85*'Parametros'!$B$2*H313))/2)/1000000</f>
        <v>101.467261323529</v>
      </c>
      <c r="AG313" s="10">
        <f>AC313*1.25*'Parametros'!$B$3*(AB313-(AC313*1.25*'Parametros'!$B$3/(0.85*'Parametros'!$B$2*H313))/2)/1000000</f>
        <v>101.467261323529</v>
      </c>
      <c r="AH313" s="10">
        <f>N313+(AF313+AG313)/D313</f>
        <v>111.764739479638</v>
      </c>
      <c r="AI313" s="10">
        <f>MIN(O313,MAX(N313,AH313))</f>
        <v>60.118</v>
      </c>
      <c r="AJ313" s="10">
        <f>0.17*SQRT('Parametros'!$B$2)*H313*MIN(U313,AB313)/1000</f>
        <v>107.849951281016</v>
      </c>
      <c r="AK313" s="10">
        <f>MAX(AI313/'Parametros'!$B$6-AJ313,0)</f>
        <v>0</v>
      </c>
      <c r="AL313" s="10">
        <f>0.66*SQRT('Parametros'!$B$2)*H313*MIN(U313,AB313)/1000</f>
        <v>418.711575561591</v>
      </c>
      <c r="AM313" s="10" t="str">
        <f>IF(AK313&lt;=AL313,"CUMPLE","NO CUMPLE")</f>
        <v>CUMPLE</v>
      </c>
      <c r="AN313" s="15" t="inlineStr">
        <is>
          <t>Nº3 cerrado</t>
        </is>
      </c>
      <c r="AO313" s="17" t="n">
        <v>2</v>
      </c>
      <c r="AP313" s="10">
        <f>ROUNDDOWN(MIN(IF(AK313=0,1000000000,AO313*'Parametros'!$B$11*'Parametros'!$B$4*MIN(U313,AB313)/(AK313*1000)),IF(AV313=0,1000000000,'Parametros'!$B$11/AV313),MIN(U313,AB313)/4,8*'Parametros'!$B$12,24*'Parametros'!$B$9,300)/10,0)*10</f>
        <v>80</v>
      </c>
      <c r="AQ313" s="10">
        <f>ROUNDDOWN(MIN(IF(AK313=0,1000000000,AO313*'Parametros'!$B$11*'Parametros'!$B$4*MIN(U313,AB313)/(AK313*1000)),IF(AV313=0,1000000000,'Parametros'!$B$11/AV313),MIN(U313,AB313)/2,600)/10,0)*10</f>
        <v>170</v>
      </c>
      <c r="AR313" s="10">
        <f>'Parametros'!$B$6*(AJ313+AO313*'Parametros'!$B$11*'Parametros'!$B$4*MIN(U313,AB313)/AP313/1000)</f>
        <v>272.415732210762</v>
      </c>
      <c r="AS313" s="10" t="str">
        <f>IF(AND(AM313="CUMPLE",AR313&gt;=AI313),"CUMPLE","NO CUMPLE")</f>
        <v>CUMPLE</v>
      </c>
      <c r="AT313" s="10">
        <f>'Parametros'!$B$6*0.083*SQRT('Parametros'!$B$2)*(H313*I313)^2/(2*(H313+I313))/1000000</f>
        <v>4.30410823283988</v>
      </c>
      <c r="AU313" s="10" t="str">
        <f>IF(Q313&lt;=AT313,"DESPRECIABLE","DISEÑAR")</f>
        <v>DESPRECIABLE</v>
      </c>
      <c r="AV313" s="10">
        <f>IF(Q313&lt;=AT313,0,Q313*1000000/('Parametros'!$B$6*2*0.85*(H313-2*'Parametros'!$B$7)*(I313-2*'Parametros'!$B$7)*'Parametros'!$B$4))</f>
        <v>0</v>
      </c>
      <c r="AW313" s="10">
        <f>AV313*2*((H313-2*'Parametros'!$B$7)+(I313-2*'Parametros'!$B$7))*'Parametros'!$B$4/'Parametros'!$B$3</f>
        <v>0</v>
      </c>
      <c r="AX313" s="17" t="n">
        <v>0</v>
      </c>
      <c r="AY313" s="10" t="str">
        <f>IF(AV313=0,"DESPRECIABLE",IF('Parametros'!$B$11/AP313&gt;=AV313,"CUMPLE","NO CUMPLE"))</f>
        <v>DESPRECIABLE</v>
      </c>
      <c r="AZ313" s="10" t="str">
        <f>IF(AND(X313="CUMPLE",AE313="CUMPLE",AS313="CUMPLE",OR(AY313="CUMPLE",AY313="DESPRECIABLE")),IF(OR(F313&lt;&gt;H313,G313&lt;&gt;I313),"CUMPLE - REANALIZAR SAP","CUMPLE"),"NO CUMPLE")</f>
        <v>CUMPLE</v>
      </c>
    </row>
    <row r="314">
      <c r="A314" s="24" t="inlineStr">
        <is>
          <t>VR1</t>
        </is>
      </c>
      <c r="B314" s="24" t="inlineStr">
        <is>
          <t>991</t>
        </is>
      </c>
      <c r="C314" s="10" t="n">
        <v>1</v>
      </c>
      <c r="D314" s="10" t="n">
        <v>2.6</v>
      </c>
      <c r="E314" s="10" t="n">
        <v>2.6</v>
      </c>
      <c r="F314" s="10" t="n">
        <v>350</v>
      </c>
      <c r="G314" s="10" t="n">
        <v>400</v>
      </c>
      <c r="H314" s="15" t="n">
        <v>350</v>
      </c>
      <c r="I314" s="15" t="n">
        <v>400</v>
      </c>
      <c r="J314" s="16" t="n">
        <v>19.2605</v>
      </c>
      <c r="K314" s="10" t="inlineStr">
        <is>
          <t>991</t>
        </is>
      </c>
      <c r="L314" s="16" t="n">
        <v>9.470700000000001</v>
      </c>
      <c r="M314" s="10" t="inlineStr">
        <is>
          <t>991</t>
        </is>
      </c>
      <c r="N314" s="16" t="n">
        <v>33.748</v>
      </c>
      <c r="O314" s="16" t="n">
        <v>60.151</v>
      </c>
      <c r="P314" s="10" t="inlineStr">
        <is>
          <t>991</t>
        </is>
      </c>
      <c r="Q314" s="16" t="n">
        <v>2.1623</v>
      </c>
      <c r="R314" s="10">
        <f>MAX(MAX(1.4/'Parametros'!$B$3,0.25*SQRT('Parametros'!$B$2)/'Parametros'!$B$3)*H314*U314,(0.85*'Parametros'!$B$2/'Parametros'!$B$3)*(1-SQRT(1-2*(J314*1000000/('Parametros'!$B$5*H314*U314^2))/(0.85*'Parametros'!$B$2)))*H314*U314)</f>
        <v>399.641666666667</v>
      </c>
      <c r="S314" s="17" t="n">
        <v>3</v>
      </c>
      <c r="T314" s="18" t="n">
        <v>1</v>
      </c>
      <c r="U314" s="10">
        <f>IF(T314=1,I314-('Parametros'!$B$7+'Parametros'!$B$9+'Parametros'!$B$12/2),I314-(ROUNDUP(S314/2,0)*('Parametros'!$B$7+'Parametros'!$B$9+'Parametros'!$B$12/2)+ROUNDDOWN(S314/2,0)*('Parametros'!$B$7+'Parametros'!$B$9+'Parametros'!$B$12/2+'Parametros'!$B$12+'Parametros'!$B$10))/S314)</f>
        <v>342.55</v>
      </c>
      <c r="V314" s="10">
        <f>S314*'Parametros'!$B$8</f>
        <v>597</v>
      </c>
      <c r="W314" s="10">
        <f>'Parametros'!$B$5*V314*'Parametros'!$B$3*(U314-(V314*'Parametros'!$B$3/(0.85*'Parametros'!$B$2*H314))/2)/1000000</f>
        <v>73.905520182353</v>
      </c>
      <c r="X314" s="10" t="str">
        <f>IF(W314&gt;=J314,"CUMPLE","NO CUMPLE")</f>
        <v>CUMPLE</v>
      </c>
      <c r="Y314" s="10">
        <f>MAX(MAX(1.4/'Parametros'!$B$3,0.25*SQRT('Parametros'!$B$2)/'Parametros'!$B$3)*H314*AB314,(0.85*'Parametros'!$B$2/'Parametros'!$B$3)*(1-SQRT(1-2*(L314*1000000/('Parametros'!$B$5*H314*AB314^2))/(0.85*'Parametros'!$B$2)))*H314*AB314)</f>
        <v>399.641666666667</v>
      </c>
      <c r="Z314" s="17" t="n">
        <v>3</v>
      </c>
      <c r="AA314" s="18" t="n">
        <v>1</v>
      </c>
      <c r="AB314" s="10">
        <f>IF(AA314=1,I314-('Parametros'!$B$7+'Parametros'!$B$9+'Parametros'!$B$12/2),I314-(ROUNDUP(Z314/2,0)*('Parametros'!$B$7+'Parametros'!$B$9+'Parametros'!$B$12/2)+ROUNDDOWN(Z314/2,0)*('Parametros'!$B$7+'Parametros'!$B$9+'Parametros'!$B$12/2+'Parametros'!$B$12+'Parametros'!$B$10))/Z314)</f>
        <v>342.55</v>
      </c>
      <c r="AC314" s="10">
        <f>Z314*'Parametros'!$B$8</f>
        <v>597</v>
      </c>
      <c r="AD314" s="10">
        <f>'Parametros'!$B$5*AC314*'Parametros'!$B$3*(AB314-(AC314*'Parametros'!$B$3/(0.85*'Parametros'!$B$2*H314))/2)/1000000</f>
        <v>73.905520182353</v>
      </c>
      <c r="AE314" s="10" t="str">
        <f>IF(AD314&gt;=L314,"CUMPLE","NO CUMPLE")</f>
        <v>CUMPLE</v>
      </c>
      <c r="AF314" s="10">
        <f>V314*1.25*'Parametros'!$B$3*(U314-(V314*1.25*'Parametros'!$B$3/(0.85*'Parametros'!$B$2*H314))/2)/1000000</f>
        <v>101.467261323529</v>
      </c>
      <c r="AG314" s="10">
        <f>AC314*1.25*'Parametros'!$B$3*(AB314-(AC314*1.25*'Parametros'!$B$3/(0.85*'Parametros'!$B$2*H314))/2)/1000000</f>
        <v>101.467261323529</v>
      </c>
      <c r="AH314" s="10">
        <f>N314+(AF314+AG314)/D314</f>
        <v>111.799739479638</v>
      </c>
      <c r="AI314" s="10">
        <f>MIN(O314,MAX(N314,AH314))</f>
        <v>60.151</v>
      </c>
      <c r="AJ314" s="10">
        <f>0.17*SQRT('Parametros'!$B$2)*H314*MIN(U314,AB314)/1000</f>
        <v>107.849951281016</v>
      </c>
      <c r="AK314" s="10">
        <f>MAX(AI314/'Parametros'!$B$6-AJ314,0)</f>
        <v>0</v>
      </c>
      <c r="AL314" s="10">
        <f>0.66*SQRT('Parametros'!$B$2)*H314*MIN(U314,AB314)/1000</f>
        <v>418.711575561591</v>
      </c>
      <c r="AM314" s="10" t="str">
        <f>IF(AK314&lt;=AL314,"CUMPLE","NO CUMPLE")</f>
        <v>CUMPLE</v>
      </c>
      <c r="AN314" s="15" t="inlineStr">
        <is>
          <t>Nº3 cerrado</t>
        </is>
      </c>
      <c r="AO314" s="17" t="n">
        <v>2</v>
      </c>
      <c r="AP314" s="10">
        <f>ROUNDDOWN(MIN(IF(AK314=0,1000000000,AO314*'Parametros'!$B$11*'Parametros'!$B$4*MIN(U314,AB314)/(AK314*1000)),IF(AV314=0,1000000000,'Parametros'!$B$11/AV314),MIN(U314,AB314)/4,8*'Parametros'!$B$12,24*'Parametros'!$B$9,300)/10,0)*10</f>
        <v>80</v>
      </c>
      <c r="AQ314" s="10">
        <f>ROUNDDOWN(MIN(IF(AK314=0,1000000000,AO314*'Parametros'!$B$11*'Parametros'!$B$4*MIN(U314,AB314)/(AK314*1000)),IF(AV314=0,1000000000,'Parametros'!$B$11/AV314),MIN(U314,AB314)/2,600)/10,0)*10</f>
        <v>170</v>
      </c>
      <c r="AR314" s="10">
        <f>'Parametros'!$B$6*(AJ314+AO314*'Parametros'!$B$11*'Parametros'!$B$4*MIN(U314,AB314)/AP314/1000)</f>
        <v>272.415732210762</v>
      </c>
      <c r="AS314" s="10" t="str">
        <f>IF(AND(AM314="CUMPLE",AR314&gt;=AI314),"CUMPLE","NO CUMPLE")</f>
        <v>CUMPLE</v>
      </c>
      <c r="AT314" s="10">
        <f>'Parametros'!$B$6*0.083*SQRT('Parametros'!$B$2)*(H314*I314)^2/(2*(H314+I314))/1000000</f>
        <v>4.30410823283988</v>
      </c>
      <c r="AU314" s="10" t="str">
        <f>IF(Q314&lt;=AT314,"DESPRECIABLE","DISEÑAR")</f>
        <v>DESPRECIABLE</v>
      </c>
      <c r="AV314" s="10">
        <f>IF(Q314&lt;=AT314,0,Q314*1000000/('Parametros'!$B$6*2*0.85*(H314-2*'Parametros'!$B$7)*(I314-2*'Parametros'!$B$7)*'Parametros'!$B$4))</f>
        <v>0</v>
      </c>
      <c r="AW314" s="10">
        <f>AV314*2*((H314-2*'Parametros'!$B$7)+(I314-2*'Parametros'!$B$7))*'Parametros'!$B$4/'Parametros'!$B$3</f>
        <v>0</v>
      </c>
      <c r="AX314" s="17" t="n">
        <v>0</v>
      </c>
      <c r="AY314" s="10" t="str">
        <f>IF(AV314=0,"DESPRECIABLE",IF('Parametros'!$B$11/AP314&gt;=AV314,"CUMPLE","NO CUMPLE"))</f>
        <v>DESPRECIABLE</v>
      </c>
      <c r="AZ314" s="10" t="str">
        <f>IF(AND(X314="CUMPLE",AE314="CUMPLE",AS314="CUMPLE",OR(AY314="CUMPLE",AY314="DESPRECIABLE")),IF(OR(F314&lt;&gt;H314,G314&lt;&gt;I314),"CUMPLE - REANALIZAR SAP","CUMPLE"),"NO CUMPLE")</f>
        <v>CUMPLE</v>
      </c>
    </row>
    <row r="315">
      <c r="A315" s="24" t="inlineStr">
        <is>
          <t>VR1</t>
        </is>
      </c>
      <c r="B315" s="24" t="inlineStr">
        <is>
          <t>992</t>
        </is>
      </c>
      <c r="C315" s="10" t="n">
        <v>1</v>
      </c>
      <c r="D315" s="10" t="n">
        <v>3.65</v>
      </c>
      <c r="E315" s="10" t="n">
        <v>3.65</v>
      </c>
      <c r="F315" s="10" t="n">
        <v>350</v>
      </c>
      <c r="G315" s="10" t="n">
        <v>400</v>
      </c>
      <c r="H315" s="15" t="n">
        <v>350</v>
      </c>
      <c r="I315" s="15" t="n">
        <v>400</v>
      </c>
      <c r="J315" s="16" t="n">
        <v>42.7942</v>
      </c>
      <c r="K315" s="10" t="inlineStr">
        <is>
          <t>992</t>
        </is>
      </c>
      <c r="L315" s="16" t="n">
        <v>16.6913</v>
      </c>
      <c r="M315" s="10" t="inlineStr">
        <is>
          <t>992</t>
        </is>
      </c>
      <c r="N315" s="16" t="n">
        <v>48.618</v>
      </c>
      <c r="O315" s="16" t="n">
        <v>94.59399999999999</v>
      </c>
      <c r="P315" s="10" t="inlineStr">
        <is>
          <t>992</t>
        </is>
      </c>
      <c r="Q315" s="16" t="n">
        <v>0.2281</v>
      </c>
      <c r="R315" s="10">
        <f>MAX(MAX(1.4/'Parametros'!$B$3,0.25*SQRT('Parametros'!$B$2)/'Parametros'!$B$3)*H315*U315,(0.85*'Parametros'!$B$2/'Parametros'!$B$3)*(1-SQRT(1-2*(J315*1000000/('Parametros'!$B$5*H315*U315^2))/(0.85*'Parametros'!$B$2)))*H315*U315)</f>
        <v>399.641666666667</v>
      </c>
      <c r="S315" s="17" t="n">
        <v>3</v>
      </c>
      <c r="T315" s="18" t="n">
        <v>1</v>
      </c>
      <c r="U315" s="10">
        <f>IF(T315=1,I315-('Parametros'!$B$7+'Parametros'!$B$9+'Parametros'!$B$12/2),I315-(ROUNDUP(S315/2,0)*('Parametros'!$B$7+'Parametros'!$B$9+'Parametros'!$B$12/2)+ROUNDDOWN(S315/2,0)*('Parametros'!$B$7+'Parametros'!$B$9+'Parametros'!$B$12/2+'Parametros'!$B$12+'Parametros'!$B$10))/S315)</f>
        <v>342.55</v>
      </c>
      <c r="V315" s="10">
        <f>S315*'Parametros'!$B$8</f>
        <v>597</v>
      </c>
      <c r="W315" s="10">
        <f>'Parametros'!$B$5*V315*'Parametros'!$B$3*(U315-(V315*'Parametros'!$B$3/(0.85*'Parametros'!$B$2*H315))/2)/1000000</f>
        <v>73.905520182353</v>
      </c>
      <c r="X315" s="10" t="str">
        <f>IF(W315&gt;=J315,"CUMPLE","NO CUMPLE")</f>
        <v>CUMPLE</v>
      </c>
      <c r="Y315" s="10">
        <f>MAX(MAX(1.4/'Parametros'!$B$3,0.25*SQRT('Parametros'!$B$2)/'Parametros'!$B$3)*H315*AB315,(0.85*'Parametros'!$B$2/'Parametros'!$B$3)*(1-SQRT(1-2*(L315*1000000/('Parametros'!$B$5*H315*AB315^2))/(0.85*'Parametros'!$B$2)))*H315*AB315)</f>
        <v>399.641666666667</v>
      </c>
      <c r="Z315" s="17" t="n">
        <v>3</v>
      </c>
      <c r="AA315" s="18" t="n">
        <v>1</v>
      </c>
      <c r="AB315" s="10">
        <f>IF(AA315=1,I315-('Parametros'!$B$7+'Parametros'!$B$9+'Parametros'!$B$12/2),I315-(ROUNDUP(Z315/2,0)*('Parametros'!$B$7+'Parametros'!$B$9+'Parametros'!$B$12/2)+ROUNDDOWN(Z315/2,0)*('Parametros'!$B$7+'Parametros'!$B$9+'Parametros'!$B$12/2+'Parametros'!$B$12+'Parametros'!$B$10))/Z315)</f>
        <v>342.55</v>
      </c>
      <c r="AC315" s="10">
        <f>Z315*'Parametros'!$B$8</f>
        <v>597</v>
      </c>
      <c r="AD315" s="10">
        <f>'Parametros'!$B$5*AC315*'Parametros'!$B$3*(AB315-(AC315*'Parametros'!$B$3/(0.85*'Parametros'!$B$2*H315))/2)/1000000</f>
        <v>73.905520182353</v>
      </c>
      <c r="AE315" s="10" t="str">
        <f>IF(AD315&gt;=L315,"CUMPLE","NO CUMPLE")</f>
        <v>CUMPLE</v>
      </c>
      <c r="AF315" s="10">
        <f>V315*1.25*'Parametros'!$B$3*(U315-(V315*1.25*'Parametros'!$B$3/(0.85*'Parametros'!$B$2*H315))/2)/1000000</f>
        <v>101.467261323529</v>
      </c>
      <c r="AG315" s="10">
        <f>AC315*1.25*'Parametros'!$B$3*(AB315-(AC315*1.25*'Parametros'!$B$3/(0.85*'Parametros'!$B$2*H315))/2)/1000000</f>
        <v>101.467261323529</v>
      </c>
      <c r="AH315" s="10">
        <f>N315+(AF315+AG315)/D315</f>
        <v>104.216499355359</v>
      </c>
      <c r="AI315" s="10">
        <f>MIN(O315,MAX(N315,AH315))</f>
        <v>94.594</v>
      </c>
      <c r="AJ315" s="10">
        <f>0.17*SQRT('Parametros'!$B$2)*H315*MIN(U315,AB315)/1000</f>
        <v>107.849951281016</v>
      </c>
      <c r="AK315" s="10">
        <f>MAX(AI315/'Parametros'!$B$6-AJ315,0)</f>
        <v>18.2753820523174</v>
      </c>
      <c r="AL315" s="10">
        <f>0.66*SQRT('Parametros'!$B$2)*H315*MIN(U315,AB315)/1000</f>
        <v>418.711575561591</v>
      </c>
      <c r="AM315" s="10" t="str">
        <f>IF(AK315&lt;=AL315,"CUMPLE","NO CUMPLE")</f>
        <v>CUMPLE</v>
      </c>
      <c r="AN315" s="15" t="inlineStr">
        <is>
          <t>Nº3 cerrado</t>
        </is>
      </c>
      <c r="AO315" s="17" t="n">
        <v>2</v>
      </c>
      <c r="AP315" s="10">
        <f>ROUNDDOWN(MIN(IF(AK315=0,1000000000,AO315*'Parametros'!$B$11*'Parametros'!$B$4*MIN(U315,AB315)/(AK315*1000)),IF(AV315=0,1000000000,'Parametros'!$B$11/AV315),MIN(U315,AB315)/4,8*'Parametros'!$B$12,24*'Parametros'!$B$9,300)/10,0)*10</f>
        <v>80</v>
      </c>
      <c r="AQ315" s="10">
        <f>ROUNDDOWN(MIN(IF(AK315=0,1000000000,AO315*'Parametros'!$B$11*'Parametros'!$B$4*MIN(U315,AB315)/(AK315*1000)),IF(AV315=0,1000000000,'Parametros'!$B$11/AV315),MIN(U315,AB315)/2,600)/10,0)*10</f>
        <v>170</v>
      </c>
      <c r="AR315" s="10">
        <f>'Parametros'!$B$6*(AJ315+AO315*'Parametros'!$B$11*'Parametros'!$B$4*MIN(U315,AB315)/AP315/1000)</f>
        <v>272.415732210762</v>
      </c>
      <c r="AS315" s="10" t="str">
        <f>IF(AND(AM315="CUMPLE",AR315&gt;=AI315),"CUMPLE","NO CUMPLE")</f>
        <v>CUMPLE</v>
      </c>
      <c r="AT315" s="10">
        <f>'Parametros'!$B$6*0.083*SQRT('Parametros'!$B$2)*(H315*I315)^2/(2*(H315+I315))/1000000</f>
        <v>4.30410823283988</v>
      </c>
      <c r="AU315" s="10" t="str">
        <f>IF(Q315&lt;=AT315,"DESPRECIABLE","DISEÑAR")</f>
        <v>DESPRECIABLE</v>
      </c>
      <c r="AV315" s="10">
        <f>IF(Q315&lt;=AT315,0,Q315*1000000/('Parametros'!$B$6*2*0.85*(H315-2*'Parametros'!$B$7)*(I315-2*'Parametros'!$B$7)*'Parametros'!$B$4))</f>
        <v>0</v>
      </c>
      <c r="AW315" s="10">
        <f>AV315*2*((H315-2*'Parametros'!$B$7)+(I315-2*'Parametros'!$B$7))*'Parametros'!$B$4/'Parametros'!$B$3</f>
        <v>0</v>
      </c>
      <c r="AX315" s="17" t="n">
        <v>0</v>
      </c>
      <c r="AY315" s="10" t="str">
        <f>IF(AV315=0,"DESPRECIABLE",IF('Parametros'!$B$11/AP315&gt;=AV315,"CUMPLE","NO CUMPLE"))</f>
        <v>DESPRECIABLE</v>
      </c>
      <c r="AZ315" s="10" t="str">
        <f>IF(AND(X315="CUMPLE",AE315="CUMPLE",AS315="CUMPLE",OR(AY315="CUMPLE",AY315="DESPRECIABLE")),IF(OR(F315&lt;&gt;H315,G315&lt;&gt;I315),"CUMPLE - REANALIZAR SAP","CUMPLE"),"NO CUMPLE")</f>
        <v>CUMPLE</v>
      </c>
    </row>
    <row r="316">
      <c r="A316" s="24" t="inlineStr">
        <is>
          <t>VR1</t>
        </is>
      </c>
      <c r="B316" s="24" t="inlineStr">
        <is>
          <t>993</t>
        </is>
      </c>
      <c r="C316" s="10" t="n">
        <v>1</v>
      </c>
      <c r="D316" s="10" t="n">
        <v>2.6</v>
      </c>
      <c r="E316" s="10" t="n">
        <v>2.6</v>
      </c>
      <c r="F316" s="10" t="n">
        <v>350</v>
      </c>
      <c r="G316" s="10" t="n">
        <v>400</v>
      </c>
      <c r="H316" s="15" t="n">
        <v>350</v>
      </c>
      <c r="I316" s="15" t="n">
        <v>400</v>
      </c>
      <c r="J316" s="16" t="n">
        <v>32.0642</v>
      </c>
      <c r="K316" s="10" t="inlineStr">
        <is>
          <t>993</t>
        </is>
      </c>
      <c r="L316" s="16" t="n">
        <v>11.5641</v>
      </c>
      <c r="M316" s="10" t="inlineStr">
        <is>
          <t>993</t>
        </is>
      </c>
      <c r="N316" s="16" t="n">
        <v>40.972</v>
      </c>
      <c r="O316" s="16" t="n">
        <v>88.896</v>
      </c>
      <c r="P316" s="10" t="inlineStr">
        <is>
          <t>993</t>
        </is>
      </c>
      <c r="Q316" s="16" t="n">
        <v>0.1326</v>
      </c>
      <c r="R316" s="10">
        <f>MAX(MAX(1.4/'Parametros'!$B$3,0.25*SQRT('Parametros'!$B$2)/'Parametros'!$B$3)*H316*U316,(0.85*'Parametros'!$B$2/'Parametros'!$B$3)*(1-SQRT(1-2*(J316*1000000/('Parametros'!$B$5*H316*U316^2))/(0.85*'Parametros'!$B$2)))*H316*U316)</f>
        <v>399.641666666667</v>
      </c>
      <c r="S316" s="17" t="n">
        <v>3</v>
      </c>
      <c r="T316" s="18" t="n">
        <v>1</v>
      </c>
      <c r="U316" s="10">
        <f>IF(T316=1,I316-('Parametros'!$B$7+'Parametros'!$B$9+'Parametros'!$B$12/2),I316-(ROUNDUP(S316/2,0)*('Parametros'!$B$7+'Parametros'!$B$9+'Parametros'!$B$12/2)+ROUNDDOWN(S316/2,0)*('Parametros'!$B$7+'Parametros'!$B$9+'Parametros'!$B$12/2+'Parametros'!$B$12+'Parametros'!$B$10))/S316)</f>
        <v>342.55</v>
      </c>
      <c r="V316" s="10">
        <f>S316*'Parametros'!$B$8</f>
        <v>597</v>
      </c>
      <c r="W316" s="10">
        <f>'Parametros'!$B$5*V316*'Parametros'!$B$3*(U316-(V316*'Parametros'!$B$3/(0.85*'Parametros'!$B$2*H316))/2)/1000000</f>
        <v>73.905520182353</v>
      </c>
      <c r="X316" s="10" t="str">
        <f>IF(W316&gt;=J316,"CUMPLE","NO CUMPLE")</f>
        <v>CUMPLE</v>
      </c>
      <c r="Y316" s="10">
        <f>MAX(MAX(1.4/'Parametros'!$B$3,0.25*SQRT('Parametros'!$B$2)/'Parametros'!$B$3)*H316*AB316,(0.85*'Parametros'!$B$2/'Parametros'!$B$3)*(1-SQRT(1-2*(L316*1000000/('Parametros'!$B$5*H316*AB316^2))/(0.85*'Parametros'!$B$2)))*H316*AB316)</f>
        <v>399.641666666667</v>
      </c>
      <c r="Z316" s="17" t="n">
        <v>3</v>
      </c>
      <c r="AA316" s="18" t="n">
        <v>1</v>
      </c>
      <c r="AB316" s="10">
        <f>IF(AA316=1,I316-('Parametros'!$B$7+'Parametros'!$B$9+'Parametros'!$B$12/2),I316-(ROUNDUP(Z316/2,0)*('Parametros'!$B$7+'Parametros'!$B$9+'Parametros'!$B$12/2)+ROUNDDOWN(Z316/2,0)*('Parametros'!$B$7+'Parametros'!$B$9+'Parametros'!$B$12/2+'Parametros'!$B$12+'Parametros'!$B$10))/Z316)</f>
        <v>342.55</v>
      </c>
      <c r="AC316" s="10">
        <f>Z316*'Parametros'!$B$8</f>
        <v>597</v>
      </c>
      <c r="AD316" s="10">
        <f>'Parametros'!$B$5*AC316*'Parametros'!$B$3*(AB316-(AC316*'Parametros'!$B$3/(0.85*'Parametros'!$B$2*H316))/2)/1000000</f>
        <v>73.905520182353</v>
      </c>
      <c r="AE316" s="10" t="str">
        <f>IF(AD316&gt;=L316,"CUMPLE","NO CUMPLE")</f>
        <v>CUMPLE</v>
      </c>
      <c r="AF316" s="10">
        <f>V316*1.25*'Parametros'!$B$3*(U316-(V316*1.25*'Parametros'!$B$3/(0.85*'Parametros'!$B$2*H316))/2)/1000000</f>
        <v>101.467261323529</v>
      </c>
      <c r="AG316" s="10">
        <f>AC316*1.25*'Parametros'!$B$3*(AB316-(AC316*1.25*'Parametros'!$B$3/(0.85*'Parametros'!$B$2*H316))/2)/1000000</f>
        <v>101.467261323529</v>
      </c>
      <c r="AH316" s="10">
        <f>N316+(AF316+AG316)/D316</f>
        <v>119.023739479638</v>
      </c>
      <c r="AI316" s="10">
        <f>MIN(O316,MAX(N316,AH316))</f>
        <v>88.896</v>
      </c>
      <c r="AJ316" s="10">
        <f>0.17*SQRT('Parametros'!$B$2)*H316*MIN(U316,AB316)/1000</f>
        <v>107.849951281016</v>
      </c>
      <c r="AK316" s="10">
        <f>MAX(AI316/'Parametros'!$B$6-AJ316,0)</f>
        <v>10.6780487189841</v>
      </c>
      <c r="AL316" s="10">
        <f>0.66*SQRT('Parametros'!$B$2)*H316*MIN(U316,AB316)/1000</f>
        <v>418.711575561591</v>
      </c>
      <c r="AM316" s="10" t="str">
        <f>IF(AK316&lt;=AL316,"CUMPLE","NO CUMPLE")</f>
        <v>CUMPLE</v>
      </c>
      <c r="AN316" s="15" t="inlineStr">
        <is>
          <t>Nº3 cerrado</t>
        </is>
      </c>
      <c r="AO316" s="17" t="n">
        <v>2</v>
      </c>
      <c r="AP316" s="10">
        <f>ROUNDDOWN(MIN(IF(AK316=0,1000000000,AO316*'Parametros'!$B$11*'Parametros'!$B$4*MIN(U316,AB316)/(AK316*1000)),IF(AV316=0,1000000000,'Parametros'!$B$11/AV316),MIN(U316,AB316)/4,8*'Parametros'!$B$12,24*'Parametros'!$B$9,300)/10,0)*10</f>
        <v>80</v>
      </c>
      <c r="AQ316" s="10">
        <f>ROUNDDOWN(MIN(IF(AK316=0,1000000000,AO316*'Parametros'!$B$11*'Parametros'!$B$4*MIN(U316,AB316)/(AK316*1000)),IF(AV316=0,1000000000,'Parametros'!$B$11/AV316),MIN(U316,AB316)/2,600)/10,0)*10</f>
        <v>170</v>
      </c>
      <c r="AR316" s="10">
        <f>'Parametros'!$B$6*(AJ316+AO316*'Parametros'!$B$11*'Parametros'!$B$4*MIN(U316,AB316)/AP316/1000)</f>
        <v>272.415732210762</v>
      </c>
      <c r="AS316" s="10" t="str">
        <f>IF(AND(AM316="CUMPLE",AR316&gt;=AI316),"CUMPLE","NO CUMPLE")</f>
        <v>CUMPLE</v>
      </c>
      <c r="AT316" s="10">
        <f>'Parametros'!$B$6*0.083*SQRT('Parametros'!$B$2)*(H316*I316)^2/(2*(H316+I316))/1000000</f>
        <v>4.30410823283988</v>
      </c>
      <c r="AU316" s="10" t="str">
        <f>IF(Q316&lt;=AT316,"DESPRECIABLE","DISEÑAR")</f>
        <v>DESPRECIABLE</v>
      </c>
      <c r="AV316" s="10">
        <f>IF(Q316&lt;=AT316,0,Q316*1000000/('Parametros'!$B$6*2*0.85*(H316-2*'Parametros'!$B$7)*(I316-2*'Parametros'!$B$7)*'Parametros'!$B$4))</f>
        <v>0</v>
      </c>
      <c r="AW316" s="10">
        <f>AV316*2*((H316-2*'Parametros'!$B$7)+(I316-2*'Parametros'!$B$7))*'Parametros'!$B$4/'Parametros'!$B$3</f>
        <v>0</v>
      </c>
      <c r="AX316" s="17" t="n">
        <v>0</v>
      </c>
      <c r="AY316" s="10" t="str">
        <f>IF(AV316=0,"DESPRECIABLE",IF('Parametros'!$B$11/AP316&gt;=AV316,"CUMPLE","NO CUMPLE"))</f>
        <v>DESPRECIABLE</v>
      </c>
      <c r="AZ316" s="10" t="str">
        <f>IF(AND(X316="CUMPLE",AE316="CUMPLE",AS316="CUMPLE",OR(AY316="CUMPLE",AY316="DESPRECIABLE")),IF(OR(F316&lt;&gt;H316,G316&lt;&gt;I316),"CUMPLE - REANALIZAR SAP","CUMPLE"),"NO CUMPLE")</f>
        <v>CUMPLE</v>
      </c>
    </row>
    <row r="317">
      <c r="A317" s="24" t="inlineStr">
        <is>
          <t>VR1</t>
        </is>
      </c>
      <c r="B317" s="24" t="inlineStr">
        <is>
          <t>994</t>
        </is>
      </c>
      <c r="C317" s="10" t="n">
        <v>1</v>
      </c>
      <c r="D317" s="10" t="n">
        <v>2.5</v>
      </c>
      <c r="E317" s="10" t="n">
        <v>2.5</v>
      </c>
      <c r="F317" s="10" t="n">
        <v>350</v>
      </c>
      <c r="G317" s="10" t="n">
        <v>400</v>
      </c>
      <c r="H317" s="15" t="n">
        <v>350</v>
      </c>
      <c r="I317" s="15" t="n">
        <v>400</v>
      </c>
      <c r="J317" s="16" t="n">
        <v>34.8593</v>
      </c>
      <c r="K317" s="10" t="inlineStr">
        <is>
          <t>994</t>
        </is>
      </c>
      <c r="L317" s="16" t="n">
        <v>14.4026</v>
      </c>
      <c r="M317" s="10" t="inlineStr">
        <is>
          <t>994</t>
        </is>
      </c>
      <c r="N317" s="16" t="n">
        <v>42.784</v>
      </c>
      <c r="O317" s="16" t="n">
        <v>98.628</v>
      </c>
      <c r="P317" s="10" t="inlineStr">
        <is>
          <t>994</t>
        </is>
      </c>
      <c r="Q317" s="16" t="n">
        <v>0.404</v>
      </c>
      <c r="R317" s="10">
        <f>MAX(MAX(1.4/'Parametros'!$B$3,0.25*SQRT('Parametros'!$B$2)/'Parametros'!$B$3)*H317*U317,(0.85*'Parametros'!$B$2/'Parametros'!$B$3)*(1-SQRT(1-2*(J317*1000000/('Parametros'!$B$5*H317*U317^2))/(0.85*'Parametros'!$B$2)))*H317*U317)</f>
        <v>399.641666666667</v>
      </c>
      <c r="S317" s="17" t="n">
        <v>3</v>
      </c>
      <c r="T317" s="18" t="n">
        <v>1</v>
      </c>
      <c r="U317" s="10">
        <f>IF(T317=1,I317-('Parametros'!$B$7+'Parametros'!$B$9+'Parametros'!$B$12/2),I317-(ROUNDUP(S317/2,0)*('Parametros'!$B$7+'Parametros'!$B$9+'Parametros'!$B$12/2)+ROUNDDOWN(S317/2,0)*('Parametros'!$B$7+'Parametros'!$B$9+'Parametros'!$B$12/2+'Parametros'!$B$12+'Parametros'!$B$10))/S317)</f>
        <v>342.55</v>
      </c>
      <c r="V317" s="10">
        <f>S317*'Parametros'!$B$8</f>
        <v>597</v>
      </c>
      <c r="W317" s="10">
        <f>'Parametros'!$B$5*V317*'Parametros'!$B$3*(U317-(V317*'Parametros'!$B$3/(0.85*'Parametros'!$B$2*H317))/2)/1000000</f>
        <v>73.905520182353</v>
      </c>
      <c r="X317" s="10" t="str">
        <f>IF(W317&gt;=J317,"CUMPLE","NO CUMPLE")</f>
        <v>CUMPLE</v>
      </c>
      <c r="Y317" s="10">
        <f>MAX(MAX(1.4/'Parametros'!$B$3,0.25*SQRT('Parametros'!$B$2)/'Parametros'!$B$3)*H317*AB317,(0.85*'Parametros'!$B$2/'Parametros'!$B$3)*(1-SQRT(1-2*(L317*1000000/('Parametros'!$B$5*H317*AB317^2))/(0.85*'Parametros'!$B$2)))*H317*AB317)</f>
        <v>399.641666666667</v>
      </c>
      <c r="Z317" s="17" t="n">
        <v>3</v>
      </c>
      <c r="AA317" s="18" t="n">
        <v>1</v>
      </c>
      <c r="AB317" s="10">
        <f>IF(AA317=1,I317-('Parametros'!$B$7+'Parametros'!$B$9+'Parametros'!$B$12/2),I317-(ROUNDUP(Z317/2,0)*('Parametros'!$B$7+'Parametros'!$B$9+'Parametros'!$B$12/2)+ROUNDDOWN(Z317/2,0)*('Parametros'!$B$7+'Parametros'!$B$9+'Parametros'!$B$12/2+'Parametros'!$B$12+'Parametros'!$B$10))/Z317)</f>
        <v>342.55</v>
      </c>
      <c r="AC317" s="10">
        <f>Z317*'Parametros'!$B$8</f>
        <v>597</v>
      </c>
      <c r="AD317" s="10">
        <f>'Parametros'!$B$5*AC317*'Parametros'!$B$3*(AB317-(AC317*'Parametros'!$B$3/(0.85*'Parametros'!$B$2*H317))/2)/1000000</f>
        <v>73.905520182353</v>
      </c>
      <c r="AE317" s="10" t="str">
        <f>IF(AD317&gt;=L317,"CUMPLE","NO CUMPLE")</f>
        <v>CUMPLE</v>
      </c>
      <c r="AF317" s="10">
        <f>V317*1.25*'Parametros'!$B$3*(U317-(V317*1.25*'Parametros'!$B$3/(0.85*'Parametros'!$B$2*H317))/2)/1000000</f>
        <v>101.467261323529</v>
      </c>
      <c r="AG317" s="10">
        <f>AC317*1.25*'Parametros'!$B$3*(AB317-(AC317*1.25*'Parametros'!$B$3/(0.85*'Parametros'!$B$2*H317))/2)/1000000</f>
        <v>101.467261323529</v>
      </c>
      <c r="AH317" s="10">
        <f>N317+(AF317+AG317)/D317</f>
        <v>123.957809058824</v>
      </c>
      <c r="AI317" s="10">
        <f>MIN(O317,MAX(N317,AH317))</f>
        <v>98.628</v>
      </c>
      <c r="AJ317" s="10">
        <f>0.17*SQRT('Parametros'!$B$2)*H317*MIN(U317,AB317)/1000</f>
        <v>107.849951281016</v>
      </c>
      <c r="AK317" s="10">
        <f>MAX(AI317/'Parametros'!$B$6-AJ317,0)</f>
        <v>23.6540487189841</v>
      </c>
      <c r="AL317" s="10">
        <f>0.66*SQRT('Parametros'!$B$2)*H317*MIN(U317,AB317)/1000</f>
        <v>418.711575561591</v>
      </c>
      <c r="AM317" s="10" t="str">
        <f>IF(AK317&lt;=AL317,"CUMPLE","NO CUMPLE")</f>
        <v>CUMPLE</v>
      </c>
      <c r="AN317" s="15" t="inlineStr">
        <is>
          <t>Nº3 cerrado</t>
        </is>
      </c>
      <c r="AO317" s="17" t="n">
        <v>2</v>
      </c>
      <c r="AP317" s="10">
        <f>ROUNDDOWN(MIN(IF(AK317=0,1000000000,AO317*'Parametros'!$B$11*'Parametros'!$B$4*MIN(U317,AB317)/(AK317*1000)),IF(AV317=0,1000000000,'Parametros'!$B$11/AV317),MIN(U317,AB317)/4,8*'Parametros'!$B$12,24*'Parametros'!$B$9,300)/10,0)*10</f>
        <v>80</v>
      </c>
      <c r="AQ317" s="10">
        <f>ROUNDDOWN(MIN(IF(AK317=0,1000000000,AO317*'Parametros'!$B$11*'Parametros'!$B$4*MIN(U317,AB317)/(AK317*1000)),IF(AV317=0,1000000000,'Parametros'!$B$11/AV317),MIN(U317,AB317)/2,600)/10,0)*10</f>
        <v>170</v>
      </c>
      <c r="AR317" s="10">
        <f>'Parametros'!$B$6*(AJ317+AO317*'Parametros'!$B$11*'Parametros'!$B$4*MIN(U317,AB317)/AP317/1000)</f>
        <v>272.415732210762</v>
      </c>
      <c r="AS317" s="10" t="str">
        <f>IF(AND(AM317="CUMPLE",AR317&gt;=AI317),"CUMPLE","NO CUMPLE")</f>
        <v>CUMPLE</v>
      </c>
      <c r="AT317" s="10">
        <f>'Parametros'!$B$6*0.083*SQRT('Parametros'!$B$2)*(H317*I317)^2/(2*(H317+I317))/1000000</f>
        <v>4.30410823283988</v>
      </c>
      <c r="AU317" s="10" t="str">
        <f>IF(Q317&lt;=AT317,"DESPRECIABLE","DISEÑAR")</f>
        <v>DESPRECIABLE</v>
      </c>
      <c r="AV317" s="10">
        <f>IF(Q317&lt;=AT317,0,Q317*1000000/('Parametros'!$B$6*2*0.85*(H317-2*'Parametros'!$B$7)*(I317-2*'Parametros'!$B$7)*'Parametros'!$B$4))</f>
        <v>0</v>
      </c>
      <c r="AW317" s="10">
        <f>AV317*2*((H317-2*'Parametros'!$B$7)+(I317-2*'Parametros'!$B$7))*'Parametros'!$B$4/'Parametros'!$B$3</f>
        <v>0</v>
      </c>
      <c r="AX317" s="17" t="n">
        <v>0</v>
      </c>
      <c r="AY317" s="10" t="str">
        <f>IF(AV317=0,"DESPRECIABLE",IF('Parametros'!$B$11/AP317&gt;=AV317,"CUMPLE","NO CUMPLE"))</f>
        <v>DESPRECIABLE</v>
      </c>
      <c r="AZ317" s="10" t="str">
        <f>IF(AND(X317="CUMPLE",AE317="CUMPLE",AS317="CUMPLE",OR(AY317="CUMPLE",AY317="DESPRECIABLE")),IF(OR(F317&lt;&gt;H317,G317&lt;&gt;I317),"CUMPLE - REANALIZAR SAP","CUMPLE"),"NO CUMPLE")</f>
        <v>CUMPLE</v>
      </c>
    </row>
    <row r="318">
      <c r="A318" s="24" t="inlineStr">
        <is>
          <t>VR1</t>
        </is>
      </c>
      <c r="B318" s="24" t="inlineStr">
        <is>
          <t>995</t>
        </is>
      </c>
      <c r="C318" s="10" t="n">
        <v>1</v>
      </c>
      <c r="D318" s="10" t="n">
        <v>4</v>
      </c>
      <c r="E318" s="10" t="n">
        <v>4</v>
      </c>
      <c r="F318" s="10" t="n">
        <v>350</v>
      </c>
      <c r="G318" s="10" t="n">
        <v>400</v>
      </c>
      <c r="H318" s="15" t="n">
        <v>350</v>
      </c>
      <c r="I318" s="15" t="n">
        <v>400</v>
      </c>
      <c r="J318" s="16" t="n">
        <v>47.9051</v>
      </c>
      <c r="K318" s="10" t="inlineStr">
        <is>
          <t>995</t>
        </is>
      </c>
      <c r="L318" s="16" t="n">
        <v>22.7738</v>
      </c>
      <c r="M318" s="10" t="inlineStr">
        <is>
          <t>995</t>
        </is>
      </c>
      <c r="N318" s="16" t="n">
        <v>56.164</v>
      </c>
      <c r="O318" s="16" t="n">
        <v>80.813</v>
      </c>
      <c r="P318" s="10" t="inlineStr">
        <is>
          <t>995</t>
        </is>
      </c>
      <c r="Q318" s="16" t="n">
        <v>1.0666</v>
      </c>
      <c r="R318" s="10">
        <f>MAX(MAX(1.4/'Parametros'!$B$3,0.25*SQRT('Parametros'!$B$2)/'Parametros'!$B$3)*H318*U318,(0.85*'Parametros'!$B$2/'Parametros'!$B$3)*(1-SQRT(1-2*(J318*1000000/('Parametros'!$B$5*H318*U318^2))/(0.85*'Parametros'!$B$2)))*H318*U318)</f>
        <v>399.641666666667</v>
      </c>
      <c r="S318" s="17" t="n">
        <v>3</v>
      </c>
      <c r="T318" s="18" t="n">
        <v>1</v>
      </c>
      <c r="U318" s="10">
        <f>IF(T318=1,I318-('Parametros'!$B$7+'Parametros'!$B$9+'Parametros'!$B$12/2),I318-(ROUNDUP(S318/2,0)*('Parametros'!$B$7+'Parametros'!$B$9+'Parametros'!$B$12/2)+ROUNDDOWN(S318/2,0)*('Parametros'!$B$7+'Parametros'!$B$9+'Parametros'!$B$12/2+'Parametros'!$B$12+'Parametros'!$B$10))/S318)</f>
        <v>342.55</v>
      </c>
      <c r="V318" s="10">
        <f>S318*'Parametros'!$B$8</f>
        <v>597</v>
      </c>
      <c r="W318" s="10">
        <f>'Parametros'!$B$5*V318*'Parametros'!$B$3*(U318-(V318*'Parametros'!$B$3/(0.85*'Parametros'!$B$2*H318))/2)/1000000</f>
        <v>73.905520182353</v>
      </c>
      <c r="X318" s="10" t="str">
        <f>IF(W318&gt;=J318,"CUMPLE","NO CUMPLE")</f>
        <v>CUMPLE</v>
      </c>
      <c r="Y318" s="10">
        <f>MAX(MAX(1.4/'Parametros'!$B$3,0.25*SQRT('Parametros'!$B$2)/'Parametros'!$B$3)*H318*AB318,(0.85*'Parametros'!$B$2/'Parametros'!$B$3)*(1-SQRT(1-2*(L318*1000000/('Parametros'!$B$5*H318*AB318^2))/(0.85*'Parametros'!$B$2)))*H318*AB318)</f>
        <v>399.641666666667</v>
      </c>
      <c r="Z318" s="17" t="n">
        <v>3</v>
      </c>
      <c r="AA318" s="18" t="n">
        <v>1</v>
      </c>
      <c r="AB318" s="10">
        <f>IF(AA318=1,I318-('Parametros'!$B$7+'Parametros'!$B$9+'Parametros'!$B$12/2),I318-(ROUNDUP(Z318/2,0)*('Parametros'!$B$7+'Parametros'!$B$9+'Parametros'!$B$12/2)+ROUNDDOWN(Z318/2,0)*('Parametros'!$B$7+'Parametros'!$B$9+'Parametros'!$B$12/2+'Parametros'!$B$12+'Parametros'!$B$10))/Z318)</f>
        <v>342.55</v>
      </c>
      <c r="AC318" s="10">
        <f>Z318*'Parametros'!$B$8</f>
        <v>597</v>
      </c>
      <c r="AD318" s="10">
        <f>'Parametros'!$B$5*AC318*'Parametros'!$B$3*(AB318-(AC318*'Parametros'!$B$3/(0.85*'Parametros'!$B$2*H318))/2)/1000000</f>
        <v>73.905520182353</v>
      </c>
      <c r="AE318" s="10" t="str">
        <f>IF(AD318&gt;=L318,"CUMPLE","NO CUMPLE")</f>
        <v>CUMPLE</v>
      </c>
      <c r="AF318" s="10">
        <f>V318*1.25*'Parametros'!$B$3*(U318-(V318*1.25*'Parametros'!$B$3/(0.85*'Parametros'!$B$2*H318))/2)/1000000</f>
        <v>101.467261323529</v>
      </c>
      <c r="AG318" s="10">
        <f>AC318*1.25*'Parametros'!$B$3*(AB318-(AC318*1.25*'Parametros'!$B$3/(0.85*'Parametros'!$B$2*H318))/2)/1000000</f>
        <v>101.467261323529</v>
      </c>
      <c r="AH318" s="10">
        <f>N318+(AF318+AG318)/D318</f>
        <v>106.897630661765</v>
      </c>
      <c r="AI318" s="10">
        <f>MIN(O318,MAX(N318,AH318))</f>
        <v>80.813</v>
      </c>
      <c r="AJ318" s="10">
        <f>0.17*SQRT('Parametros'!$B$2)*H318*MIN(U318,AB318)/1000</f>
        <v>107.849951281016</v>
      </c>
      <c r="AK318" s="10">
        <f>MAX(AI318/'Parametros'!$B$6-AJ318,0)</f>
        <v>0</v>
      </c>
      <c r="AL318" s="10">
        <f>0.66*SQRT('Parametros'!$B$2)*H318*MIN(U318,AB318)/1000</f>
        <v>418.711575561591</v>
      </c>
      <c r="AM318" s="10" t="str">
        <f>IF(AK318&lt;=AL318,"CUMPLE","NO CUMPLE")</f>
        <v>CUMPLE</v>
      </c>
      <c r="AN318" s="15" t="inlineStr">
        <is>
          <t>Nº3 cerrado</t>
        </is>
      </c>
      <c r="AO318" s="17" t="n">
        <v>2</v>
      </c>
      <c r="AP318" s="10">
        <f>ROUNDDOWN(MIN(IF(AK318=0,1000000000,AO318*'Parametros'!$B$11*'Parametros'!$B$4*MIN(U318,AB318)/(AK318*1000)),IF(AV318=0,1000000000,'Parametros'!$B$11/AV318),MIN(U318,AB318)/4,8*'Parametros'!$B$12,24*'Parametros'!$B$9,300)/10,0)*10</f>
        <v>80</v>
      </c>
      <c r="AQ318" s="10">
        <f>ROUNDDOWN(MIN(IF(AK318=0,1000000000,AO318*'Parametros'!$B$11*'Parametros'!$B$4*MIN(U318,AB318)/(AK318*1000)),IF(AV318=0,1000000000,'Parametros'!$B$11/AV318),MIN(U318,AB318)/2,600)/10,0)*10</f>
        <v>170</v>
      </c>
      <c r="AR318" s="10">
        <f>'Parametros'!$B$6*(AJ318+AO318*'Parametros'!$B$11*'Parametros'!$B$4*MIN(U318,AB318)/AP318/1000)</f>
        <v>272.415732210762</v>
      </c>
      <c r="AS318" s="10" t="str">
        <f>IF(AND(AM318="CUMPLE",AR318&gt;=AI318),"CUMPLE","NO CUMPLE")</f>
        <v>CUMPLE</v>
      </c>
      <c r="AT318" s="10">
        <f>'Parametros'!$B$6*0.083*SQRT('Parametros'!$B$2)*(H318*I318)^2/(2*(H318+I318))/1000000</f>
        <v>4.30410823283988</v>
      </c>
      <c r="AU318" s="10" t="str">
        <f>IF(Q318&lt;=AT318,"DESPRECIABLE","DISEÑAR")</f>
        <v>DESPRECIABLE</v>
      </c>
      <c r="AV318" s="10">
        <f>IF(Q318&lt;=AT318,0,Q318*1000000/('Parametros'!$B$6*2*0.85*(H318-2*'Parametros'!$B$7)*(I318-2*'Parametros'!$B$7)*'Parametros'!$B$4))</f>
        <v>0</v>
      </c>
      <c r="AW318" s="10">
        <f>AV318*2*((H318-2*'Parametros'!$B$7)+(I318-2*'Parametros'!$B$7))*'Parametros'!$B$4/'Parametros'!$B$3</f>
        <v>0</v>
      </c>
      <c r="AX318" s="17" t="n">
        <v>0</v>
      </c>
      <c r="AY318" s="10" t="str">
        <f>IF(AV318=0,"DESPRECIABLE",IF('Parametros'!$B$11/AP318&gt;=AV318,"CUMPLE","NO CUMPLE"))</f>
        <v>DESPRECIABLE</v>
      </c>
      <c r="AZ318" s="10" t="str">
        <f>IF(AND(X318="CUMPLE",AE318="CUMPLE",AS318="CUMPLE",OR(AY318="CUMPLE",AY318="DESPRECIABLE")),IF(OR(F318&lt;&gt;H318,G318&lt;&gt;I318),"CUMPLE - REANALIZAR SAP","CUMPLE"),"NO CUMPLE")</f>
        <v>CUMPLE</v>
      </c>
    </row>
    <row r="319">
      <c r="A319" s="24" t="inlineStr">
        <is>
          <t>VR1</t>
        </is>
      </c>
      <c r="B319" s="24" t="inlineStr">
        <is>
          <t>996</t>
        </is>
      </c>
      <c r="C319" s="10" t="n">
        <v>1</v>
      </c>
      <c r="D319" s="10" t="n">
        <v>4</v>
      </c>
      <c r="E319" s="10" t="n">
        <v>4</v>
      </c>
      <c r="F319" s="10" t="n">
        <v>350</v>
      </c>
      <c r="G319" s="10" t="n">
        <v>400</v>
      </c>
      <c r="H319" s="15" t="n">
        <v>350</v>
      </c>
      <c r="I319" s="15" t="n">
        <v>400</v>
      </c>
      <c r="J319" s="16" t="n">
        <v>47.9733</v>
      </c>
      <c r="K319" s="10" t="inlineStr">
        <is>
          <t>996</t>
        </is>
      </c>
      <c r="L319" s="16" t="n">
        <v>22.7988</v>
      </c>
      <c r="M319" s="10" t="inlineStr">
        <is>
          <t>996</t>
        </is>
      </c>
      <c r="N319" s="16" t="n">
        <v>56.194</v>
      </c>
      <c r="O319" s="16" t="n">
        <v>80.914</v>
      </c>
      <c r="P319" s="10" t="inlineStr">
        <is>
          <t>996</t>
        </is>
      </c>
      <c r="Q319" s="16" t="n">
        <v>1.0989</v>
      </c>
      <c r="R319" s="10">
        <f>MAX(MAX(1.4/'Parametros'!$B$3,0.25*SQRT('Parametros'!$B$2)/'Parametros'!$B$3)*H319*U319,(0.85*'Parametros'!$B$2/'Parametros'!$B$3)*(1-SQRT(1-2*(J319*1000000/('Parametros'!$B$5*H319*U319^2))/(0.85*'Parametros'!$B$2)))*H319*U319)</f>
        <v>399.641666666667</v>
      </c>
      <c r="S319" s="17" t="n">
        <v>3</v>
      </c>
      <c r="T319" s="18" t="n">
        <v>1</v>
      </c>
      <c r="U319" s="10">
        <f>IF(T319=1,I319-('Parametros'!$B$7+'Parametros'!$B$9+'Parametros'!$B$12/2),I319-(ROUNDUP(S319/2,0)*('Parametros'!$B$7+'Parametros'!$B$9+'Parametros'!$B$12/2)+ROUNDDOWN(S319/2,0)*('Parametros'!$B$7+'Parametros'!$B$9+'Parametros'!$B$12/2+'Parametros'!$B$12+'Parametros'!$B$10))/S319)</f>
        <v>342.55</v>
      </c>
      <c r="V319" s="10">
        <f>S319*'Parametros'!$B$8</f>
        <v>597</v>
      </c>
      <c r="W319" s="10">
        <f>'Parametros'!$B$5*V319*'Parametros'!$B$3*(U319-(V319*'Parametros'!$B$3/(0.85*'Parametros'!$B$2*H319))/2)/1000000</f>
        <v>73.905520182353</v>
      </c>
      <c r="X319" s="10" t="str">
        <f>IF(W319&gt;=J319,"CUMPLE","NO CUMPLE")</f>
        <v>CUMPLE</v>
      </c>
      <c r="Y319" s="10">
        <f>MAX(MAX(1.4/'Parametros'!$B$3,0.25*SQRT('Parametros'!$B$2)/'Parametros'!$B$3)*H319*AB319,(0.85*'Parametros'!$B$2/'Parametros'!$B$3)*(1-SQRT(1-2*(L319*1000000/('Parametros'!$B$5*H319*AB319^2))/(0.85*'Parametros'!$B$2)))*H319*AB319)</f>
        <v>399.641666666667</v>
      </c>
      <c r="Z319" s="17" t="n">
        <v>3</v>
      </c>
      <c r="AA319" s="18" t="n">
        <v>1</v>
      </c>
      <c r="AB319" s="10">
        <f>IF(AA319=1,I319-('Parametros'!$B$7+'Parametros'!$B$9+'Parametros'!$B$12/2),I319-(ROUNDUP(Z319/2,0)*('Parametros'!$B$7+'Parametros'!$B$9+'Parametros'!$B$12/2)+ROUNDDOWN(Z319/2,0)*('Parametros'!$B$7+'Parametros'!$B$9+'Parametros'!$B$12/2+'Parametros'!$B$12+'Parametros'!$B$10))/Z319)</f>
        <v>342.55</v>
      </c>
      <c r="AC319" s="10">
        <f>Z319*'Parametros'!$B$8</f>
        <v>597</v>
      </c>
      <c r="AD319" s="10">
        <f>'Parametros'!$B$5*AC319*'Parametros'!$B$3*(AB319-(AC319*'Parametros'!$B$3/(0.85*'Parametros'!$B$2*H319))/2)/1000000</f>
        <v>73.905520182353</v>
      </c>
      <c r="AE319" s="10" t="str">
        <f>IF(AD319&gt;=L319,"CUMPLE","NO CUMPLE")</f>
        <v>CUMPLE</v>
      </c>
      <c r="AF319" s="10">
        <f>V319*1.25*'Parametros'!$B$3*(U319-(V319*1.25*'Parametros'!$B$3/(0.85*'Parametros'!$B$2*H319))/2)/1000000</f>
        <v>101.467261323529</v>
      </c>
      <c r="AG319" s="10">
        <f>AC319*1.25*'Parametros'!$B$3*(AB319-(AC319*1.25*'Parametros'!$B$3/(0.85*'Parametros'!$B$2*H319))/2)/1000000</f>
        <v>101.467261323529</v>
      </c>
      <c r="AH319" s="10">
        <f>N319+(AF319+AG319)/D319</f>
        <v>106.927630661765</v>
      </c>
      <c r="AI319" s="10">
        <f>MIN(O319,MAX(N319,AH319))</f>
        <v>80.914</v>
      </c>
      <c r="AJ319" s="10">
        <f>0.17*SQRT('Parametros'!$B$2)*H319*MIN(U319,AB319)/1000</f>
        <v>107.849951281016</v>
      </c>
      <c r="AK319" s="10">
        <f>MAX(AI319/'Parametros'!$B$6-AJ319,0)</f>
        <v>0.0353820523174306</v>
      </c>
      <c r="AL319" s="10">
        <f>0.66*SQRT('Parametros'!$B$2)*H319*MIN(U319,AB319)/1000</f>
        <v>418.711575561591</v>
      </c>
      <c r="AM319" s="10" t="str">
        <f>IF(AK319&lt;=AL319,"CUMPLE","NO CUMPLE")</f>
        <v>CUMPLE</v>
      </c>
      <c r="AN319" s="15" t="inlineStr">
        <is>
          <t>Nº3 cerrado</t>
        </is>
      </c>
      <c r="AO319" s="17" t="n">
        <v>2</v>
      </c>
      <c r="AP319" s="10">
        <f>ROUNDDOWN(MIN(IF(AK319=0,1000000000,AO319*'Parametros'!$B$11*'Parametros'!$B$4*MIN(U319,AB319)/(AK319*1000)),IF(AV319=0,1000000000,'Parametros'!$B$11/AV319),MIN(U319,AB319)/4,8*'Parametros'!$B$12,24*'Parametros'!$B$9,300)/10,0)*10</f>
        <v>80</v>
      </c>
      <c r="AQ319" s="10">
        <f>ROUNDDOWN(MIN(IF(AK319=0,1000000000,AO319*'Parametros'!$B$11*'Parametros'!$B$4*MIN(U319,AB319)/(AK319*1000)),IF(AV319=0,1000000000,'Parametros'!$B$11/AV319),MIN(U319,AB319)/2,600)/10,0)*10</f>
        <v>170</v>
      </c>
      <c r="AR319" s="10">
        <f>'Parametros'!$B$6*(AJ319+AO319*'Parametros'!$B$11*'Parametros'!$B$4*MIN(U319,AB319)/AP319/1000)</f>
        <v>272.415732210762</v>
      </c>
      <c r="AS319" s="10" t="str">
        <f>IF(AND(AM319="CUMPLE",AR319&gt;=AI319),"CUMPLE","NO CUMPLE")</f>
        <v>CUMPLE</v>
      </c>
      <c r="AT319" s="10">
        <f>'Parametros'!$B$6*0.083*SQRT('Parametros'!$B$2)*(H319*I319)^2/(2*(H319+I319))/1000000</f>
        <v>4.30410823283988</v>
      </c>
      <c r="AU319" s="10" t="str">
        <f>IF(Q319&lt;=AT319,"DESPRECIABLE","DISEÑAR")</f>
        <v>DESPRECIABLE</v>
      </c>
      <c r="AV319" s="10">
        <f>IF(Q319&lt;=AT319,0,Q319*1000000/('Parametros'!$B$6*2*0.85*(H319-2*'Parametros'!$B$7)*(I319-2*'Parametros'!$B$7)*'Parametros'!$B$4))</f>
        <v>0</v>
      </c>
      <c r="AW319" s="10">
        <f>AV319*2*((H319-2*'Parametros'!$B$7)+(I319-2*'Parametros'!$B$7))*'Parametros'!$B$4/'Parametros'!$B$3</f>
        <v>0</v>
      </c>
      <c r="AX319" s="17" t="n">
        <v>0</v>
      </c>
      <c r="AY319" s="10" t="str">
        <f>IF(AV319=0,"DESPRECIABLE",IF('Parametros'!$B$11/AP319&gt;=AV319,"CUMPLE","NO CUMPLE"))</f>
        <v>DESPRECIABLE</v>
      </c>
      <c r="AZ319" s="10" t="str">
        <f>IF(AND(X319="CUMPLE",AE319="CUMPLE",AS319="CUMPLE",OR(AY319="CUMPLE",AY319="DESPRECIABLE")),IF(OR(F319&lt;&gt;H319,G319&lt;&gt;I319),"CUMPLE - REANALIZAR SAP","CUMPLE"),"NO CUMPLE")</f>
        <v>CUMPLE</v>
      </c>
    </row>
    <row r="320">
      <c r="A320" s="24" t="inlineStr">
        <is>
          <t>VR1</t>
        </is>
      </c>
      <c r="B320" s="24" t="inlineStr">
        <is>
          <t>997</t>
        </is>
      </c>
      <c r="C320" s="10" t="n">
        <v>1</v>
      </c>
      <c r="D320" s="10" t="n">
        <v>2.5</v>
      </c>
      <c r="E320" s="10" t="n">
        <v>2.5</v>
      </c>
      <c r="F320" s="10" t="n">
        <v>350</v>
      </c>
      <c r="G320" s="10" t="n">
        <v>400</v>
      </c>
      <c r="H320" s="15" t="n">
        <v>350</v>
      </c>
      <c r="I320" s="15" t="n">
        <v>400</v>
      </c>
      <c r="J320" s="16" t="n">
        <v>34.9438</v>
      </c>
      <c r="K320" s="10" t="inlineStr">
        <is>
          <t>997</t>
        </is>
      </c>
      <c r="L320" s="16" t="n">
        <v>14.4481</v>
      </c>
      <c r="M320" s="10" t="inlineStr">
        <is>
          <t>997</t>
        </is>
      </c>
      <c r="N320" s="16" t="n">
        <v>42.854</v>
      </c>
      <c r="O320" s="16" t="n">
        <v>98.687</v>
      </c>
      <c r="P320" s="10" t="inlineStr">
        <is>
          <t>997</t>
        </is>
      </c>
      <c r="Q320" s="16" t="n">
        <v>0.407</v>
      </c>
      <c r="R320" s="10">
        <f>MAX(MAX(1.4/'Parametros'!$B$3,0.25*SQRT('Parametros'!$B$2)/'Parametros'!$B$3)*H320*U320,(0.85*'Parametros'!$B$2/'Parametros'!$B$3)*(1-SQRT(1-2*(J320*1000000/('Parametros'!$B$5*H320*U320^2))/(0.85*'Parametros'!$B$2)))*H320*U320)</f>
        <v>399.641666666667</v>
      </c>
      <c r="S320" s="17" t="n">
        <v>3</v>
      </c>
      <c r="T320" s="18" t="n">
        <v>1</v>
      </c>
      <c r="U320" s="10">
        <f>IF(T320=1,I320-('Parametros'!$B$7+'Parametros'!$B$9+'Parametros'!$B$12/2),I320-(ROUNDUP(S320/2,0)*('Parametros'!$B$7+'Parametros'!$B$9+'Parametros'!$B$12/2)+ROUNDDOWN(S320/2,0)*('Parametros'!$B$7+'Parametros'!$B$9+'Parametros'!$B$12/2+'Parametros'!$B$12+'Parametros'!$B$10))/S320)</f>
        <v>342.55</v>
      </c>
      <c r="V320" s="10">
        <f>S320*'Parametros'!$B$8</f>
        <v>597</v>
      </c>
      <c r="W320" s="10">
        <f>'Parametros'!$B$5*V320*'Parametros'!$B$3*(U320-(V320*'Parametros'!$B$3/(0.85*'Parametros'!$B$2*H320))/2)/1000000</f>
        <v>73.905520182353</v>
      </c>
      <c r="X320" s="10" t="str">
        <f>IF(W320&gt;=J320,"CUMPLE","NO CUMPLE")</f>
        <v>CUMPLE</v>
      </c>
      <c r="Y320" s="10">
        <f>MAX(MAX(1.4/'Parametros'!$B$3,0.25*SQRT('Parametros'!$B$2)/'Parametros'!$B$3)*H320*AB320,(0.85*'Parametros'!$B$2/'Parametros'!$B$3)*(1-SQRT(1-2*(L320*1000000/('Parametros'!$B$5*H320*AB320^2))/(0.85*'Parametros'!$B$2)))*H320*AB320)</f>
        <v>399.641666666667</v>
      </c>
      <c r="Z320" s="17" t="n">
        <v>3</v>
      </c>
      <c r="AA320" s="18" t="n">
        <v>1</v>
      </c>
      <c r="AB320" s="10">
        <f>IF(AA320=1,I320-('Parametros'!$B$7+'Parametros'!$B$9+'Parametros'!$B$12/2),I320-(ROUNDUP(Z320/2,0)*('Parametros'!$B$7+'Parametros'!$B$9+'Parametros'!$B$12/2)+ROUNDDOWN(Z320/2,0)*('Parametros'!$B$7+'Parametros'!$B$9+'Parametros'!$B$12/2+'Parametros'!$B$12+'Parametros'!$B$10))/Z320)</f>
        <v>342.55</v>
      </c>
      <c r="AC320" s="10">
        <f>Z320*'Parametros'!$B$8</f>
        <v>597</v>
      </c>
      <c r="AD320" s="10">
        <f>'Parametros'!$B$5*AC320*'Parametros'!$B$3*(AB320-(AC320*'Parametros'!$B$3/(0.85*'Parametros'!$B$2*H320))/2)/1000000</f>
        <v>73.905520182353</v>
      </c>
      <c r="AE320" s="10" t="str">
        <f>IF(AD320&gt;=L320,"CUMPLE","NO CUMPLE")</f>
        <v>CUMPLE</v>
      </c>
      <c r="AF320" s="10">
        <f>V320*1.25*'Parametros'!$B$3*(U320-(V320*1.25*'Parametros'!$B$3/(0.85*'Parametros'!$B$2*H320))/2)/1000000</f>
        <v>101.467261323529</v>
      </c>
      <c r="AG320" s="10">
        <f>AC320*1.25*'Parametros'!$B$3*(AB320-(AC320*1.25*'Parametros'!$B$3/(0.85*'Parametros'!$B$2*H320))/2)/1000000</f>
        <v>101.467261323529</v>
      </c>
      <c r="AH320" s="10">
        <f>N320+(AF320+AG320)/D320</f>
        <v>124.027809058824</v>
      </c>
      <c r="AI320" s="10">
        <f>MIN(O320,MAX(N320,AH320))</f>
        <v>98.687</v>
      </c>
      <c r="AJ320" s="10">
        <f>0.17*SQRT('Parametros'!$B$2)*H320*MIN(U320,AB320)/1000</f>
        <v>107.849951281016</v>
      </c>
      <c r="AK320" s="10">
        <f>MAX(AI320/'Parametros'!$B$6-AJ320,0)</f>
        <v>23.7327153856507</v>
      </c>
      <c r="AL320" s="10">
        <f>0.66*SQRT('Parametros'!$B$2)*H320*MIN(U320,AB320)/1000</f>
        <v>418.711575561591</v>
      </c>
      <c r="AM320" s="10" t="str">
        <f>IF(AK320&lt;=AL320,"CUMPLE","NO CUMPLE")</f>
        <v>CUMPLE</v>
      </c>
      <c r="AN320" s="15" t="inlineStr">
        <is>
          <t>Nº3 cerrado</t>
        </is>
      </c>
      <c r="AO320" s="17" t="n">
        <v>2</v>
      </c>
      <c r="AP320" s="10">
        <f>ROUNDDOWN(MIN(IF(AK320=0,1000000000,AO320*'Parametros'!$B$11*'Parametros'!$B$4*MIN(U320,AB320)/(AK320*1000)),IF(AV320=0,1000000000,'Parametros'!$B$11/AV320),MIN(U320,AB320)/4,8*'Parametros'!$B$12,24*'Parametros'!$B$9,300)/10,0)*10</f>
        <v>80</v>
      </c>
      <c r="AQ320" s="10">
        <f>ROUNDDOWN(MIN(IF(AK320=0,1000000000,AO320*'Parametros'!$B$11*'Parametros'!$B$4*MIN(U320,AB320)/(AK320*1000)),IF(AV320=0,1000000000,'Parametros'!$B$11/AV320),MIN(U320,AB320)/2,600)/10,0)*10</f>
        <v>170</v>
      </c>
      <c r="AR320" s="10">
        <f>'Parametros'!$B$6*(AJ320+AO320*'Parametros'!$B$11*'Parametros'!$B$4*MIN(U320,AB320)/AP320/1000)</f>
        <v>272.415732210762</v>
      </c>
      <c r="AS320" s="10" t="str">
        <f>IF(AND(AM320="CUMPLE",AR320&gt;=AI320),"CUMPLE","NO CUMPLE")</f>
        <v>CUMPLE</v>
      </c>
      <c r="AT320" s="10">
        <f>'Parametros'!$B$6*0.083*SQRT('Parametros'!$B$2)*(H320*I320)^2/(2*(H320+I320))/1000000</f>
        <v>4.30410823283988</v>
      </c>
      <c r="AU320" s="10" t="str">
        <f>IF(Q320&lt;=AT320,"DESPRECIABLE","DISEÑAR")</f>
        <v>DESPRECIABLE</v>
      </c>
      <c r="AV320" s="10">
        <f>IF(Q320&lt;=AT320,0,Q320*1000000/('Parametros'!$B$6*2*0.85*(H320-2*'Parametros'!$B$7)*(I320-2*'Parametros'!$B$7)*'Parametros'!$B$4))</f>
        <v>0</v>
      </c>
      <c r="AW320" s="10">
        <f>AV320*2*((H320-2*'Parametros'!$B$7)+(I320-2*'Parametros'!$B$7))*'Parametros'!$B$4/'Parametros'!$B$3</f>
        <v>0</v>
      </c>
      <c r="AX320" s="17" t="n">
        <v>0</v>
      </c>
      <c r="AY320" s="10" t="str">
        <f>IF(AV320=0,"DESPRECIABLE",IF('Parametros'!$B$11/AP320&gt;=AV320,"CUMPLE","NO CUMPLE"))</f>
        <v>DESPRECIABLE</v>
      </c>
      <c r="AZ320" s="10" t="str">
        <f>IF(AND(X320="CUMPLE",AE320="CUMPLE",AS320="CUMPLE",OR(AY320="CUMPLE",AY320="DESPRECIABLE")),IF(OR(F320&lt;&gt;H320,G320&lt;&gt;I320),"CUMPLE - REANALIZAR SAP","CUMPLE"),"NO CUMPLE")</f>
        <v>CUMPLE</v>
      </c>
    </row>
    <row r="321">
      <c r="A321" s="24" t="inlineStr">
        <is>
          <t>VR1</t>
        </is>
      </c>
      <c r="B321" s="24" t="inlineStr">
        <is>
          <t>998</t>
        </is>
      </c>
      <c r="C321" s="10" t="n">
        <v>1</v>
      </c>
      <c r="D321" s="10" t="n">
        <v>2.6</v>
      </c>
      <c r="E321" s="10" t="n">
        <v>2.6</v>
      </c>
      <c r="F321" s="10" t="n">
        <v>350</v>
      </c>
      <c r="G321" s="10" t="n">
        <v>400</v>
      </c>
      <c r="H321" s="15" t="n">
        <v>350</v>
      </c>
      <c r="I321" s="15" t="n">
        <v>400</v>
      </c>
      <c r="J321" s="16" t="n">
        <v>31.9849</v>
      </c>
      <c r="K321" s="10" t="inlineStr">
        <is>
          <t>998</t>
        </is>
      </c>
      <c r="L321" s="16" t="n">
        <v>11.5212</v>
      </c>
      <c r="M321" s="10" t="inlineStr">
        <is>
          <t>998</t>
        </is>
      </c>
      <c r="N321" s="16" t="n">
        <v>40.911</v>
      </c>
      <c r="O321" s="16" t="n">
        <v>88.837</v>
      </c>
      <c r="P321" s="10" t="inlineStr">
        <is>
          <t>998</t>
        </is>
      </c>
      <c r="Q321" s="16" t="n">
        <v>0.1313</v>
      </c>
      <c r="R321" s="10">
        <f>MAX(MAX(1.4/'Parametros'!$B$3,0.25*SQRT('Parametros'!$B$2)/'Parametros'!$B$3)*H321*U321,(0.85*'Parametros'!$B$2/'Parametros'!$B$3)*(1-SQRT(1-2*(J321*1000000/('Parametros'!$B$5*H321*U321^2))/(0.85*'Parametros'!$B$2)))*H321*U321)</f>
        <v>399.641666666667</v>
      </c>
      <c r="S321" s="17" t="n">
        <v>3</v>
      </c>
      <c r="T321" s="18" t="n">
        <v>1</v>
      </c>
      <c r="U321" s="10">
        <f>IF(T321=1,I321-('Parametros'!$B$7+'Parametros'!$B$9+'Parametros'!$B$12/2),I321-(ROUNDUP(S321/2,0)*('Parametros'!$B$7+'Parametros'!$B$9+'Parametros'!$B$12/2)+ROUNDDOWN(S321/2,0)*('Parametros'!$B$7+'Parametros'!$B$9+'Parametros'!$B$12/2+'Parametros'!$B$12+'Parametros'!$B$10))/S321)</f>
        <v>342.55</v>
      </c>
      <c r="V321" s="10">
        <f>S321*'Parametros'!$B$8</f>
        <v>597</v>
      </c>
      <c r="W321" s="10">
        <f>'Parametros'!$B$5*V321*'Parametros'!$B$3*(U321-(V321*'Parametros'!$B$3/(0.85*'Parametros'!$B$2*H321))/2)/1000000</f>
        <v>73.905520182353</v>
      </c>
      <c r="X321" s="10" t="str">
        <f>IF(W321&gt;=J321,"CUMPLE","NO CUMPLE")</f>
        <v>CUMPLE</v>
      </c>
      <c r="Y321" s="10">
        <f>MAX(MAX(1.4/'Parametros'!$B$3,0.25*SQRT('Parametros'!$B$2)/'Parametros'!$B$3)*H321*AB321,(0.85*'Parametros'!$B$2/'Parametros'!$B$3)*(1-SQRT(1-2*(L321*1000000/('Parametros'!$B$5*H321*AB321^2))/(0.85*'Parametros'!$B$2)))*H321*AB321)</f>
        <v>399.641666666667</v>
      </c>
      <c r="Z321" s="17" t="n">
        <v>3</v>
      </c>
      <c r="AA321" s="18" t="n">
        <v>1</v>
      </c>
      <c r="AB321" s="10">
        <f>IF(AA321=1,I321-('Parametros'!$B$7+'Parametros'!$B$9+'Parametros'!$B$12/2),I321-(ROUNDUP(Z321/2,0)*('Parametros'!$B$7+'Parametros'!$B$9+'Parametros'!$B$12/2)+ROUNDDOWN(Z321/2,0)*('Parametros'!$B$7+'Parametros'!$B$9+'Parametros'!$B$12/2+'Parametros'!$B$12+'Parametros'!$B$10))/Z321)</f>
        <v>342.55</v>
      </c>
      <c r="AC321" s="10">
        <f>Z321*'Parametros'!$B$8</f>
        <v>597</v>
      </c>
      <c r="AD321" s="10">
        <f>'Parametros'!$B$5*AC321*'Parametros'!$B$3*(AB321-(AC321*'Parametros'!$B$3/(0.85*'Parametros'!$B$2*H321))/2)/1000000</f>
        <v>73.905520182353</v>
      </c>
      <c r="AE321" s="10" t="str">
        <f>IF(AD321&gt;=L321,"CUMPLE","NO CUMPLE")</f>
        <v>CUMPLE</v>
      </c>
      <c r="AF321" s="10">
        <f>V321*1.25*'Parametros'!$B$3*(U321-(V321*1.25*'Parametros'!$B$3/(0.85*'Parametros'!$B$2*H321))/2)/1000000</f>
        <v>101.467261323529</v>
      </c>
      <c r="AG321" s="10">
        <f>AC321*1.25*'Parametros'!$B$3*(AB321-(AC321*1.25*'Parametros'!$B$3/(0.85*'Parametros'!$B$2*H321))/2)/1000000</f>
        <v>101.467261323529</v>
      </c>
      <c r="AH321" s="10">
        <f>N321+(AF321+AG321)/D321</f>
        <v>118.962739479638</v>
      </c>
      <c r="AI321" s="10">
        <f>MIN(O321,MAX(N321,AH321))</f>
        <v>88.837</v>
      </c>
      <c r="AJ321" s="10">
        <f>0.17*SQRT('Parametros'!$B$2)*H321*MIN(U321,AB321)/1000</f>
        <v>107.849951281016</v>
      </c>
      <c r="AK321" s="10">
        <f>MAX(AI321/'Parametros'!$B$6-AJ321,0)</f>
        <v>10.5993820523174</v>
      </c>
      <c r="AL321" s="10">
        <f>0.66*SQRT('Parametros'!$B$2)*H321*MIN(U321,AB321)/1000</f>
        <v>418.711575561591</v>
      </c>
      <c r="AM321" s="10" t="str">
        <f>IF(AK321&lt;=AL321,"CUMPLE","NO CUMPLE")</f>
        <v>CUMPLE</v>
      </c>
      <c r="AN321" s="15" t="inlineStr">
        <is>
          <t>Nº3 cerrado</t>
        </is>
      </c>
      <c r="AO321" s="17" t="n">
        <v>2</v>
      </c>
      <c r="AP321" s="10">
        <f>ROUNDDOWN(MIN(IF(AK321=0,1000000000,AO321*'Parametros'!$B$11*'Parametros'!$B$4*MIN(U321,AB321)/(AK321*1000)),IF(AV321=0,1000000000,'Parametros'!$B$11/AV321),MIN(U321,AB321)/4,8*'Parametros'!$B$12,24*'Parametros'!$B$9,300)/10,0)*10</f>
        <v>80</v>
      </c>
      <c r="AQ321" s="10">
        <f>ROUNDDOWN(MIN(IF(AK321=0,1000000000,AO321*'Parametros'!$B$11*'Parametros'!$B$4*MIN(U321,AB321)/(AK321*1000)),IF(AV321=0,1000000000,'Parametros'!$B$11/AV321),MIN(U321,AB321)/2,600)/10,0)*10</f>
        <v>170</v>
      </c>
      <c r="AR321" s="10">
        <f>'Parametros'!$B$6*(AJ321+AO321*'Parametros'!$B$11*'Parametros'!$B$4*MIN(U321,AB321)/AP321/1000)</f>
        <v>272.415732210762</v>
      </c>
      <c r="AS321" s="10" t="str">
        <f>IF(AND(AM321="CUMPLE",AR321&gt;=AI321),"CUMPLE","NO CUMPLE")</f>
        <v>CUMPLE</v>
      </c>
      <c r="AT321" s="10">
        <f>'Parametros'!$B$6*0.083*SQRT('Parametros'!$B$2)*(H321*I321)^2/(2*(H321+I321))/1000000</f>
        <v>4.30410823283988</v>
      </c>
      <c r="AU321" s="10" t="str">
        <f>IF(Q321&lt;=AT321,"DESPRECIABLE","DISEÑAR")</f>
        <v>DESPRECIABLE</v>
      </c>
      <c r="AV321" s="10">
        <f>IF(Q321&lt;=AT321,0,Q321*1000000/('Parametros'!$B$6*2*0.85*(H321-2*'Parametros'!$B$7)*(I321-2*'Parametros'!$B$7)*'Parametros'!$B$4))</f>
        <v>0</v>
      </c>
      <c r="AW321" s="10">
        <f>AV321*2*((H321-2*'Parametros'!$B$7)+(I321-2*'Parametros'!$B$7))*'Parametros'!$B$4/'Parametros'!$B$3</f>
        <v>0</v>
      </c>
      <c r="AX321" s="17" t="n">
        <v>0</v>
      </c>
      <c r="AY321" s="10" t="str">
        <f>IF(AV321=0,"DESPRECIABLE",IF('Parametros'!$B$11/AP321&gt;=AV321,"CUMPLE","NO CUMPLE"))</f>
        <v>DESPRECIABLE</v>
      </c>
      <c r="AZ321" s="10" t="str">
        <f>IF(AND(X321="CUMPLE",AE321="CUMPLE",AS321="CUMPLE",OR(AY321="CUMPLE",AY321="DESPRECIABLE")),IF(OR(F321&lt;&gt;H321,G321&lt;&gt;I321),"CUMPLE - REANALIZAR SAP","CUMPLE"),"NO CUMPLE")</f>
        <v>CUMPLE</v>
      </c>
    </row>
    <row r="322">
      <c r="A322" s="24" t="inlineStr">
        <is>
          <t>VR1</t>
        </is>
      </c>
      <c r="B322" s="24" t="inlineStr">
        <is>
          <t>999</t>
        </is>
      </c>
      <c r="C322" s="10" t="n">
        <v>1</v>
      </c>
      <c r="D322" s="10" t="n">
        <v>3.65</v>
      </c>
      <c r="E322" s="10" t="n">
        <v>3.65</v>
      </c>
      <c r="F322" s="10" t="n">
        <v>350</v>
      </c>
      <c r="G322" s="10" t="n">
        <v>400</v>
      </c>
      <c r="H322" s="15" t="n">
        <v>350</v>
      </c>
      <c r="I322" s="15" t="n">
        <v>400</v>
      </c>
      <c r="J322" s="16" t="n">
        <v>42.8784</v>
      </c>
      <c r="K322" s="10" t="inlineStr">
        <is>
          <t>999</t>
        </is>
      </c>
      <c r="L322" s="16" t="n">
        <v>16.6685</v>
      </c>
      <c r="M322" s="10" t="inlineStr">
        <is>
          <t>999</t>
        </is>
      </c>
      <c r="N322" s="16" t="n">
        <v>48.663</v>
      </c>
      <c r="O322" s="16" t="n">
        <v>94.63800000000001</v>
      </c>
      <c r="P322" s="10" t="inlineStr">
        <is>
          <t>999</t>
        </is>
      </c>
      <c r="Q322" s="16" t="n">
        <v>0.2276</v>
      </c>
      <c r="R322" s="10">
        <f>MAX(MAX(1.4/'Parametros'!$B$3,0.25*SQRT('Parametros'!$B$2)/'Parametros'!$B$3)*H322*U322,(0.85*'Parametros'!$B$2/'Parametros'!$B$3)*(1-SQRT(1-2*(J322*1000000/('Parametros'!$B$5*H322*U322^2))/(0.85*'Parametros'!$B$2)))*H322*U322)</f>
        <v>399.641666666667</v>
      </c>
      <c r="S322" s="17" t="n">
        <v>3</v>
      </c>
      <c r="T322" s="18" t="n">
        <v>1</v>
      </c>
      <c r="U322" s="10">
        <f>IF(T322=1,I322-('Parametros'!$B$7+'Parametros'!$B$9+'Parametros'!$B$12/2),I322-(ROUNDUP(S322/2,0)*('Parametros'!$B$7+'Parametros'!$B$9+'Parametros'!$B$12/2)+ROUNDDOWN(S322/2,0)*('Parametros'!$B$7+'Parametros'!$B$9+'Parametros'!$B$12/2+'Parametros'!$B$12+'Parametros'!$B$10))/S322)</f>
        <v>342.55</v>
      </c>
      <c r="V322" s="10">
        <f>S322*'Parametros'!$B$8</f>
        <v>597</v>
      </c>
      <c r="W322" s="10">
        <f>'Parametros'!$B$5*V322*'Parametros'!$B$3*(U322-(V322*'Parametros'!$B$3/(0.85*'Parametros'!$B$2*H322))/2)/1000000</f>
        <v>73.905520182353</v>
      </c>
      <c r="X322" s="10" t="str">
        <f>IF(W322&gt;=J322,"CUMPLE","NO CUMPLE")</f>
        <v>CUMPLE</v>
      </c>
      <c r="Y322" s="10">
        <f>MAX(MAX(1.4/'Parametros'!$B$3,0.25*SQRT('Parametros'!$B$2)/'Parametros'!$B$3)*H322*AB322,(0.85*'Parametros'!$B$2/'Parametros'!$B$3)*(1-SQRT(1-2*(L322*1000000/('Parametros'!$B$5*H322*AB322^2))/(0.85*'Parametros'!$B$2)))*H322*AB322)</f>
        <v>399.641666666667</v>
      </c>
      <c r="Z322" s="17" t="n">
        <v>3</v>
      </c>
      <c r="AA322" s="18" t="n">
        <v>1</v>
      </c>
      <c r="AB322" s="10">
        <f>IF(AA322=1,I322-('Parametros'!$B$7+'Parametros'!$B$9+'Parametros'!$B$12/2),I322-(ROUNDUP(Z322/2,0)*('Parametros'!$B$7+'Parametros'!$B$9+'Parametros'!$B$12/2)+ROUNDDOWN(Z322/2,0)*('Parametros'!$B$7+'Parametros'!$B$9+'Parametros'!$B$12/2+'Parametros'!$B$12+'Parametros'!$B$10))/Z322)</f>
        <v>342.55</v>
      </c>
      <c r="AC322" s="10">
        <f>Z322*'Parametros'!$B$8</f>
        <v>597</v>
      </c>
      <c r="AD322" s="10">
        <f>'Parametros'!$B$5*AC322*'Parametros'!$B$3*(AB322-(AC322*'Parametros'!$B$3/(0.85*'Parametros'!$B$2*H322))/2)/1000000</f>
        <v>73.905520182353</v>
      </c>
      <c r="AE322" s="10" t="str">
        <f>IF(AD322&gt;=L322,"CUMPLE","NO CUMPLE")</f>
        <v>CUMPLE</v>
      </c>
      <c r="AF322" s="10">
        <f>V322*1.25*'Parametros'!$B$3*(U322-(V322*1.25*'Parametros'!$B$3/(0.85*'Parametros'!$B$2*H322))/2)/1000000</f>
        <v>101.467261323529</v>
      </c>
      <c r="AG322" s="10">
        <f>AC322*1.25*'Parametros'!$B$3*(AB322-(AC322*1.25*'Parametros'!$B$3/(0.85*'Parametros'!$B$2*H322))/2)/1000000</f>
        <v>101.467261323529</v>
      </c>
      <c r="AH322" s="10">
        <f>N322+(AF322+AG322)/D322</f>
        <v>104.261499355359</v>
      </c>
      <c r="AI322" s="10">
        <f>MIN(O322,MAX(N322,AH322))</f>
        <v>94.638</v>
      </c>
      <c r="AJ322" s="10">
        <f>0.17*SQRT('Parametros'!$B$2)*H322*MIN(U322,AB322)/1000</f>
        <v>107.849951281016</v>
      </c>
      <c r="AK322" s="10">
        <f>MAX(AI322/'Parametros'!$B$6-AJ322,0)</f>
        <v>18.3340487189841</v>
      </c>
      <c r="AL322" s="10">
        <f>0.66*SQRT('Parametros'!$B$2)*H322*MIN(U322,AB322)/1000</f>
        <v>418.711575561591</v>
      </c>
      <c r="AM322" s="10" t="str">
        <f>IF(AK322&lt;=AL322,"CUMPLE","NO CUMPLE")</f>
        <v>CUMPLE</v>
      </c>
      <c r="AN322" s="15" t="inlineStr">
        <is>
          <t>Nº3 cerrado</t>
        </is>
      </c>
      <c r="AO322" s="17" t="n">
        <v>2</v>
      </c>
      <c r="AP322" s="10">
        <f>ROUNDDOWN(MIN(IF(AK322=0,1000000000,AO322*'Parametros'!$B$11*'Parametros'!$B$4*MIN(U322,AB322)/(AK322*1000)),IF(AV322=0,1000000000,'Parametros'!$B$11/AV322),MIN(U322,AB322)/4,8*'Parametros'!$B$12,24*'Parametros'!$B$9,300)/10,0)*10</f>
        <v>80</v>
      </c>
      <c r="AQ322" s="10">
        <f>ROUNDDOWN(MIN(IF(AK322=0,1000000000,AO322*'Parametros'!$B$11*'Parametros'!$B$4*MIN(U322,AB322)/(AK322*1000)),IF(AV322=0,1000000000,'Parametros'!$B$11/AV322),MIN(U322,AB322)/2,600)/10,0)*10</f>
        <v>170</v>
      </c>
      <c r="AR322" s="10">
        <f>'Parametros'!$B$6*(AJ322+AO322*'Parametros'!$B$11*'Parametros'!$B$4*MIN(U322,AB322)/AP322/1000)</f>
        <v>272.415732210762</v>
      </c>
      <c r="AS322" s="10" t="str">
        <f>IF(AND(AM322="CUMPLE",AR322&gt;=AI322),"CUMPLE","NO CUMPLE")</f>
        <v>CUMPLE</v>
      </c>
      <c r="AT322" s="10">
        <f>'Parametros'!$B$6*0.083*SQRT('Parametros'!$B$2)*(H322*I322)^2/(2*(H322+I322))/1000000</f>
        <v>4.30410823283988</v>
      </c>
      <c r="AU322" s="10" t="str">
        <f>IF(Q322&lt;=AT322,"DESPRECIABLE","DISEÑAR")</f>
        <v>DESPRECIABLE</v>
      </c>
      <c r="AV322" s="10">
        <f>IF(Q322&lt;=AT322,0,Q322*1000000/('Parametros'!$B$6*2*0.85*(H322-2*'Parametros'!$B$7)*(I322-2*'Parametros'!$B$7)*'Parametros'!$B$4))</f>
        <v>0</v>
      </c>
      <c r="AW322" s="10">
        <f>AV322*2*((H322-2*'Parametros'!$B$7)+(I322-2*'Parametros'!$B$7))*'Parametros'!$B$4/'Parametros'!$B$3</f>
        <v>0</v>
      </c>
      <c r="AX322" s="17" t="n">
        <v>0</v>
      </c>
      <c r="AY322" s="10" t="str">
        <f>IF(AV322=0,"DESPRECIABLE",IF('Parametros'!$B$11/AP322&gt;=AV322,"CUMPLE","NO CUMPLE"))</f>
        <v>DESPRECIABLE</v>
      </c>
      <c r="AZ322" s="10" t="str">
        <f>IF(AND(X322="CUMPLE",AE322="CUMPLE",AS322="CUMPLE",OR(AY322="CUMPLE",AY322="DESPRECIABLE")),IF(OR(F322&lt;&gt;H322,G322&lt;&gt;I322),"CUMPLE - REANALIZAR SAP","CUMPLE"),"NO CUMPLE")</f>
        <v>CUMPLE</v>
      </c>
    </row>
    <row r="323">
      <c r="A323" s="24" t="inlineStr">
        <is>
          <t>VR1</t>
        </is>
      </c>
      <c r="B323" s="24" t="inlineStr">
        <is>
          <t>1000</t>
        </is>
      </c>
      <c r="C323" s="10" t="n">
        <v>1</v>
      </c>
      <c r="D323" s="10" t="n">
        <v>2.6</v>
      </c>
      <c r="E323" s="10" t="n">
        <v>2.6</v>
      </c>
      <c r="F323" s="10" t="n">
        <v>350</v>
      </c>
      <c r="G323" s="10" t="n">
        <v>400</v>
      </c>
      <c r="H323" s="15" t="n">
        <v>350</v>
      </c>
      <c r="I323" s="15" t="n">
        <v>400</v>
      </c>
      <c r="J323" s="16" t="n">
        <v>19.1989</v>
      </c>
      <c r="K323" s="10" t="inlineStr">
        <is>
          <t>1000</t>
        </is>
      </c>
      <c r="L323" s="16" t="n">
        <v>9.478199999999999</v>
      </c>
      <c r="M323" s="10" t="inlineStr">
        <is>
          <t>1000</t>
        </is>
      </c>
      <c r="N323" s="16" t="n">
        <v>33.705</v>
      </c>
      <c r="O323" s="16" t="n">
        <v>60.11</v>
      </c>
      <c r="P323" s="10" t="inlineStr">
        <is>
          <t>1000</t>
        </is>
      </c>
      <c r="Q323" s="16" t="n">
        <v>2.1604</v>
      </c>
      <c r="R323" s="10">
        <f>MAX(MAX(1.4/'Parametros'!$B$3,0.25*SQRT('Parametros'!$B$2)/'Parametros'!$B$3)*H323*U323,(0.85*'Parametros'!$B$2/'Parametros'!$B$3)*(1-SQRT(1-2*(J323*1000000/('Parametros'!$B$5*H323*U323^2))/(0.85*'Parametros'!$B$2)))*H323*U323)</f>
        <v>399.641666666667</v>
      </c>
      <c r="S323" s="17" t="n">
        <v>3</v>
      </c>
      <c r="T323" s="18" t="n">
        <v>1</v>
      </c>
      <c r="U323" s="10">
        <f>IF(T323=1,I323-('Parametros'!$B$7+'Parametros'!$B$9+'Parametros'!$B$12/2),I323-(ROUNDUP(S323/2,0)*('Parametros'!$B$7+'Parametros'!$B$9+'Parametros'!$B$12/2)+ROUNDDOWN(S323/2,0)*('Parametros'!$B$7+'Parametros'!$B$9+'Parametros'!$B$12/2+'Parametros'!$B$12+'Parametros'!$B$10))/S323)</f>
        <v>342.55</v>
      </c>
      <c r="V323" s="10">
        <f>S323*'Parametros'!$B$8</f>
        <v>597</v>
      </c>
      <c r="W323" s="10">
        <f>'Parametros'!$B$5*V323*'Parametros'!$B$3*(U323-(V323*'Parametros'!$B$3/(0.85*'Parametros'!$B$2*H323))/2)/1000000</f>
        <v>73.905520182353</v>
      </c>
      <c r="X323" s="10" t="str">
        <f>IF(W323&gt;=J323,"CUMPLE","NO CUMPLE")</f>
        <v>CUMPLE</v>
      </c>
      <c r="Y323" s="10">
        <f>MAX(MAX(1.4/'Parametros'!$B$3,0.25*SQRT('Parametros'!$B$2)/'Parametros'!$B$3)*H323*AB323,(0.85*'Parametros'!$B$2/'Parametros'!$B$3)*(1-SQRT(1-2*(L323*1000000/('Parametros'!$B$5*H323*AB323^2))/(0.85*'Parametros'!$B$2)))*H323*AB323)</f>
        <v>399.641666666667</v>
      </c>
      <c r="Z323" s="17" t="n">
        <v>3</v>
      </c>
      <c r="AA323" s="18" t="n">
        <v>1</v>
      </c>
      <c r="AB323" s="10">
        <f>IF(AA323=1,I323-('Parametros'!$B$7+'Parametros'!$B$9+'Parametros'!$B$12/2),I323-(ROUNDUP(Z323/2,0)*('Parametros'!$B$7+'Parametros'!$B$9+'Parametros'!$B$12/2)+ROUNDDOWN(Z323/2,0)*('Parametros'!$B$7+'Parametros'!$B$9+'Parametros'!$B$12/2+'Parametros'!$B$12+'Parametros'!$B$10))/Z323)</f>
        <v>342.55</v>
      </c>
      <c r="AC323" s="10">
        <f>Z323*'Parametros'!$B$8</f>
        <v>597</v>
      </c>
      <c r="AD323" s="10">
        <f>'Parametros'!$B$5*AC323*'Parametros'!$B$3*(AB323-(AC323*'Parametros'!$B$3/(0.85*'Parametros'!$B$2*H323))/2)/1000000</f>
        <v>73.905520182353</v>
      </c>
      <c r="AE323" s="10" t="str">
        <f>IF(AD323&gt;=L323,"CUMPLE","NO CUMPLE")</f>
        <v>CUMPLE</v>
      </c>
      <c r="AF323" s="10">
        <f>V323*1.25*'Parametros'!$B$3*(U323-(V323*1.25*'Parametros'!$B$3/(0.85*'Parametros'!$B$2*H323))/2)/1000000</f>
        <v>101.467261323529</v>
      </c>
      <c r="AG323" s="10">
        <f>AC323*1.25*'Parametros'!$B$3*(AB323-(AC323*1.25*'Parametros'!$B$3/(0.85*'Parametros'!$B$2*H323))/2)/1000000</f>
        <v>101.467261323529</v>
      </c>
      <c r="AH323" s="10">
        <f>N323+(AF323+AG323)/D323</f>
        <v>111.756739479638</v>
      </c>
      <c r="AI323" s="10">
        <f>MIN(O323,MAX(N323,AH323))</f>
        <v>60.11</v>
      </c>
      <c r="AJ323" s="10">
        <f>0.17*SQRT('Parametros'!$B$2)*H323*MIN(U323,AB323)/1000</f>
        <v>107.849951281016</v>
      </c>
      <c r="AK323" s="10">
        <f>MAX(AI323/'Parametros'!$B$6-AJ323,0)</f>
        <v>0</v>
      </c>
      <c r="AL323" s="10">
        <f>0.66*SQRT('Parametros'!$B$2)*H323*MIN(U323,AB323)/1000</f>
        <v>418.711575561591</v>
      </c>
      <c r="AM323" s="10" t="str">
        <f>IF(AK323&lt;=AL323,"CUMPLE","NO CUMPLE")</f>
        <v>CUMPLE</v>
      </c>
      <c r="AN323" s="15" t="inlineStr">
        <is>
          <t>Nº3 cerrado</t>
        </is>
      </c>
      <c r="AO323" s="17" t="n">
        <v>2</v>
      </c>
      <c r="AP323" s="10">
        <f>ROUNDDOWN(MIN(IF(AK323=0,1000000000,AO323*'Parametros'!$B$11*'Parametros'!$B$4*MIN(U323,AB323)/(AK323*1000)),IF(AV323=0,1000000000,'Parametros'!$B$11/AV323),MIN(U323,AB323)/4,8*'Parametros'!$B$12,24*'Parametros'!$B$9,300)/10,0)*10</f>
        <v>80</v>
      </c>
      <c r="AQ323" s="10">
        <f>ROUNDDOWN(MIN(IF(AK323=0,1000000000,AO323*'Parametros'!$B$11*'Parametros'!$B$4*MIN(U323,AB323)/(AK323*1000)),IF(AV323=0,1000000000,'Parametros'!$B$11/AV323),MIN(U323,AB323)/2,600)/10,0)*10</f>
        <v>170</v>
      </c>
      <c r="AR323" s="10">
        <f>'Parametros'!$B$6*(AJ323+AO323*'Parametros'!$B$11*'Parametros'!$B$4*MIN(U323,AB323)/AP323/1000)</f>
        <v>272.415732210762</v>
      </c>
      <c r="AS323" s="10" t="str">
        <f>IF(AND(AM323="CUMPLE",AR323&gt;=AI323),"CUMPLE","NO CUMPLE")</f>
        <v>CUMPLE</v>
      </c>
      <c r="AT323" s="10">
        <f>'Parametros'!$B$6*0.083*SQRT('Parametros'!$B$2)*(H323*I323)^2/(2*(H323+I323))/1000000</f>
        <v>4.30410823283988</v>
      </c>
      <c r="AU323" s="10" t="str">
        <f>IF(Q323&lt;=AT323,"DESPRECIABLE","DISEÑAR")</f>
        <v>DESPRECIABLE</v>
      </c>
      <c r="AV323" s="10">
        <f>IF(Q323&lt;=AT323,0,Q323*1000000/('Parametros'!$B$6*2*0.85*(H323-2*'Parametros'!$B$7)*(I323-2*'Parametros'!$B$7)*'Parametros'!$B$4))</f>
        <v>0</v>
      </c>
      <c r="AW323" s="10">
        <f>AV323*2*((H323-2*'Parametros'!$B$7)+(I323-2*'Parametros'!$B$7))*'Parametros'!$B$4/'Parametros'!$B$3</f>
        <v>0</v>
      </c>
      <c r="AX323" s="17" t="n">
        <v>0</v>
      </c>
      <c r="AY323" s="10" t="str">
        <f>IF(AV323=0,"DESPRECIABLE",IF('Parametros'!$B$11/AP323&gt;=AV323,"CUMPLE","NO CUMPLE"))</f>
        <v>DESPRECIABLE</v>
      </c>
      <c r="AZ323" s="10" t="str">
        <f>IF(AND(X323="CUMPLE",AE323="CUMPLE",AS323="CUMPLE",OR(AY323="CUMPLE",AY323="DESPRECIABLE")),IF(OR(F323&lt;&gt;H323,G323&lt;&gt;I323),"CUMPLE - REANALIZAR SAP","CUMPLE"),"NO CUMPLE")</f>
        <v>CUMPLE</v>
      </c>
    </row>
    <row r="324">
      <c r="A324" s="25" t="inlineStr">
        <is>
          <t>VR N1</t>
        </is>
      </c>
      <c r="B324" s="25" t="inlineStr">
        <is>
          <t>1</t>
        </is>
      </c>
      <c r="C324" s="10" t="n">
        <v>1</v>
      </c>
      <c r="D324" s="10" t="n">
        <v>2.6</v>
      </c>
      <c r="E324" s="10" t="n">
        <v>2.6</v>
      </c>
      <c r="F324" s="10" t="n">
        <v>350</v>
      </c>
      <c r="G324" s="10" t="n">
        <v>400</v>
      </c>
      <c r="H324" s="15" t="n">
        <v>350</v>
      </c>
      <c r="I324" s="15" t="n">
        <v>400</v>
      </c>
      <c r="J324" s="16" t="n">
        <v>102.6522</v>
      </c>
      <c r="K324" s="10" t="inlineStr">
        <is>
          <t>1</t>
        </is>
      </c>
      <c r="L324" s="16" t="n">
        <v>69.4774</v>
      </c>
      <c r="M324" s="10" t="inlineStr">
        <is>
          <t>1</t>
        </is>
      </c>
      <c r="N324" s="16" t="n">
        <v>101.547</v>
      </c>
      <c r="O324" s="16" t="n">
        <v>324.852</v>
      </c>
      <c r="P324" s="10" t="inlineStr">
        <is>
          <t>1</t>
        </is>
      </c>
      <c r="Q324" s="16" t="n">
        <v>5.0067</v>
      </c>
      <c r="R324" s="10">
        <f>MAX(MAX(1.4/'Parametros'!$B$3,0.25*SQRT('Parametros'!$B$2)/'Parametros'!$B$3)*H324*U324,(0.85*'Parametros'!$B$2/'Parametros'!$B$3)*(1-SQRT(1-2*(J324*1000000/('Parametros'!$B$5*H324*U324^2))/(0.85*'Parametros'!$B$2)))*H324*U324)</f>
        <v>845.375237074083</v>
      </c>
      <c r="S324" s="17" t="n">
        <v>5</v>
      </c>
      <c r="T324" s="18" t="n">
        <v>1</v>
      </c>
      <c r="U324" s="10">
        <f>IF(T324=1,I324-('Parametros'!$B$7+'Parametros'!$B$9+'Parametros'!$B$12/2),I324-(ROUNDUP(S324/2,0)*('Parametros'!$B$7+'Parametros'!$B$9+'Parametros'!$B$12/2)+ROUNDDOWN(S324/2,0)*('Parametros'!$B$7+'Parametros'!$B$9+'Parametros'!$B$12/2+'Parametros'!$B$12+'Parametros'!$B$10))/S324)</f>
        <v>342.55</v>
      </c>
      <c r="V324" s="10">
        <f>S324*'Parametros'!$B$8</f>
        <v>995</v>
      </c>
      <c r="W324" s="10">
        <f>'Parametros'!$B$5*V324*'Parametros'!$B$3*(U324-(V324*'Parametros'!$B$3/(0.85*'Parametros'!$B$2*H324))/2)/1000000</f>
        <v>119.402124617647</v>
      </c>
      <c r="X324" s="10" t="str">
        <f>IF(W324&gt;=J324,"CUMPLE","NO CUMPLE")</f>
        <v>CUMPLE</v>
      </c>
      <c r="Y324" s="10">
        <f>MAX(MAX(1.4/'Parametros'!$B$3,0.25*SQRT('Parametros'!$B$2)/'Parametros'!$B$3)*H324*AB324,(0.85*'Parametros'!$B$2/'Parametros'!$B$3)*(1-SQRT(1-2*(L324*1000000/('Parametros'!$B$5*H324*AB324^2))/(0.85*'Parametros'!$B$2)))*H324*AB324)</f>
        <v>559.619908009143</v>
      </c>
      <c r="Z324" s="17" t="n">
        <v>3</v>
      </c>
      <c r="AA324" s="18" t="n">
        <v>1</v>
      </c>
      <c r="AB324" s="10">
        <f>IF(AA324=1,I324-('Parametros'!$B$7+'Parametros'!$B$9+'Parametros'!$B$12/2),I324-(ROUNDUP(Z324/2,0)*('Parametros'!$B$7+'Parametros'!$B$9+'Parametros'!$B$12/2)+ROUNDDOWN(Z324/2,0)*('Parametros'!$B$7+'Parametros'!$B$9+'Parametros'!$B$12/2+'Parametros'!$B$12+'Parametros'!$B$10))/Z324)</f>
        <v>342.55</v>
      </c>
      <c r="AC324" s="10">
        <f>Z324*'Parametros'!$B$8</f>
        <v>597</v>
      </c>
      <c r="AD324" s="10">
        <f>'Parametros'!$B$5*AC324*'Parametros'!$B$3*(AB324-(AC324*'Parametros'!$B$3/(0.85*'Parametros'!$B$2*H324))/2)/1000000</f>
        <v>73.905520182353</v>
      </c>
      <c r="AE324" s="10" t="str">
        <f>IF(AD324&gt;=L324,"CUMPLE","NO CUMPLE")</f>
        <v>CUMPLE</v>
      </c>
      <c r="AF324" s="10">
        <f>V324*1.25*'Parametros'!$B$3*(U324-(V324*1.25*'Parametros'!$B$3/(0.85*'Parametros'!$B$2*H324))/2)/1000000</f>
        <v>162.560466176471</v>
      </c>
      <c r="AG324" s="10">
        <f>AC324*1.25*'Parametros'!$B$3*(AB324-(AC324*1.25*'Parametros'!$B$3/(0.85*'Parametros'!$B$2*H324))/2)/1000000</f>
        <v>101.467261323529</v>
      </c>
      <c r="AH324" s="10">
        <f>N324+(AF324+AG324)/D324</f>
        <v>203.096125961538</v>
      </c>
      <c r="AI324" s="10">
        <f>MIN(O324,MAX(N324,AH324))</f>
        <v>203.096125961538</v>
      </c>
      <c r="AJ324" s="10">
        <f>0.17*SQRT('Parametros'!$B$2)*H324*MIN(U324,AB324)/1000</f>
        <v>107.849951281016</v>
      </c>
      <c r="AK324" s="10">
        <f>MAX(AI324/'Parametros'!$B$6-AJ324,0)</f>
        <v>162.944883334369</v>
      </c>
      <c r="AL324" s="10">
        <f>0.66*SQRT('Parametros'!$B$2)*H324*MIN(U324,AB324)/1000</f>
        <v>418.711575561591</v>
      </c>
      <c r="AM324" s="10" t="str">
        <f>IF(AK324&lt;=AL324,"CUMPLE","NO CUMPLE")</f>
        <v>CUMPLE</v>
      </c>
      <c r="AN324" s="15" t="inlineStr">
        <is>
          <t>Nº3 cerrado</t>
        </is>
      </c>
      <c r="AO324" s="17" t="n">
        <v>2</v>
      </c>
      <c r="AP324" s="10">
        <f>ROUNDDOWN(MIN(IF(AK324=0,1000000000,AO324*'Parametros'!$B$11*'Parametros'!$B$4*MIN(U324,AB324)/(AK324*1000)),IF(AV324=0,1000000000,'Parametros'!$B$11/AV324),MIN(U324,AB324)/4,8*'Parametros'!$B$12,24*'Parametros'!$B$9,300)/10,0)*10</f>
        <v>80</v>
      </c>
      <c r="AQ324" s="10">
        <f>ROUNDDOWN(MIN(IF(AK324=0,1000000000,AO324*'Parametros'!$B$11*'Parametros'!$B$4*MIN(U324,AB324)/(AK324*1000)),IF(AV324=0,1000000000,'Parametros'!$B$11/AV324),MIN(U324,AB324)/2,600)/10,0)*10</f>
        <v>120</v>
      </c>
      <c r="AR324" s="10">
        <f>'Parametros'!$B$6*(AJ324+AO324*'Parametros'!$B$11*'Parametros'!$B$4*MIN(U324,AB324)/AP324/1000)</f>
        <v>272.415732210762</v>
      </c>
      <c r="AS324" s="10" t="str">
        <f>IF(AND(AM324="CUMPLE",AR324&gt;=AI324),"CUMPLE","NO CUMPLE")</f>
        <v>CUMPLE</v>
      </c>
      <c r="AT324" s="10">
        <f>'Parametros'!$B$6*0.083*SQRT('Parametros'!$B$2)*(H324*I324)^2/(2*(H324+I324))/1000000</f>
        <v>4.30410823283988</v>
      </c>
      <c r="AU324" s="10" t="str">
        <f>IF(Q324&lt;=AT324,"DESPRECIABLE","DISEÑAR")</f>
        <v>DISEÑAR</v>
      </c>
      <c r="AV324" s="10">
        <f>IF(Q324&lt;=AT324,0,Q324*1000000/('Parametros'!$B$6*2*0.85*(H324-2*'Parametros'!$B$7)*(I324-2*'Parametros'!$B$7)*'Parametros'!$B$4))</f>
        <v>0.108212729536259</v>
      </c>
      <c r="AW324" s="10">
        <f>AV324*2*((H324-2*'Parametros'!$B$7)+(I324-2*'Parametros'!$B$7))*'Parametros'!$B$4/'Parametros'!$B$3</f>
        <v>127.691020852786</v>
      </c>
      <c r="AX324" s="17" t="n">
        <v>1</v>
      </c>
      <c r="AY324" s="10" t="str">
        <f>IF(AV324=0,"DESPRECIABLE",IF('Parametros'!$B$11/AP324&gt;=AV324,"CUMPLE","NO CUMPLE"))</f>
        <v>CUMPLE</v>
      </c>
      <c r="AZ324" s="10" t="str">
        <f>IF(AND(X324="CUMPLE",AE324="CUMPLE",AS324="CUMPLE",OR(AY324="CUMPLE",AY324="DESPRECIABLE")),IF(OR(F324&lt;&gt;H324,G324&lt;&gt;I324),"CUMPLE - REANALIZAR SAP","CUMPLE"),"NO CUMPLE")</f>
        <v>CUMPLE</v>
      </c>
    </row>
    <row r="325">
      <c r="A325" s="25" t="inlineStr">
        <is>
          <t>VR N1</t>
        </is>
      </c>
      <c r="B325" s="25" t="inlineStr">
        <is>
          <t>2</t>
        </is>
      </c>
      <c r="C325" s="10" t="n">
        <v>1</v>
      </c>
      <c r="D325" s="10" t="n">
        <v>3.65</v>
      </c>
      <c r="E325" s="10" t="n">
        <v>3.65</v>
      </c>
      <c r="F325" s="10" t="n">
        <v>350</v>
      </c>
      <c r="G325" s="10" t="n">
        <v>400</v>
      </c>
      <c r="H325" s="15" t="n">
        <v>350</v>
      </c>
      <c r="I325" s="15" t="n">
        <v>400</v>
      </c>
      <c r="J325" s="16" t="n">
        <v>112.2884</v>
      </c>
      <c r="K325" s="10" t="inlineStr">
        <is>
          <t>2</t>
        </is>
      </c>
      <c r="L325" s="16" t="n">
        <v>58.5863</v>
      </c>
      <c r="M325" s="10" t="inlineStr">
        <is>
          <t>2</t>
        </is>
      </c>
      <c r="N325" s="16" t="n">
        <v>100.523</v>
      </c>
      <c r="O325" s="16" t="n">
        <v>268.015</v>
      </c>
      <c r="P325" s="10" t="inlineStr">
        <is>
          <t>2</t>
        </is>
      </c>
      <c r="Q325" s="16" t="n">
        <v>0.4117</v>
      </c>
      <c r="R325" s="10">
        <f>MAX(MAX(1.4/'Parametros'!$B$3,0.25*SQRT('Parametros'!$B$2)/'Parametros'!$B$3)*H325*U325,(0.85*'Parametros'!$B$2/'Parametros'!$B$3)*(1-SQRT(1-2*(J325*1000000/('Parametros'!$B$5*H325*U325^2))/(0.85*'Parametros'!$B$2)))*H325*U325)</f>
        <v>930.987574492041</v>
      </c>
      <c r="S325" s="17" t="n">
        <v>5</v>
      </c>
      <c r="T325" s="18" t="n">
        <v>1</v>
      </c>
      <c r="U325" s="10">
        <f>IF(T325=1,I325-('Parametros'!$B$7+'Parametros'!$B$9+'Parametros'!$B$12/2),I325-(ROUNDUP(S325/2,0)*('Parametros'!$B$7+'Parametros'!$B$9+'Parametros'!$B$12/2)+ROUNDDOWN(S325/2,0)*('Parametros'!$B$7+'Parametros'!$B$9+'Parametros'!$B$12/2+'Parametros'!$B$12+'Parametros'!$B$10))/S325)</f>
        <v>342.55</v>
      </c>
      <c r="V325" s="10">
        <f>S325*'Parametros'!$B$8</f>
        <v>995</v>
      </c>
      <c r="W325" s="10">
        <f>'Parametros'!$B$5*V325*'Parametros'!$B$3*(U325-(V325*'Parametros'!$B$3/(0.85*'Parametros'!$B$2*H325))/2)/1000000</f>
        <v>119.402124617647</v>
      </c>
      <c r="X325" s="10" t="str">
        <f>IF(W325&gt;=J325,"CUMPLE","NO CUMPLE")</f>
        <v>CUMPLE</v>
      </c>
      <c r="Y325" s="10">
        <f>MAX(MAX(1.4/'Parametros'!$B$3,0.25*SQRT('Parametros'!$B$2)/'Parametros'!$B$3)*H325*AB325,(0.85*'Parametros'!$B$2/'Parametros'!$B$3)*(1-SQRT(1-2*(L325*1000000/('Parametros'!$B$5*H325*AB325^2))/(0.85*'Parametros'!$B$2)))*H325*AB325)</f>
        <v>468.622143759955</v>
      </c>
      <c r="Z325" s="17" t="n">
        <v>3</v>
      </c>
      <c r="AA325" s="18" t="n">
        <v>1</v>
      </c>
      <c r="AB325" s="10">
        <f>IF(AA325=1,I325-('Parametros'!$B$7+'Parametros'!$B$9+'Parametros'!$B$12/2),I325-(ROUNDUP(Z325/2,0)*('Parametros'!$B$7+'Parametros'!$B$9+'Parametros'!$B$12/2)+ROUNDDOWN(Z325/2,0)*('Parametros'!$B$7+'Parametros'!$B$9+'Parametros'!$B$12/2+'Parametros'!$B$12+'Parametros'!$B$10))/Z325)</f>
        <v>342.55</v>
      </c>
      <c r="AC325" s="10">
        <f>Z325*'Parametros'!$B$8</f>
        <v>597</v>
      </c>
      <c r="AD325" s="10">
        <f>'Parametros'!$B$5*AC325*'Parametros'!$B$3*(AB325-(AC325*'Parametros'!$B$3/(0.85*'Parametros'!$B$2*H325))/2)/1000000</f>
        <v>73.905520182353</v>
      </c>
      <c r="AE325" s="10" t="str">
        <f>IF(AD325&gt;=L325,"CUMPLE","NO CUMPLE")</f>
        <v>CUMPLE</v>
      </c>
      <c r="AF325" s="10">
        <f>V325*1.25*'Parametros'!$B$3*(U325-(V325*1.25*'Parametros'!$B$3/(0.85*'Parametros'!$B$2*H325))/2)/1000000</f>
        <v>162.560466176471</v>
      </c>
      <c r="AG325" s="10">
        <f>AC325*1.25*'Parametros'!$B$3*(AB325-(AC325*1.25*'Parametros'!$B$3/(0.85*'Parametros'!$B$2*H325))/2)/1000000</f>
        <v>101.467261323529</v>
      </c>
      <c r="AH325" s="10">
        <f>N325+(AF325+AG325)/D325</f>
        <v>172.85936369863</v>
      </c>
      <c r="AI325" s="10">
        <f>MIN(O325,MAX(N325,AH325))</f>
        <v>172.85936369863</v>
      </c>
      <c r="AJ325" s="10">
        <f>0.17*SQRT('Parametros'!$B$2)*H325*MIN(U325,AB325)/1000</f>
        <v>107.849951281016</v>
      </c>
      <c r="AK325" s="10">
        <f>MAX(AI325/'Parametros'!$B$6-AJ325,0)</f>
        <v>122.629200317158</v>
      </c>
      <c r="AL325" s="10">
        <f>0.66*SQRT('Parametros'!$B$2)*H325*MIN(U325,AB325)/1000</f>
        <v>418.711575561591</v>
      </c>
      <c r="AM325" s="10" t="str">
        <f>IF(AK325&lt;=AL325,"CUMPLE","NO CUMPLE")</f>
        <v>CUMPLE</v>
      </c>
      <c r="AN325" s="15" t="inlineStr">
        <is>
          <t>Nº3 cerrado</t>
        </is>
      </c>
      <c r="AO325" s="17" t="n">
        <v>2</v>
      </c>
      <c r="AP325" s="10">
        <f>ROUNDDOWN(MIN(IF(AK325=0,1000000000,AO325*'Parametros'!$B$11*'Parametros'!$B$4*MIN(U325,AB325)/(AK325*1000)),IF(AV325=0,1000000000,'Parametros'!$B$11/AV325),MIN(U325,AB325)/4,8*'Parametros'!$B$12,24*'Parametros'!$B$9,300)/10,0)*10</f>
        <v>80</v>
      </c>
      <c r="AQ325" s="10">
        <f>ROUNDDOWN(MIN(IF(AK325=0,1000000000,AO325*'Parametros'!$B$11*'Parametros'!$B$4*MIN(U325,AB325)/(AK325*1000)),IF(AV325=0,1000000000,'Parametros'!$B$11/AV325),MIN(U325,AB325)/2,600)/10,0)*10</f>
        <v>160</v>
      </c>
      <c r="AR325" s="10">
        <f>'Parametros'!$B$6*(AJ325+AO325*'Parametros'!$B$11*'Parametros'!$B$4*MIN(U325,AB325)/AP325/1000)</f>
        <v>272.415732210762</v>
      </c>
      <c r="AS325" s="10" t="str">
        <f>IF(AND(AM325="CUMPLE",AR325&gt;=AI325),"CUMPLE","NO CUMPLE")</f>
        <v>CUMPLE</v>
      </c>
      <c r="AT325" s="10">
        <f>'Parametros'!$B$6*0.083*SQRT('Parametros'!$B$2)*(H325*I325)^2/(2*(H325+I325))/1000000</f>
        <v>4.30410823283988</v>
      </c>
      <c r="AU325" s="10" t="str">
        <f>IF(Q325&lt;=AT325,"DESPRECIABLE","DISEÑAR")</f>
        <v>DESPRECIABLE</v>
      </c>
      <c r="AV325" s="10">
        <f>IF(Q325&lt;=AT325,0,Q325*1000000/('Parametros'!$B$6*2*0.85*(H325-2*'Parametros'!$B$7)*(I325-2*'Parametros'!$B$7)*'Parametros'!$B$4))</f>
        <v>0</v>
      </c>
      <c r="AW325" s="10">
        <f>AV325*2*((H325-2*'Parametros'!$B$7)+(I325-2*'Parametros'!$B$7))*'Parametros'!$B$4/'Parametros'!$B$3</f>
        <v>0</v>
      </c>
      <c r="AX325" s="17" t="n">
        <v>0</v>
      </c>
      <c r="AY325" s="10" t="str">
        <f>IF(AV325=0,"DESPRECIABLE",IF('Parametros'!$B$11/AP325&gt;=AV325,"CUMPLE","NO CUMPLE"))</f>
        <v>DESPRECIABLE</v>
      </c>
      <c r="AZ325" s="10" t="str">
        <f>IF(AND(X325="CUMPLE",AE325="CUMPLE",AS325="CUMPLE",OR(AY325="CUMPLE",AY325="DESPRECIABLE")),IF(OR(F325&lt;&gt;H325,G325&lt;&gt;I325),"CUMPLE - REANALIZAR SAP","CUMPLE"),"NO CUMPLE")</f>
        <v>CUMPLE</v>
      </c>
    </row>
    <row r="326">
      <c r="A326" s="25" t="inlineStr">
        <is>
          <t>VR N1</t>
        </is>
      </c>
      <c r="B326" s="25" t="inlineStr">
        <is>
          <t>3</t>
        </is>
      </c>
      <c r="C326" s="10" t="n">
        <v>1</v>
      </c>
      <c r="D326" s="10" t="n">
        <v>2.6</v>
      </c>
      <c r="E326" s="10" t="n">
        <v>2.6</v>
      </c>
      <c r="F326" s="10" t="n">
        <v>350</v>
      </c>
      <c r="G326" s="10" t="n">
        <v>400</v>
      </c>
      <c r="H326" s="15" t="n">
        <v>350</v>
      </c>
      <c r="I326" s="15" t="n">
        <v>400</v>
      </c>
      <c r="J326" s="16" t="n">
        <v>110.2106</v>
      </c>
      <c r="K326" s="10" t="inlineStr">
        <is>
          <t>3</t>
        </is>
      </c>
      <c r="L326" s="16" t="n">
        <v>81.31019999999999</v>
      </c>
      <c r="M326" s="10" t="inlineStr">
        <is>
          <t>3</t>
        </is>
      </c>
      <c r="N326" s="16" t="n">
        <v>111.137</v>
      </c>
      <c r="O326" s="16" t="n">
        <v>388.922</v>
      </c>
      <c r="P326" s="10" t="inlineStr">
        <is>
          <t>3</t>
        </is>
      </c>
      <c r="Q326" s="16" t="n">
        <v>0.7298</v>
      </c>
      <c r="R326" s="10">
        <f>MAX(MAX(1.4/'Parametros'!$B$3,0.25*SQRT('Parametros'!$B$2)/'Parametros'!$B$3)*H326*U326,(0.85*'Parametros'!$B$2/'Parametros'!$B$3)*(1-SQRT(1-2*(J326*1000000/('Parametros'!$B$5*H326*U326^2))/(0.85*'Parametros'!$B$2)))*H326*U326)</f>
        <v>912.422078551053</v>
      </c>
      <c r="S326" s="17" t="n">
        <v>5</v>
      </c>
      <c r="T326" s="18" t="n">
        <v>1</v>
      </c>
      <c r="U326" s="10">
        <f>IF(T326=1,I326-('Parametros'!$B$7+'Parametros'!$B$9+'Parametros'!$B$12/2),I326-(ROUNDUP(S326/2,0)*('Parametros'!$B$7+'Parametros'!$B$9+'Parametros'!$B$12/2)+ROUNDDOWN(S326/2,0)*('Parametros'!$B$7+'Parametros'!$B$9+'Parametros'!$B$12/2+'Parametros'!$B$12+'Parametros'!$B$10))/S326)</f>
        <v>342.55</v>
      </c>
      <c r="V326" s="10">
        <f>S326*'Parametros'!$B$8</f>
        <v>995</v>
      </c>
      <c r="W326" s="10">
        <f>'Parametros'!$B$5*V326*'Parametros'!$B$3*(U326-(V326*'Parametros'!$B$3/(0.85*'Parametros'!$B$2*H326))/2)/1000000</f>
        <v>119.402124617647</v>
      </c>
      <c r="X326" s="10" t="str">
        <f>IF(W326&gt;=J326,"CUMPLE","NO CUMPLE")</f>
        <v>CUMPLE</v>
      </c>
      <c r="Y326" s="10">
        <f>MAX(MAX(1.4/'Parametros'!$B$3,0.25*SQRT('Parametros'!$B$2)/'Parametros'!$B$3)*H326*AB326,(0.85*'Parametros'!$B$2/'Parametros'!$B$3)*(1-SQRT(1-2*(L326*1000000/('Parametros'!$B$5*H326*AB326^2))/(0.85*'Parametros'!$B$2)))*H326*AB326)</f>
        <v>660.015720164738</v>
      </c>
      <c r="Z326" s="17" t="n">
        <v>4</v>
      </c>
      <c r="AA326" s="18" t="n">
        <v>1</v>
      </c>
      <c r="AB326" s="10">
        <f>IF(AA326=1,I326-('Parametros'!$B$7+'Parametros'!$B$9+'Parametros'!$B$12/2),I326-(ROUNDUP(Z326/2,0)*('Parametros'!$B$7+'Parametros'!$B$9+'Parametros'!$B$12/2)+ROUNDDOWN(Z326/2,0)*('Parametros'!$B$7+'Parametros'!$B$9+'Parametros'!$B$12/2+'Parametros'!$B$12+'Parametros'!$B$10))/Z326)</f>
        <v>342.55</v>
      </c>
      <c r="AC326" s="10">
        <f>Z326*'Parametros'!$B$8</f>
        <v>796</v>
      </c>
      <c r="AD326" s="10">
        <f>'Parametros'!$B$5*AC326*'Parametros'!$B$3*(AB326-(AC326*'Parametros'!$B$3/(0.85*'Parametros'!$B$2*H326))/2)/1000000</f>
        <v>97.0311966352941</v>
      </c>
      <c r="AE326" s="10" t="str">
        <f>IF(AD326&gt;=L326,"CUMPLE","NO CUMPLE")</f>
        <v>CUMPLE</v>
      </c>
      <c r="AF326" s="10">
        <f>V326*1.25*'Parametros'!$B$3*(U326-(V326*1.25*'Parametros'!$B$3/(0.85*'Parametros'!$B$2*H326))/2)/1000000</f>
        <v>162.560466176471</v>
      </c>
      <c r="AG326" s="10">
        <f>AC326*1.25*'Parametros'!$B$3*(AB326-(AC326*1.25*'Parametros'!$B$3/(0.85*'Parametros'!$B$2*H326))/2)/1000000</f>
        <v>132.669027352941</v>
      </c>
      <c r="AH326" s="10">
        <f>N326+(AF326+AG326)/D326</f>
        <v>224.68680520362</v>
      </c>
      <c r="AI326" s="10">
        <f>MIN(O326,MAX(N326,AH326))</f>
        <v>224.68680520362</v>
      </c>
      <c r="AJ326" s="10">
        <f>0.17*SQRT('Parametros'!$B$2)*H326*MIN(U326,AB326)/1000</f>
        <v>107.849951281016</v>
      </c>
      <c r="AK326" s="10">
        <f>MAX(AI326/'Parametros'!$B$6-AJ326,0)</f>
        <v>191.732455657144</v>
      </c>
      <c r="AL326" s="10">
        <f>0.66*SQRT('Parametros'!$B$2)*H326*MIN(U326,AB326)/1000</f>
        <v>418.711575561591</v>
      </c>
      <c r="AM326" s="10" t="str">
        <f>IF(AK326&lt;=AL326,"CUMPLE","NO CUMPLE")</f>
        <v>CUMPLE</v>
      </c>
      <c r="AN326" s="15" t="inlineStr">
        <is>
          <t>Nº3 cerrado</t>
        </is>
      </c>
      <c r="AO326" s="17" t="n">
        <v>2</v>
      </c>
      <c r="AP326" s="10">
        <f>ROUNDDOWN(MIN(IF(AK326=0,1000000000,AO326*'Parametros'!$B$11*'Parametros'!$B$4*MIN(U326,AB326)/(AK326*1000)),IF(AV326=0,1000000000,'Parametros'!$B$11/AV326),MIN(U326,AB326)/4,8*'Parametros'!$B$12,24*'Parametros'!$B$9,300)/10,0)*10</f>
        <v>80</v>
      </c>
      <c r="AQ326" s="10">
        <f>ROUNDDOWN(MIN(IF(AK326=0,1000000000,AO326*'Parametros'!$B$11*'Parametros'!$B$4*MIN(U326,AB326)/(AK326*1000)),IF(AV326=0,1000000000,'Parametros'!$B$11/AV326),MIN(U326,AB326)/2,600)/10,0)*10</f>
        <v>100</v>
      </c>
      <c r="AR326" s="10">
        <f>'Parametros'!$B$6*(AJ326+AO326*'Parametros'!$B$11*'Parametros'!$B$4*MIN(U326,AB326)/AP326/1000)</f>
        <v>272.415732210762</v>
      </c>
      <c r="AS326" s="10" t="str">
        <f>IF(AND(AM326="CUMPLE",AR326&gt;=AI326),"CUMPLE","NO CUMPLE")</f>
        <v>CUMPLE</v>
      </c>
      <c r="AT326" s="10">
        <f>'Parametros'!$B$6*0.083*SQRT('Parametros'!$B$2)*(H326*I326)^2/(2*(H326+I326))/1000000</f>
        <v>4.30410823283988</v>
      </c>
      <c r="AU326" s="10" t="str">
        <f>IF(Q326&lt;=AT326,"DESPRECIABLE","DISEÑAR")</f>
        <v>DESPRECIABLE</v>
      </c>
      <c r="AV326" s="10">
        <f>IF(Q326&lt;=AT326,0,Q326*1000000/('Parametros'!$B$6*2*0.85*(H326-2*'Parametros'!$B$7)*(I326-2*'Parametros'!$B$7)*'Parametros'!$B$4))</f>
        <v>0</v>
      </c>
      <c r="AW326" s="10">
        <f>AV326*2*((H326-2*'Parametros'!$B$7)+(I326-2*'Parametros'!$B$7))*'Parametros'!$B$4/'Parametros'!$B$3</f>
        <v>0</v>
      </c>
      <c r="AX326" s="17" t="n">
        <v>0</v>
      </c>
      <c r="AY326" s="10" t="str">
        <f>IF(AV326=0,"DESPRECIABLE",IF('Parametros'!$B$11/AP326&gt;=AV326,"CUMPLE","NO CUMPLE"))</f>
        <v>DESPRECIABLE</v>
      </c>
      <c r="AZ326" s="10" t="str">
        <f>IF(AND(X326="CUMPLE",AE326="CUMPLE",AS326="CUMPLE",OR(AY326="CUMPLE",AY326="DESPRECIABLE")),IF(OR(F326&lt;&gt;H326,G326&lt;&gt;I326),"CUMPLE - REANALIZAR SAP","CUMPLE"),"NO CUMPLE")</f>
        <v>CUMPLE</v>
      </c>
    </row>
    <row r="327">
      <c r="A327" s="25" t="inlineStr">
        <is>
          <t>VR N1</t>
        </is>
      </c>
      <c r="B327" s="25" t="inlineStr">
        <is>
          <t>4</t>
        </is>
      </c>
      <c r="C327" s="10" t="n">
        <v>1</v>
      </c>
      <c r="D327" s="10" t="n">
        <v>2.5</v>
      </c>
      <c r="E327" s="10" t="n">
        <v>2.5</v>
      </c>
      <c r="F327" s="10" t="n">
        <v>350</v>
      </c>
      <c r="G327" s="10" t="n">
        <v>400</v>
      </c>
      <c r="H327" s="15" t="n">
        <v>350</v>
      </c>
      <c r="I327" s="15" t="n">
        <v>400</v>
      </c>
      <c r="J327" s="16" t="n">
        <v>117.1038</v>
      </c>
      <c r="K327" s="10" t="inlineStr">
        <is>
          <t>4</t>
        </is>
      </c>
      <c r="L327" s="16" t="n">
        <v>92.0926</v>
      </c>
      <c r="M327" s="10" t="inlineStr">
        <is>
          <t>4</t>
        </is>
      </c>
      <c r="N327" s="16" t="n">
        <v>119.619</v>
      </c>
      <c r="O327" s="16" t="n">
        <v>433.046</v>
      </c>
      <c r="P327" s="10" t="inlineStr">
        <is>
          <t>4</t>
        </is>
      </c>
      <c r="Q327" s="16" t="n">
        <v>0.6573</v>
      </c>
      <c r="R327" s="10">
        <f>MAX(MAX(1.4/'Parametros'!$B$3,0.25*SQRT('Parametros'!$B$2)/'Parametros'!$B$3)*H327*U327,(0.85*'Parametros'!$B$2/'Parametros'!$B$3)*(1-SQRT(1-2*(J327*1000000/('Parametros'!$B$5*H327*U327^2))/(0.85*'Parametros'!$B$2)))*H327*U327)</f>
        <v>974.241670081413</v>
      </c>
      <c r="S327" s="17" t="n">
        <v>5</v>
      </c>
      <c r="T327" s="18" t="n">
        <v>1</v>
      </c>
      <c r="U327" s="10">
        <f>IF(T327=1,I327-('Parametros'!$B$7+'Parametros'!$B$9+'Parametros'!$B$12/2),I327-(ROUNDUP(S327/2,0)*('Parametros'!$B$7+'Parametros'!$B$9+'Parametros'!$B$12/2)+ROUNDDOWN(S327/2,0)*('Parametros'!$B$7+'Parametros'!$B$9+'Parametros'!$B$12/2+'Parametros'!$B$12+'Parametros'!$B$10))/S327)</f>
        <v>342.55</v>
      </c>
      <c r="V327" s="10">
        <f>S327*'Parametros'!$B$8</f>
        <v>995</v>
      </c>
      <c r="W327" s="10">
        <f>'Parametros'!$B$5*V327*'Parametros'!$B$3*(U327-(V327*'Parametros'!$B$3/(0.85*'Parametros'!$B$2*H327))/2)/1000000</f>
        <v>119.402124617647</v>
      </c>
      <c r="X327" s="10" t="str">
        <f>IF(W327&gt;=J327,"CUMPLE","NO CUMPLE")</f>
        <v>CUMPLE</v>
      </c>
      <c r="Y327" s="10">
        <f>MAX(MAX(1.4/'Parametros'!$B$3,0.25*SQRT('Parametros'!$B$2)/'Parametros'!$B$3)*H327*AB327,(0.85*'Parametros'!$B$2/'Parametros'!$B$3)*(1-SQRT(1-2*(L327*1000000/('Parametros'!$B$5*H327*AB327^2))/(0.85*'Parametros'!$B$2)))*H327*AB327)</f>
        <v>752.952103552226</v>
      </c>
      <c r="Z327" s="17" t="n">
        <v>4</v>
      </c>
      <c r="AA327" s="18" t="n">
        <v>1</v>
      </c>
      <c r="AB327" s="10">
        <f>IF(AA327=1,I327-('Parametros'!$B$7+'Parametros'!$B$9+'Parametros'!$B$12/2),I327-(ROUNDUP(Z327/2,0)*('Parametros'!$B$7+'Parametros'!$B$9+'Parametros'!$B$12/2)+ROUNDDOWN(Z327/2,0)*('Parametros'!$B$7+'Parametros'!$B$9+'Parametros'!$B$12/2+'Parametros'!$B$12+'Parametros'!$B$10))/Z327)</f>
        <v>342.55</v>
      </c>
      <c r="AC327" s="10">
        <f>Z327*'Parametros'!$B$8</f>
        <v>796</v>
      </c>
      <c r="AD327" s="10">
        <f>'Parametros'!$B$5*AC327*'Parametros'!$B$3*(AB327-(AC327*'Parametros'!$B$3/(0.85*'Parametros'!$B$2*H327))/2)/1000000</f>
        <v>97.0311966352941</v>
      </c>
      <c r="AE327" s="10" t="str">
        <f>IF(AD327&gt;=L327,"CUMPLE","NO CUMPLE")</f>
        <v>CUMPLE</v>
      </c>
      <c r="AF327" s="10">
        <f>V327*1.25*'Parametros'!$B$3*(U327-(V327*1.25*'Parametros'!$B$3/(0.85*'Parametros'!$B$2*H327))/2)/1000000</f>
        <v>162.560466176471</v>
      </c>
      <c r="AG327" s="10">
        <f>AC327*1.25*'Parametros'!$B$3*(AB327-(AC327*1.25*'Parametros'!$B$3/(0.85*'Parametros'!$B$2*H327))/2)/1000000</f>
        <v>132.669027352941</v>
      </c>
      <c r="AH327" s="10">
        <f>N327+(AF327+AG327)/D327</f>
        <v>237.710797411765</v>
      </c>
      <c r="AI327" s="10">
        <f>MIN(O327,MAX(N327,AH327))</f>
        <v>237.710797411765</v>
      </c>
      <c r="AJ327" s="10">
        <f>0.17*SQRT('Parametros'!$B$2)*H327*MIN(U327,AB327)/1000</f>
        <v>107.849951281016</v>
      </c>
      <c r="AK327" s="10">
        <f>MAX(AI327/'Parametros'!$B$6-AJ327,0)</f>
        <v>209.097778601337</v>
      </c>
      <c r="AL327" s="10">
        <f>0.66*SQRT('Parametros'!$B$2)*H327*MIN(U327,AB327)/1000</f>
        <v>418.711575561591</v>
      </c>
      <c r="AM327" s="10" t="str">
        <f>IF(AK327&lt;=AL327,"CUMPLE","NO CUMPLE")</f>
        <v>CUMPLE</v>
      </c>
      <c r="AN327" s="15" t="inlineStr">
        <is>
          <t>Nº3 cerrado</t>
        </is>
      </c>
      <c r="AO327" s="17" t="n">
        <v>2</v>
      </c>
      <c r="AP327" s="10">
        <f>ROUNDDOWN(MIN(IF(AK327=0,1000000000,AO327*'Parametros'!$B$11*'Parametros'!$B$4*MIN(U327,AB327)/(AK327*1000)),IF(AV327=0,1000000000,'Parametros'!$B$11/AV327),MIN(U327,AB327)/4,8*'Parametros'!$B$12,24*'Parametros'!$B$9,300)/10,0)*10</f>
        <v>80</v>
      </c>
      <c r="AQ327" s="10">
        <f>ROUNDDOWN(MIN(IF(AK327=0,1000000000,AO327*'Parametros'!$B$11*'Parametros'!$B$4*MIN(U327,AB327)/(AK327*1000)),IF(AV327=0,1000000000,'Parametros'!$B$11/AV327),MIN(U327,AB327)/2,600)/10,0)*10</f>
        <v>90</v>
      </c>
      <c r="AR327" s="10">
        <f>'Parametros'!$B$6*(AJ327+AO327*'Parametros'!$B$11*'Parametros'!$B$4*MIN(U327,AB327)/AP327/1000)</f>
        <v>272.415732210762</v>
      </c>
      <c r="AS327" s="10" t="str">
        <f>IF(AND(AM327="CUMPLE",AR327&gt;=AI327),"CUMPLE","NO CUMPLE")</f>
        <v>CUMPLE</v>
      </c>
      <c r="AT327" s="10">
        <f>'Parametros'!$B$6*0.083*SQRT('Parametros'!$B$2)*(H327*I327)^2/(2*(H327+I327))/1000000</f>
        <v>4.30410823283988</v>
      </c>
      <c r="AU327" s="10" t="str">
        <f>IF(Q327&lt;=AT327,"DESPRECIABLE","DISEÑAR")</f>
        <v>DESPRECIABLE</v>
      </c>
      <c r="AV327" s="10">
        <f>IF(Q327&lt;=AT327,0,Q327*1000000/('Parametros'!$B$6*2*0.85*(H327-2*'Parametros'!$B$7)*(I327-2*'Parametros'!$B$7)*'Parametros'!$B$4))</f>
        <v>0</v>
      </c>
      <c r="AW327" s="10">
        <f>AV327*2*((H327-2*'Parametros'!$B$7)+(I327-2*'Parametros'!$B$7))*'Parametros'!$B$4/'Parametros'!$B$3</f>
        <v>0</v>
      </c>
      <c r="AX327" s="17" t="n">
        <v>0</v>
      </c>
      <c r="AY327" s="10" t="str">
        <f>IF(AV327=0,"DESPRECIABLE",IF('Parametros'!$B$11/AP327&gt;=AV327,"CUMPLE","NO CUMPLE"))</f>
        <v>DESPRECIABLE</v>
      </c>
      <c r="AZ327" s="10" t="str">
        <f>IF(AND(X327="CUMPLE",AE327="CUMPLE",AS327="CUMPLE",OR(AY327="CUMPLE",AY327="DESPRECIABLE")),IF(OR(F327&lt;&gt;H327,G327&lt;&gt;I327),"CUMPLE - REANALIZAR SAP","CUMPLE"),"NO CUMPLE")</f>
        <v>CUMPLE</v>
      </c>
    </row>
    <row r="328">
      <c r="A328" s="25" t="inlineStr">
        <is>
          <t>VR N1</t>
        </is>
      </c>
      <c r="B328" s="25" t="inlineStr">
        <is>
          <t>5</t>
        </is>
      </c>
      <c r="C328" s="10" t="n">
        <v>1</v>
      </c>
      <c r="D328" s="10" t="n">
        <v>4</v>
      </c>
      <c r="E328" s="10" t="n">
        <v>4</v>
      </c>
      <c r="F328" s="10" t="n">
        <v>350</v>
      </c>
      <c r="G328" s="10" t="n">
        <v>400</v>
      </c>
      <c r="H328" s="15" t="n">
        <v>350</v>
      </c>
      <c r="I328" s="15" t="n">
        <v>400</v>
      </c>
      <c r="J328" s="16" t="n">
        <v>102.4116</v>
      </c>
      <c r="K328" s="10" t="inlineStr">
        <is>
          <t>5</t>
        </is>
      </c>
      <c r="L328" s="16" t="n">
        <v>40.3431</v>
      </c>
      <c r="M328" s="10" t="inlineStr">
        <is>
          <t>5</t>
        </is>
      </c>
      <c r="N328" s="16" t="n">
        <v>95.414</v>
      </c>
      <c r="O328" s="16" t="n">
        <v>200.047</v>
      </c>
      <c r="P328" s="10" t="inlineStr">
        <is>
          <t>5</t>
        </is>
      </c>
      <c r="Q328" s="16" t="n">
        <v>4.6383</v>
      </c>
      <c r="R328" s="10">
        <f>MAX(MAX(1.4/'Parametros'!$B$3,0.25*SQRT('Parametros'!$B$2)/'Parametros'!$B$3)*H328*U328,(0.85*'Parametros'!$B$2/'Parametros'!$B$3)*(1-SQRT(1-2*(J328*1000000/('Parametros'!$B$5*H328*U328^2))/(0.85*'Parametros'!$B$2)))*H328*U328)</f>
        <v>843.25339917358</v>
      </c>
      <c r="S328" s="17" t="n">
        <v>5</v>
      </c>
      <c r="T328" s="18" t="n">
        <v>1</v>
      </c>
      <c r="U328" s="10">
        <f>IF(T328=1,I328-('Parametros'!$B$7+'Parametros'!$B$9+'Parametros'!$B$12/2),I328-(ROUNDUP(S328/2,0)*('Parametros'!$B$7+'Parametros'!$B$9+'Parametros'!$B$12/2)+ROUNDDOWN(S328/2,0)*('Parametros'!$B$7+'Parametros'!$B$9+'Parametros'!$B$12/2+'Parametros'!$B$12+'Parametros'!$B$10))/S328)</f>
        <v>342.55</v>
      </c>
      <c r="V328" s="10">
        <f>S328*'Parametros'!$B$8</f>
        <v>995</v>
      </c>
      <c r="W328" s="10">
        <f>'Parametros'!$B$5*V328*'Parametros'!$B$3*(U328-(V328*'Parametros'!$B$3/(0.85*'Parametros'!$B$2*H328))/2)/1000000</f>
        <v>119.402124617647</v>
      </c>
      <c r="X328" s="10" t="str">
        <f>IF(W328&gt;=J328,"CUMPLE","NO CUMPLE")</f>
        <v>CUMPLE</v>
      </c>
      <c r="Y328" s="10">
        <f>MAX(MAX(1.4/'Parametros'!$B$3,0.25*SQRT('Parametros'!$B$2)/'Parametros'!$B$3)*H328*AB328,(0.85*'Parametros'!$B$2/'Parametros'!$B$3)*(1-SQRT(1-2*(L328*1000000/('Parametros'!$B$5*H328*AB328^2))/(0.85*'Parametros'!$B$2)))*H328*AB328)</f>
        <v>399.641666666667</v>
      </c>
      <c r="Z328" s="17" t="n">
        <v>3</v>
      </c>
      <c r="AA328" s="18" t="n">
        <v>1</v>
      </c>
      <c r="AB328" s="10">
        <f>IF(AA328=1,I328-('Parametros'!$B$7+'Parametros'!$B$9+'Parametros'!$B$12/2),I328-(ROUNDUP(Z328/2,0)*('Parametros'!$B$7+'Parametros'!$B$9+'Parametros'!$B$12/2)+ROUNDDOWN(Z328/2,0)*('Parametros'!$B$7+'Parametros'!$B$9+'Parametros'!$B$12/2+'Parametros'!$B$12+'Parametros'!$B$10))/Z328)</f>
        <v>342.55</v>
      </c>
      <c r="AC328" s="10">
        <f>Z328*'Parametros'!$B$8</f>
        <v>597</v>
      </c>
      <c r="AD328" s="10">
        <f>'Parametros'!$B$5*AC328*'Parametros'!$B$3*(AB328-(AC328*'Parametros'!$B$3/(0.85*'Parametros'!$B$2*H328))/2)/1000000</f>
        <v>73.905520182353</v>
      </c>
      <c r="AE328" s="10" t="str">
        <f>IF(AD328&gt;=L328,"CUMPLE","NO CUMPLE")</f>
        <v>CUMPLE</v>
      </c>
      <c r="AF328" s="10">
        <f>V328*1.25*'Parametros'!$B$3*(U328-(V328*1.25*'Parametros'!$B$3/(0.85*'Parametros'!$B$2*H328))/2)/1000000</f>
        <v>162.560466176471</v>
      </c>
      <c r="AG328" s="10">
        <f>AC328*1.25*'Parametros'!$B$3*(AB328-(AC328*1.25*'Parametros'!$B$3/(0.85*'Parametros'!$B$2*H328))/2)/1000000</f>
        <v>101.467261323529</v>
      </c>
      <c r="AH328" s="10">
        <f>N328+(AF328+AG328)/D328</f>
        <v>161.420931875</v>
      </c>
      <c r="AI328" s="10">
        <f>MIN(O328,MAX(N328,AH328))</f>
        <v>161.420931875</v>
      </c>
      <c r="AJ328" s="10">
        <f>0.17*SQRT('Parametros'!$B$2)*H328*MIN(U328,AB328)/1000</f>
        <v>107.849951281016</v>
      </c>
      <c r="AK328" s="10">
        <f>MAX(AI328/'Parametros'!$B$6-AJ328,0)</f>
        <v>107.377957885651</v>
      </c>
      <c r="AL328" s="10">
        <f>0.66*SQRT('Parametros'!$B$2)*H328*MIN(U328,AB328)/1000</f>
        <v>418.711575561591</v>
      </c>
      <c r="AM328" s="10" t="str">
        <f>IF(AK328&lt;=AL328,"CUMPLE","NO CUMPLE")</f>
        <v>CUMPLE</v>
      </c>
      <c r="AN328" s="15" t="inlineStr">
        <is>
          <t>Nº3 cerrado</t>
        </is>
      </c>
      <c r="AO328" s="17" t="n">
        <v>2</v>
      </c>
      <c r="AP328" s="10">
        <f>ROUNDDOWN(MIN(IF(AK328=0,1000000000,AO328*'Parametros'!$B$11*'Parametros'!$B$4*MIN(U328,AB328)/(AK328*1000)),IF(AV328=0,1000000000,'Parametros'!$B$11/AV328),MIN(U328,AB328)/4,8*'Parametros'!$B$12,24*'Parametros'!$B$9,300)/10,0)*10</f>
        <v>80</v>
      </c>
      <c r="AQ328" s="10">
        <f>ROUNDDOWN(MIN(IF(AK328=0,1000000000,AO328*'Parametros'!$B$11*'Parametros'!$B$4*MIN(U328,AB328)/(AK328*1000)),IF(AV328=0,1000000000,'Parametros'!$B$11/AV328),MIN(U328,AB328)/2,600)/10,0)*10</f>
        <v>170</v>
      </c>
      <c r="AR328" s="10">
        <f>'Parametros'!$B$6*(AJ328+AO328*'Parametros'!$B$11*'Parametros'!$B$4*MIN(U328,AB328)/AP328/1000)</f>
        <v>272.415732210762</v>
      </c>
      <c r="AS328" s="10" t="str">
        <f>IF(AND(AM328="CUMPLE",AR328&gt;=AI328),"CUMPLE","NO CUMPLE")</f>
        <v>CUMPLE</v>
      </c>
      <c r="AT328" s="10">
        <f>'Parametros'!$B$6*0.083*SQRT('Parametros'!$B$2)*(H328*I328)^2/(2*(H328+I328))/1000000</f>
        <v>4.30410823283988</v>
      </c>
      <c r="AU328" s="10" t="str">
        <f>IF(Q328&lt;=AT328,"DESPRECIABLE","DISEÑAR")</f>
        <v>DISEÑAR</v>
      </c>
      <c r="AV328" s="10">
        <f>IF(Q328&lt;=AT328,0,Q328*1000000/('Parametros'!$B$6*2*0.85*(H328-2*'Parametros'!$B$7)*(I328-2*'Parametros'!$B$7)*'Parametros'!$B$4))</f>
        <v>0.100250285299305</v>
      </c>
      <c r="AW328" s="10">
        <f>AV328*2*((H328-2*'Parametros'!$B$7)+(I328-2*'Parametros'!$B$7))*'Parametros'!$B$4/'Parametros'!$B$3</f>
        <v>118.29533665318</v>
      </c>
      <c r="AX328" s="17" t="n">
        <v>1</v>
      </c>
      <c r="AY328" s="10" t="str">
        <f>IF(AV328=0,"DESPRECIABLE",IF('Parametros'!$B$11/AP328&gt;=AV328,"CUMPLE","NO CUMPLE"))</f>
        <v>CUMPLE</v>
      </c>
      <c r="AZ328" s="10" t="str">
        <f>IF(AND(X328="CUMPLE",AE328="CUMPLE",AS328="CUMPLE",OR(AY328="CUMPLE",AY328="DESPRECIABLE")),IF(OR(F328&lt;&gt;H328,G328&lt;&gt;I328),"CUMPLE - REANALIZAR SAP","CUMPLE"),"NO CUMPLE")</f>
        <v>CUMPLE</v>
      </c>
    </row>
    <row r="329">
      <c r="A329" s="25" t="inlineStr">
        <is>
          <t>VR N1</t>
        </is>
      </c>
      <c r="B329" s="25" t="inlineStr">
        <is>
          <t>6</t>
        </is>
      </c>
      <c r="C329" s="10" t="n">
        <v>1</v>
      </c>
      <c r="D329" s="10" t="n">
        <v>4</v>
      </c>
      <c r="E329" s="10" t="n">
        <v>4</v>
      </c>
      <c r="F329" s="10" t="n">
        <v>350</v>
      </c>
      <c r="G329" s="10" t="n">
        <v>400</v>
      </c>
      <c r="H329" s="15" t="n">
        <v>350</v>
      </c>
      <c r="I329" s="15" t="n">
        <v>400</v>
      </c>
      <c r="J329" s="16" t="n">
        <v>102.3889</v>
      </c>
      <c r="K329" s="10" t="inlineStr">
        <is>
          <t>6</t>
        </is>
      </c>
      <c r="L329" s="16" t="n">
        <v>40.3384</v>
      </c>
      <c r="M329" s="10" t="inlineStr">
        <is>
          <t>6</t>
        </is>
      </c>
      <c r="N329" s="16" t="n">
        <v>95.405</v>
      </c>
      <c r="O329" s="16" t="n">
        <v>200.026</v>
      </c>
      <c r="P329" s="10" t="inlineStr">
        <is>
          <t>6</t>
        </is>
      </c>
      <c r="Q329" s="16" t="n">
        <v>4.6475</v>
      </c>
      <c r="R329" s="10">
        <f>MAX(MAX(1.4/'Parametros'!$B$3,0.25*SQRT('Parametros'!$B$2)/'Parametros'!$B$3)*H329*U329,(0.85*'Parametros'!$B$2/'Parametros'!$B$3)*(1-SQRT(1-2*(J329*1000000/('Parametros'!$B$5*H329*U329^2))/(0.85*'Parametros'!$B$2)))*H329*U329)</f>
        <v>843.053248204369</v>
      </c>
      <c r="S329" s="17" t="n">
        <v>5</v>
      </c>
      <c r="T329" s="18" t="n">
        <v>1</v>
      </c>
      <c r="U329" s="10">
        <f>IF(T329=1,I329-('Parametros'!$B$7+'Parametros'!$B$9+'Parametros'!$B$12/2),I329-(ROUNDUP(S329/2,0)*('Parametros'!$B$7+'Parametros'!$B$9+'Parametros'!$B$12/2)+ROUNDDOWN(S329/2,0)*('Parametros'!$B$7+'Parametros'!$B$9+'Parametros'!$B$12/2+'Parametros'!$B$12+'Parametros'!$B$10))/S329)</f>
        <v>342.55</v>
      </c>
      <c r="V329" s="10">
        <f>S329*'Parametros'!$B$8</f>
        <v>995</v>
      </c>
      <c r="W329" s="10">
        <f>'Parametros'!$B$5*V329*'Parametros'!$B$3*(U329-(V329*'Parametros'!$B$3/(0.85*'Parametros'!$B$2*H329))/2)/1000000</f>
        <v>119.402124617647</v>
      </c>
      <c r="X329" s="10" t="str">
        <f>IF(W329&gt;=J329,"CUMPLE","NO CUMPLE")</f>
        <v>CUMPLE</v>
      </c>
      <c r="Y329" s="10">
        <f>MAX(MAX(1.4/'Parametros'!$B$3,0.25*SQRT('Parametros'!$B$2)/'Parametros'!$B$3)*H329*AB329,(0.85*'Parametros'!$B$2/'Parametros'!$B$3)*(1-SQRT(1-2*(L329*1000000/('Parametros'!$B$5*H329*AB329^2))/(0.85*'Parametros'!$B$2)))*H329*AB329)</f>
        <v>399.641666666667</v>
      </c>
      <c r="Z329" s="17" t="n">
        <v>3</v>
      </c>
      <c r="AA329" s="18" t="n">
        <v>1</v>
      </c>
      <c r="AB329" s="10">
        <f>IF(AA329=1,I329-('Parametros'!$B$7+'Parametros'!$B$9+'Parametros'!$B$12/2),I329-(ROUNDUP(Z329/2,0)*('Parametros'!$B$7+'Parametros'!$B$9+'Parametros'!$B$12/2)+ROUNDDOWN(Z329/2,0)*('Parametros'!$B$7+'Parametros'!$B$9+'Parametros'!$B$12/2+'Parametros'!$B$12+'Parametros'!$B$10))/Z329)</f>
        <v>342.55</v>
      </c>
      <c r="AC329" s="10">
        <f>Z329*'Parametros'!$B$8</f>
        <v>597</v>
      </c>
      <c r="AD329" s="10">
        <f>'Parametros'!$B$5*AC329*'Parametros'!$B$3*(AB329-(AC329*'Parametros'!$B$3/(0.85*'Parametros'!$B$2*H329))/2)/1000000</f>
        <v>73.905520182353</v>
      </c>
      <c r="AE329" s="10" t="str">
        <f>IF(AD329&gt;=L329,"CUMPLE","NO CUMPLE")</f>
        <v>CUMPLE</v>
      </c>
      <c r="AF329" s="10">
        <f>V329*1.25*'Parametros'!$B$3*(U329-(V329*1.25*'Parametros'!$B$3/(0.85*'Parametros'!$B$2*H329))/2)/1000000</f>
        <v>162.560466176471</v>
      </c>
      <c r="AG329" s="10">
        <f>AC329*1.25*'Parametros'!$B$3*(AB329-(AC329*1.25*'Parametros'!$B$3/(0.85*'Parametros'!$B$2*H329))/2)/1000000</f>
        <v>101.467261323529</v>
      </c>
      <c r="AH329" s="10">
        <f>N329+(AF329+AG329)/D329</f>
        <v>161.411931875</v>
      </c>
      <c r="AI329" s="10">
        <f>MIN(O329,MAX(N329,AH329))</f>
        <v>161.411931875</v>
      </c>
      <c r="AJ329" s="10">
        <f>0.17*SQRT('Parametros'!$B$2)*H329*MIN(U329,AB329)/1000</f>
        <v>107.849951281016</v>
      </c>
      <c r="AK329" s="10">
        <f>MAX(AI329/'Parametros'!$B$6-AJ329,0)</f>
        <v>107.365957885651</v>
      </c>
      <c r="AL329" s="10">
        <f>0.66*SQRT('Parametros'!$B$2)*H329*MIN(U329,AB329)/1000</f>
        <v>418.711575561591</v>
      </c>
      <c r="AM329" s="10" t="str">
        <f>IF(AK329&lt;=AL329,"CUMPLE","NO CUMPLE")</f>
        <v>CUMPLE</v>
      </c>
      <c r="AN329" s="15" t="inlineStr">
        <is>
          <t>Nº3 cerrado</t>
        </is>
      </c>
      <c r="AO329" s="17" t="n">
        <v>2</v>
      </c>
      <c r="AP329" s="10">
        <f>ROUNDDOWN(MIN(IF(AK329=0,1000000000,AO329*'Parametros'!$B$11*'Parametros'!$B$4*MIN(U329,AB329)/(AK329*1000)),IF(AV329=0,1000000000,'Parametros'!$B$11/AV329),MIN(U329,AB329)/4,8*'Parametros'!$B$12,24*'Parametros'!$B$9,300)/10,0)*10</f>
        <v>80</v>
      </c>
      <c r="AQ329" s="10">
        <f>ROUNDDOWN(MIN(IF(AK329=0,1000000000,AO329*'Parametros'!$B$11*'Parametros'!$B$4*MIN(U329,AB329)/(AK329*1000)),IF(AV329=0,1000000000,'Parametros'!$B$11/AV329),MIN(U329,AB329)/2,600)/10,0)*10</f>
        <v>170</v>
      </c>
      <c r="AR329" s="10">
        <f>'Parametros'!$B$6*(AJ329+AO329*'Parametros'!$B$11*'Parametros'!$B$4*MIN(U329,AB329)/AP329/1000)</f>
        <v>272.415732210762</v>
      </c>
      <c r="AS329" s="10" t="str">
        <f>IF(AND(AM329="CUMPLE",AR329&gt;=AI329),"CUMPLE","NO CUMPLE")</f>
        <v>CUMPLE</v>
      </c>
      <c r="AT329" s="10">
        <f>'Parametros'!$B$6*0.083*SQRT('Parametros'!$B$2)*(H329*I329)^2/(2*(H329+I329))/1000000</f>
        <v>4.30410823283988</v>
      </c>
      <c r="AU329" s="10" t="str">
        <f>IF(Q329&lt;=AT329,"DESPRECIABLE","DISEÑAR")</f>
        <v>DISEÑAR</v>
      </c>
      <c r="AV329" s="10">
        <f>IF(Q329&lt;=AT329,0,Q329*1000000/('Parametros'!$B$6*2*0.85*(H329-2*'Parametros'!$B$7)*(I329-2*'Parametros'!$B$7)*'Parametros'!$B$4))</f>
        <v>0.100449130269392</v>
      </c>
      <c r="AW329" s="10">
        <f>AV329*2*((H329-2*'Parametros'!$B$7)+(I329-2*'Parametros'!$B$7))*'Parametros'!$B$4/'Parametros'!$B$3</f>
        <v>118.529973717882</v>
      </c>
      <c r="AX329" s="17" t="n">
        <v>1</v>
      </c>
      <c r="AY329" s="10" t="str">
        <f>IF(AV329=0,"DESPRECIABLE",IF('Parametros'!$B$11/AP329&gt;=AV329,"CUMPLE","NO CUMPLE"))</f>
        <v>CUMPLE</v>
      </c>
      <c r="AZ329" s="10" t="str">
        <f>IF(AND(X329="CUMPLE",AE329="CUMPLE",AS329="CUMPLE",OR(AY329="CUMPLE",AY329="DESPRECIABLE")),IF(OR(F329&lt;&gt;H329,G329&lt;&gt;I329),"CUMPLE - REANALIZAR SAP","CUMPLE"),"NO CUMPLE")</f>
        <v>CUMPLE</v>
      </c>
    </row>
    <row r="330">
      <c r="A330" s="25" t="inlineStr">
        <is>
          <t>VR N1</t>
        </is>
      </c>
      <c r="B330" s="25" t="inlineStr">
        <is>
          <t>7</t>
        </is>
      </c>
      <c r="C330" s="10" t="n">
        <v>1</v>
      </c>
      <c r="D330" s="10" t="n">
        <v>2.5</v>
      </c>
      <c r="E330" s="10" t="n">
        <v>2.5</v>
      </c>
      <c r="F330" s="10" t="n">
        <v>350</v>
      </c>
      <c r="G330" s="10" t="n">
        <v>400</v>
      </c>
      <c r="H330" s="15" t="n">
        <v>350</v>
      </c>
      <c r="I330" s="15" t="n">
        <v>400</v>
      </c>
      <c r="J330" s="16" t="n">
        <v>117.0611</v>
      </c>
      <c r="K330" s="10" t="inlineStr">
        <is>
          <t>7</t>
        </is>
      </c>
      <c r="L330" s="16" t="n">
        <v>92.12130000000001</v>
      </c>
      <c r="M330" s="10" t="inlineStr">
        <is>
          <t>7</t>
        </is>
      </c>
      <c r="N330" s="16" t="n">
        <v>119.655</v>
      </c>
      <c r="O330" s="16" t="n">
        <v>433.088</v>
      </c>
      <c r="P330" s="10" t="inlineStr">
        <is>
          <t>7</t>
        </is>
      </c>
      <c r="Q330" s="16" t="n">
        <v>0.657</v>
      </c>
      <c r="R330" s="10">
        <f>MAX(MAX(1.4/'Parametros'!$B$3,0.25*SQRT('Parametros'!$B$2)/'Parametros'!$B$3)*H330*U330,(0.85*'Parametros'!$B$2/'Parametros'!$B$3)*(1-SQRT(1-2*(J330*1000000/('Parametros'!$B$5*H330*U330^2))/(0.85*'Parametros'!$B$2)))*H330*U330)</f>
        <v>973.856706795707</v>
      </c>
      <c r="S330" s="17" t="n">
        <v>5</v>
      </c>
      <c r="T330" s="18" t="n">
        <v>1</v>
      </c>
      <c r="U330" s="10">
        <f>IF(T330=1,I330-('Parametros'!$B$7+'Parametros'!$B$9+'Parametros'!$B$12/2),I330-(ROUNDUP(S330/2,0)*('Parametros'!$B$7+'Parametros'!$B$9+'Parametros'!$B$12/2)+ROUNDDOWN(S330/2,0)*('Parametros'!$B$7+'Parametros'!$B$9+'Parametros'!$B$12/2+'Parametros'!$B$12+'Parametros'!$B$10))/S330)</f>
        <v>342.55</v>
      </c>
      <c r="V330" s="10">
        <f>S330*'Parametros'!$B$8</f>
        <v>995</v>
      </c>
      <c r="W330" s="10">
        <f>'Parametros'!$B$5*V330*'Parametros'!$B$3*(U330-(V330*'Parametros'!$B$3/(0.85*'Parametros'!$B$2*H330))/2)/1000000</f>
        <v>119.402124617647</v>
      </c>
      <c r="X330" s="10" t="str">
        <f>IF(W330&gt;=J330,"CUMPLE","NO CUMPLE")</f>
        <v>CUMPLE</v>
      </c>
      <c r="Y330" s="10">
        <f>MAX(MAX(1.4/'Parametros'!$B$3,0.25*SQRT('Parametros'!$B$2)/'Parametros'!$B$3)*H330*AB330,(0.85*'Parametros'!$B$2/'Parametros'!$B$3)*(1-SQRT(1-2*(L330*1000000/('Parametros'!$B$5*H330*AB330^2))/(0.85*'Parametros'!$B$2)))*H330*AB330)</f>
        <v>753.20138449563</v>
      </c>
      <c r="Z330" s="17" t="n">
        <v>4</v>
      </c>
      <c r="AA330" s="18" t="n">
        <v>1</v>
      </c>
      <c r="AB330" s="10">
        <f>IF(AA330=1,I330-('Parametros'!$B$7+'Parametros'!$B$9+'Parametros'!$B$12/2),I330-(ROUNDUP(Z330/2,0)*('Parametros'!$B$7+'Parametros'!$B$9+'Parametros'!$B$12/2)+ROUNDDOWN(Z330/2,0)*('Parametros'!$B$7+'Parametros'!$B$9+'Parametros'!$B$12/2+'Parametros'!$B$12+'Parametros'!$B$10))/Z330)</f>
        <v>342.55</v>
      </c>
      <c r="AC330" s="10">
        <f>Z330*'Parametros'!$B$8</f>
        <v>796</v>
      </c>
      <c r="AD330" s="10">
        <f>'Parametros'!$B$5*AC330*'Parametros'!$B$3*(AB330-(AC330*'Parametros'!$B$3/(0.85*'Parametros'!$B$2*H330))/2)/1000000</f>
        <v>97.0311966352941</v>
      </c>
      <c r="AE330" s="10" t="str">
        <f>IF(AD330&gt;=L330,"CUMPLE","NO CUMPLE")</f>
        <v>CUMPLE</v>
      </c>
      <c r="AF330" s="10">
        <f>V330*1.25*'Parametros'!$B$3*(U330-(V330*1.25*'Parametros'!$B$3/(0.85*'Parametros'!$B$2*H330))/2)/1000000</f>
        <v>162.560466176471</v>
      </c>
      <c r="AG330" s="10">
        <f>AC330*1.25*'Parametros'!$B$3*(AB330-(AC330*1.25*'Parametros'!$B$3/(0.85*'Parametros'!$B$2*H330))/2)/1000000</f>
        <v>132.669027352941</v>
      </c>
      <c r="AH330" s="10">
        <f>N330+(AF330+AG330)/D330</f>
        <v>237.746797411765</v>
      </c>
      <c r="AI330" s="10">
        <f>MIN(O330,MAX(N330,AH330))</f>
        <v>237.746797411765</v>
      </c>
      <c r="AJ330" s="10">
        <f>0.17*SQRT('Parametros'!$B$2)*H330*MIN(U330,AB330)/1000</f>
        <v>107.849951281016</v>
      </c>
      <c r="AK330" s="10">
        <f>MAX(AI330/'Parametros'!$B$6-AJ330,0)</f>
        <v>209.145778601337</v>
      </c>
      <c r="AL330" s="10">
        <f>0.66*SQRT('Parametros'!$B$2)*H330*MIN(U330,AB330)/1000</f>
        <v>418.711575561591</v>
      </c>
      <c r="AM330" s="10" t="str">
        <f>IF(AK330&lt;=AL330,"CUMPLE","NO CUMPLE")</f>
        <v>CUMPLE</v>
      </c>
      <c r="AN330" s="15" t="inlineStr">
        <is>
          <t>Nº3 cerrado</t>
        </is>
      </c>
      <c r="AO330" s="17" t="n">
        <v>2</v>
      </c>
      <c r="AP330" s="10">
        <f>ROUNDDOWN(MIN(IF(AK330=0,1000000000,AO330*'Parametros'!$B$11*'Parametros'!$B$4*MIN(U330,AB330)/(AK330*1000)),IF(AV330=0,1000000000,'Parametros'!$B$11/AV330),MIN(U330,AB330)/4,8*'Parametros'!$B$12,24*'Parametros'!$B$9,300)/10,0)*10</f>
        <v>80</v>
      </c>
      <c r="AQ330" s="10">
        <f>ROUNDDOWN(MIN(IF(AK330=0,1000000000,AO330*'Parametros'!$B$11*'Parametros'!$B$4*MIN(U330,AB330)/(AK330*1000)),IF(AV330=0,1000000000,'Parametros'!$B$11/AV330),MIN(U330,AB330)/2,600)/10,0)*10</f>
        <v>90</v>
      </c>
      <c r="AR330" s="10">
        <f>'Parametros'!$B$6*(AJ330+AO330*'Parametros'!$B$11*'Parametros'!$B$4*MIN(U330,AB330)/AP330/1000)</f>
        <v>272.415732210762</v>
      </c>
      <c r="AS330" s="10" t="str">
        <f>IF(AND(AM330="CUMPLE",AR330&gt;=AI330),"CUMPLE","NO CUMPLE")</f>
        <v>CUMPLE</v>
      </c>
      <c r="AT330" s="10">
        <f>'Parametros'!$B$6*0.083*SQRT('Parametros'!$B$2)*(H330*I330)^2/(2*(H330+I330))/1000000</f>
        <v>4.30410823283988</v>
      </c>
      <c r="AU330" s="10" t="str">
        <f>IF(Q330&lt;=AT330,"DESPRECIABLE","DISEÑAR")</f>
        <v>DESPRECIABLE</v>
      </c>
      <c r="AV330" s="10">
        <f>IF(Q330&lt;=AT330,0,Q330*1000000/('Parametros'!$B$6*2*0.85*(H330-2*'Parametros'!$B$7)*(I330-2*'Parametros'!$B$7)*'Parametros'!$B$4))</f>
        <v>0</v>
      </c>
      <c r="AW330" s="10">
        <f>AV330*2*((H330-2*'Parametros'!$B$7)+(I330-2*'Parametros'!$B$7))*'Parametros'!$B$4/'Parametros'!$B$3</f>
        <v>0</v>
      </c>
      <c r="AX330" s="17" t="n">
        <v>0</v>
      </c>
      <c r="AY330" s="10" t="str">
        <f>IF(AV330=0,"DESPRECIABLE",IF('Parametros'!$B$11/AP330&gt;=AV330,"CUMPLE","NO CUMPLE"))</f>
        <v>DESPRECIABLE</v>
      </c>
      <c r="AZ330" s="10" t="str">
        <f>IF(AND(X330="CUMPLE",AE330="CUMPLE",AS330="CUMPLE",OR(AY330="CUMPLE",AY330="DESPRECIABLE")),IF(OR(F330&lt;&gt;H330,G330&lt;&gt;I330),"CUMPLE - REANALIZAR SAP","CUMPLE"),"NO CUMPLE")</f>
        <v>CUMPLE</v>
      </c>
    </row>
    <row r="331">
      <c r="A331" s="25" t="inlineStr">
        <is>
          <t>VR N1</t>
        </is>
      </c>
      <c r="B331" s="25" t="inlineStr">
        <is>
          <t>8</t>
        </is>
      </c>
      <c r="C331" s="10" t="n">
        <v>1</v>
      </c>
      <c r="D331" s="10" t="n">
        <v>2.6</v>
      </c>
      <c r="E331" s="10" t="n">
        <v>2.6</v>
      </c>
      <c r="F331" s="10" t="n">
        <v>350</v>
      </c>
      <c r="G331" s="10" t="n">
        <v>400</v>
      </c>
      <c r="H331" s="15" t="n">
        <v>350</v>
      </c>
      <c r="I331" s="15" t="n">
        <v>400</v>
      </c>
      <c r="J331" s="16" t="n">
        <v>110.2503</v>
      </c>
      <c r="K331" s="10" t="inlineStr">
        <is>
          <t>8</t>
        </is>
      </c>
      <c r="L331" s="16" t="n">
        <v>81.2869</v>
      </c>
      <c r="M331" s="10" t="inlineStr">
        <is>
          <t>8</t>
        </is>
      </c>
      <c r="N331" s="16" t="n">
        <v>111.107</v>
      </c>
      <c r="O331" s="16" t="n">
        <v>388.892</v>
      </c>
      <c r="P331" s="10" t="inlineStr">
        <is>
          <t>8</t>
        </is>
      </c>
      <c r="Q331" s="16" t="n">
        <v>0.7295</v>
      </c>
      <c r="R331" s="10">
        <f>MAX(MAX(1.4/'Parametros'!$B$3,0.25*SQRT('Parametros'!$B$2)/'Parametros'!$B$3)*H331*U331,(0.85*'Parametros'!$B$2/'Parametros'!$B$3)*(1-SQRT(1-2*(J331*1000000/('Parametros'!$B$5*H331*U331^2))/(0.85*'Parametros'!$B$2)))*H331*U331)</f>
        <v>912.776255594372</v>
      </c>
      <c r="S331" s="17" t="n">
        <v>5</v>
      </c>
      <c r="T331" s="18" t="n">
        <v>1</v>
      </c>
      <c r="U331" s="10">
        <f>IF(T331=1,I331-('Parametros'!$B$7+'Parametros'!$B$9+'Parametros'!$B$12/2),I331-(ROUNDUP(S331/2,0)*('Parametros'!$B$7+'Parametros'!$B$9+'Parametros'!$B$12/2)+ROUNDDOWN(S331/2,0)*('Parametros'!$B$7+'Parametros'!$B$9+'Parametros'!$B$12/2+'Parametros'!$B$12+'Parametros'!$B$10))/S331)</f>
        <v>342.55</v>
      </c>
      <c r="V331" s="10">
        <f>S331*'Parametros'!$B$8</f>
        <v>995</v>
      </c>
      <c r="W331" s="10">
        <f>'Parametros'!$B$5*V331*'Parametros'!$B$3*(U331-(V331*'Parametros'!$B$3/(0.85*'Parametros'!$B$2*H331))/2)/1000000</f>
        <v>119.402124617647</v>
      </c>
      <c r="X331" s="10" t="str">
        <f>IF(W331&gt;=J331,"CUMPLE","NO CUMPLE")</f>
        <v>CUMPLE</v>
      </c>
      <c r="Y331" s="10">
        <f>MAX(MAX(1.4/'Parametros'!$B$3,0.25*SQRT('Parametros'!$B$2)/'Parametros'!$B$3)*H331*AB331,(0.85*'Parametros'!$B$2/'Parametros'!$B$3)*(1-SQRT(1-2*(L331*1000000/('Parametros'!$B$5*H331*AB331^2))/(0.85*'Parametros'!$B$2)))*H331*AB331)</f>
        <v>659.816415892525</v>
      </c>
      <c r="Z331" s="17" t="n">
        <v>4</v>
      </c>
      <c r="AA331" s="18" t="n">
        <v>1</v>
      </c>
      <c r="AB331" s="10">
        <f>IF(AA331=1,I331-('Parametros'!$B$7+'Parametros'!$B$9+'Parametros'!$B$12/2),I331-(ROUNDUP(Z331/2,0)*('Parametros'!$B$7+'Parametros'!$B$9+'Parametros'!$B$12/2)+ROUNDDOWN(Z331/2,0)*('Parametros'!$B$7+'Parametros'!$B$9+'Parametros'!$B$12/2+'Parametros'!$B$12+'Parametros'!$B$10))/Z331)</f>
        <v>342.55</v>
      </c>
      <c r="AC331" s="10">
        <f>Z331*'Parametros'!$B$8</f>
        <v>796</v>
      </c>
      <c r="AD331" s="10">
        <f>'Parametros'!$B$5*AC331*'Parametros'!$B$3*(AB331-(AC331*'Parametros'!$B$3/(0.85*'Parametros'!$B$2*H331))/2)/1000000</f>
        <v>97.0311966352941</v>
      </c>
      <c r="AE331" s="10" t="str">
        <f>IF(AD331&gt;=L331,"CUMPLE","NO CUMPLE")</f>
        <v>CUMPLE</v>
      </c>
      <c r="AF331" s="10">
        <f>V331*1.25*'Parametros'!$B$3*(U331-(V331*1.25*'Parametros'!$B$3/(0.85*'Parametros'!$B$2*H331))/2)/1000000</f>
        <v>162.560466176471</v>
      </c>
      <c r="AG331" s="10">
        <f>AC331*1.25*'Parametros'!$B$3*(AB331-(AC331*1.25*'Parametros'!$B$3/(0.85*'Parametros'!$B$2*H331))/2)/1000000</f>
        <v>132.669027352941</v>
      </c>
      <c r="AH331" s="10">
        <f>N331+(AF331+AG331)/D331</f>
        <v>224.65680520362</v>
      </c>
      <c r="AI331" s="10">
        <f>MIN(O331,MAX(N331,AH331))</f>
        <v>224.65680520362</v>
      </c>
      <c r="AJ331" s="10">
        <f>0.17*SQRT('Parametros'!$B$2)*H331*MIN(U331,AB331)/1000</f>
        <v>107.849951281016</v>
      </c>
      <c r="AK331" s="10">
        <f>MAX(AI331/'Parametros'!$B$6-AJ331,0)</f>
        <v>191.692455657144</v>
      </c>
      <c r="AL331" s="10">
        <f>0.66*SQRT('Parametros'!$B$2)*H331*MIN(U331,AB331)/1000</f>
        <v>418.711575561591</v>
      </c>
      <c r="AM331" s="10" t="str">
        <f>IF(AK331&lt;=AL331,"CUMPLE","NO CUMPLE")</f>
        <v>CUMPLE</v>
      </c>
      <c r="AN331" s="15" t="inlineStr">
        <is>
          <t>Nº3 cerrado</t>
        </is>
      </c>
      <c r="AO331" s="17" t="n">
        <v>2</v>
      </c>
      <c r="AP331" s="10">
        <f>ROUNDDOWN(MIN(IF(AK331=0,1000000000,AO331*'Parametros'!$B$11*'Parametros'!$B$4*MIN(U331,AB331)/(AK331*1000)),IF(AV331=0,1000000000,'Parametros'!$B$11/AV331),MIN(U331,AB331)/4,8*'Parametros'!$B$12,24*'Parametros'!$B$9,300)/10,0)*10</f>
        <v>80</v>
      </c>
      <c r="AQ331" s="10">
        <f>ROUNDDOWN(MIN(IF(AK331=0,1000000000,AO331*'Parametros'!$B$11*'Parametros'!$B$4*MIN(U331,AB331)/(AK331*1000)),IF(AV331=0,1000000000,'Parametros'!$B$11/AV331),MIN(U331,AB331)/2,600)/10,0)*10</f>
        <v>100</v>
      </c>
      <c r="AR331" s="10">
        <f>'Parametros'!$B$6*(AJ331+AO331*'Parametros'!$B$11*'Parametros'!$B$4*MIN(U331,AB331)/AP331/1000)</f>
        <v>272.415732210762</v>
      </c>
      <c r="AS331" s="10" t="str">
        <f>IF(AND(AM331="CUMPLE",AR331&gt;=AI331),"CUMPLE","NO CUMPLE")</f>
        <v>CUMPLE</v>
      </c>
      <c r="AT331" s="10">
        <f>'Parametros'!$B$6*0.083*SQRT('Parametros'!$B$2)*(H331*I331)^2/(2*(H331+I331))/1000000</f>
        <v>4.30410823283988</v>
      </c>
      <c r="AU331" s="10" t="str">
        <f>IF(Q331&lt;=AT331,"DESPRECIABLE","DISEÑAR")</f>
        <v>DESPRECIABLE</v>
      </c>
      <c r="AV331" s="10">
        <f>IF(Q331&lt;=AT331,0,Q331*1000000/('Parametros'!$B$6*2*0.85*(H331-2*'Parametros'!$B$7)*(I331-2*'Parametros'!$B$7)*'Parametros'!$B$4))</f>
        <v>0</v>
      </c>
      <c r="AW331" s="10">
        <f>AV331*2*((H331-2*'Parametros'!$B$7)+(I331-2*'Parametros'!$B$7))*'Parametros'!$B$4/'Parametros'!$B$3</f>
        <v>0</v>
      </c>
      <c r="AX331" s="17" t="n">
        <v>0</v>
      </c>
      <c r="AY331" s="10" t="str">
        <f>IF(AV331=0,"DESPRECIABLE",IF('Parametros'!$B$11/AP331&gt;=AV331,"CUMPLE","NO CUMPLE"))</f>
        <v>DESPRECIABLE</v>
      </c>
      <c r="AZ331" s="10" t="str">
        <f>IF(AND(X331="CUMPLE",AE331="CUMPLE",AS331="CUMPLE",OR(AY331="CUMPLE",AY331="DESPRECIABLE")),IF(OR(F331&lt;&gt;H331,G331&lt;&gt;I331),"CUMPLE - REANALIZAR SAP","CUMPLE"),"NO CUMPLE")</f>
        <v>CUMPLE</v>
      </c>
    </row>
    <row r="332">
      <c r="A332" s="25" t="inlineStr">
        <is>
          <t>VR N1</t>
        </is>
      </c>
      <c r="B332" s="25" t="inlineStr">
        <is>
          <t>9</t>
        </is>
      </c>
      <c r="C332" s="10" t="n">
        <v>1</v>
      </c>
      <c r="D332" s="10" t="n">
        <v>3.65</v>
      </c>
      <c r="E332" s="10" t="n">
        <v>3.65</v>
      </c>
      <c r="F332" s="10" t="n">
        <v>350</v>
      </c>
      <c r="G332" s="10" t="n">
        <v>400</v>
      </c>
      <c r="H332" s="15" t="n">
        <v>350</v>
      </c>
      <c r="I332" s="15" t="n">
        <v>400</v>
      </c>
      <c r="J332" s="16" t="n">
        <v>112.324</v>
      </c>
      <c r="K332" s="10" t="inlineStr">
        <is>
          <t>9</t>
        </is>
      </c>
      <c r="L332" s="16" t="n">
        <v>58.5645</v>
      </c>
      <c r="M332" s="10" t="inlineStr">
        <is>
          <t>9</t>
        </is>
      </c>
      <c r="N332" s="16" t="n">
        <v>100.542</v>
      </c>
      <c r="O332" s="16" t="n">
        <v>268.033</v>
      </c>
      <c r="P332" s="10" t="inlineStr">
        <is>
          <t>9</t>
        </is>
      </c>
      <c r="Q332" s="16" t="n">
        <v>0.4125</v>
      </c>
      <c r="R332" s="10">
        <f>MAX(MAX(1.4/'Parametros'!$B$3,0.25*SQRT('Parametros'!$B$2)/'Parametros'!$B$3)*H332*U332,(0.85*'Parametros'!$B$2/'Parametros'!$B$3)*(1-SQRT(1-2*(J332*1000000/('Parametros'!$B$5*H332*U332^2))/(0.85*'Parametros'!$B$2)))*H332*U332)</f>
        <v>931.30617883035</v>
      </c>
      <c r="S332" s="17" t="n">
        <v>5</v>
      </c>
      <c r="T332" s="18" t="n">
        <v>1</v>
      </c>
      <c r="U332" s="10">
        <f>IF(T332=1,I332-('Parametros'!$B$7+'Parametros'!$B$9+'Parametros'!$B$12/2),I332-(ROUNDUP(S332/2,0)*('Parametros'!$B$7+'Parametros'!$B$9+'Parametros'!$B$12/2)+ROUNDDOWN(S332/2,0)*('Parametros'!$B$7+'Parametros'!$B$9+'Parametros'!$B$12/2+'Parametros'!$B$12+'Parametros'!$B$10))/S332)</f>
        <v>342.55</v>
      </c>
      <c r="V332" s="10">
        <f>S332*'Parametros'!$B$8</f>
        <v>995</v>
      </c>
      <c r="W332" s="10">
        <f>'Parametros'!$B$5*V332*'Parametros'!$B$3*(U332-(V332*'Parametros'!$B$3/(0.85*'Parametros'!$B$2*H332))/2)/1000000</f>
        <v>119.402124617647</v>
      </c>
      <c r="X332" s="10" t="str">
        <f>IF(W332&gt;=J332,"CUMPLE","NO CUMPLE")</f>
        <v>CUMPLE</v>
      </c>
      <c r="Y332" s="10">
        <f>MAX(MAX(1.4/'Parametros'!$B$3,0.25*SQRT('Parametros'!$B$2)/'Parametros'!$B$3)*H332*AB332,(0.85*'Parametros'!$B$2/'Parametros'!$B$3)*(1-SQRT(1-2*(L332*1000000/('Parametros'!$B$5*H332*AB332^2))/(0.85*'Parametros'!$B$2)))*H332*AB332)</f>
        <v>468.44131228827</v>
      </c>
      <c r="Z332" s="17" t="n">
        <v>3</v>
      </c>
      <c r="AA332" s="18" t="n">
        <v>1</v>
      </c>
      <c r="AB332" s="10">
        <f>IF(AA332=1,I332-('Parametros'!$B$7+'Parametros'!$B$9+'Parametros'!$B$12/2),I332-(ROUNDUP(Z332/2,0)*('Parametros'!$B$7+'Parametros'!$B$9+'Parametros'!$B$12/2)+ROUNDDOWN(Z332/2,0)*('Parametros'!$B$7+'Parametros'!$B$9+'Parametros'!$B$12/2+'Parametros'!$B$12+'Parametros'!$B$10))/Z332)</f>
        <v>342.55</v>
      </c>
      <c r="AC332" s="10">
        <f>Z332*'Parametros'!$B$8</f>
        <v>597</v>
      </c>
      <c r="AD332" s="10">
        <f>'Parametros'!$B$5*AC332*'Parametros'!$B$3*(AB332-(AC332*'Parametros'!$B$3/(0.85*'Parametros'!$B$2*H332))/2)/1000000</f>
        <v>73.905520182353</v>
      </c>
      <c r="AE332" s="10" t="str">
        <f>IF(AD332&gt;=L332,"CUMPLE","NO CUMPLE")</f>
        <v>CUMPLE</v>
      </c>
      <c r="AF332" s="10">
        <f>V332*1.25*'Parametros'!$B$3*(U332-(V332*1.25*'Parametros'!$B$3/(0.85*'Parametros'!$B$2*H332))/2)/1000000</f>
        <v>162.560466176471</v>
      </c>
      <c r="AG332" s="10">
        <f>AC332*1.25*'Parametros'!$B$3*(AB332-(AC332*1.25*'Parametros'!$B$3/(0.85*'Parametros'!$B$2*H332))/2)/1000000</f>
        <v>101.467261323529</v>
      </c>
      <c r="AH332" s="10">
        <f>N332+(AF332+AG332)/D332</f>
        <v>172.87836369863</v>
      </c>
      <c r="AI332" s="10">
        <f>MIN(O332,MAX(N332,AH332))</f>
        <v>172.87836369863</v>
      </c>
      <c r="AJ332" s="10">
        <f>0.17*SQRT('Parametros'!$B$2)*H332*MIN(U332,AB332)/1000</f>
        <v>107.849951281016</v>
      </c>
      <c r="AK332" s="10">
        <f>MAX(AI332/'Parametros'!$B$6-AJ332,0)</f>
        <v>122.654533650491</v>
      </c>
      <c r="AL332" s="10">
        <f>0.66*SQRT('Parametros'!$B$2)*H332*MIN(U332,AB332)/1000</f>
        <v>418.711575561591</v>
      </c>
      <c r="AM332" s="10" t="str">
        <f>IF(AK332&lt;=AL332,"CUMPLE","NO CUMPLE")</f>
        <v>CUMPLE</v>
      </c>
      <c r="AN332" s="15" t="inlineStr">
        <is>
          <t>Nº3 cerrado</t>
        </is>
      </c>
      <c r="AO332" s="17" t="n">
        <v>2</v>
      </c>
      <c r="AP332" s="10">
        <f>ROUNDDOWN(MIN(IF(AK332=0,1000000000,AO332*'Parametros'!$B$11*'Parametros'!$B$4*MIN(U332,AB332)/(AK332*1000)),IF(AV332=0,1000000000,'Parametros'!$B$11/AV332),MIN(U332,AB332)/4,8*'Parametros'!$B$12,24*'Parametros'!$B$9,300)/10,0)*10</f>
        <v>80</v>
      </c>
      <c r="AQ332" s="10">
        <f>ROUNDDOWN(MIN(IF(AK332=0,1000000000,AO332*'Parametros'!$B$11*'Parametros'!$B$4*MIN(U332,AB332)/(AK332*1000)),IF(AV332=0,1000000000,'Parametros'!$B$11/AV332),MIN(U332,AB332)/2,600)/10,0)*10</f>
        <v>160</v>
      </c>
      <c r="AR332" s="10">
        <f>'Parametros'!$B$6*(AJ332+AO332*'Parametros'!$B$11*'Parametros'!$B$4*MIN(U332,AB332)/AP332/1000)</f>
        <v>272.415732210762</v>
      </c>
      <c r="AS332" s="10" t="str">
        <f>IF(AND(AM332="CUMPLE",AR332&gt;=AI332),"CUMPLE","NO CUMPLE")</f>
        <v>CUMPLE</v>
      </c>
      <c r="AT332" s="10">
        <f>'Parametros'!$B$6*0.083*SQRT('Parametros'!$B$2)*(H332*I332)^2/(2*(H332+I332))/1000000</f>
        <v>4.30410823283988</v>
      </c>
      <c r="AU332" s="10" t="str">
        <f>IF(Q332&lt;=AT332,"DESPRECIABLE","DISEÑAR")</f>
        <v>DESPRECIABLE</v>
      </c>
      <c r="AV332" s="10">
        <f>IF(Q332&lt;=AT332,0,Q332*1000000/('Parametros'!$B$6*2*0.85*(H332-2*'Parametros'!$B$7)*(I332-2*'Parametros'!$B$7)*'Parametros'!$B$4))</f>
        <v>0</v>
      </c>
      <c r="AW332" s="10">
        <f>AV332*2*((H332-2*'Parametros'!$B$7)+(I332-2*'Parametros'!$B$7))*'Parametros'!$B$4/'Parametros'!$B$3</f>
        <v>0</v>
      </c>
      <c r="AX332" s="17" t="n">
        <v>0</v>
      </c>
      <c r="AY332" s="10" t="str">
        <f>IF(AV332=0,"DESPRECIABLE",IF('Parametros'!$B$11/AP332&gt;=AV332,"CUMPLE","NO CUMPLE"))</f>
        <v>DESPRECIABLE</v>
      </c>
      <c r="AZ332" s="10" t="str">
        <f>IF(AND(X332="CUMPLE",AE332="CUMPLE",AS332="CUMPLE",OR(AY332="CUMPLE",AY332="DESPRECIABLE")),IF(OR(F332&lt;&gt;H332,G332&lt;&gt;I332),"CUMPLE - REANALIZAR SAP","CUMPLE"),"NO CUMPLE")</f>
        <v>CUMPLE</v>
      </c>
    </row>
    <row r="333">
      <c r="A333" s="25" t="inlineStr">
        <is>
          <t>VR N1</t>
        </is>
      </c>
      <c r="B333" s="25" t="inlineStr">
        <is>
          <t>10</t>
        </is>
      </c>
      <c r="C333" s="10" t="n">
        <v>1</v>
      </c>
      <c r="D333" s="10" t="n">
        <v>2.6</v>
      </c>
      <c r="E333" s="10" t="n">
        <v>2.6</v>
      </c>
      <c r="F333" s="10" t="n">
        <v>350</v>
      </c>
      <c r="G333" s="10" t="n">
        <v>400</v>
      </c>
      <c r="H333" s="15" t="n">
        <v>350</v>
      </c>
      <c r="I333" s="15" t="n">
        <v>400</v>
      </c>
      <c r="J333" s="16" t="n">
        <v>102.6205</v>
      </c>
      <c r="K333" s="10" t="inlineStr">
        <is>
          <t>10</t>
        </is>
      </c>
      <c r="L333" s="16" t="n">
        <v>69.4971</v>
      </c>
      <c r="M333" s="10" t="inlineStr">
        <is>
          <t>10</t>
        </is>
      </c>
      <c r="N333" s="16" t="n">
        <v>101.525</v>
      </c>
      <c r="O333" s="16" t="n">
        <v>324.831</v>
      </c>
      <c r="P333" s="10" t="inlineStr">
        <is>
          <t>10</t>
        </is>
      </c>
      <c r="Q333" s="16" t="n">
        <v>5.0074</v>
      </c>
      <c r="R333" s="10">
        <f>MAX(MAX(1.4/'Parametros'!$B$3,0.25*SQRT('Parametros'!$B$2)/'Parametros'!$B$3)*H333*U333,(0.85*'Parametros'!$B$2/'Parametros'!$B$3)*(1-SQRT(1-2*(J333*1000000/('Parametros'!$B$5*H333*U333^2))/(0.85*'Parametros'!$B$2)))*H333*U333)</f>
        <v>845.095633264391</v>
      </c>
      <c r="S333" s="17" t="n">
        <v>5</v>
      </c>
      <c r="T333" s="18" t="n">
        <v>1</v>
      </c>
      <c r="U333" s="10">
        <f>IF(T333=1,I333-('Parametros'!$B$7+'Parametros'!$B$9+'Parametros'!$B$12/2),I333-(ROUNDUP(S333/2,0)*('Parametros'!$B$7+'Parametros'!$B$9+'Parametros'!$B$12/2)+ROUNDDOWN(S333/2,0)*('Parametros'!$B$7+'Parametros'!$B$9+'Parametros'!$B$12/2+'Parametros'!$B$12+'Parametros'!$B$10))/S333)</f>
        <v>342.55</v>
      </c>
      <c r="V333" s="10">
        <f>S333*'Parametros'!$B$8</f>
        <v>995</v>
      </c>
      <c r="W333" s="10">
        <f>'Parametros'!$B$5*V333*'Parametros'!$B$3*(U333-(V333*'Parametros'!$B$3/(0.85*'Parametros'!$B$2*H333))/2)/1000000</f>
        <v>119.402124617647</v>
      </c>
      <c r="X333" s="10" t="str">
        <f>IF(W333&gt;=J333,"CUMPLE","NO CUMPLE")</f>
        <v>CUMPLE</v>
      </c>
      <c r="Y333" s="10">
        <f>MAX(MAX(1.4/'Parametros'!$B$3,0.25*SQRT('Parametros'!$B$2)/'Parametros'!$B$3)*H333*AB333,(0.85*'Parametros'!$B$2/'Parametros'!$B$3)*(1-SQRT(1-2*(L333*1000000/('Parametros'!$B$5*H333*AB333^2))/(0.85*'Parametros'!$B$2)))*H333*AB333)</f>
        <v>559.785709725377</v>
      </c>
      <c r="Z333" s="17" t="n">
        <v>3</v>
      </c>
      <c r="AA333" s="18" t="n">
        <v>1</v>
      </c>
      <c r="AB333" s="10">
        <f>IF(AA333=1,I333-('Parametros'!$B$7+'Parametros'!$B$9+'Parametros'!$B$12/2),I333-(ROUNDUP(Z333/2,0)*('Parametros'!$B$7+'Parametros'!$B$9+'Parametros'!$B$12/2)+ROUNDDOWN(Z333/2,0)*('Parametros'!$B$7+'Parametros'!$B$9+'Parametros'!$B$12/2+'Parametros'!$B$12+'Parametros'!$B$10))/Z333)</f>
        <v>342.55</v>
      </c>
      <c r="AC333" s="10">
        <f>Z333*'Parametros'!$B$8</f>
        <v>597</v>
      </c>
      <c r="AD333" s="10">
        <f>'Parametros'!$B$5*AC333*'Parametros'!$B$3*(AB333-(AC333*'Parametros'!$B$3/(0.85*'Parametros'!$B$2*H333))/2)/1000000</f>
        <v>73.905520182353</v>
      </c>
      <c r="AE333" s="10" t="str">
        <f>IF(AD333&gt;=L333,"CUMPLE","NO CUMPLE")</f>
        <v>CUMPLE</v>
      </c>
      <c r="AF333" s="10">
        <f>V333*1.25*'Parametros'!$B$3*(U333-(V333*1.25*'Parametros'!$B$3/(0.85*'Parametros'!$B$2*H333))/2)/1000000</f>
        <v>162.560466176471</v>
      </c>
      <c r="AG333" s="10">
        <f>AC333*1.25*'Parametros'!$B$3*(AB333-(AC333*1.25*'Parametros'!$B$3/(0.85*'Parametros'!$B$2*H333))/2)/1000000</f>
        <v>101.467261323529</v>
      </c>
      <c r="AH333" s="10">
        <f>N333+(AF333+AG333)/D333</f>
        <v>203.074125961538</v>
      </c>
      <c r="AI333" s="10">
        <f>MIN(O333,MAX(N333,AH333))</f>
        <v>203.074125961538</v>
      </c>
      <c r="AJ333" s="10">
        <f>0.17*SQRT('Parametros'!$B$2)*H333*MIN(U333,AB333)/1000</f>
        <v>107.849951281016</v>
      </c>
      <c r="AK333" s="10">
        <f>MAX(AI333/'Parametros'!$B$6-AJ333,0)</f>
        <v>162.915550001035</v>
      </c>
      <c r="AL333" s="10">
        <f>0.66*SQRT('Parametros'!$B$2)*H333*MIN(U333,AB333)/1000</f>
        <v>418.711575561591</v>
      </c>
      <c r="AM333" s="10" t="str">
        <f>IF(AK333&lt;=AL333,"CUMPLE","NO CUMPLE")</f>
        <v>CUMPLE</v>
      </c>
      <c r="AN333" s="15" t="inlineStr">
        <is>
          <t>Nº3 cerrado</t>
        </is>
      </c>
      <c r="AO333" s="17" t="n">
        <v>2</v>
      </c>
      <c r="AP333" s="10">
        <f>ROUNDDOWN(MIN(IF(AK333=0,1000000000,AO333*'Parametros'!$B$11*'Parametros'!$B$4*MIN(U333,AB333)/(AK333*1000)),IF(AV333=0,1000000000,'Parametros'!$B$11/AV333),MIN(U333,AB333)/4,8*'Parametros'!$B$12,24*'Parametros'!$B$9,300)/10,0)*10</f>
        <v>80</v>
      </c>
      <c r="AQ333" s="10">
        <f>ROUNDDOWN(MIN(IF(AK333=0,1000000000,AO333*'Parametros'!$B$11*'Parametros'!$B$4*MIN(U333,AB333)/(AK333*1000)),IF(AV333=0,1000000000,'Parametros'!$B$11/AV333),MIN(U333,AB333)/2,600)/10,0)*10</f>
        <v>120</v>
      </c>
      <c r="AR333" s="10">
        <f>'Parametros'!$B$6*(AJ333+AO333*'Parametros'!$B$11*'Parametros'!$B$4*MIN(U333,AB333)/AP333/1000)</f>
        <v>272.415732210762</v>
      </c>
      <c r="AS333" s="10" t="str">
        <f>IF(AND(AM333="CUMPLE",AR333&gt;=AI333),"CUMPLE","NO CUMPLE")</f>
        <v>CUMPLE</v>
      </c>
      <c r="AT333" s="10">
        <f>'Parametros'!$B$6*0.083*SQRT('Parametros'!$B$2)*(H333*I333)^2/(2*(H333+I333))/1000000</f>
        <v>4.30410823283988</v>
      </c>
      <c r="AU333" s="10" t="str">
        <f>IF(Q333&lt;=AT333,"DESPRECIABLE","DISEÑAR")</f>
        <v>DISEÑAR</v>
      </c>
      <c r="AV333" s="10">
        <f>IF(Q333&lt;=AT333,0,Q333*1000000/('Parametros'!$B$6*2*0.85*(H333-2*'Parametros'!$B$7)*(I333-2*'Parametros'!$B$7)*'Parametros'!$B$4))</f>
        <v>0.108227859044853</v>
      </c>
      <c r="AW333" s="10">
        <f>AV333*2*((H333-2*'Parametros'!$B$7)+(I333-2*'Parametros'!$B$7))*'Parametros'!$B$4/'Parametros'!$B$3</f>
        <v>127.708873672926</v>
      </c>
      <c r="AX333" s="17" t="n">
        <v>1</v>
      </c>
      <c r="AY333" s="10" t="str">
        <f>IF(AV333=0,"DESPRECIABLE",IF('Parametros'!$B$11/AP333&gt;=AV333,"CUMPLE","NO CUMPLE"))</f>
        <v>CUMPLE</v>
      </c>
      <c r="AZ333" s="10" t="str">
        <f>IF(AND(X333="CUMPLE",AE333="CUMPLE",AS333="CUMPLE",OR(AY333="CUMPLE",AY333="DESPRECIABLE")),IF(OR(F333&lt;&gt;H333,G333&lt;&gt;I333),"CUMPLE - REANALIZAR SAP","CUMPLE"),"NO CUMPLE")</f>
        <v>CUMPLE</v>
      </c>
    </row>
    <row r="334">
      <c r="A334" s="25" t="inlineStr">
        <is>
          <t>VR N1</t>
        </is>
      </c>
      <c r="B334" s="25" t="inlineStr">
        <is>
          <t>45</t>
        </is>
      </c>
      <c r="C334" s="10" t="n">
        <v>1</v>
      </c>
      <c r="D334" s="10" t="n">
        <v>2.6</v>
      </c>
      <c r="E334" s="10" t="n">
        <v>2.6</v>
      </c>
      <c r="F334" s="10" t="n">
        <v>350</v>
      </c>
      <c r="G334" s="10" t="n">
        <v>400</v>
      </c>
      <c r="H334" s="15" t="n">
        <v>350</v>
      </c>
      <c r="I334" s="15" t="n">
        <v>400</v>
      </c>
      <c r="J334" s="16" t="n">
        <v>102.6619</v>
      </c>
      <c r="K334" s="10" t="inlineStr">
        <is>
          <t>45</t>
        </is>
      </c>
      <c r="L334" s="16" t="n">
        <v>69.47150000000001</v>
      </c>
      <c r="M334" s="10" t="inlineStr">
        <is>
          <t>45</t>
        </is>
      </c>
      <c r="N334" s="16" t="n">
        <v>101.554</v>
      </c>
      <c r="O334" s="16" t="n">
        <v>324.859</v>
      </c>
      <c r="P334" s="10" t="inlineStr">
        <is>
          <t>45</t>
        </is>
      </c>
      <c r="Q334" s="16" t="n">
        <v>5.0074</v>
      </c>
      <c r="R334" s="10">
        <f>MAX(MAX(1.4/'Parametros'!$B$3,0.25*SQRT('Parametros'!$B$2)/'Parametros'!$B$3)*H334*U334,(0.85*'Parametros'!$B$2/'Parametros'!$B$3)*(1-SQRT(1-2*(J334*1000000/('Parametros'!$B$5*H334*U334^2))/(0.85*'Parametros'!$B$2)))*H334*U334)</f>
        <v>845.460796701855</v>
      </c>
      <c r="S334" s="17" t="n">
        <v>5</v>
      </c>
      <c r="T334" s="18" t="n">
        <v>1</v>
      </c>
      <c r="U334" s="10">
        <f>IF(T334=1,I334-('Parametros'!$B$7+'Parametros'!$B$9+'Parametros'!$B$12/2),I334-(ROUNDUP(S334/2,0)*('Parametros'!$B$7+'Parametros'!$B$9+'Parametros'!$B$12/2)+ROUNDDOWN(S334/2,0)*('Parametros'!$B$7+'Parametros'!$B$9+'Parametros'!$B$12/2+'Parametros'!$B$12+'Parametros'!$B$10))/S334)</f>
        <v>342.55</v>
      </c>
      <c r="V334" s="10">
        <f>S334*'Parametros'!$B$8</f>
        <v>995</v>
      </c>
      <c r="W334" s="10">
        <f>'Parametros'!$B$5*V334*'Parametros'!$B$3*(U334-(V334*'Parametros'!$B$3/(0.85*'Parametros'!$B$2*H334))/2)/1000000</f>
        <v>119.402124617647</v>
      </c>
      <c r="X334" s="10" t="str">
        <f>IF(W334&gt;=J334,"CUMPLE","NO CUMPLE")</f>
        <v>CUMPLE</v>
      </c>
      <c r="Y334" s="10">
        <f>MAX(MAX(1.4/'Parametros'!$B$3,0.25*SQRT('Parametros'!$B$2)/'Parametros'!$B$3)*H334*AB334,(0.85*'Parametros'!$B$2/'Parametros'!$B$3)*(1-SQRT(1-2*(L334*1000000/('Parametros'!$B$5*H334*AB334^2))/(0.85*'Parametros'!$B$2)))*H334*AB334)</f>
        <v>559.570252515639</v>
      </c>
      <c r="Z334" s="17" t="n">
        <v>3</v>
      </c>
      <c r="AA334" s="18" t="n">
        <v>1</v>
      </c>
      <c r="AB334" s="10">
        <f>IF(AA334=1,I334-('Parametros'!$B$7+'Parametros'!$B$9+'Parametros'!$B$12/2),I334-(ROUNDUP(Z334/2,0)*('Parametros'!$B$7+'Parametros'!$B$9+'Parametros'!$B$12/2)+ROUNDDOWN(Z334/2,0)*('Parametros'!$B$7+'Parametros'!$B$9+'Parametros'!$B$12/2+'Parametros'!$B$12+'Parametros'!$B$10))/Z334)</f>
        <v>342.55</v>
      </c>
      <c r="AC334" s="10">
        <f>Z334*'Parametros'!$B$8</f>
        <v>597</v>
      </c>
      <c r="AD334" s="10">
        <f>'Parametros'!$B$5*AC334*'Parametros'!$B$3*(AB334-(AC334*'Parametros'!$B$3/(0.85*'Parametros'!$B$2*H334))/2)/1000000</f>
        <v>73.905520182353</v>
      </c>
      <c r="AE334" s="10" t="str">
        <f>IF(AD334&gt;=L334,"CUMPLE","NO CUMPLE")</f>
        <v>CUMPLE</v>
      </c>
      <c r="AF334" s="10">
        <f>V334*1.25*'Parametros'!$B$3*(U334-(V334*1.25*'Parametros'!$B$3/(0.85*'Parametros'!$B$2*H334))/2)/1000000</f>
        <v>162.560466176471</v>
      </c>
      <c r="AG334" s="10">
        <f>AC334*1.25*'Parametros'!$B$3*(AB334-(AC334*1.25*'Parametros'!$B$3/(0.85*'Parametros'!$B$2*H334))/2)/1000000</f>
        <v>101.467261323529</v>
      </c>
      <c r="AH334" s="10">
        <f>N334+(AF334+AG334)/D334</f>
        <v>203.103125961538</v>
      </c>
      <c r="AI334" s="10">
        <f>MIN(O334,MAX(N334,AH334))</f>
        <v>203.103125961538</v>
      </c>
      <c r="AJ334" s="10">
        <f>0.17*SQRT('Parametros'!$B$2)*H334*MIN(U334,AB334)/1000</f>
        <v>107.849951281016</v>
      </c>
      <c r="AK334" s="10">
        <f>MAX(AI334/'Parametros'!$B$6-AJ334,0)</f>
        <v>162.954216667702</v>
      </c>
      <c r="AL334" s="10">
        <f>0.66*SQRT('Parametros'!$B$2)*H334*MIN(U334,AB334)/1000</f>
        <v>418.711575561591</v>
      </c>
      <c r="AM334" s="10" t="str">
        <f>IF(AK334&lt;=AL334,"CUMPLE","NO CUMPLE")</f>
        <v>CUMPLE</v>
      </c>
      <c r="AN334" s="15" t="inlineStr">
        <is>
          <t>Nº3 cerrado</t>
        </is>
      </c>
      <c r="AO334" s="17" t="n">
        <v>2</v>
      </c>
      <c r="AP334" s="10">
        <f>ROUNDDOWN(MIN(IF(AK334=0,1000000000,AO334*'Parametros'!$B$11*'Parametros'!$B$4*MIN(U334,AB334)/(AK334*1000)),IF(AV334=0,1000000000,'Parametros'!$B$11/AV334),MIN(U334,AB334)/4,8*'Parametros'!$B$12,24*'Parametros'!$B$9,300)/10,0)*10</f>
        <v>80</v>
      </c>
      <c r="AQ334" s="10">
        <f>ROUNDDOWN(MIN(IF(AK334=0,1000000000,AO334*'Parametros'!$B$11*'Parametros'!$B$4*MIN(U334,AB334)/(AK334*1000)),IF(AV334=0,1000000000,'Parametros'!$B$11/AV334),MIN(U334,AB334)/2,600)/10,0)*10</f>
        <v>120</v>
      </c>
      <c r="AR334" s="10">
        <f>'Parametros'!$B$6*(AJ334+AO334*'Parametros'!$B$11*'Parametros'!$B$4*MIN(U334,AB334)/AP334/1000)</f>
        <v>272.415732210762</v>
      </c>
      <c r="AS334" s="10" t="str">
        <f>IF(AND(AM334="CUMPLE",AR334&gt;=AI334),"CUMPLE","NO CUMPLE")</f>
        <v>CUMPLE</v>
      </c>
      <c r="AT334" s="10">
        <f>'Parametros'!$B$6*0.083*SQRT('Parametros'!$B$2)*(H334*I334)^2/(2*(H334+I334))/1000000</f>
        <v>4.30410823283988</v>
      </c>
      <c r="AU334" s="10" t="str">
        <f>IF(Q334&lt;=AT334,"DESPRECIABLE","DISEÑAR")</f>
        <v>DISEÑAR</v>
      </c>
      <c r="AV334" s="10">
        <f>IF(Q334&lt;=AT334,0,Q334*1000000/('Parametros'!$B$6*2*0.85*(H334-2*'Parametros'!$B$7)*(I334-2*'Parametros'!$B$7)*'Parametros'!$B$4))</f>
        <v>0.108227859044853</v>
      </c>
      <c r="AW334" s="10">
        <f>AV334*2*((H334-2*'Parametros'!$B$7)+(I334-2*'Parametros'!$B$7))*'Parametros'!$B$4/'Parametros'!$B$3</f>
        <v>127.708873672926</v>
      </c>
      <c r="AX334" s="17" t="n">
        <v>1</v>
      </c>
      <c r="AY334" s="10" t="str">
        <f>IF(AV334=0,"DESPRECIABLE",IF('Parametros'!$B$11/AP334&gt;=AV334,"CUMPLE","NO CUMPLE"))</f>
        <v>CUMPLE</v>
      </c>
      <c r="AZ334" s="10" t="str">
        <f>IF(AND(X334="CUMPLE",AE334="CUMPLE",AS334="CUMPLE",OR(AY334="CUMPLE",AY334="DESPRECIABLE")),IF(OR(F334&lt;&gt;H334,G334&lt;&gt;I334),"CUMPLE - REANALIZAR SAP","CUMPLE"),"NO CUMPLE")</f>
        <v>CUMPLE</v>
      </c>
    </row>
    <row r="335">
      <c r="A335" s="25" t="inlineStr">
        <is>
          <t>VR N1</t>
        </is>
      </c>
      <c r="B335" s="25" t="inlineStr">
        <is>
          <t>46</t>
        </is>
      </c>
      <c r="C335" s="10" t="n">
        <v>1</v>
      </c>
      <c r="D335" s="10" t="n">
        <v>3.65</v>
      </c>
      <c r="E335" s="10" t="n">
        <v>3.65</v>
      </c>
      <c r="F335" s="10" t="n">
        <v>350</v>
      </c>
      <c r="G335" s="10" t="n">
        <v>400</v>
      </c>
      <c r="H335" s="15" t="n">
        <v>350</v>
      </c>
      <c r="I335" s="15" t="n">
        <v>400</v>
      </c>
      <c r="J335" s="16" t="n">
        <v>112.2789</v>
      </c>
      <c r="K335" s="10" t="inlineStr">
        <is>
          <t>46</t>
        </is>
      </c>
      <c r="L335" s="16" t="n">
        <v>58.5921</v>
      </c>
      <c r="M335" s="10" t="inlineStr">
        <is>
          <t>46</t>
        </is>
      </c>
      <c r="N335" s="16" t="n">
        <v>100.518</v>
      </c>
      <c r="O335" s="16" t="n">
        <v>268.01</v>
      </c>
      <c r="P335" s="10" t="inlineStr">
        <is>
          <t>46</t>
        </is>
      </c>
      <c r="Q335" s="16" t="n">
        <v>0.4125</v>
      </c>
      <c r="R335" s="10">
        <f>MAX(MAX(1.4/'Parametros'!$B$3,0.25*SQRT('Parametros'!$B$2)/'Parametros'!$B$3)*H335*U335,(0.85*'Parametros'!$B$2/'Parametros'!$B$3)*(1-SQRT(1-2*(J335*1000000/('Parametros'!$B$5*H335*U335^2))/(0.85*'Parametros'!$B$2)))*H335*U335)</f>
        <v>930.902556597956</v>
      </c>
      <c r="S335" s="17" t="n">
        <v>5</v>
      </c>
      <c r="T335" s="18" t="n">
        <v>1</v>
      </c>
      <c r="U335" s="10">
        <f>IF(T335=1,I335-('Parametros'!$B$7+'Parametros'!$B$9+'Parametros'!$B$12/2),I335-(ROUNDUP(S335/2,0)*('Parametros'!$B$7+'Parametros'!$B$9+'Parametros'!$B$12/2)+ROUNDDOWN(S335/2,0)*('Parametros'!$B$7+'Parametros'!$B$9+'Parametros'!$B$12/2+'Parametros'!$B$12+'Parametros'!$B$10))/S335)</f>
        <v>342.55</v>
      </c>
      <c r="V335" s="10">
        <f>S335*'Parametros'!$B$8</f>
        <v>995</v>
      </c>
      <c r="W335" s="10">
        <f>'Parametros'!$B$5*V335*'Parametros'!$B$3*(U335-(V335*'Parametros'!$B$3/(0.85*'Parametros'!$B$2*H335))/2)/1000000</f>
        <v>119.402124617647</v>
      </c>
      <c r="X335" s="10" t="str">
        <f>IF(W335&gt;=J335,"CUMPLE","NO CUMPLE")</f>
        <v>CUMPLE</v>
      </c>
      <c r="Y335" s="10">
        <f>MAX(MAX(1.4/'Parametros'!$B$3,0.25*SQRT('Parametros'!$B$2)/'Parametros'!$B$3)*H335*AB335,(0.85*'Parametros'!$B$2/'Parametros'!$B$3)*(1-SQRT(1-2*(L335*1000000/('Parametros'!$B$5*H335*AB335^2))/(0.85*'Parametros'!$B$2)))*H335*AB335)</f>
        <v>468.670255756142</v>
      </c>
      <c r="Z335" s="17" t="n">
        <v>3</v>
      </c>
      <c r="AA335" s="18" t="n">
        <v>1</v>
      </c>
      <c r="AB335" s="10">
        <f>IF(AA335=1,I335-('Parametros'!$B$7+'Parametros'!$B$9+'Parametros'!$B$12/2),I335-(ROUNDUP(Z335/2,0)*('Parametros'!$B$7+'Parametros'!$B$9+'Parametros'!$B$12/2)+ROUNDDOWN(Z335/2,0)*('Parametros'!$B$7+'Parametros'!$B$9+'Parametros'!$B$12/2+'Parametros'!$B$12+'Parametros'!$B$10))/Z335)</f>
        <v>342.55</v>
      </c>
      <c r="AC335" s="10">
        <f>Z335*'Parametros'!$B$8</f>
        <v>597</v>
      </c>
      <c r="AD335" s="10">
        <f>'Parametros'!$B$5*AC335*'Parametros'!$B$3*(AB335-(AC335*'Parametros'!$B$3/(0.85*'Parametros'!$B$2*H335))/2)/1000000</f>
        <v>73.905520182353</v>
      </c>
      <c r="AE335" s="10" t="str">
        <f>IF(AD335&gt;=L335,"CUMPLE","NO CUMPLE")</f>
        <v>CUMPLE</v>
      </c>
      <c r="AF335" s="10">
        <f>V335*1.25*'Parametros'!$B$3*(U335-(V335*1.25*'Parametros'!$B$3/(0.85*'Parametros'!$B$2*H335))/2)/1000000</f>
        <v>162.560466176471</v>
      </c>
      <c r="AG335" s="10">
        <f>AC335*1.25*'Parametros'!$B$3*(AB335-(AC335*1.25*'Parametros'!$B$3/(0.85*'Parametros'!$B$2*H335))/2)/1000000</f>
        <v>101.467261323529</v>
      </c>
      <c r="AH335" s="10">
        <f>N335+(AF335+AG335)/D335</f>
        <v>172.85436369863</v>
      </c>
      <c r="AI335" s="10">
        <f>MIN(O335,MAX(N335,AH335))</f>
        <v>172.85436369863</v>
      </c>
      <c r="AJ335" s="10">
        <f>0.17*SQRT('Parametros'!$B$2)*H335*MIN(U335,AB335)/1000</f>
        <v>107.849951281016</v>
      </c>
      <c r="AK335" s="10">
        <f>MAX(AI335/'Parametros'!$B$6-AJ335,0)</f>
        <v>122.622533650491</v>
      </c>
      <c r="AL335" s="10">
        <f>0.66*SQRT('Parametros'!$B$2)*H335*MIN(U335,AB335)/1000</f>
        <v>418.711575561591</v>
      </c>
      <c r="AM335" s="10" t="str">
        <f>IF(AK335&lt;=AL335,"CUMPLE","NO CUMPLE")</f>
        <v>CUMPLE</v>
      </c>
      <c r="AN335" s="15" t="inlineStr">
        <is>
          <t>Nº3 cerrado</t>
        </is>
      </c>
      <c r="AO335" s="17" t="n">
        <v>2</v>
      </c>
      <c r="AP335" s="10">
        <f>ROUNDDOWN(MIN(IF(AK335=0,1000000000,AO335*'Parametros'!$B$11*'Parametros'!$B$4*MIN(U335,AB335)/(AK335*1000)),IF(AV335=0,1000000000,'Parametros'!$B$11/AV335),MIN(U335,AB335)/4,8*'Parametros'!$B$12,24*'Parametros'!$B$9,300)/10,0)*10</f>
        <v>80</v>
      </c>
      <c r="AQ335" s="10">
        <f>ROUNDDOWN(MIN(IF(AK335=0,1000000000,AO335*'Parametros'!$B$11*'Parametros'!$B$4*MIN(U335,AB335)/(AK335*1000)),IF(AV335=0,1000000000,'Parametros'!$B$11/AV335),MIN(U335,AB335)/2,600)/10,0)*10</f>
        <v>160</v>
      </c>
      <c r="AR335" s="10">
        <f>'Parametros'!$B$6*(AJ335+AO335*'Parametros'!$B$11*'Parametros'!$B$4*MIN(U335,AB335)/AP335/1000)</f>
        <v>272.415732210762</v>
      </c>
      <c r="AS335" s="10" t="str">
        <f>IF(AND(AM335="CUMPLE",AR335&gt;=AI335),"CUMPLE","NO CUMPLE")</f>
        <v>CUMPLE</v>
      </c>
      <c r="AT335" s="10">
        <f>'Parametros'!$B$6*0.083*SQRT('Parametros'!$B$2)*(H335*I335)^2/(2*(H335+I335))/1000000</f>
        <v>4.30410823283988</v>
      </c>
      <c r="AU335" s="10" t="str">
        <f>IF(Q335&lt;=AT335,"DESPRECIABLE","DISEÑAR")</f>
        <v>DESPRECIABLE</v>
      </c>
      <c r="AV335" s="10">
        <f>IF(Q335&lt;=AT335,0,Q335*1000000/('Parametros'!$B$6*2*0.85*(H335-2*'Parametros'!$B$7)*(I335-2*'Parametros'!$B$7)*'Parametros'!$B$4))</f>
        <v>0</v>
      </c>
      <c r="AW335" s="10">
        <f>AV335*2*((H335-2*'Parametros'!$B$7)+(I335-2*'Parametros'!$B$7))*'Parametros'!$B$4/'Parametros'!$B$3</f>
        <v>0</v>
      </c>
      <c r="AX335" s="17" t="n">
        <v>0</v>
      </c>
      <c r="AY335" s="10" t="str">
        <f>IF(AV335=0,"DESPRECIABLE",IF('Parametros'!$B$11/AP335&gt;=AV335,"CUMPLE","NO CUMPLE"))</f>
        <v>DESPRECIABLE</v>
      </c>
      <c r="AZ335" s="10" t="str">
        <f>IF(AND(X335="CUMPLE",AE335="CUMPLE",AS335="CUMPLE",OR(AY335="CUMPLE",AY335="DESPRECIABLE")),IF(OR(F335&lt;&gt;H335,G335&lt;&gt;I335),"CUMPLE - REANALIZAR SAP","CUMPLE"),"NO CUMPLE")</f>
        <v>CUMPLE</v>
      </c>
    </row>
    <row r="336">
      <c r="A336" s="25" t="inlineStr">
        <is>
          <t>VR N1</t>
        </is>
      </c>
      <c r="B336" s="25" t="inlineStr">
        <is>
          <t>47</t>
        </is>
      </c>
      <c r="C336" s="10" t="n">
        <v>1</v>
      </c>
      <c r="D336" s="10" t="n">
        <v>2.6</v>
      </c>
      <c r="E336" s="10" t="n">
        <v>2.6</v>
      </c>
      <c r="F336" s="10" t="n">
        <v>350</v>
      </c>
      <c r="G336" s="10" t="n">
        <v>400</v>
      </c>
      <c r="H336" s="15" t="n">
        <v>350</v>
      </c>
      <c r="I336" s="15" t="n">
        <v>400</v>
      </c>
      <c r="J336" s="16" t="n">
        <v>110.2001</v>
      </c>
      <c r="K336" s="10" t="inlineStr">
        <is>
          <t>47</t>
        </is>
      </c>
      <c r="L336" s="16" t="n">
        <v>81.3168</v>
      </c>
      <c r="M336" s="10" t="inlineStr">
        <is>
          <t>47</t>
        </is>
      </c>
      <c r="N336" s="16" t="n">
        <v>111.145</v>
      </c>
      <c r="O336" s="16" t="n">
        <v>388.93</v>
      </c>
      <c r="P336" s="10" t="inlineStr">
        <is>
          <t>47</t>
        </is>
      </c>
      <c r="Q336" s="16" t="n">
        <v>0.7294</v>
      </c>
      <c r="R336" s="10">
        <f>MAX(MAX(1.4/'Parametros'!$B$3,0.25*SQRT('Parametros'!$B$2)/'Parametros'!$B$3)*H336*U336,(0.85*'Parametros'!$B$2/'Parametros'!$B$3)*(1-SQRT(1-2*(J336*1000000/('Parametros'!$B$5*H336*U336^2))/(0.85*'Parametros'!$B$2)))*H336*U336)</f>
        <v>912.328408088353</v>
      </c>
      <c r="S336" s="17" t="n">
        <v>5</v>
      </c>
      <c r="T336" s="18" t="n">
        <v>1</v>
      </c>
      <c r="U336" s="10">
        <f>IF(T336=1,I336-('Parametros'!$B$7+'Parametros'!$B$9+'Parametros'!$B$12/2),I336-(ROUNDUP(S336/2,0)*('Parametros'!$B$7+'Parametros'!$B$9+'Parametros'!$B$12/2)+ROUNDDOWN(S336/2,0)*('Parametros'!$B$7+'Parametros'!$B$9+'Parametros'!$B$12/2+'Parametros'!$B$12+'Parametros'!$B$10))/S336)</f>
        <v>342.55</v>
      </c>
      <c r="V336" s="10">
        <f>S336*'Parametros'!$B$8</f>
        <v>995</v>
      </c>
      <c r="W336" s="10">
        <f>'Parametros'!$B$5*V336*'Parametros'!$B$3*(U336-(V336*'Parametros'!$B$3/(0.85*'Parametros'!$B$2*H336))/2)/1000000</f>
        <v>119.402124617647</v>
      </c>
      <c r="X336" s="10" t="str">
        <f>IF(W336&gt;=J336,"CUMPLE","NO CUMPLE")</f>
        <v>CUMPLE</v>
      </c>
      <c r="Y336" s="10">
        <f>MAX(MAX(1.4/'Parametros'!$B$3,0.25*SQRT('Parametros'!$B$2)/'Parametros'!$B$3)*H336*AB336,(0.85*'Parametros'!$B$2/'Parametros'!$B$3)*(1-SQRT(1-2*(L336*1000000/('Parametros'!$B$5*H336*AB336^2))/(0.85*'Parametros'!$B$2)))*H336*AB336)</f>
        <v>660.07217662914</v>
      </c>
      <c r="Z336" s="17" t="n">
        <v>4</v>
      </c>
      <c r="AA336" s="18" t="n">
        <v>1</v>
      </c>
      <c r="AB336" s="10">
        <f>IF(AA336=1,I336-('Parametros'!$B$7+'Parametros'!$B$9+'Parametros'!$B$12/2),I336-(ROUNDUP(Z336/2,0)*('Parametros'!$B$7+'Parametros'!$B$9+'Parametros'!$B$12/2)+ROUNDDOWN(Z336/2,0)*('Parametros'!$B$7+'Parametros'!$B$9+'Parametros'!$B$12/2+'Parametros'!$B$12+'Parametros'!$B$10))/Z336)</f>
        <v>342.55</v>
      </c>
      <c r="AC336" s="10">
        <f>Z336*'Parametros'!$B$8</f>
        <v>796</v>
      </c>
      <c r="AD336" s="10">
        <f>'Parametros'!$B$5*AC336*'Parametros'!$B$3*(AB336-(AC336*'Parametros'!$B$3/(0.85*'Parametros'!$B$2*H336))/2)/1000000</f>
        <v>97.0311966352941</v>
      </c>
      <c r="AE336" s="10" t="str">
        <f>IF(AD336&gt;=L336,"CUMPLE","NO CUMPLE")</f>
        <v>CUMPLE</v>
      </c>
      <c r="AF336" s="10">
        <f>V336*1.25*'Parametros'!$B$3*(U336-(V336*1.25*'Parametros'!$B$3/(0.85*'Parametros'!$B$2*H336))/2)/1000000</f>
        <v>162.560466176471</v>
      </c>
      <c r="AG336" s="10">
        <f>AC336*1.25*'Parametros'!$B$3*(AB336-(AC336*1.25*'Parametros'!$B$3/(0.85*'Parametros'!$B$2*H336))/2)/1000000</f>
        <v>132.669027352941</v>
      </c>
      <c r="AH336" s="10">
        <f>N336+(AF336+AG336)/D336</f>
        <v>224.69480520362</v>
      </c>
      <c r="AI336" s="10">
        <f>MIN(O336,MAX(N336,AH336))</f>
        <v>224.69480520362</v>
      </c>
      <c r="AJ336" s="10">
        <f>0.17*SQRT('Parametros'!$B$2)*H336*MIN(U336,AB336)/1000</f>
        <v>107.849951281016</v>
      </c>
      <c r="AK336" s="10">
        <f>MAX(AI336/'Parametros'!$B$6-AJ336,0)</f>
        <v>191.743122323811</v>
      </c>
      <c r="AL336" s="10">
        <f>0.66*SQRT('Parametros'!$B$2)*H336*MIN(U336,AB336)/1000</f>
        <v>418.711575561591</v>
      </c>
      <c r="AM336" s="10" t="str">
        <f>IF(AK336&lt;=AL336,"CUMPLE","NO CUMPLE")</f>
        <v>CUMPLE</v>
      </c>
      <c r="AN336" s="15" t="inlineStr">
        <is>
          <t>Nº3 cerrado</t>
        </is>
      </c>
      <c r="AO336" s="17" t="n">
        <v>2</v>
      </c>
      <c r="AP336" s="10">
        <f>ROUNDDOWN(MIN(IF(AK336=0,1000000000,AO336*'Parametros'!$B$11*'Parametros'!$B$4*MIN(U336,AB336)/(AK336*1000)),IF(AV336=0,1000000000,'Parametros'!$B$11/AV336),MIN(U336,AB336)/4,8*'Parametros'!$B$12,24*'Parametros'!$B$9,300)/10,0)*10</f>
        <v>80</v>
      </c>
      <c r="AQ336" s="10">
        <f>ROUNDDOWN(MIN(IF(AK336=0,1000000000,AO336*'Parametros'!$B$11*'Parametros'!$B$4*MIN(U336,AB336)/(AK336*1000)),IF(AV336=0,1000000000,'Parametros'!$B$11/AV336),MIN(U336,AB336)/2,600)/10,0)*10</f>
        <v>100</v>
      </c>
      <c r="AR336" s="10">
        <f>'Parametros'!$B$6*(AJ336+AO336*'Parametros'!$B$11*'Parametros'!$B$4*MIN(U336,AB336)/AP336/1000)</f>
        <v>272.415732210762</v>
      </c>
      <c r="AS336" s="10" t="str">
        <f>IF(AND(AM336="CUMPLE",AR336&gt;=AI336),"CUMPLE","NO CUMPLE")</f>
        <v>CUMPLE</v>
      </c>
      <c r="AT336" s="10">
        <f>'Parametros'!$B$6*0.083*SQRT('Parametros'!$B$2)*(H336*I336)^2/(2*(H336+I336))/1000000</f>
        <v>4.30410823283988</v>
      </c>
      <c r="AU336" s="10" t="str">
        <f>IF(Q336&lt;=AT336,"DESPRECIABLE","DISEÑAR")</f>
        <v>DESPRECIABLE</v>
      </c>
      <c r="AV336" s="10">
        <f>IF(Q336&lt;=AT336,0,Q336*1000000/('Parametros'!$B$6*2*0.85*(H336-2*'Parametros'!$B$7)*(I336-2*'Parametros'!$B$7)*'Parametros'!$B$4))</f>
        <v>0</v>
      </c>
      <c r="AW336" s="10">
        <f>AV336*2*((H336-2*'Parametros'!$B$7)+(I336-2*'Parametros'!$B$7))*'Parametros'!$B$4/'Parametros'!$B$3</f>
        <v>0</v>
      </c>
      <c r="AX336" s="17" t="n">
        <v>0</v>
      </c>
      <c r="AY336" s="10" t="str">
        <f>IF(AV336=0,"DESPRECIABLE",IF('Parametros'!$B$11/AP336&gt;=AV336,"CUMPLE","NO CUMPLE"))</f>
        <v>DESPRECIABLE</v>
      </c>
      <c r="AZ336" s="10" t="str">
        <f>IF(AND(X336="CUMPLE",AE336="CUMPLE",AS336="CUMPLE",OR(AY336="CUMPLE",AY336="DESPRECIABLE")),IF(OR(F336&lt;&gt;H336,G336&lt;&gt;I336),"CUMPLE - REANALIZAR SAP","CUMPLE"),"NO CUMPLE")</f>
        <v>CUMPLE</v>
      </c>
    </row>
    <row r="337">
      <c r="A337" s="25" t="inlineStr">
        <is>
          <t>VR N1</t>
        </is>
      </c>
      <c r="B337" s="25" t="inlineStr">
        <is>
          <t>48</t>
        </is>
      </c>
      <c r="C337" s="10" t="n">
        <v>1</v>
      </c>
      <c r="D337" s="10" t="n">
        <v>2.5</v>
      </c>
      <c r="E337" s="10" t="n">
        <v>2.5</v>
      </c>
      <c r="F337" s="10" t="n">
        <v>350</v>
      </c>
      <c r="G337" s="10" t="n">
        <v>400</v>
      </c>
      <c r="H337" s="15" t="n">
        <v>350</v>
      </c>
      <c r="I337" s="15" t="n">
        <v>400</v>
      </c>
      <c r="J337" s="16" t="n">
        <v>117.1158</v>
      </c>
      <c r="K337" s="10" t="inlineStr">
        <is>
          <t>48</t>
        </is>
      </c>
      <c r="L337" s="16" t="n">
        <v>92.0852</v>
      </c>
      <c r="M337" s="10" t="inlineStr">
        <is>
          <t>48</t>
        </is>
      </c>
      <c r="N337" s="16" t="n">
        <v>119.61</v>
      </c>
      <c r="O337" s="16" t="n">
        <v>433.036</v>
      </c>
      <c r="P337" s="10" t="inlineStr">
        <is>
          <t>48</t>
        </is>
      </c>
      <c r="Q337" s="16" t="n">
        <v>0.6568000000000001</v>
      </c>
      <c r="R337" s="10">
        <f>MAX(MAX(1.4/'Parametros'!$B$3,0.25*SQRT('Parametros'!$B$2)/'Parametros'!$B$3)*H337*U337,(0.85*'Parametros'!$B$2/'Parametros'!$B$3)*(1-SQRT(1-2*(J337*1000000/('Parametros'!$B$5*H337*U337^2))/(0.85*'Parametros'!$B$2)))*H337*U337)</f>
        <v>974.349861068751</v>
      </c>
      <c r="S337" s="17" t="n">
        <v>5</v>
      </c>
      <c r="T337" s="18" t="n">
        <v>1</v>
      </c>
      <c r="U337" s="10">
        <f>IF(T337=1,I337-('Parametros'!$B$7+'Parametros'!$B$9+'Parametros'!$B$12/2),I337-(ROUNDUP(S337/2,0)*('Parametros'!$B$7+'Parametros'!$B$9+'Parametros'!$B$12/2)+ROUNDDOWN(S337/2,0)*('Parametros'!$B$7+'Parametros'!$B$9+'Parametros'!$B$12/2+'Parametros'!$B$12+'Parametros'!$B$10))/S337)</f>
        <v>342.55</v>
      </c>
      <c r="V337" s="10">
        <f>S337*'Parametros'!$B$8</f>
        <v>995</v>
      </c>
      <c r="W337" s="10">
        <f>'Parametros'!$B$5*V337*'Parametros'!$B$3*(U337-(V337*'Parametros'!$B$3/(0.85*'Parametros'!$B$2*H337))/2)/1000000</f>
        <v>119.402124617647</v>
      </c>
      <c r="X337" s="10" t="str">
        <f>IF(W337&gt;=J337,"CUMPLE","NO CUMPLE")</f>
        <v>CUMPLE</v>
      </c>
      <c r="Y337" s="10">
        <f>MAX(MAX(1.4/'Parametros'!$B$3,0.25*SQRT('Parametros'!$B$2)/'Parametros'!$B$3)*H337*AB337,(0.85*'Parametros'!$B$2/'Parametros'!$B$3)*(1-SQRT(1-2*(L337*1000000/('Parametros'!$B$5*H337*AB337^2))/(0.85*'Parametros'!$B$2)))*H337*AB337)</f>
        <v>752.88783069133</v>
      </c>
      <c r="Z337" s="17" t="n">
        <v>4</v>
      </c>
      <c r="AA337" s="18" t="n">
        <v>1</v>
      </c>
      <c r="AB337" s="10">
        <f>IF(AA337=1,I337-('Parametros'!$B$7+'Parametros'!$B$9+'Parametros'!$B$12/2),I337-(ROUNDUP(Z337/2,0)*('Parametros'!$B$7+'Parametros'!$B$9+'Parametros'!$B$12/2)+ROUNDDOWN(Z337/2,0)*('Parametros'!$B$7+'Parametros'!$B$9+'Parametros'!$B$12/2+'Parametros'!$B$12+'Parametros'!$B$10))/Z337)</f>
        <v>342.55</v>
      </c>
      <c r="AC337" s="10">
        <f>Z337*'Parametros'!$B$8</f>
        <v>796</v>
      </c>
      <c r="AD337" s="10">
        <f>'Parametros'!$B$5*AC337*'Parametros'!$B$3*(AB337-(AC337*'Parametros'!$B$3/(0.85*'Parametros'!$B$2*H337))/2)/1000000</f>
        <v>97.0311966352941</v>
      </c>
      <c r="AE337" s="10" t="str">
        <f>IF(AD337&gt;=L337,"CUMPLE","NO CUMPLE")</f>
        <v>CUMPLE</v>
      </c>
      <c r="AF337" s="10">
        <f>V337*1.25*'Parametros'!$B$3*(U337-(V337*1.25*'Parametros'!$B$3/(0.85*'Parametros'!$B$2*H337))/2)/1000000</f>
        <v>162.560466176471</v>
      </c>
      <c r="AG337" s="10">
        <f>AC337*1.25*'Parametros'!$B$3*(AB337-(AC337*1.25*'Parametros'!$B$3/(0.85*'Parametros'!$B$2*H337))/2)/1000000</f>
        <v>132.669027352941</v>
      </c>
      <c r="AH337" s="10">
        <f>N337+(AF337+AG337)/D337</f>
        <v>237.701797411765</v>
      </c>
      <c r="AI337" s="10">
        <f>MIN(O337,MAX(N337,AH337))</f>
        <v>237.701797411765</v>
      </c>
      <c r="AJ337" s="10">
        <f>0.17*SQRT('Parametros'!$B$2)*H337*MIN(U337,AB337)/1000</f>
        <v>107.849951281016</v>
      </c>
      <c r="AK337" s="10">
        <f>MAX(AI337/'Parametros'!$B$6-AJ337,0)</f>
        <v>209.085778601337</v>
      </c>
      <c r="AL337" s="10">
        <f>0.66*SQRT('Parametros'!$B$2)*H337*MIN(U337,AB337)/1000</f>
        <v>418.711575561591</v>
      </c>
      <c r="AM337" s="10" t="str">
        <f>IF(AK337&lt;=AL337,"CUMPLE","NO CUMPLE")</f>
        <v>CUMPLE</v>
      </c>
      <c r="AN337" s="15" t="inlineStr">
        <is>
          <t>Nº3 cerrado</t>
        </is>
      </c>
      <c r="AO337" s="17" t="n">
        <v>2</v>
      </c>
      <c r="AP337" s="10">
        <f>ROUNDDOWN(MIN(IF(AK337=0,1000000000,AO337*'Parametros'!$B$11*'Parametros'!$B$4*MIN(U337,AB337)/(AK337*1000)),IF(AV337=0,1000000000,'Parametros'!$B$11/AV337),MIN(U337,AB337)/4,8*'Parametros'!$B$12,24*'Parametros'!$B$9,300)/10,0)*10</f>
        <v>80</v>
      </c>
      <c r="AQ337" s="10">
        <f>ROUNDDOWN(MIN(IF(AK337=0,1000000000,AO337*'Parametros'!$B$11*'Parametros'!$B$4*MIN(U337,AB337)/(AK337*1000)),IF(AV337=0,1000000000,'Parametros'!$B$11/AV337),MIN(U337,AB337)/2,600)/10,0)*10</f>
        <v>90</v>
      </c>
      <c r="AR337" s="10">
        <f>'Parametros'!$B$6*(AJ337+AO337*'Parametros'!$B$11*'Parametros'!$B$4*MIN(U337,AB337)/AP337/1000)</f>
        <v>272.415732210762</v>
      </c>
      <c r="AS337" s="10" t="str">
        <f>IF(AND(AM337="CUMPLE",AR337&gt;=AI337),"CUMPLE","NO CUMPLE")</f>
        <v>CUMPLE</v>
      </c>
      <c r="AT337" s="10">
        <f>'Parametros'!$B$6*0.083*SQRT('Parametros'!$B$2)*(H337*I337)^2/(2*(H337+I337))/1000000</f>
        <v>4.30410823283988</v>
      </c>
      <c r="AU337" s="10" t="str">
        <f>IF(Q337&lt;=AT337,"DESPRECIABLE","DISEÑAR")</f>
        <v>DESPRECIABLE</v>
      </c>
      <c r="AV337" s="10">
        <f>IF(Q337&lt;=AT337,0,Q337*1000000/('Parametros'!$B$6*2*0.85*(H337-2*'Parametros'!$B$7)*(I337-2*'Parametros'!$B$7)*'Parametros'!$B$4))</f>
        <v>0</v>
      </c>
      <c r="AW337" s="10">
        <f>AV337*2*((H337-2*'Parametros'!$B$7)+(I337-2*'Parametros'!$B$7))*'Parametros'!$B$4/'Parametros'!$B$3</f>
        <v>0</v>
      </c>
      <c r="AX337" s="17" t="n">
        <v>0</v>
      </c>
      <c r="AY337" s="10" t="str">
        <f>IF(AV337=0,"DESPRECIABLE",IF('Parametros'!$B$11/AP337&gt;=AV337,"CUMPLE","NO CUMPLE"))</f>
        <v>DESPRECIABLE</v>
      </c>
      <c r="AZ337" s="10" t="str">
        <f>IF(AND(X337="CUMPLE",AE337="CUMPLE",AS337="CUMPLE",OR(AY337="CUMPLE",AY337="DESPRECIABLE")),IF(OR(F337&lt;&gt;H337,G337&lt;&gt;I337),"CUMPLE - REANALIZAR SAP","CUMPLE"),"NO CUMPLE")</f>
        <v>CUMPLE</v>
      </c>
    </row>
    <row r="338">
      <c r="A338" s="25" t="inlineStr">
        <is>
          <t>VR N1</t>
        </is>
      </c>
      <c r="B338" s="25" t="inlineStr">
        <is>
          <t>49</t>
        </is>
      </c>
      <c r="C338" s="10" t="n">
        <v>1</v>
      </c>
      <c r="D338" s="10" t="n">
        <v>4</v>
      </c>
      <c r="E338" s="10" t="n">
        <v>4</v>
      </c>
      <c r="F338" s="10" t="n">
        <v>350</v>
      </c>
      <c r="G338" s="10" t="n">
        <v>400</v>
      </c>
      <c r="H338" s="15" t="n">
        <v>350</v>
      </c>
      <c r="I338" s="15" t="n">
        <v>400</v>
      </c>
      <c r="J338" s="16" t="n">
        <v>102.4167</v>
      </c>
      <c r="K338" s="10" t="inlineStr">
        <is>
          <t>49</t>
        </is>
      </c>
      <c r="L338" s="16" t="n">
        <v>40.3464</v>
      </c>
      <c r="M338" s="10" t="inlineStr">
        <is>
          <t>49</t>
        </is>
      </c>
      <c r="N338" s="16" t="n">
        <v>95.417</v>
      </c>
      <c r="O338" s="16" t="n">
        <v>200.05</v>
      </c>
      <c r="P338" s="10" t="inlineStr">
        <is>
          <t>49</t>
        </is>
      </c>
      <c r="Q338" s="16" t="n">
        <v>4.6376</v>
      </c>
      <c r="R338" s="10">
        <f>MAX(MAX(1.4/'Parametros'!$B$3,0.25*SQRT('Parametros'!$B$2)/'Parametros'!$B$3)*H338*U338,(0.85*'Parametros'!$B$2/'Parametros'!$B$3)*(1-SQRT(1-2*(J338*1000000/('Parametros'!$B$5*H338*U338^2))/(0.85*'Parametros'!$B$2)))*H338*U338)</f>
        <v>843.298367938641</v>
      </c>
      <c r="S338" s="17" t="n">
        <v>5</v>
      </c>
      <c r="T338" s="18" t="n">
        <v>1</v>
      </c>
      <c r="U338" s="10">
        <f>IF(T338=1,I338-('Parametros'!$B$7+'Parametros'!$B$9+'Parametros'!$B$12/2),I338-(ROUNDUP(S338/2,0)*('Parametros'!$B$7+'Parametros'!$B$9+'Parametros'!$B$12/2)+ROUNDDOWN(S338/2,0)*('Parametros'!$B$7+'Parametros'!$B$9+'Parametros'!$B$12/2+'Parametros'!$B$12+'Parametros'!$B$10))/S338)</f>
        <v>342.55</v>
      </c>
      <c r="V338" s="10">
        <f>S338*'Parametros'!$B$8</f>
        <v>995</v>
      </c>
      <c r="W338" s="10">
        <f>'Parametros'!$B$5*V338*'Parametros'!$B$3*(U338-(V338*'Parametros'!$B$3/(0.85*'Parametros'!$B$2*H338))/2)/1000000</f>
        <v>119.402124617647</v>
      </c>
      <c r="X338" s="10" t="str">
        <f>IF(W338&gt;=J338,"CUMPLE","NO CUMPLE")</f>
        <v>CUMPLE</v>
      </c>
      <c r="Y338" s="10">
        <f>MAX(MAX(1.4/'Parametros'!$B$3,0.25*SQRT('Parametros'!$B$2)/'Parametros'!$B$3)*H338*AB338,(0.85*'Parametros'!$B$2/'Parametros'!$B$3)*(1-SQRT(1-2*(L338*1000000/('Parametros'!$B$5*H338*AB338^2))/(0.85*'Parametros'!$B$2)))*H338*AB338)</f>
        <v>399.641666666667</v>
      </c>
      <c r="Z338" s="17" t="n">
        <v>3</v>
      </c>
      <c r="AA338" s="18" t="n">
        <v>1</v>
      </c>
      <c r="AB338" s="10">
        <f>IF(AA338=1,I338-('Parametros'!$B$7+'Parametros'!$B$9+'Parametros'!$B$12/2),I338-(ROUNDUP(Z338/2,0)*('Parametros'!$B$7+'Parametros'!$B$9+'Parametros'!$B$12/2)+ROUNDDOWN(Z338/2,0)*('Parametros'!$B$7+'Parametros'!$B$9+'Parametros'!$B$12/2+'Parametros'!$B$12+'Parametros'!$B$10))/Z338)</f>
        <v>342.55</v>
      </c>
      <c r="AC338" s="10">
        <f>Z338*'Parametros'!$B$8</f>
        <v>597</v>
      </c>
      <c r="AD338" s="10">
        <f>'Parametros'!$B$5*AC338*'Parametros'!$B$3*(AB338-(AC338*'Parametros'!$B$3/(0.85*'Parametros'!$B$2*H338))/2)/1000000</f>
        <v>73.905520182353</v>
      </c>
      <c r="AE338" s="10" t="str">
        <f>IF(AD338&gt;=L338,"CUMPLE","NO CUMPLE")</f>
        <v>CUMPLE</v>
      </c>
      <c r="AF338" s="10">
        <f>V338*1.25*'Parametros'!$B$3*(U338-(V338*1.25*'Parametros'!$B$3/(0.85*'Parametros'!$B$2*H338))/2)/1000000</f>
        <v>162.560466176471</v>
      </c>
      <c r="AG338" s="10">
        <f>AC338*1.25*'Parametros'!$B$3*(AB338-(AC338*1.25*'Parametros'!$B$3/(0.85*'Parametros'!$B$2*H338))/2)/1000000</f>
        <v>101.467261323529</v>
      </c>
      <c r="AH338" s="10">
        <f>N338+(AF338+AG338)/D338</f>
        <v>161.423931875</v>
      </c>
      <c r="AI338" s="10">
        <f>MIN(O338,MAX(N338,AH338))</f>
        <v>161.423931875</v>
      </c>
      <c r="AJ338" s="10">
        <f>0.17*SQRT('Parametros'!$B$2)*H338*MIN(U338,AB338)/1000</f>
        <v>107.849951281016</v>
      </c>
      <c r="AK338" s="10">
        <f>MAX(AI338/'Parametros'!$B$6-AJ338,0)</f>
        <v>107.381957885651</v>
      </c>
      <c r="AL338" s="10">
        <f>0.66*SQRT('Parametros'!$B$2)*H338*MIN(U338,AB338)/1000</f>
        <v>418.711575561591</v>
      </c>
      <c r="AM338" s="10" t="str">
        <f>IF(AK338&lt;=AL338,"CUMPLE","NO CUMPLE")</f>
        <v>CUMPLE</v>
      </c>
      <c r="AN338" s="15" t="inlineStr">
        <is>
          <t>Nº3 cerrado</t>
        </is>
      </c>
      <c r="AO338" s="17" t="n">
        <v>2</v>
      </c>
      <c r="AP338" s="10">
        <f>ROUNDDOWN(MIN(IF(AK338=0,1000000000,AO338*'Parametros'!$B$11*'Parametros'!$B$4*MIN(U338,AB338)/(AK338*1000)),IF(AV338=0,1000000000,'Parametros'!$B$11/AV338),MIN(U338,AB338)/4,8*'Parametros'!$B$12,24*'Parametros'!$B$9,300)/10,0)*10</f>
        <v>80</v>
      </c>
      <c r="AQ338" s="10">
        <f>ROUNDDOWN(MIN(IF(AK338=0,1000000000,AO338*'Parametros'!$B$11*'Parametros'!$B$4*MIN(U338,AB338)/(AK338*1000)),IF(AV338=0,1000000000,'Parametros'!$B$11/AV338),MIN(U338,AB338)/2,600)/10,0)*10</f>
        <v>170</v>
      </c>
      <c r="AR338" s="10">
        <f>'Parametros'!$B$6*(AJ338+AO338*'Parametros'!$B$11*'Parametros'!$B$4*MIN(U338,AB338)/AP338/1000)</f>
        <v>272.415732210762</v>
      </c>
      <c r="AS338" s="10" t="str">
        <f>IF(AND(AM338="CUMPLE",AR338&gt;=AI338),"CUMPLE","NO CUMPLE")</f>
        <v>CUMPLE</v>
      </c>
      <c r="AT338" s="10">
        <f>'Parametros'!$B$6*0.083*SQRT('Parametros'!$B$2)*(H338*I338)^2/(2*(H338+I338))/1000000</f>
        <v>4.30410823283988</v>
      </c>
      <c r="AU338" s="10" t="str">
        <f>IF(Q338&lt;=AT338,"DESPRECIABLE","DISEÑAR")</f>
        <v>DISEÑAR</v>
      </c>
      <c r="AV338" s="10">
        <f>IF(Q338&lt;=AT338,0,Q338*1000000/('Parametros'!$B$6*2*0.85*(H338-2*'Parametros'!$B$7)*(I338-2*'Parametros'!$B$7)*'Parametros'!$B$4))</f>
        <v>0.100235155790711</v>
      </c>
      <c r="AW338" s="10">
        <f>AV338*2*((H338-2*'Parametros'!$B$7)+(I338-2*'Parametros'!$B$7))*'Parametros'!$B$4/'Parametros'!$B$3</f>
        <v>118.277483833039</v>
      </c>
      <c r="AX338" s="17" t="n">
        <v>1</v>
      </c>
      <c r="AY338" s="10" t="str">
        <f>IF(AV338=0,"DESPRECIABLE",IF('Parametros'!$B$11/AP338&gt;=AV338,"CUMPLE","NO CUMPLE"))</f>
        <v>CUMPLE</v>
      </c>
      <c r="AZ338" s="10" t="str">
        <f>IF(AND(X338="CUMPLE",AE338="CUMPLE",AS338="CUMPLE",OR(AY338="CUMPLE",AY338="DESPRECIABLE")),IF(OR(F338&lt;&gt;H338,G338&lt;&gt;I338),"CUMPLE - REANALIZAR SAP","CUMPLE"),"NO CUMPLE")</f>
        <v>CUMPLE</v>
      </c>
    </row>
    <row r="339">
      <c r="A339" s="25" t="inlineStr">
        <is>
          <t>VR N1</t>
        </is>
      </c>
      <c r="B339" s="25" t="inlineStr">
        <is>
          <t>50</t>
        </is>
      </c>
      <c r="C339" s="10" t="n">
        <v>1</v>
      </c>
      <c r="D339" s="10" t="n">
        <v>4</v>
      </c>
      <c r="E339" s="10" t="n">
        <v>4</v>
      </c>
      <c r="F339" s="10" t="n">
        <v>350</v>
      </c>
      <c r="G339" s="10" t="n">
        <v>400</v>
      </c>
      <c r="H339" s="15" t="n">
        <v>350</v>
      </c>
      <c r="I339" s="15" t="n">
        <v>400</v>
      </c>
      <c r="J339" s="16" t="n">
        <v>102.3838</v>
      </c>
      <c r="K339" s="10" t="inlineStr">
        <is>
          <t>50</t>
        </is>
      </c>
      <c r="L339" s="16" t="n">
        <v>40.335</v>
      </c>
      <c r="M339" s="10" t="inlineStr">
        <is>
          <t>50</t>
        </is>
      </c>
      <c r="N339" s="16" t="n">
        <v>95.402</v>
      </c>
      <c r="O339" s="16" t="n">
        <v>200.023</v>
      </c>
      <c r="P339" s="10" t="inlineStr">
        <is>
          <t>50</t>
        </is>
      </c>
      <c r="Q339" s="16" t="n">
        <v>4.6482</v>
      </c>
      <c r="R339" s="10">
        <f>MAX(MAX(1.4/'Parametros'!$B$3,0.25*SQRT('Parametros'!$B$2)/'Parametros'!$B$3)*H339*U339,(0.85*'Parametros'!$B$2/'Parametros'!$B$3)*(1-SQRT(1-2*(J339*1000000/('Parametros'!$B$5*H339*U339^2))/(0.85*'Parametros'!$B$2)))*H339*U339)</f>
        <v>843.008281291589</v>
      </c>
      <c r="S339" s="17" t="n">
        <v>5</v>
      </c>
      <c r="T339" s="18" t="n">
        <v>1</v>
      </c>
      <c r="U339" s="10">
        <f>IF(T339=1,I339-('Parametros'!$B$7+'Parametros'!$B$9+'Parametros'!$B$12/2),I339-(ROUNDUP(S339/2,0)*('Parametros'!$B$7+'Parametros'!$B$9+'Parametros'!$B$12/2)+ROUNDDOWN(S339/2,0)*('Parametros'!$B$7+'Parametros'!$B$9+'Parametros'!$B$12/2+'Parametros'!$B$12+'Parametros'!$B$10))/S339)</f>
        <v>342.55</v>
      </c>
      <c r="V339" s="10">
        <f>S339*'Parametros'!$B$8</f>
        <v>995</v>
      </c>
      <c r="W339" s="10">
        <f>'Parametros'!$B$5*V339*'Parametros'!$B$3*(U339-(V339*'Parametros'!$B$3/(0.85*'Parametros'!$B$2*H339))/2)/1000000</f>
        <v>119.402124617647</v>
      </c>
      <c r="X339" s="10" t="str">
        <f>IF(W339&gt;=J339,"CUMPLE","NO CUMPLE")</f>
        <v>CUMPLE</v>
      </c>
      <c r="Y339" s="10">
        <f>MAX(MAX(1.4/'Parametros'!$B$3,0.25*SQRT('Parametros'!$B$2)/'Parametros'!$B$3)*H339*AB339,(0.85*'Parametros'!$B$2/'Parametros'!$B$3)*(1-SQRT(1-2*(L339*1000000/('Parametros'!$B$5*H339*AB339^2))/(0.85*'Parametros'!$B$2)))*H339*AB339)</f>
        <v>399.641666666667</v>
      </c>
      <c r="Z339" s="17" t="n">
        <v>3</v>
      </c>
      <c r="AA339" s="18" t="n">
        <v>1</v>
      </c>
      <c r="AB339" s="10">
        <f>IF(AA339=1,I339-('Parametros'!$B$7+'Parametros'!$B$9+'Parametros'!$B$12/2),I339-(ROUNDUP(Z339/2,0)*('Parametros'!$B$7+'Parametros'!$B$9+'Parametros'!$B$12/2)+ROUNDDOWN(Z339/2,0)*('Parametros'!$B$7+'Parametros'!$B$9+'Parametros'!$B$12/2+'Parametros'!$B$12+'Parametros'!$B$10))/Z339)</f>
        <v>342.55</v>
      </c>
      <c r="AC339" s="10">
        <f>Z339*'Parametros'!$B$8</f>
        <v>597</v>
      </c>
      <c r="AD339" s="10">
        <f>'Parametros'!$B$5*AC339*'Parametros'!$B$3*(AB339-(AC339*'Parametros'!$B$3/(0.85*'Parametros'!$B$2*H339))/2)/1000000</f>
        <v>73.905520182353</v>
      </c>
      <c r="AE339" s="10" t="str">
        <f>IF(AD339&gt;=L339,"CUMPLE","NO CUMPLE")</f>
        <v>CUMPLE</v>
      </c>
      <c r="AF339" s="10">
        <f>V339*1.25*'Parametros'!$B$3*(U339-(V339*1.25*'Parametros'!$B$3/(0.85*'Parametros'!$B$2*H339))/2)/1000000</f>
        <v>162.560466176471</v>
      </c>
      <c r="AG339" s="10">
        <f>AC339*1.25*'Parametros'!$B$3*(AB339-(AC339*1.25*'Parametros'!$B$3/(0.85*'Parametros'!$B$2*H339))/2)/1000000</f>
        <v>101.467261323529</v>
      </c>
      <c r="AH339" s="10">
        <f>N339+(AF339+AG339)/D339</f>
        <v>161.408931875</v>
      </c>
      <c r="AI339" s="10">
        <f>MIN(O339,MAX(N339,AH339))</f>
        <v>161.408931875</v>
      </c>
      <c r="AJ339" s="10">
        <f>0.17*SQRT('Parametros'!$B$2)*H339*MIN(U339,AB339)/1000</f>
        <v>107.849951281016</v>
      </c>
      <c r="AK339" s="10">
        <f>MAX(AI339/'Parametros'!$B$6-AJ339,0)</f>
        <v>107.361957885651</v>
      </c>
      <c r="AL339" s="10">
        <f>0.66*SQRT('Parametros'!$B$2)*H339*MIN(U339,AB339)/1000</f>
        <v>418.711575561591</v>
      </c>
      <c r="AM339" s="10" t="str">
        <f>IF(AK339&lt;=AL339,"CUMPLE","NO CUMPLE")</f>
        <v>CUMPLE</v>
      </c>
      <c r="AN339" s="15" t="inlineStr">
        <is>
          <t>Nº3 cerrado</t>
        </is>
      </c>
      <c r="AO339" s="17" t="n">
        <v>2</v>
      </c>
      <c r="AP339" s="10">
        <f>ROUNDDOWN(MIN(IF(AK339=0,1000000000,AO339*'Parametros'!$B$11*'Parametros'!$B$4*MIN(U339,AB339)/(AK339*1000)),IF(AV339=0,1000000000,'Parametros'!$B$11/AV339),MIN(U339,AB339)/4,8*'Parametros'!$B$12,24*'Parametros'!$B$9,300)/10,0)*10</f>
        <v>80</v>
      </c>
      <c r="AQ339" s="10">
        <f>ROUNDDOWN(MIN(IF(AK339=0,1000000000,AO339*'Parametros'!$B$11*'Parametros'!$B$4*MIN(U339,AB339)/(AK339*1000)),IF(AV339=0,1000000000,'Parametros'!$B$11/AV339),MIN(U339,AB339)/2,600)/10,0)*10</f>
        <v>170</v>
      </c>
      <c r="AR339" s="10">
        <f>'Parametros'!$B$6*(AJ339+AO339*'Parametros'!$B$11*'Parametros'!$B$4*MIN(U339,AB339)/AP339/1000)</f>
        <v>272.415732210762</v>
      </c>
      <c r="AS339" s="10" t="str">
        <f>IF(AND(AM339="CUMPLE",AR339&gt;=AI339),"CUMPLE","NO CUMPLE")</f>
        <v>CUMPLE</v>
      </c>
      <c r="AT339" s="10">
        <f>'Parametros'!$B$6*0.083*SQRT('Parametros'!$B$2)*(H339*I339)^2/(2*(H339+I339))/1000000</f>
        <v>4.30410823283988</v>
      </c>
      <c r="AU339" s="10" t="str">
        <f>IF(Q339&lt;=AT339,"DESPRECIABLE","DISEÑAR")</f>
        <v>DISEÑAR</v>
      </c>
      <c r="AV339" s="10">
        <f>IF(Q339&lt;=AT339,0,Q339*1000000/('Parametros'!$B$6*2*0.85*(H339-2*'Parametros'!$B$7)*(I339-2*'Parametros'!$B$7)*'Parametros'!$B$4))</f>
        <v>0.100464259777985</v>
      </c>
      <c r="AW339" s="10">
        <f>AV339*2*((H339-2*'Parametros'!$B$7)+(I339-2*'Parametros'!$B$7))*'Parametros'!$B$4/'Parametros'!$B$3</f>
        <v>118.547826538023</v>
      </c>
      <c r="AX339" s="17" t="n">
        <v>1</v>
      </c>
      <c r="AY339" s="10" t="str">
        <f>IF(AV339=0,"DESPRECIABLE",IF('Parametros'!$B$11/AP339&gt;=AV339,"CUMPLE","NO CUMPLE"))</f>
        <v>CUMPLE</v>
      </c>
      <c r="AZ339" s="10" t="str">
        <f>IF(AND(X339="CUMPLE",AE339="CUMPLE",AS339="CUMPLE",OR(AY339="CUMPLE",AY339="DESPRECIABLE")),IF(OR(F339&lt;&gt;H339,G339&lt;&gt;I339),"CUMPLE - REANALIZAR SAP","CUMPLE"),"NO CUMPLE")</f>
        <v>CUMPLE</v>
      </c>
    </row>
    <row r="340">
      <c r="A340" s="25" t="inlineStr">
        <is>
          <t>VR N1</t>
        </is>
      </c>
      <c r="B340" s="25" t="inlineStr">
        <is>
          <t>51</t>
        </is>
      </c>
      <c r="C340" s="10" t="n">
        <v>1</v>
      </c>
      <c r="D340" s="10" t="n">
        <v>2.5</v>
      </c>
      <c r="E340" s="10" t="n">
        <v>2.5</v>
      </c>
      <c r="F340" s="10" t="n">
        <v>350</v>
      </c>
      <c r="G340" s="10" t="n">
        <v>400</v>
      </c>
      <c r="H340" s="15" t="n">
        <v>350</v>
      </c>
      <c r="I340" s="15" t="n">
        <v>400</v>
      </c>
      <c r="J340" s="16" t="n">
        <v>117.0491</v>
      </c>
      <c r="K340" s="10" t="inlineStr">
        <is>
          <t>51</t>
        </is>
      </c>
      <c r="L340" s="16" t="n">
        <v>92.12869999999999</v>
      </c>
      <c r="M340" s="10" t="inlineStr">
        <is>
          <t>51</t>
        </is>
      </c>
      <c r="N340" s="16" t="n">
        <v>119.664</v>
      </c>
      <c r="O340" s="16" t="n">
        <v>433.097</v>
      </c>
      <c r="P340" s="10" t="inlineStr">
        <is>
          <t>51</t>
        </is>
      </c>
      <c r="Q340" s="16" t="n">
        <v>0.6575</v>
      </c>
      <c r="R340" s="10">
        <f>MAX(MAX(1.4/'Parametros'!$B$3,0.25*SQRT('Parametros'!$B$2)/'Parametros'!$B$3)*H340*U340,(0.85*'Parametros'!$B$2/'Parametros'!$B$3)*(1-SQRT(1-2*(J340*1000000/('Parametros'!$B$5*H340*U340^2))/(0.85*'Parametros'!$B$2)))*H340*U340)</f>
        <v>973.748524975617</v>
      </c>
      <c r="S340" s="17" t="n">
        <v>5</v>
      </c>
      <c r="T340" s="18" t="n">
        <v>1</v>
      </c>
      <c r="U340" s="10">
        <f>IF(T340=1,I340-('Parametros'!$B$7+'Parametros'!$B$9+'Parametros'!$B$12/2),I340-(ROUNDUP(S340/2,0)*('Parametros'!$B$7+'Parametros'!$B$9+'Parametros'!$B$12/2)+ROUNDDOWN(S340/2,0)*('Parametros'!$B$7+'Parametros'!$B$9+'Parametros'!$B$12/2+'Parametros'!$B$12+'Parametros'!$B$10))/S340)</f>
        <v>342.55</v>
      </c>
      <c r="V340" s="10">
        <f>S340*'Parametros'!$B$8</f>
        <v>995</v>
      </c>
      <c r="W340" s="10">
        <f>'Parametros'!$B$5*V340*'Parametros'!$B$3*(U340-(V340*'Parametros'!$B$3/(0.85*'Parametros'!$B$2*H340))/2)/1000000</f>
        <v>119.402124617647</v>
      </c>
      <c r="X340" s="10" t="str">
        <f>IF(W340&gt;=J340,"CUMPLE","NO CUMPLE")</f>
        <v>CUMPLE</v>
      </c>
      <c r="Y340" s="10">
        <f>MAX(MAX(1.4/'Parametros'!$B$3,0.25*SQRT('Parametros'!$B$2)/'Parametros'!$B$3)*H340*AB340,(0.85*'Parametros'!$B$2/'Parametros'!$B$3)*(1-SQRT(1-2*(L340*1000000/('Parametros'!$B$5*H340*AB340^2))/(0.85*'Parametros'!$B$2)))*H340*AB340)</f>
        <v>753.265660692761</v>
      </c>
      <c r="Z340" s="17" t="n">
        <v>4</v>
      </c>
      <c r="AA340" s="18" t="n">
        <v>1</v>
      </c>
      <c r="AB340" s="10">
        <f>IF(AA340=1,I340-('Parametros'!$B$7+'Parametros'!$B$9+'Parametros'!$B$12/2),I340-(ROUNDUP(Z340/2,0)*('Parametros'!$B$7+'Parametros'!$B$9+'Parametros'!$B$12/2)+ROUNDDOWN(Z340/2,0)*('Parametros'!$B$7+'Parametros'!$B$9+'Parametros'!$B$12/2+'Parametros'!$B$12+'Parametros'!$B$10))/Z340)</f>
        <v>342.55</v>
      </c>
      <c r="AC340" s="10">
        <f>Z340*'Parametros'!$B$8</f>
        <v>796</v>
      </c>
      <c r="AD340" s="10">
        <f>'Parametros'!$B$5*AC340*'Parametros'!$B$3*(AB340-(AC340*'Parametros'!$B$3/(0.85*'Parametros'!$B$2*H340))/2)/1000000</f>
        <v>97.0311966352941</v>
      </c>
      <c r="AE340" s="10" t="str">
        <f>IF(AD340&gt;=L340,"CUMPLE","NO CUMPLE")</f>
        <v>CUMPLE</v>
      </c>
      <c r="AF340" s="10">
        <f>V340*1.25*'Parametros'!$B$3*(U340-(V340*1.25*'Parametros'!$B$3/(0.85*'Parametros'!$B$2*H340))/2)/1000000</f>
        <v>162.560466176471</v>
      </c>
      <c r="AG340" s="10">
        <f>AC340*1.25*'Parametros'!$B$3*(AB340-(AC340*1.25*'Parametros'!$B$3/(0.85*'Parametros'!$B$2*H340))/2)/1000000</f>
        <v>132.669027352941</v>
      </c>
      <c r="AH340" s="10">
        <f>N340+(AF340+AG340)/D340</f>
        <v>237.755797411765</v>
      </c>
      <c r="AI340" s="10">
        <f>MIN(O340,MAX(N340,AH340))</f>
        <v>237.755797411765</v>
      </c>
      <c r="AJ340" s="10">
        <f>0.17*SQRT('Parametros'!$B$2)*H340*MIN(U340,AB340)/1000</f>
        <v>107.849951281016</v>
      </c>
      <c r="AK340" s="10">
        <f>MAX(AI340/'Parametros'!$B$6-AJ340,0)</f>
        <v>209.157778601337</v>
      </c>
      <c r="AL340" s="10">
        <f>0.66*SQRT('Parametros'!$B$2)*H340*MIN(U340,AB340)/1000</f>
        <v>418.711575561591</v>
      </c>
      <c r="AM340" s="10" t="str">
        <f>IF(AK340&lt;=AL340,"CUMPLE","NO CUMPLE")</f>
        <v>CUMPLE</v>
      </c>
      <c r="AN340" s="15" t="inlineStr">
        <is>
          <t>Nº3 cerrado</t>
        </is>
      </c>
      <c r="AO340" s="17" t="n">
        <v>2</v>
      </c>
      <c r="AP340" s="10">
        <f>ROUNDDOWN(MIN(IF(AK340=0,1000000000,AO340*'Parametros'!$B$11*'Parametros'!$B$4*MIN(U340,AB340)/(AK340*1000)),IF(AV340=0,1000000000,'Parametros'!$B$11/AV340),MIN(U340,AB340)/4,8*'Parametros'!$B$12,24*'Parametros'!$B$9,300)/10,0)*10</f>
        <v>80</v>
      </c>
      <c r="AQ340" s="10">
        <f>ROUNDDOWN(MIN(IF(AK340=0,1000000000,AO340*'Parametros'!$B$11*'Parametros'!$B$4*MIN(U340,AB340)/(AK340*1000)),IF(AV340=0,1000000000,'Parametros'!$B$11/AV340),MIN(U340,AB340)/2,600)/10,0)*10</f>
        <v>90</v>
      </c>
      <c r="AR340" s="10">
        <f>'Parametros'!$B$6*(AJ340+AO340*'Parametros'!$B$11*'Parametros'!$B$4*MIN(U340,AB340)/AP340/1000)</f>
        <v>272.415732210762</v>
      </c>
      <c r="AS340" s="10" t="str">
        <f>IF(AND(AM340="CUMPLE",AR340&gt;=AI340),"CUMPLE","NO CUMPLE")</f>
        <v>CUMPLE</v>
      </c>
      <c r="AT340" s="10">
        <f>'Parametros'!$B$6*0.083*SQRT('Parametros'!$B$2)*(H340*I340)^2/(2*(H340+I340))/1000000</f>
        <v>4.30410823283988</v>
      </c>
      <c r="AU340" s="10" t="str">
        <f>IF(Q340&lt;=AT340,"DESPRECIABLE","DISEÑAR")</f>
        <v>DESPRECIABLE</v>
      </c>
      <c r="AV340" s="10">
        <f>IF(Q340&lt;=AT340,0,Q340*1000000/('Parametros'!$B$6*2*0.85*(H340-2*'Parametros'!$B$7)*(I340-2*'Parametros'!$B$7)*'Parametros'!$B$4))</f>
        <v>0</v>
      </c>
      <c r="AW340" s="10">
        <f>AV340*2*((H340-2*'Parametros'!$B$7)+(I340-2*'Parametros'!$B$7))*'Parametros'!$B$4/'Parametros'!$B$3</f>
        <v>0</v>
      </c>
      <c r="AX340" s="17" t="n">
        <v>0</v>
      </c>
      <c r="AY340" s="10" t="str">
        <f>IF(AV340=0,"DESPRECIABLE",IF('Parametros'!$B$11/AP340&gt;=AV340,"CUMPLE","NO CUMPLE"))</f>
        <v>DESPRECIABLE</v>
      </c>
      <c r="AZ340" s="10" t="str">
        <f>IF(AND(X340="CUMPLE",AE340="CUMPLE",AS340="CUMPLE",OR(AY340="CUMPLE",AY340="DESPRECIABLE")),IF(OR(F340&lt;&gt;H340,G340&lt;&gt;I340),"CUMPLE - REANALIZAR SAP","CUMPLE"),"NO CUMPLE")</f>
        <v>CUMPLE</v>
      </c>
    </row>
    <row r="341">
      <c r="A341" s="25" t="inlineStr">
        <is>
          <t>VR N1</t>
        </is>
      </c>
      <c r="B341" s="25" t="inlineStr">
        <is>
          <t>52</t>
        </is>
      </c>
      <c r="C341" s="10" t="n">
        <v>1</v>
      </c>
      <c r="D341" s="10" t="n">
        <v>2.6</v>
      </c>
      <c r="E341" s="10" t="n">
        <v>2.6</v>
      </c>
      <c r="F341" s="10" t="n">
        <v>350</v>
      </c>
      <c r="G341" s="10" t="n">
        <v>400</v>
      </c>
      <c r="H341" s="15" t="n">
        <v>350</v>
      </c>
      <c r="I341" s="15" t="n">
        <v>400</v>
      </c>
      <c r="J341" s="16" t="n">
        <v>110.2612</v>
      </c>
      <c r="K341" s="10" t="inlineStr">
        <is>
          <t>52</t>
        </is>
      </c>
      <c r="L341" s="16" t="n">
        <v>81.2801</v>
      </c>
      <c r="M341" s="10" t="inlineStr">
        <is>
          <t>52</t>
        </is>
      </c>
      <c r="N341" s="16" t="n">
        <v>111.098</v>
      </c>
      <c r="O341" s="16" t="n">
        <v>388.883</v>
      </c>
      <c r="P341" s="10" t="inlineStr">
        <is>
          <t>52</t>
        </is>
      </c>
      <c r="Q341" s="16" t="n">
        <v>0.7301</v>
      </c>
      <c r="R341" s="10">
        <f>MAX(MAX(1.4/'Parametros'!$B$3,0.25*SQRT('Parametros'!$B$2)/'Parametros'!$B$3)*H341*U341,(0.85*'Parametros'!$B$2/'Parametros'!$B$3)*(1-SQRT(1-2*(J341*1000000/('Parametros'!$B$5*H341*U341^2))/(0.85*'Parametros'!$B$2)))*H341*U341)</f>
        <v>912.873501890002</v>
      </c>
      <c r="S341" s="17" t="n">
        <v>5</v>
      </c>
      <c r="T341" s="18" t="n">
        <v>1</v>
      </c>
      <c r="U341" s="10">
        <f>IF(T341=1,I341-('Parametros'!$B$7+'Parametros'!$B$9+'Parametros'!$B$12/2),I341-(ROUNDUP(S341/2,0)*('Parametros'!$B$7+'Parametros'!$B$9+'Parametros'!$B$12/2)+ROUNDDOWN(S341/2,0)*('Parametros'!$B$7+'Parametros'!$B$9+'Parametros'!$B$12/2+'Parametros'!$B$12+'Parametros'!$B$10))/S341)</f>
        <v>342.55</v>
      </c>
      <c r="V341" s="10">
        <f>S341*'Parametros'!$B$8</f>
        <v>995</v>
      </c>
      <c r="W341" s="10">
        <f>'Parametros'!$B$5*V341*'Parametros'!$B$3*(U341-(V341*'Parametros'!$B$3/(0.85*'Parametros'!$B$2*H341))/2)/1000000</f>
        <v>119.402124617647</v>
      </c>
      <c r="X341" s="10" t="str">
        <f>IF(W341&gt;=J341,"CUMPLE","NO CUMPLE")</f>
        <v>CUMPLE</v>
      </c>
      <c r="Y341" s="10">
        <f>MAX(MAX(1.4/'Parametros'!$B$3,0.25*SQRT('Parametros'!$B$2)/'Parametros'!$B$3)*H341*AB341,(0.85*'Parametros'!$B$2/'Parametros'!$B$3)*(1-SQRT(1-2*(L341*1000000/('Parametros'!$B$5*H341*AB341^2))/(0.85*'Parametros'!$B$2)))*H341*AB341)</f>
        <v>659.758251059541</v>
      </c>
      <c r="Z341" s="17" t="n">
        <v>4</v>
      </c>
      <c r="AA341" s="18" t="n">
        <v>1</v>
      </c>
      <c r="AB341" s="10">
        <f>IF(AA341=1,I341-('Parametros'!$B$7+'Parametros'!$B$9+'Parametros'!$B$12/2),I341-(ROUNDUP(Z341/2,0)*('Parametros'!$B$7+'Parametros'!$B$9+'Parametros'!$B$12/2)+ROUNDDOWN(Z341/2,0)*('Parametros'!$B$7+'Parametros'!$B$9+'Parametros'!$B$12/2+'Parametros'!$B$12+'Parametros'!$B$10))/Z341)</f>
        <v>342.55</v>
      </c>
      <c r="AC341" s="10">
        <f>Z341*'Parametros'!$B$8</f>
        <v>796</v>
      </c>
      <c r="AD341" s="10">
        <f>'Parametros'!$B$5*AC341*'Parametros'!$B$3*(AB341-(AC341*'Parametros'!$B$3/(0.85*'Parametros'!$B$2*H341))/2)/1000000</f>
        <v>97.0311966352941</v>
      </c>
      <c r="AE341" s="10" t="str">
        <f>IF(AD341&gt;=L341,"CUMPLE","NO CUMPLE")</f>
        <v>CUMPLE</v>
      </c>
      <c r="AF341" s="10">
        <f>V341*1.25*'Parametros'!$B$3*(U341-(V341*1.25*'Parametros'!$B$3/(0.85*'Parametros'!$B$2*H341))/2)/1000000</f>
        <v>162.560466176471</v>
      </c>
      <c r="AG341" s="10">
        <f>AC341*1.25*'Parametros'!$B$3*(AB341-(AC341*1.25*'Parametros'!$B$3/(0.85*'Parametros'!$B$2*H341))/2)/1000000</f>
        <v>132.669027352941</v>
      </c>
      <c r="AH341" s="10">
        <f>N341+(AF341+AG341)/D341</f>
        <v>224.64780520362</v>
      </c>
      <c r="AI341" s="10">
        <f>MIN(O341,MAX(N341,AH341))</f>
        <v>224.64780520362</v>
      </c>
      <c r="AJ341" s="10">
        <f>0.17*SQRT('Parametros'!$B$2)*H341*MIN(U341,AB341)/1000</f>
        <v>107.849951281016</v>
      </c>
      <c r="AK341" s="10">
        <f>MAX(AI341/'Parametros'!$B$6-AJ341,0)</f>
        <v>191.680455657144</v>
      </c>
      <c r="AL341" s="10">
        <f>0.66*SQRT('Parametros'!$B$2)*H341*MIN(U341,AB341)/1000</f>
        <v>418.711575561591</v>
      </c>
      <c r="AM341" s="10" t="str">
        <f>IF(AK341&lt;=AL341,"CUMPLE","NO CUMPLE")</f>
        <v>CUMPLE</v>
      </c>
      <c r="AN341" s="15" t="inlineStr">
        <is>
          <t>Nº3 cerrado</t>
        </is>
      </c>
      <c r="AO341" s="17" t="n">
        <v>2</v>
      </c>
      <c r="AP341" s="10">
        <f>ROUNDDOWN(MIN(IF(AK341=0,1000000000,AO341*'Parametros'!$B$11*'Parametros'!$B$4*MIN(U341,AB341)/(AK341*1000)),IF(AV341=0,1000000000,'Parametros'!$B$11/AV341),MIN(U341,AB341)/4,8*'Parametros'!$B$12,24*'Parametros'!$B$9,300)/10,0)*10</f>
        <v>80</v>
      </c>
      <c r="AQ341" s="10">
        <f>ROUNDDOWN(MIN(IF(AK341=0,1000000000,AO341*'Parametros'!$B$11*'Parametros'!$B$4*MIN(U341,AB341)/(AK341*1000)),IF(AV341=0,1000000000,'Parametros'!$B$11/AV341),MIN(U341,AB341)/2,600)/10,0)*10</f>
        <v>100</v>
      </c>
      <c r="AR341" s="10">
        <f>'Parametros'!$B$6*(AJ341+AO341*'Parametros'!$B$11*'Parametros'!$B$4*MIN(U341,AB341)/AP341/1000)</f>
        <v>272.415732210762</v>
      </c>
      <c r="AS341" s="10" t="str">
        <f>IF(AND(AM341="CUMPLE",AR341&gt;=AI341),"CUMPLE","NO CUMPLE")</f>
        <v>CUMPLE</v>
      </c>
      <c r="AT341" s="10">
        <f>'Parametros'!$B$6*0.083*SQRT('Parametros'!$B$2)*(H341*I341)^2/(2*(H341+I341))/1000000</f>
        <v>4.30410823283988</v>
      </c>
      <c r="AU341" s="10" t="str">
        <f>IF(Q341&lt;=AT341,"DESPRECIABLE","DISEÑAR")</f>
        <v>DESPRECIABLE</v>
      </c>
      <c r="AV341" s="10">
        <f>IF(Q341&lt;=AT341,0,Q341*1000000/('Parametros'!$B$6*2*0.85*(H341-2*'Parametros'!$B$7)*(I341-2*'Parametros'!$B$7)*'Parametros'!$B$4))</f>
        <v>0</v>
      </c>
      <c r="AW341" s="10">
        <f>AV341*2*((H341-2*'Parametros'!$B$7)+(I341-2*'Parametros'!$B$7))*'Parametros'!$B$4/'Parametros'!$B$3</f>
        <v>0</v>
      </c>
      <c r="AX341" s="17" t="n">
        <v>0</v>
      </c>
      <c r="AY341" s="10" t="str">
        <f>IF(AV341=0,"DESPRECIABLE",IF('Parametros'!$B$11/AP341&gt;=AV341,"CUMPLE","NO CUMPLE"))</f>
        <v>DESPRECIABLE</v>
      </c>
      <c r="AZ341" s="10" t="str">
        <f>IF(AND(X341="CUMPLE",AE341="CUMPLE",AS341="CUMPLE",OR(AY341="CUMPLE",AY341="DESPRECIABLE")),IF(OR(F341&lt;&gt;H341,G341&lt;&gt;I341),"CUMPLE - REANALIZAR SAP","CUMPLE"),"NO CUMPLE")</f>
        <v>CUMPLE</v>
      </c>
    </row>
    <row r="342">
      <c r="A342" s="25" t="inlineStr">
        <is>
          <t>VR N1</t>
        </is>
      </c>
      <c r="B342" s="25" t="inlineStr">
        <is>
          <t>53</t>
        </is>
      </c>
      <c r="C342" s="10" t="n">
        <v>1</v>
      </c>
      <c r="D342" s="10" t="n">
        <v>3.65</v>
      </c>
      <c r="E342" s="10" t="n">
        <v>3.65</v>
      </c>
      <c r="F342" s="10" t="n">
        <v>350</v>
      </c>
      <c r="G342" s="10" t="n">
        <v>400</v>
      </c>
      <c r="H342" s="15" t="n">
        <v>350</v>
      </c>
      <c r="I342" s="15" t="n">
        <v>400</v>
      </c>
      <c r="J342" s="16" t="n">
        <v>112.3336</v>
      </c>
      <c r="K342" s="10" t="inlineStr">
        <is>
          <t>53</t>
        </is>
      </c>
      <c r="L342" s="16" t="n">
        <v>58.5586</v>
      </c>
      <c r="M342" s="10" t="inlineStr">
        <is>
          <t>53</t>
        </is>
      </c>
      <c r="N342" s="16" t="n">
        <v>100.548</v>
      </c>
      <c r="O342" s="16" t="n">
        <v>268.039</v>
      </c>
      <c r="P342" s="10" t="inlineStr">
        <is>
          <t>53</t>
        </is>
      </c>
      <c r="Q342" s="16" t="n">
        <v>0.4119</v>
      </c>
      <c r="R342" s="10">
        <f>MAX(MAX(1.4/'Parametros'!$B$3,0.25*SQRT('Parametros'!$B$2)/'Parametros'!$B$3)*H342*U342,(0.85*'Parametros'!$B$2/'Parametros'!$B$3)*(1-SQRT(1-2*(J342*1000000/('Parametros'!$B$5*H342*U342^2))/(0.85*'Parametros'!$B$2)))*H342*U342)</f>
        <v>931.392097571114</v>
      </c>
      <c r="S342" s="17" t="n">
        <v>5</v>
      </c>
      <c r="T342" s="18" t="n">
        <v>1</v>
      </c>
      <c r="U342" s="10">
        <f>IF(T342=1,I342-('Parametros'!$B$7+'Parametros'!$B$9+'Parametros'!$B$12/2),I342-(ROUNDUP(S342/2,0)*('Parametros'!$B$7+'Parametros'!$B$9+'Parametros'!$B$12/2)+ROUNDDOWN(S342/2,0)*('Parametros'!$B$7+'Parametros'!$B$9+'Parametros'!$B$12/2+'Parametros'!$B$12+'Parametros'!$B$10))/S342)</f>
        <v>342.55</v>
      </c>
      <c r="V342" s="10">
        <f>S342*'Parametros'!$B$8</f>
        <v>995</v>
      </c>
      <c r="W342" s="10">
        <f>'Parametros'!$B$5*V342*'Parametros'!$B$3*(U342-(V342*'Parametros'!$B$3/(0.85*'Parametros'!$B$2*H342))/2)/1000000</f>
        <v>119.402124617647</v>
      </c>
      <c r="X342" s="10" t="str">
        <f>IF(W342&gt;=J342,"CUMPLE","NO CUMPLE")</f>
        <v>CUMPLE</v>
      </c>
      <c r="Y342" s="10">
        <f>MAX(MAX(1.4/'Parametros'!$B$3,0.25*SQRT('Parametros'!$B$2)/'Parametros'!$B$3)*H342*AB342,(0.85*'Parametros'!$B$2/'Parametros'!$B$3)*(1-SQRT(1-2*(L342*1000000/('Parametros'!$B$5*H342*AB342^2))/(0.85*'Parametros'!$B$2)))*H342*AB342)</f>
        <v>468.392372549488</v>
      </c>
      <c r="Z342" s="17" t="n">
        <v>3</v>
      </c>
      <c r="AA342" s="18" t="n">
        <v>1</v>
      </c>
      <c r="AB342" s="10">
        <f>IF(AA342=1,I342-('Parametros'!$B$7+'Parametros'!$B$9+'Parametros'!$B$12/2),I342-(ROUNDUP(Z342/2,0)*('Parametros'!$B$7+'Parametros'!$B$9+'Parametros'!$B$12/2)+ROUNDDOWN(Z342/2,0)*('Parametros'!$B$7+'Parametros'!$B$9+'Parametros'!$B$12/2+'Parametros'!$B$12+'Parametros'!$B$10))/Z342)</f>
        <v>342.55</v>
      </c>
      <c r="AC342" s="10">
        <f>Z342*'Parametros'!$B$8</f>
        <v>597</v>
      </c>
      <c r="AD342" s="10">
        <f>'Parametros'!$B$5*AC342*'Parametros'!$B$3*(AB342-(AC342*'Parametros'!$B$3/(0.85*'Parametros'!$B$2*H342))/2)/1000000</f>
        <v>73.905520182353</v>
      </c>
      <c r="AE342" s="10" t="str">
        <f>IF(AD342&gt;=L342,"CUMPLE","NO CUMPLE")</f>
        <v>CUMPLE</v>
      </c>
      <c r="AF342" s="10">
        <f>V342*1.25*'Parametros'!$B$3*(U342-(V342*1.25*'Parametros'!$B$3/(0.85*'Parametros'!$B$2*H342))/2)/1000000</f>
        <v>162.560466176471</v>
      </c>
      <c r="AG342" s="10">
        <f>AC342*1.25*'Parametros'!$B$3*(AB342-(AC342*1.25*'Parametros'!$B$3/(0.85*'Parametros'!$B$2*H342))/2)/1000000</f>
        <v>101.467261323529</v>
      </c>
      <c r="AH342" s="10">
        <f>N342+(AF342+AG342)/D342</f>
        <v>172.88436369863</v>
      </c>
      <c r="AI342" s="10">
        <f>MIN(O342,MAX(N342,AH342))</f>
        <v>172.88436369863</v>
      </c>
      <c r="AJ342" s="10">
        <f>0.17*SQRT('Parametros'!$B$2)*H342*MIN(U342,AB342)/1000</f>
        <v>107.849951281016</v>
      </c>
      <c r="AK342" s="10">
        <f>MAX(AI342/'Parametros'!$B$6-AJ342,0)</f>
        <v>122.662533650491</v>
      </c>
      <c r="AL342" s="10">
        <f>0.66*SQRT('Parametros'!$B$2)*H342*MIN(U342,AB342)/1000</f>
        <v>418.711575561591</v>
      </c>
      <c r="AM342" s="10" t="str">
        <f>IF(AK342&lt;=AL342,"CUMPLE","NO CUMPLE")</f>
        <v>CUMPLE</v>
      </c>
      <c r="AN342" s="15" t="inlineStr">
        <is>
          <t>Nº3 cerrado</t>
        </is>
      </c>
      <c r="AO342" s="17" t="n">
        <v>2</v>
      </c>
      <c r="AP342" s="10">
        <f>ROUNDDOWN(MIN(IF(AK342=0,1000000000,AO342*'Parametros'!$B$11*'Parametros'!$B$4*MIN(U342,AB342)/(AK342*1000)),IF(AV342=0,1000000000,'Parametros'!$B$11/AV342),MIN(U342,AB342)/4,8*'Parametros'!$B$12,24*'Parametros'!$B$9,300)/10,0)*10</f>
        <v>80</v>
      </c>
      <c r="AQ342" s="10">
        <f>ROUNDDOWN(MIN(IF(AK342=0,1000000000,AO342*'Parametros'!$B$11*'Parametros'!$B$4*MIN(U342,AB342)/(AK342*1000)),IF(AV342=0,1000000000,'Parametros'!$B$11/AV342),MIN(U342,AB342)/2,600)/10,0)*10</f>
        <v>160</v>
      </c>
      <c r="AR342" s="10">
        <f>'Parametros'!$B$6*(AJ342+AO342*'Parametros'!$B$11*'Parametros'!$B$4*MIN(U342,AB342)/AP342/1000)</f>
        <v>272.415732210762</v>
      </c>
      <c r="AS342" s="10" t="str">
        <f>IF(AND(AM342="CUMPLE",AR342&gt;=AI342),"CUMPLE","NO CUMPLE")</f>
        <v>CUMPLE</v>
      </c>
      <c r="AT342" s="10">
        <f>'Parametros'!$B$6*0.083*SQRT('Parametros'!$B$2)*(H342*I342)^2/(2*(H342+I342))/1000000</f>
        <v>4.30410823283988</v>
      </c>
      <c r="AU342" s="10" t="str">
        <f>IF(Q342&lt;=AT342,"DESPRECIABLE","DISEÑAR")</f>
        <v>DESPRECIABLE</v>
      </c>
      <c r="AV342" s="10">
        <f>IF(Q342&lt;=AT342,0,Q342*1000000/('Parametros'!$B$6*2*0.85*(H342-2*'Parametros'!$B$7)*(I342-2*'Parametros'!$B$7)*'Parametros'!$B$4))</f>
        <v>0</v>
      </c>
      <c r="AW342" s="10">
        <f>AV342*2*((H342-2*'Parametros'!$B$7)+(I342-2*'Parametros'!$B$7))*'Parametros'!$B$4/'Parametros'!$B$3</f>
        <v>0</v>
      </c>
      <c r="AX342" s="17" t="n">
        <v>0</v>
      </c>
      <c r="AY342" s="10" t="str">
        <f>IF(AV342=0,"DESPRECIABLE",IF('Parametros'!$B$11/AP342&gt;=AV342,"CUMPLE","NO CUMPLE"))</f>
        <v>DESPRECIABLE</v>
      </c>
      <c r="AZ342" s="10" t="str">
        <f>IF(AND(X342="CUMPLE",AE342="CUMPLE",AS342="CUMPLE",OR(AY342="CUMPLE",AY342="DESPRECIABLE")),IF(OR(F342&lt;&gt;H342,G342&lt;&gt;I342),"CUMPLE - REANALIZAR SAP","CUMPLE"),"NO CUMPLE")</f>
        <v>CUMPLE</v>
      </c>
    </row>
    <row r="343">
      <c r="A343" s="25" t="inlineStr">
        <is>
          <t>VR N1</t>
        </is>
      </c>
      <c r="B343" s="25" t="inlineStr">
        <is>
          <t>54</t>
        </is>
      </c>
      <c r="C343" s="10" t="n">
        <v>1</v>
      </c>
      <c r="D343" s="10" t="n">
        <v>2.6</v>
      </c>
      <c r="E343" s="10" t="n">
        <v>2.6</v>
      </c>
      <c r="F343" s="10" t="n">
        <v>350</v>
      </c>
      <c r="G343" s="10" t="n">
        <v>400</v>
      </c>
      <c r="H343" s="15" t="n">
        <v>350</v>
      </c>
      <c r="I343" s="15" t="n">
        <v>400</v>
      </c>
      <c r="J343" s="16" t="n">
        <v>102.6109</v>
      </c>
      <c r="K343" s="10" t="inlineStr">
        <is>
          <t>54</t>
        </is>
      </c>
      <c r="L343" s="16" t="n">
        <v>69.503</v>
      </c>
      <c r="M343" s="10" t="inlineStr">
        <is>
          <t>54</t>
        </is>
      </c>
      <c r="N343" s="16" t="n">
        <v>101.519</v>
      </c>
      <c r="O343" s="16" t="n">
        <v>324.824</v>
      </c>
      <c r="P343" s="10" t="inlineStr">
        <is>
          <t>54</t>
        </is>
      </c>
      <c r="Q343" s="16" t="n">
        <v>5.0067</v>
      </c>
      <c r="R343" s="10">
        <f>MAX(MAX(1.4/'Parametros'!$B$3,0.25*SQRT('Parametros'!$B$2)/'Parametros'!$B$3)*H343*U343,(0.85*'Parametros'!$B$2/'Parametros'!$B$3)*(1-SQRT(1-2*(J343*1000000/('Parametros'!$B$5*H343*U343^2))/(0.85*'Parametros'!$B$2)))*H343*U343)</f>
        <v>845.010960886154</v>
      </c>
      <c r="S343" s="17" t="n">
        <v>5</v>
      </c>
      <c r="T343" s="18" t="n">
        <v>1</v>
      </c>
      <c r="U343" s="10">
        <f>IF(T343=1,I343-('Parametros'!$B$7+'Parametros'!$B$9+'Parametros'!$B$12/2),I343-(ROUNDUP(S343/2,0)*('Parametros'!$B$7+'Parametros'!$B$9+'Parametros'!$B$12/2)+ROUNDDOWN(S343/2,0)*('Parametros'!$B$7+'Parametros'!$B$9+'Parametros'!$B$12/2+'Parametros'!$B$12+'Parametros'!$B$10))/S343)</f>
        <v>342.55</v>
      </c>
      <c r="V343" s="10">
        <f>S343*'Parametros'!$B$8</f>
        <v>995</v>
      </c>
      <c r="W343" s="10">
        <f>'Parametros'!$B$5*V343*'Parametros'!$B$3*(U343-(V343*'Parametros'!$B$3/(0.85*'Parametros'!$B$2*H343))/2)/1000000</f>
        <v>119.402124617647</v>
      </c>
      <c r="X343" s="10" t="str">
        <f>IF(W343&gt;=J343,"CUMPLE","NO CUMPLE")</f>
        <v>CUMPLE</v>
      </c>
      <c r="Y343" s="10">
        <f>MAX(MAX(1.4/'Parametros'!$B$3,0.25*SQRT('Parametros'!$B$2)/'Parametros'!$B$3)*H343*AB343,(0.85*'Parametros'!$B$2/'Parametros'!$B$3)*(1-SQRT(1-2*(L343*1000000/('Parametros'!$B$5*H343*AB343^2))/(0.85*'Parametros'!$B$2)))*H343*AB343)</f>
        <v>559.835366935035</v>
      </c>
      <c r="Z343" s="17" t="n">
        <v>3</v>
      </c>
      <c r="AA343" s="18" t="n">
        <v>1</v>
      </c>
      <c r="AB343" s="10">
        <f>IF(AA343=1,I343-('Parametros'!$B$7+'Parametros'!$B$9+'Parametros'!$B$12/2),I343-(ROUNDUP(Z343/2,0)*('Parametros'!$B$7+'Parametros'!$B$9+'Parametros'!$B$12/2)+ROUNDDOWN(Z343/2,0)*('Parametros'!$B$7+'Parametros'!$B$9+'Parametros'!$B$12/2+'Parametros'!$B$12+'Parametros'!$B$10))/Z343)</f>
        <v>342.55</v>
      </c>
      <c r="AC343" s="10">
        <f>Z343*'Parametros'!$B$8</f>
        <v>597</v>
      </c>
      <c r="AD343" s="10">
        <f>'Parametros'!$B$5*AC343*'Parametros'!$B$3*(AB343-(AC343*'Parametros'!$B$3/(0.85*'Parametros'!$B$2*H343))/2)/1000000</f>
        <v>73.905520182353</v>
      </c>
      <c r="AE343" s="10" t="str">
        <f>IF(AD343&gt;=L343,"CUMPLE","NO CUMPLE")</f>
        <v>CUMPLE</v>
      </c>
      <c r="AF343" s="10">
        <f>V343*1.25*'Parametros'!$B$3*(U343-(V343*1.25*'Parametros'!$B$3/(0.85*'Parametros'!$B$2*H343))/2)/1000000</f>
        <v>162.560466176471</v>
      </c>
      <c r="AG343" s="10">
        <f>AC343*1.25*'Parametros'!$B$3*(AB343-(AC343*1.25*'Parametros'!$B$3/(0.85*'Parametros'!$B$2*H343))/2)/1000000</f>
        <v>101.467261323529</v>
      </c>
      <c r="AH343" s="10">
        <f>N343+(AF343+AG343)/D343</f>
        <v>203.068125961538</v>
      </c>
      <c r="AI343" s="10">
        <f>MIN(O343,MAX(N343,AH343))</f>
        <v>203.068125961538</v>
      </c>
      <c r="AJ343" s="10">
        <f>0.17*SQRT('Parametros'!$B$2)*H343*MIN(U343,AB343)/1000</f>
        <v>107.849951281016</v>
      </c>
      <c r="AK343" s="10">
        <f>MAX(AI343/'Parametros'!$B$6-AJ343,0)</f>
        <v>162.907550001035</v>
      </c>
      <c r="AL343" s="10">
        <f>0.66*SQRT('Parametros'!$B$2)*H343*MIN(U343,AB343)/1000</f>
        <v>418.711575561591</v>
      </c>
      <c r="AM343" s="10" t="str">
        <f>IF(AK343&lt;=AL343,"CUMPLE","NO CUMPLE")</f>
        <v>CUMPLE</v>
      </c>
      <c r="AN343" s="15" t="inlineStr">
        <is>
          <t>Nº3 cerrado</t>
        </is>
      </c>
      <c r="AO343" s="17" t="n">
        <v>2</v>
      </c>
      <c r="AP343" s="10">
        <f>ROUNDDOWN(MIN(IF(AK343=0,1000000000,AO343*'Parametros'!$B$11*'Parametros'!$B$4*MIN(U343,AB343)/(AK343*1000)),IF(AV343=0,1000000000,'Parametros'!$B$11/AV343),MIN(U343,AB343)/4,8*'Parametros'!$B$12,24*'Parametros'!$B$9,300)/10,0)*10</f>
        <v>80</v>
      </c>
      <c r="AQ343" s="10">
        <f>ROUNDDOWN(MIN(IF(AK343=0,1000000000,AO343*'Parametros'!$B$11*'Parametros'!$B$4*MIN(U343,AB343)/(AK343*1000)),IF(AV343=0,1000000000,'Parametros'!$B$11/AV343),MIN(U343,AB343)/2,600)/10,0)*10</f>
        <v>120</v>
      </c>
      <c r="AR343" s="10">
        <f>'Parametros'!$B$6*(AJ343+AO343*'Parametros'!$B$11*'Parametros'!$B$4*MIN(U343,AB343)/AP343/1000)</f>
        <v>272.415732210762</v>
      </c>
      <c r="AS343" s="10" t="str">
        <f>IF(AND(AM343="CUMPLE",AR343&gt;=AI343),"CUMPLE","NO CUMPLE")</f>
        <v>CUMPLE</v>
      </c>
      <c r="AT343" s="10">
        <f>'Parametros'!$B$6*0.083*SQRT('Parametros'!$B$2)*(H343*I343)^2/(2*(H343+I343))/1000000</f>
        <v>4.30410823283988</v>
      </c>
      <c r="AU343" s="10" t="str">
        <f>IF(Q343&lt;=AT343,"DESPRECIABLE","DISEÑAR")</f>
        <v>DISEÑAR</v>
      </c>
      <c r="AV343" s="10">
        <f>IF(Q343&lt;=AT343,0,Q343*1000000/('Parametros'!$B$6*2*0.85*(H343-2*'Parametros'!$B$7)*(I343-2*'Parametros'!$B$7)*'Parametros'!$B$4))</f>
        <v>0.108212729536259</v>
      </c>
      <c r="AW343" s="10">
        <f>AV343*2*((H343-2*'Parametros'!$B$7)+(I343-2*'Parametros'!$B$7))*'Parametros'!$B$4/'Parametros'!$B$3</f>
        <v>127.691020852786</v>
      </c>
      <c r="AX343" s="17" t="n">
        <v>1</v>
      </c>
      <c r="AY343" s="10" t="str">
        <f>IF(AV343=0,"DESPRECIABLE",IF('Parametros'!$B$11/AP343&gt;=AV343,"CUMPLE","NO CUMPLE"))</f>
        <v>CUMPLE</v>
      </c>
      <c r="AZ343" s="10" t="str">
        <f>IF(AND(X343="CUMPLE",AE343="CUMPLE",AS343="CUMPLE",OR(AY343="CUMPLE",AY343="DESPRECIABLE")),IF(OR(F343&lt;&gt;H343,G343&lt;&gt;I343),"CUMPLE - REANALIZAR SAP","CUMPLE"),"NO CUMPLE")</f>
        <v>CUMPLE</v>
      </c>
    </row>
    <row r="344">
      <c r="A344" s="25" t="inlineStr">
        <is>
          <t>VR N1</t>
        </is>
      </c>
      <c r="B344" s="25" t="inlineStr">
        <is>
          <t>99</t>
        </is>
      </c>
      <c r="C344" s="10" t="n">
        <v>1</v>
      </c>
      <c r="D344" s="10" t="n">
        <v>5.5</v>
      </c>
      <c r="E344" s="10" t="n">
        <v>5.5</v>
      </c>
      <c r="F344" s="10" t="n">
        <v>350</v>
      </c>
      <c r="G344" s="10" t="n">
        <v>400</v>
      </c>
      <c r="H344" s="15" t="n">
        <v>350</v>
      </c>
      <c r="I344" s="15" t="n">
        <v>400</v>
      </c>
      <c r="J344" s="16" t="n">
        <v>99.0894</v>
      </c>
      <c r="K344" s="10" t="inlineStr">
        <is>
          <t>99</t>
        </is>
      </c>
      <c r="L344" s="16" t="n">
        <v>53.2958</v>
      </c>
      <c r="M344" s="10" t="inlineStr">
        <is>
          <t>99</t>
        </is>
      </c>
      <c r="N344" s="16" t="n">
        <v>102.392</v>
      </c>
      <c r="O344" s="16" t="n">
        <v>133.157</v>
      </c>
      <c r="P344" s="10" t="inlineStr">
        <is>
          <t>99</t>
        </is>
      </c>
      <c r="Q344" s="16" t="n">
        <v>0.3573</v>
      </c>
      <c r="R344" s="10">
        <f>MAX(MAX(1.4/'Parametros'!$B$3,0.25*SQRT('Parametros'!$B$2)/'Parametros'!$B$3)*H344*U344,(0.85*'Parametros'!$B$2/'Parametros'!$B$3)*(1-SQRT(1-2*(J344*1000000/('Parametros'!$B$5*H344*U344^2))/(0.85*'Parametros'!$B$2)))*H344*U344)</f>
        <v>814.032074465953</v>
      </c>
      <c r="S344" s="17" t="n">
        <v>5</v>
      </c>
      <c r="T344" s="18" t="n">
        <v>1</v>
      </c>
      <c r="U344" s="10">
        <f>IF(T344=1,I344-('Parametros'!$B$7+'Parametros'!$B$9+'Parametros'!$B$12/2),I344-(ROUNDUP(S344/2,0)*('Parametros'!$B$7+'Parametros'!$B$9+'Parametros'!$B$12/2)+ROUNDDOWN(S344/2,0)*('Parametros'!$B$7+'Parametros'!$B$9+'Parametros'!$B$12/2+'Parametros'!$B$12+'Parametros'!$B$10))/S344)</f>
        <v>342.55</v>
      </c>
      <c r="V344" s="10">
        <f>S344*'Parametros'!$B$8</f>
        <v>995</v>
      </c>
      <c r="W344" s="10">
        <f>'Parametros'!$B$5*V344*'Parametros'!$B$3*(U344-(V344*'Parametros'!$B$3/(0.85*'Parametros'!$B$2*H344))/2)/1000000</f>
        <v>119.402124617647</v>
      </c>
      <c r="X344" s="10" t="str">
        <f>IF(W344&gt;=J344,"CUMPLE","NO CUMPLE")</f>
        <v>CUMPLE</v>
      </c>
      <c r="Y344" s="10">
        <f>MAX(MAX(1.4/'Parametros'!$B$3,0.25*SQRT('Parametros'!$B$2)/'Parametros'!$B$3)*H344*AB344,(0.85*'Parametros'!$B$2/'Parametros'!$B$3)*(1-SQRT(1-2*(L344*1000000/('Parametros'!$B$5*H344*AB344^2))/(0.85*'Parametros'!$B$2)))*H344*AB344)</f>
        <v>424.887897981156</v>
      </c>
      <c r="Z344" s="17" t="n">
        <v>3</v>
      </c>
      <c r="AA344" s="18" t="n">
        <v>1</v>
      </c>
      <c r="AB344" s="10">
        <f>IF(AA344=1,I344-('Parametros'!$B$7+'Parametros'!$B$9+'Parametros'!$B$12/2),I344-(ROUNDUP(Z344/2,0)*('Parametros'!$B$7+'Parametros'!$B$9+'Parametros'!$B$12/2)+ROUNDDOWN(Z344/2,0)*('Parametros'!$B$7+'Parametros'!$B$9+'Parametros'!$B$12/2+'Parametros'!$B$12+'Parametros'!$B$10))/Z344)</f>
        <v>342.55</v>
      </c>
      <c r="AC344" s="10">
        <f>Z344*'Parametros'!$B$8</f>
        <v>597</v>
      </c>
      <c r="AD344" s="10">
        <f>'Parametros'!$B$5*AC344*'Parametros'!$B$3*(AB344-(AC344*'Parametros'!$B$3/(0.85*'Parametros'!$B$2*H344))/2)/1000000</f>
        <v>73.905520182353</v>
      </c>
      <c r="AE344" s="10" t="str">
        <f>IF(AD344&gt;=L344,"CUMPLE","NO CUMPLE")</f>
        <v>CUMPLE</v>
      </c>
      <c r="AF344" s="10">
        <f>V344*1.25*'Parametros'!$B$3*(U344-(V344*1.25*'Parametros'!$B$3/(0.85*'Parametros'!$B$2*H344))/2)/1000000</f>
        <v>162.560466176471</v>
      </c>
      <c r="AG344" s="10">
        <f>AC344*1.25*'Parametros'!$B$3*(AB344-(AC344*1.25*'Parametros'!$B$3/(0.85*'Parametros'!$B$2*H344))/2)/1000000</f>
        <v>101.467261323529</v>
      </c>
      <c r="AH344" s="10">
        <f>N344+(AF344+AG344)/D344</f>
        <v>150.397041363636</v>
      </c>
      <c r="AI344" s="10">
        <f>MIN(O344,MAX(N344,AH344))</f>
        <v>133.157</v>
      </c>
      <c r="AJ344" s="10">
        <f>0.17*SQRT('Parametros'!$B$2)*H344*MIN(U344,AB344)/1000</f>
        <v>107.849951281016</v>
      </c>
      <c r="AK344" s="10">
        <f>MAX(AI344/'Parametros'!$B$6-AJ344,0)</f>
        <v>69.6927153856508</v>
      </c>
      <c r="AL344" s="10">
        <f>0.66*SQRT('Parametros'!$B$2)*H344*MIN(U344,AB344)/1000</f>
        <v>418.711575561591</v>
      </c>
      <c r="AM344" s="10" t="str">
        <f>IF(AK344&lt;=AL344,"CUMPLE","NO CUMPLE")</f>
        <v>CUMPLE</v>
      </c>
      <c r="AN344" s="15" t="inlineStr">
        <is>
          <t>Nº3 cerrado</t>
        </is>
      </c>
      <c r="AO344" s="17" t="n">
        <v>2</v>
      </c>
      <c r="AP344" s="10">
        <f>ROUNDDOWN(MIN(IF(AK344=0,1000000000,AO344*'Parametros'!$B$11*'Parametros'!$B$4*MIN(U344,AB344)/(AK344*1000)),IF(AV344=0,1000000000,'Parametros'!$B$11/AV344),MIN(U344,AB344)/4,8*'Parametros'!$B$12,24*'Parametros'!$B$9,300)/10,0)*10</f>
        <v>80</v>
      </c>
      <c r="AQ344" s="10">
        <f>ROUNDDOWN(MIN(IF(AK344=0,1000000000,AO344*'Parametros'!$B$11*'Parametros'!$B$4*MIN(U344,AB344)/(AK344*1000)),IF(AV344=0,1000000000,'Parametros'!$B$11/AV344),MIN(U344,AB344)/2,600)/10,0)*10</f>
        <v>170</v>
      </c>
      <c r="AR344" s="10">
        <f>'Parametros'!$B$6*(AJ344+AO344*'Parametros'!$B$11*'Parametros'!$B$4*MIN(U344,AB344)/AP344/1000)</f>
        <v>272.415732210762</v>
      </c>
      <c r="AS344" s="10" t="str">
        <f>IF(AND(AM344="CUMPLE",AR344&gt;=AI344),"CUMPLE","NO CUMPLE")</f>
        <v>CUMPLE</v>
      </c>
      <c r="AT344" s="10">
        <f>'Parametros'!$B$6*0.083*SQRT('Parametros'!$B$2)*(H344*I344)^2/(2*(H344+I344))/1000000</f>
        <v>4.30410823283988</v>
      </c>
      <c r="AU344" s="10" t="str">
        <f>IF(Q344&lt;=AT344,"DESPRECIABLE","DISEÑAR")</f>
        <v>DESPRECIABLE</v>
      </c>
      <c r="AV344" s="10">
        <f>IF(Q344&lt;=AT344,0,Q344*1000000/('Parametros'!$B$6*2*0.85*(H344-2*'Parametros'!$B$7)*(I344-2*'Parametros'!$B$7)*'Parametros'!$B$4))</f>
        <v>0</v>
      </c>
      <c r="AW344" s="10">
        <f>AV344*2*((H344-2*'Parametros'!$B$7)+(I344-2*'Parametros'!$B$7))*'Parametros'!$B$4/'Parametros'!$B$3</f>
        <v>0</v>
      </c>
      <c r="AX344" s="17" t="n">
        <v>0</v>
      </c>
      <c r="AY344" s="10" t="str">
        <f>IF(AV344=0,"DESPRECIABLE",IF('Parametros'!$B$11/AP344&gt;=AV344,"CUMPLE","NO CUMPLE"))</f>
        <v>DESPRECIABLE</v>
      </c>
      <c r="AZ344" s="10" t="str">
        <f>IF(AND(X344="CUMPLE",AE344="CUMPLE",AS344="CUMPLE",OR(AY344="CUMPLE",AY344="DESPRECIABLE")),IF(OR(F344&lt;&gt;H344,G344&lt;&gt;I344),"CUMPLE - REANALIZAR SAP","CUMPLE"),"NO CUMPLE")</f>
        <v>CUMPLE</v>
      </c>
    </row>
    <row r="345">
      <c r="A345" s="25" t="inlineStr">
        <is>
          <t>VR N1</t>
        </is>
      </c>
      <c r="B345" s="25" t="inlineStr">
        <is>
          <t>100</t>
        </is>
      </c>
      <c r="C345" s="10" t="n">
        <v>1</v>
      </c>
      <c r="D345" s="10" t="n">
        <v>5.5</v>
      </c>
      <c r="E345" s="10" t="n">
        <v>5.5</v>
      </c>
      <c r="F345" s="10" t="n">
        <v>350</v>
      </c>
      <c r="G345" s="10" t="n">
        <v>400</v>
      </c>
      <c r="H345" s="15" t="n">
        <v>350</v>
      </c>
      <c r="I345" s="15" t="n">
        <v>400</v>
      </c>
      <c r="J345" s="16" t="n">
        <v>99.0928</v>
      </c>
      <c r="K345" s="10" t="inlineStr">
        <is>
          <t>100</t>
        </is>
      </c>
      <c r="L345" s="16" t="n">
        <v>53.2961</v>
      </c>
      <c r="M345" s="10" t="inlineStr">
        <is>
          <t>100</t>
        </is>
      </c>
      <c r="N345" s="16" t="n">
        <v>102.394</v>
      </c>
      <c r="O345" s="16" t="n">
        <v>133.158</v>
      </c>
      <c r="P345" s="10" t="inlineStr">
        <is>
          <t>100</t>
        </is>
      </c>
      <c r="Q345" s="16" t="n">
        <v>0.3568</v>
      </c>
      <c r="R345" s="10">
        <f>MAX(MAX(1.4/'Parametros'!$B$3,0.25*SQRT('Parametros'!$B$2)/'Parametros'!$B$3)*H345*U345,(0.85*'Parametros'!$B$2/'Parametros'!$B$3)*(1-SQRT(1-2*(J345*1000000/('Parametros'!$B$5*H345*U345^2))/(0.85*'Parametros'!$B$2)))*H345*U345)</f>
        <v>814.061907107799</v>
      </c>
      <c r="S345" s="17" t="n">
        <v>5</v>
      </c>
      <c r="T345" s="18" t="n">
        <v>1</v>
      </c>
      <c r="U345" s="10">
        <f>IF(T345=1,I345-('Parametros'!$B$7+'Parametros'!$B$9+'Parametros'!$B$12/2),I345-(ROUNDUP(S345/2,0)*('Parametros'!$B$7+'Parametros'!$B$9+'Parametros'!$B$12/2)+ROUNDDOWN(S345/2,0)*('Parametros'!$B$7+'Parametros'!$B$9+'Parametros'!$B$12/2+'Parametros'!$B$12+'Parametros'!$B$10))/S345)</f>
        <v>342.55</v>
      </c>
      <c r="V345" s="10">
        <f>S345*'Parametros'!$B$8</f>
        <v>995</v>
      </c>
      <c r="W345" s="10">
        <f>'Parametros'!$B$5*V345*'Parametros'!$B$3*(U345-(V345*'Parametros'!$B$3/(0.85*'Parametros'!$B$2*H345))/2)/1000000</f>
        <v>119.402124617647</v>
      </c>
      <c r="X345" s="10" t="str">
        <f>IF(W345&gt;=J345,"CUMPLE","NO CUMPLE")</f>
        <v>CUMPLE</v>
      </c>
      <c r="Y345" s="10">
        <f>MAX(MAX(1.4/'Parametros'!$B$3,0.25*SQRT('Parametros'!$B$2)/'Parametros'!$B$3)*H345*AB345,(0.85*'Parametros'!$B$2/'Parametros'!$B$3)*(1-SQRT(1-2*(L345*1000000/('Parametros'!$B$5*H345*AB345^2))/(0.85*'Parametros'!$B$2)))*H345*AB345)</f>
        <v>424.89036943559</v>
      </c>
      <c r="Z345" s="17" t="n">
        <v>3</v>
      </c>
      <c r="AA345" s="18" t="n">
        <v>1</v>
      </c>
      <c r="AB345" s="10">
        <f>IF(AA345=1,I345-('Parametros'!$B$7+'Parametros'!$B$9+'Parametros'!$B$12/2),I345-(ROUNDUP(Z345/2,0)*('Parametros'!$B$7+'Parametros'!$B$9+'Parametros'!$B$12/2)+ROUNDDOWN(Z345/2,0)*('Parametros'!$B$7+'Parametros'!$B$9+'Parametros'!$B$12/2+'Parametros'!$B$12+'Parametros'!$B$10))/Z345)</f>
        <v>342.55</v>
      </c>
      <c r="AC345" s="10">
        <f>Z345*'Parametros'!$B$8</f>
        <v>597</v>
      </c>
      <c r="AD345" s="10">
        <f>'Parametros'!$B$5*AC345*'Parametros'!$B$3*(AB345-(AC345*'Parametros'!$B$3/(0.85*'Parametros'!$B$2*H345))/2)/1000000</f>
        <v>73.905520182353</v>
      </c>
      <c r="AE345" s="10" t="str">
        <f>IF(AD345&gt;=L345,"CUMPLE","NO CUMPLE")</f>
        <v>CUMPLE</v>
      </c>
      <c r="AF345" s="10">
        <f>V345*1.25*'Parametros'!$B$3*(U345-(V345*1.25*'Parametros'!$B$3/(0.85*'Parametros'!$B$2*H345))/2)/1000000</f>
        <v>162.560466176471</v>
      </c>
      <c r="AG345" s="10">
        <f>AC345*1.25*'Parametros'!$B$3*(AB345-(AC345*1.25*'Parametros'!$B$3/(0.85*'Parametros'!$B$2*H345))/2)/1000000</f>
        <v>101.467261323529</v>
      </c>
      <c r="AH345" s="10">
        <f>N345+(AF345+AG345)/D345</f>
        <v>150.399041363636</v>
      </c>
      <c r="AI345" s="10">
        <f>MIN(O345,MAX(N345,AH345))</f>
        <v>133.158</v>
      </c>
      <c r="AJ345" s="10">
        <f>0.17*SQRT('Parametros'!$B$2)*H345*MIN(U345,AB345)/1000</f>
        <v>107.849951281016</v>
      </c>
      <c r="AK345" s="10">
        <f>MAX(AI345/'Parametros'!$B$6-AJ345,0)</f>
        <v>69.6940487189841</v>
      </c>
      <c r="AL345" s="10">
        <f>0.66*SQRT('Parametros'!$B$2)*H345*MIN(U345,AB345)/1000</f>
        <v>418.711575561591</v>
      </c>
      <c r="AM345" s="10" t="str">
        <f>IF(AK345&lt;=AL345,"CUMPLE","NO CUMPLE")</f>
        <v>CUMPLE</v>
      </c>
      <c r="AN345" s="15" t="inlineStr">
        <is>
          <t>Nº3 cerrado</t>
        </is>
      </c>
      <c r="AO345" s="17" t="n">
        <v>2</v>
      </c>
      <c r="AP345" s="10">
        <f>ROUNDDOWN(MIN(IF(AK345=0,1000000000,AO345*'Parametros'!$B$11*'Parametros'!$B$4*MIN(U345,AB345)/(AK345*1000)),IF(AV345=0,1000000000,'Parametros'!$B$11/AV345),MIN(U345,AB345)/4,8*'Parametros'!$B$12,24*'Parametros'!$B$9,300)/10,0)*10</f>
        <v>80</v>
      </c>
      <c r="AQ345" s="10">
        <f>ROUNDDOWN(MIN(IF(AK345=0,1000000000,AO345*'Parametros'!$B$11*'Parametros'!$B$4*MIN(U345,AB345)/(AK345*1000)),IF(AV345=0,1000000000,'Parametros'!$B$11/AV345),MIN(U345,AB345)/2,600)/10,0)*10</f>
        <v>170</v>
      </c>
      <c r="AR345" s="10">
        <f>'Parametros'!$B$6*(AJ345+AO345*'Parametros'!$B$11*'Parametros'!$B$4*MIN(U345,AB345)/AP345/1000)</f>
        <v>272.415732210762</v>
      </c>
      <c r="AS345" s="10" t="str">
        <f>IF(AND(AM345="CUMPLE",AR345&gt;=AI345),"CUMPLE","NO CUMPLE")</f>
        <v>CUMPLE</v>
      </c>
      <c r="AT345" s="10">
        <f>'Parametros'!$B$6*0.083*SQRT('Parametros'!$B$2)*(H345*I345)^2/(2*(H345+I345))/1000000</f>
        <v>4.30410823283988</v>
      </c>
      <c r="AU345" s="10" t="str">
        <f>IF(Q345&lt;=AT345,"DESPRECIABLE","DISEÑAR")</f>
        <v>DESPRECIABLE</v>
      </c>
      <c r="AV345" s="10">
        <f>IF(Q345&lt;=AT345,0,Q345*1000000/('Parametros'!$B$6*2*0.85*(H345-2*'Parametros'!$B$7)*(I345-2*'Parametros'!$B$7)*'Parametros'!$B$4))</f>
        <v>0</v>
      </c>
      <c r="AW345" s="10">
        <f>AV345*2*((H345-2*'Parametros'!$B$7)+(I345-2*'Parametros'!$B$7))*'Parametros'!$B$4/'Parametros'!$B$3</f>
        <v>0</v>
      </c>
      <c r="AX345" s="17" t="n">
        <v>0</v>
      </c>
      <c r="AY345" s="10" t="str">
        <f>IF(AV345=0,"DESPRECIABLE",IF('Parametros'!$B$11/AP345&gt;=AV345,"CUMPLE","NO CUMPLE"))</f>
        <v>DESPRECIABLE</v>
      </c>
      <c r="AZ345" s="10" t="str">
        <f>IF(AND(X345="CUMPLE",AE345="CUMPLE",AS345="CUMPLE",OR(AY345="CUMPLE",AY345="DESPRECIABLE")),IF(OR(F345&lt;&gt;H345,G345&lt;&gt;I345),"CUMPLE - REANALIZAR SAP","CUMPLE"),"NO CUMPLE")</f>
        <v>CUMPLE</v>
      </c>
    </row>
    <row r="346">
      <c r="A346" s="26" t="inlineStr">
        <is>
          <t>VR2</t>
        </is>
      </c>
      <c r="B346" s="26" t="inlineStr">
        <is>
          <t>11</t>
        </is>
      </c>
      <c r="C346" s="10" t="n">
        <v>1</v>
      </c>
      <c r="D346" s="10" t="n">
        <v>2.6</v>
      </c>
      <c r="E346" s="10" t="n">
        <v>2.6</v>
      </c>
      <c r="F346" s="10" t="n">
        <v>350</v>
      </c>
      <c r="G346" s="10" t="n">
        <v>400</v>
      </c>
      <c r="H346" s="15" t="n">
        <v>350</v>
      </c>
      <c r="I346" s="15" t="n">
        <v>400</v>
      </c>
      <c r="J346" s="16" t="n">
        <v>130.278</v>
      </c>
      <c r="K346" s="10" t="inlineStr">
        <is>
          <t>11</t>
        </is>
      </c>
      <c r="L346" s="16" t="n">
        <v>92.6815</v>
      </c>
      <c r="M346" s="10" t="inlineStr">
        <is>
          <t>11</t>
        </is>
      </c>
      <c r="N346" s="16" t="n">
        <v>116.533</v>
      </c>
      <c r="O346" s="16" t="n">
        <v>433.742</v>
      </c>
      <c r="P346" s="10" t="inlineStr">
        <is>
          <t>11</t>
        </is>
      </c>
      <c r="Q346" s="16" t="n">
        <v>0.8793</v>
      </c>
      <c r="R346" s="10">
        <f>MAX(MAX(1.4/'Parametros'!$B$3,0.25*SQRT('Parametros'!$B$2)/'Parametros'!$B$3)*H346*U346,(0.85*'Parametros'!$B$2/'Parametros'!$B$3)*(1-SQRT(1-2*(J346*1000000/('Parametros'!$B$5*H346*U346^2))/(0.85*'Parametros'!$B$2)))*H346*U346)</f>
        <v>1094.25551113548</v>
      </c>
      <c r="S346" s="17" t="n">
        <v>6</v>
      </c>
      <c r="T346" s="18" t="n">
        <v>1</v>
      </c>
      <c r="U346" s="10">
        <f>IF(T346=1,I346-('Parametros'!$B$7+'Parametros'!$B$9+'Parametros'!$B$12/2),I346-(ROUNDUP(S346/2,0)*('Parametros'!$B$7+'Parametros'!$B$9+'Parametros'!$B$12/2)+ROUNDDOWN(S346/2,0)*('Parametros'!$B$7+'Parametros'!$B$9+'Parametros'!$B$12/2+'Parametros'!$B$12+'Parametros'!$B$10))/S346)</f>
        <v>342.55</v>
      </c>
      <c r="V346" s="10">
        <f>S346*'Parametros'!$B$8</f>
        <v>1194</v>
      </c>
      <c r="W346" s="10">
        <f>'Parametros'!$B$5*V346*'Parametros'!$B$3*(U346-(V346*'Parametros'!$B$3/(0.85*'Parametros'!$B$2*H346))/2)/1000000</f>
        <v>141.018304129412</v>
      </c>
      <c r="X346" s="10" t="str">
        <f>IF(W346&gt;=J346,"CUMPLE","NO CUMPLE")</f>
        <v>CUMPLE</v>
      </c>
      <c r="Y346" s="10">
        <f>MAX(MAX(1.4/'Parametros'!$B$3,0.25*SQRT('Parametros'!$B$2)/'Parametros'!$B$3)*H346*AB346,(0.85*'Parametros'!$B$2/'Parametros'!$B$3)*(1-SQRT(1-2*(L346*1000000/('Parametros'!$B$5*H346*AB346^2))/(0.85*'Parametros'!$B$2)))*H346*AB346)</f>
        <v>758.069201780619</v>
      </c>
      <c r="Z346" s="17" t="n">
        <v>4</v>
      </c>
      <c r="AA346" s="18" t="n">
        <v>1</v>
      </c>
      <c r="AB346" s="10">
        <f>IF(AA346=1,I346-('Parametros'!$B$7+'Parametros'!$B$9+'Parametros'!$B$12/2),I346-(ROUNDUP(Z346/2,0)*('Parametros'!$B$7+'Parametros'!$B$9+'Parametros'!$B$12/2)+ROUNDDOWN(Z346/2,0)*('Parametros'!$B$7+'Parametros'!$B$9+'Parametros'!$B$12/2+'Parametros'!$B$12+'Parametros'!$B$10))/Z346)</f>
        <v>342.55</v>
      </c>
      <c r="AC346" s="10">
        <f>Z346*'Parametros'!$B$8</f>
        <v>796</v>
      </c>
      <c r="AD346" s="10">
        <f>'Parametros'!$B$5*AC346*'Parametros'!$B$3*(AB346-(AC346*'Parametros'!$B$3/(0.85*'Parametros'!$B$2*H346))/2)/1000000</f>
        <v>97.0311966352941</v>
      </c>
      <c r="AE346" s="10" t="str">
        <f>IF(AD346&gt;=L346,"CUMPLE","NO CUMPLE")</f>
        <v>CUMPLE</v>
      </c>
      <c r="AF346" s="10">
        <f>V346*1.25*'Parametros'!$B$3*(U346-(V346*1.25*'Parametros'!$B$3/(0.85*'Parametros'!$B$2*H346))/2)/1000000</f>
        <v>191.141577794118</v>
      </c>
      <c r="AG346" s="10">
        <f>AC346*1.25*'Parametros'!$B$3*(AB346-(AC346*1.25*'Parametros'!$B$3/(0.85*'Parametros'!$B$2*H346))/2)/1000000</f>
        <v>132.669027352941</v>
      </c>
      <c r="AH346" s="10">
        <f>N346+(AF346+AG346)/D346</f>
        <v>241.075540441176</v>
      </c>
      <c r="AI346" s="10">
        <f>MIN(O346,MAX(N346,AH346))</f>
        <v>241.075540441176</v>
      </c>
      <c r="AJ346" s="10">
        <f>0.17*SQRT('Parametros'!$B$2)*H346*MIN(U346,AB346)/1000</f>
        <v>107.849951281016</v>
      </c>
      <c r="AK346" s="10">
        <f>MAX(AI346/'Parametros'!$B$6-AJ346,0)</f>
        <v>213.584102640553</v>
      </c>
      <c r="AL346" s="10">
        <f>0.66*SQRT('Parametros'!$B$2)*H346*MIN(U346,AB346)/1000</f>
        <v>418.711575561591</v>
      </c>
      <c r="AM346" s="10" t="str">
        <f>IF(AK346&lt;=AL346,"CUMPLE","NO CUMPLE")</f>
        <v>CUMPLE</v>
      </c>
      <c r="AN346" s="15" t="inlineStr">
        <is>
          <t>Nº3 cerrado</t>
        </is>
      </c>
      <c r="AO346" s="17" t="n">
        <v>2</v>
      </c>
      <c r="AP346" s="10">
        <f>ROUNDDOWN(MIN(IF(AK346=0,1000000000,AO346*'Parametros'!$B$11*'Parametros'!$B$4*MIN(U346,AB346)/(AK346*1000)),IF(AV346=0,1000000000,'Parametros'!$B$11/AV346),MIN(U346,AB346)/4,8*'Parametros'!$B$12,24*'Parametros'!$B$9,300)/10,0)*10</f>
        <v>80</v>
      </c>
      <c r="AQ346" s="10">
        <f>ROUNDDOWN(MIN(IF(AK346=0,1000000000,AO346*'Parametros'!$B$11*'Parametros'!$B$4*MIN(U346,AB346)/(AK346*1000)),IF(AV346=0,1000000000,'Parametros'!$B$11/AV346),MIN(U346,AB346)/2,600)/10,0)*10</f>
        <v>90</v>
      </c>
      <c r="AR346" s="10">
        <f>'Parametros'!$B$6*(AJ346+AO346*'Parametros'!$B$11*'Parametros'!$B$4*MIN(U346,AB346)/AP346/1000)</f>
        <v>272.415732210762</v>
      </c>
      <c r="AS346" s="10" t="str">
        <f>IF(AND(AM346="CUMPLE",AR346&gt;=AI346),"CUMPLE","NO CUMPLE")</f>
        <v>CUMPLE</v>
      </c>
      <c r="AT346" s="10">
        <f>'Parametros'!$B$6*0.083*SQRT('Parametros'!$B$2)*(H346*I346)^2/(2*(H346+I346))/1000000</f>
        <v>4.30410823283988</v>
      </c>
      <c r="AU346" s="10" t="str">
        <f>IF(Q346&lt;=AT346,"DESPRECIABLE","DISEÑAR")</f>
        <v>DESPRECIABLE</v>
      </c>
      <c r="AV346" s="10">
        <f>IF(Q346&lt;=AT346,0,Q346*1000000/('Parametros'!$B$6*2*0.85*(H346-2*'Parametros'!$B$7)*(I346-2*'Parametros'!$B$7)*'Parametros'!$B$4))</f>
        <v>0</v>
      </c>
      <c r="AW346" s="10">
        <f>AV346*2*((H346-2*'Parametros'!$B$7)+(I346-2*'Parametros'!$B$7))*'Parametros'!$B$4/'Parametros'!$B$3</f>
        <v>0</v>
      </c>
      <c r="AX346" s="17" t="n">
        <v>0</v>
      </c>
      <c r="AY346" s="10" t="str">
        <f>IF(AV346=0,"DESPRECIABLE",IF('Parametros'!$B$11/AP346&gt;=AV346,"CUMPLE","NO CUMPLE"))</f>
        <v>DESPRECIABLE</v>
      </c>
      <c r="AZ346" s="10" t="str">
        <f>IF(AND(X346="CUMPLE",AE346="CUMPLE",AS346="CUMPLE",OR(AY346="CUMPLE",AY346="DESPRECIABLE")),IF(OR(F346&lt;&gt;H346,G346&lt;&gt;I346),"CUMPLE - REANALIZAR SAP","CUMPLE"),"NO CUMPLE")</f>
        <v>CUMPLE</v>
      </c>
    </row>
    <row r="347">
      <c r="A347" s="26" t="inlineStr">
        <is>
          <t>VR2</t>
        </is>
      </c>
      <c r="B347" s="26" t="inlineStr">
        <is>
          <t>12</t>
        </is>
      </c>
      <c r="C347" s="10" t="n">
        <v>1</v>
      </c>
      <c r="D347" s="10" t="n">
        <v>3.65308</v>
      </c>
      <c r="E347" s="10" t="n">
        <v>3.65308</v>
      </c>
      <c r="F347" s="10" t="n">
        <v>350</v>
      </c>
      <c r="G347" s="10" t="n">
        <v>400</v>
      </c>
      <c r="H347" s="15" t="n">
        <v>350</v>
      </c>
      <c r="I347" s="15" t="n">
        <v>400</v>
      </c>
      <c r="J347" s="16" t="n">
        <v>108.6592</v>
      </c>
      <c r="K347" s="10" t="inlineStr">
        <is>
          <t>12</t>
        </is>
      </c>
      <c r="L347" s="16" t="n">
        <v>65.94370000000001</v>
      </c>
      <c r="M347" s="10" t="inlineStr">
        <is>
          <t>12</t>
        </is>
      </c>
      <c r="N347" s="16" t="n">
        <v>81.55200000000001</v>
      </c>
      <c r="O347" s="16" t="n">
        <v>244.144</v>
      </c>
      <c r="P347" s="10" t="inlineStr">
        <is>
          <t>12</t>
        </is>
      </c>
      <c r="Q347" s="16" t="n">
        <v>7.592</v>
      </c>
      <c r="R347" s="10">
        <f>MAX(MAX(1.4/'Parametros'!$B$3,0.25*SQRT('Parametros'!$B$2)/'Parametros'!$B$3)*H347*U347,(0.85*'Parametros'!$B$2/'Parametros'!$B$3)*(1-SQRT(1-2*(J347*1000000/('Parametros'!$B$5*H347*U347^2))/(0.85*'Parametros'!$B$2)))*H347*U347)</f>
        <v>898.598180359124</v>
      </c>
      <c r="S347" s="17" t="n">
        <v>5</v>
      </c>
      <c r="T347" s="18" t="n">
        <v>1</v>
      </c>
      <c r="U347" s="10">
        <f>IF(T347=1,I347-('Parametros'!$B$7+'Parametros'!$B$9+'Parametros'!$B$12/2),I347-(ROUNDUP(S347/2,0)*('Parametros'!$B$7+'Parametros'!$B$9+'Parametros'!$B$12/2)+ROUNDDOWN(S347/2,0)*('Parametros'!$B$7+'Parametros'!$B$9+'Parametros'!$B$12/2+'Parametros'!$B$12+'Parametros'!$B$10))/S347)</f>
        <v>342.55</v>
      </c>
      <c r="V347" s="10">
        <f>S347*'Parametros'!$B$8</f>
        <v>995</v>
      </c>
      <c r="W347" s="10">
        <f>'Parametros'!$B$5*V347*'Parametros'!$B$3*(U347-(V347*'Parametros'!$B$3/(0.85*'Parametros'!$B$2*H347))/2)/1000000</f>
        <v>119.402124617647</v>
      </c>
      <c r="X347" s="10" t="str">
        <f>IF(W347&gt;=J347,"CUMPLE","NO CUMPLE")</f>
        <v>CUMPLE</v>
      </c>
      <c r="Y347" s="10">
        <f>MAX(MAX(1.4/'Parametros'!$B$3,0.25*SQRT('Parametros'!$B$2)/'Parametros'!$B$3)*H347*AB347,(0.85*'Parametros'!$B$2/'Parametros'!$B$3)*(1-SQRT(1-2*(L347*1000000/('Parametros'!$B$5*H347*AB347^2))/(0.85*'Parametros'!$B$2)))*H347*AB347)</f>
        <v>529.950116638274</v>
      </c>
      <c r="Z347" s="17" t="n">
        <v>3</v>
      </c>
      <c r="AA347" s="18" t="n">
        <v>1</v>
      </c>
      <c r="AB347" s="10">
        <f>IF(AA347=1,I347-('Parametros'!$B$7+'Parametros'!$B$9+'Parametros'!$B$12/2),I347-(ROUNDUP(Z347/2,0)*('Parametros'!$B$7+'Parametros'!$B$9+'Parametros'!$B$12/2)+ROUNDDOWN(Z347/2,0)*('Parametros'!$B$7+'Parametros'!$B$9+'Parametros'!$B$12/2+'Parametros'!$B$12+'Parametros'!$B$10))/Z347)</f>
        <v>342.55</v>
      </c>
      <c r="AC347" s="10">
        <f>Z347*'Parametros'!$B$8</f>
        <v>597</v>
      </c>
      <c r="AD347" s="10">
        <f>'Parametros'!$B$5*AC347*'Parametros'!$B$3*(AB347-(AC347*'Parametros'!$B$3/(0.85*'Parametros'!$B$2*H347))/2)/1000000</f>
        <v>73.905520182353</v>
      </c>
      <c r="AE347" s="10" t="str">
        <f>IF(AD347&gt;=L347,"CUMPLE","NO CUMPLE")</f>
        <v>CUMPLE</v>
      </c>
      <c r="AF347" s="10">
        <f>V347*1.25*'Parametros'!$B$3*(U347-(V347*1.25*'Parametros'!$B$3/(0.85*'Parametros'!$B$2*H347))/2)/1000000</f>
        <v>162.560466176471</v>
      </c>
      <c r="AG347" s="10">
        <f>AC347*1.25*'Parametros'!$B$3*(AB347-(AC347*1.25*'Parametros'!$B$3/(0.85*'Parametros'!$B$2*H347))/2)/1000000</f>
        <v>101.467261323529</v>
      </c>
      <c r="AH347" s="10">
        <f>N347+(AF347+AG347)/D347</f>
        <v>153.827375162876</v>
      </c>
      <c r="AI347" s="10">
        <f>MIN(O347,MAX(N347,AH347))</f>
        <v>153.827375162876</v>
      </c>
      <c r="AJ347" s="10">
        <f>0.17*SQRT('Parametros'!$B$2)*H347*MIN(U347,AB347)/1000</f>
        <v>107.849951281016</v>
      </c>
      <c r="AK347" s="10">
        <f>MAX(AI347/'Parametros'!$B$6-AJ347,0)</f>
        <v>97.2532156028191</v>
      </c>
      <c r="AL347" s="10">
        <f>0.66*SQRT('Parametros'!$B$2)*H347*MIN(U347,AB347)/1000</f>
        <v>418.711575561591</v>
      </c>
      <c r="AM347" s="10" t="str">
        <f>IF(AK347&lt;=AL347,"CUMPLE","NO CUMPLE")</f>
        <v>CUMPLE</v>
      </c>
      <c r="AN347" s="15" t="inlineStr">
        <is>
          <t>Nº3 cerrado</t>
        </is>
      </c>
      <c r="AO347" s="17" t="n">
        <v>2</v>
      </c>
      <c r="AP347" s="10">
        <f>ROUNDDOWN(MIN(IF(AK347=0,1000000000,AO347*'Parametros'!$B$11*'Parametros'!$B$4*MIN(U347,AB347)/(AK347*1000)),IF(AV347=0,1000000000,'Parametros'!$B$11/AV347),MIN(U347,AB347)/4,8*'Parametros'!$B$12,24*'Parametros'!$B$9,300)/10,0)*10</f>
        <v>80</v>
      </c>
      <c r="AQ347" s="10">
        <f>ROUNDDOWN(MIN(IF(AK347=0,1000000000,AO347*'Parametros'!$B$11*'Parametros'!$B$4*MIN(U347,AB347)/(AK347*1000)),IF(AV347=0,1000000000,'Parametros'!$B$11/AV347),MIN(U347,AB347)/2,600)/10,0)*10</f>
        <v>170</v>
      </c>
      <c r="AR347" s="10">
        <f>'Parametros'!$B$6*(AJ347+AO347*'Parametros'!$B$11*'Parametros'!$B$4*MIN(U347,AB347)/AP347/1000)</f>
        <v>272.415732210762</v>
      </c>
      <c r="AS347" s="10" t="str">
        <f>IF(AND(AM347="CUMPLE",AR347&gt;=AI347),"CUMPLE","NO CUMPLE")</f>
        <v>CUMPLE</v>
      </c>
      <c r="AT347" s="10">
        <f>'Parametros'!$B$6*0.083*SQRT('Parametros'!$B$2)*(H347*I347)^2/(2*(H347+I347))/1000000</f>
        <v>4.30410823283988</v>
      </c>
      <c r="AU347" s="10" t="str">
        <f>IF(Q347&lt;=AT347,"DESPRECIABLE","DISEÑAR")</f>
        <v>DISEÑAR</v>
      </c>
      <c r="AV347" s="10">
        <f>IF(Q347&lt;=AT347,0,Q347*1000000/('Parametros'!$B$6*2*0.85*(H347-2*'Parametros'!$B$7)*(I347-2*'Parametros'!$B$7)*'Parametros'!$B$4))</f>
        <v>0.16409032748902</v>
      </c>
      <c r="AW347" s="10">
        <f>AV347*2*((H347-2*'Parametros'!$B$7)+(I347-2*'Parametros'!$B$7))*'Parametros'!$B$4/'Parametros'!$B$3</f>
        <v>193.626586437044</v>
      </c>
      <c r="AX347" s="17" t="n">
        <v>1</v>
      </c>
      <c r="AY347" s="10" t="str">
        <f>IF(AV347=0,"DESPRECIABLE",IF('Parametros'!$B$11/AP347&gt;=AV347,"CUMPLE","NO CUMPLE"))</f>
        <v>CUMPLE</v>
      </c>
      <c r="AZ347" s="10" t="str">
        <f>IF(AND(X347="CUMPLE",AE347="CUMPLE",AS347="CUMPLE",OR(AY347="CUMPLE",AY347="DESPRECIABLE")),IF(OR(F347&lt;&gt;H347,G347&lt;&gt;I347),"CUMPLE - REANALIZAR SAP","CUMPLE"),"NO CUMPLE")</f>
        <v>CUMPLE</v>
      </c>
    </row>
    <row r="348">
      <c r="A348" s="26" t="inlineStr">
        <is>
          <t>VR2</t>
        </is>
      </c>
      <c r="B348" s="26" t="inlineStr">
        <is>
          <t>13</t>
        </is>
      </c>
      <c r="C348" s="10" t="n">
        <v>1</v>
      </c>
      <c r="D348" s="10" t="n">
        <v>2.6</v>
      </c>
      <c r="E348" s="10" t="n">
        <v>2.6</v>
      </c>
      <c r="F348" s="10" t="n">
        <v>350</v>
      </c>
      <c r="G348" s="10" t="n">
        <v>400</v>
      </c>
      <c r="H348" s="15" t="n">
        <v>350</v>
      </c>
      <c r="I348" s="15" t="n">
        <v>400</v>
      </c>
      <c r="J348" s="16" t="n">
        <v>133.4612</v>
      </c>
      <c r="K348" s="10" t="inlineStr">
        <is>
          <t>13</t>
        </is>
      </c>
      <c r="L348" s="16" t="n">
        <v>94.43980000000001</v>
      </c>
      <c r="M348" s="10" t="inlineStr">
        <is>
          <t>13</t>
        </is>
      </c>
      <c r="N348" s="16" t="n">
        <v>128.392</v>
      </c>
      <c r="O348" s="16" t="n">
        <v>462.522</v>
      </c>
      <c r="P348" s="10" t="inlineStr">
        <is>
          <t>13</t>
        </is>
      </c>
      <c r="Q348" s="16" t="n">
        <v>7.5422</v>
      </c>
      <c r="R348" s="10">
        <f>MAX(MAX(1.4/'Parametros'!$B$3,0.25*SQRT('Parametros'!$B$2)/'Parametros'!$B$3)*H348*U348,(0.85*'Parametros'!$B$2/'Parametros'!$B$3)*(1-SQRT(1-2*(J348*1000000/('Parametros'!$B$5*H348*U348^2))/(0.85*'Parametros'!$B$2)))*H348*U348)</f>
        <v>1123.63472552435</v>
      </c>
      <c r="S348" s="17" t="n">
        <v>6</v>
      </c>
      <c r="T348" s="18" t="n">
        <v>1</v>
      </c>
      <c r="U348" s="10">
        <f>IF(T348=1,I348-('Parametros'!$B$7+'Parametros'!$B$9+'Parametros'!$B$12/2),I348-(ROUNDUP(S348/2,0)*('Parametros'!$B$7+'Parametros'!$B$9+'Parametros'!$B$12/2)+ROUNDDOWN(S348/2,0)*('Parametros'!$B$7+'Parametros'!$B$9+'Parametros'!$B$12/2+'Parametros'!$B$12+'Parametros'!$B$10))/S348)</f>
        <v>342.55</v>
      </c>
      <c r="V348" s="10">
        <f>S348*'Parametros'!$B$8</f>
        <v>1194</v>
      </c>
      <c r="W348" s="10">
        <f>'Parametros'!$B$5*V348*'Parametros'!$B$3*(U348-(V348*'Parametros'!$B$3/(0.85*'Parametros'!$B$2*H348))/2)/1000000</f>
        <v>141.018304129412</v>
      </c>
      <c r="X348" s="10" t="str">
        <f>IF(W348&gt;=J348,"CUMPLE","NO CUMPLE")</f>
        <v>CUMPLE</v>
      </c>
      <c r="Y348" s="10">
        <f>MAX(MAX(1.4/'Parametros'!$B$3,0.25*SQRT('Parametros'!$B$2)/'Parametros'!$B$3)*H348*AB348,(0.85*'Parametros'!$B$2/'Parametros'!$B$3)*(1-SQRT(1-2*(L348*1000000/('Parametros'!$B$5*H348*AB348^2))/(0.85*'Parametros'!$B$2)))*H348*AB348)</f>
        <v>773.373385422137</v>
      </c>
      <c r="Z348" s="17" t="n">
        <v>4</v>
      </c>
      <c r="AA348" s="18" t="n">
        <v>1</v>
      </c>
      <c r="AB348" s="10">
        <f>IF(AA348=1,I348-('Parametros'!$B$7+'Parametros'!$B$9+'Parametros'!$B$12/2),I348-(ROUNDUP(Z348/2,0)*('Parametros'!$B$7+'Parametros'!$B$9+'Parametros'!$B$12/2)+ROUNDDOWN(Z348/2,0)*('Parametros'!$B$7+'Parametros'!$B$9+'Parametros'!$B$12/2+'Parametros'!$B$12+'Parametros'!$B$10))/Z348)</f>
        <v>342.55</v>
      </c>
      <c r="AC348" s="10">
        <f>Z348*'Parametros'!$B$8</f>
        <v>796</v>
      </c>
      <c r="AD348" s="10">
        <f>'Parametros'!$B$5*AC348*'Parametros'!$B$3*(AB348-(AC348*'Parametros'!$B$3/(0.85*'Parametros'!$B$2*H348))/2)/1000000</f>
        <v>97.0311966352941</v>
      </c>
      <c r="AE348" s="10" t="str">
        <f>IF(AD348&gt;=L348,"CUMPLE","NO CUMPLE")</f>
        <v>CUMPLE</v>
      </c>
      <c r="AF348" s="10">
        <f>V348*1.25*'Parametros'!$B$3*(U348-(V348*1.25*'Parametros'!$B$3/(0.85*'Parametros'!$B$2*H348))/2)/1000000</f>
        <v>191.141577794118</v>
      </c>
      <c r="AG348" s="10">
        <f>AC348*1.25*'Parametros'!$B$3*(AB348-(AC348*1.25*'Parametros'!$B$3/(0.85*'Parametros'!$B$2*H348))/2)/1000000</f>
        <v>132.669027352941</v>
      </c>
      <c r="AH348" s="10">
        <f>N348+(AF348+AG348)/D348</f>
        <v>252.934540441176</v>
      </c>
      <c r="AI348" s="10">
        <f>MIN(O348,MAX(N348,AH348))</f>
        <v>252.934540441176</v>
      </c>
      <c r="AJ348" s="10">
        <f>0.17*SQRT('Parametros'!$B$2)*H348*MIN(U348,AB348)/1000</f>
        <v>107.849951281016</v>
      </c>
      <c r="AK348" s="10">
        <f>MAX(AI348/'Parametros'!$B$6-AJ348,0)</f>
        <v>229.396102640553</v>
      </c>
      <c r="AL348" s="10">
        <f>0.66*SQRT('Parametros'!$B$2)*H348*MIN(U348,AB348)/1000</f>
        <v>418.711575561591</v>
      </c>
      <c r="AM348" s="10" t="str">
        <f>IF(AK348&lt;=AL348,"CUMPLE","NO CUMPLE")</f>
        <v>CUMPLE</v>
      </c>
      <c r="AN348" s="15" t="inlineStr">
        <is>
          <t>Nº3 cerrado</t>
        </is>
      </c>
      <c r="AO348" s="17" t="n">
        <v>2</v>
      </c>
      <c r="AP348" s="10">
        <f>ROUNDDOWN(MIN(IF(AK348=0,1000000000,AO348*'Parametros'!$B$11*'Parametros'!$B$4*MIN(U348,AB348)/(AK348*1000)),IF(AV348=0,1000000000,'Parametros'!$B$11/AV348),MIN(U348,AB348)/4,8*'Parametros'!$B$12,24*'Parametros'!$B$9,300)/10,0)*10</f>
        <v>80</v>
      </c>
      <c r="AQ348" s="10">
        <f>ROUNDDOWN(MIN(IF(AK348=0,1000000000,AO348*'Parametros'!$B$11*'Parametros'!$B$4*MIN(U348,AB348)/(AK348*1000)),IF(AV348=0,1000000000,'Parametros'!$B$11/AV348),MIN(U348,AB348)/2,600)/10,0)*10</f>
        <v>80</v>
      </c>
      <c r="AR348" s="10">
        <f>'Parametros'!$B$6*(AJ348+AO348*'Parametros'!$B$11*'Parametros'!$B$4*MIN(U348,AB348)/AP348/1000)</f>
        <v>272.415732210762</v>
      </c>
      <c r="AS348" s="10" t="str">
        <f>IF(AND(AM348="CUMPLE",AR348&gt;=AI348),"CUMPLE","NO CUMPLE")</f>
        <v>CUMPLE</v>
      </c>
      <c r="AT348" s="10">
        <f>'Parametros'!$B$6*0.083*SQRT('Parametros'!$B$2)*(H348*I348)^2/(2*(H348+I348))/1000000</f>
        <v>4.30410823283988</v>
      </c>
      <c r="AU348" s="10" t="str">
        <f>IF(Q348&lt;=AT348,"DESPRECIABLE","DISEÑAR")</f>
        <v>DISEÑAR</v>
      </c>
      <c r="AV348" s="10">
        <f>IF(Q348&lt;=AT348,0,Q348*1000000/('Parametros'!$B$6*2*0.85*(H348-2*'Parametros'!$B$7)*(I348-2*'Parametros'!$B$7)*'Parametros'!$B$4))</f>
        <v>0.163013971020507</v>
      </c>
      <c r="AW348" s="10">
        <f>AV348*2*((H348-2*'Parametros'!$B$7)+(I348-2*'Parametros'!$B$7))*'Parametros'!$B$4/'Parametros'!$B$3</f>
        <v>192.356485804198</v>
      </c>
      <c r="AX348" s="17" t="n">
        <v>1</v>
      </c>
      <c r="AY348" s="10" t="str">
        <f>IF(AV348=0,"DESPRECIABLE",IF('Parametros'!$B$11/AP348&gt;=AV348,"CUMPLE","NO CUMPLE"))</f>
        <v>CUMPLE</v>
      </c>
      <c r="AZ348" s="10" t="str">
        <f>IF(AND(X348="CUMPLE",AE348="CUMPLE",AS348="CUMPLE",OR(AY348="CUMPLE",AY348="DESPRECIABLE")),IF(OR(F348&lt;&gt;H348,G348&lt;&gt;I348),"CUMPLE - REANALIZAR SAP","CUMPLE"),"NO CUMPLE")</f>
        <v>CUMPLE</v>
      </c>
    </row>
    <row r="349">
      <c r="A349" s="26" t="inlineStr">
        <is>
          <t>VR2</t>
        </is>
      </c>
      <c r="B349" s="26" t="inlineStr">
        <is>
          <t>14</t>
        </is>
      </c>
      <c r="C349" s="10" t="n">
        <v>1</v>
      </c>
      <c r="D349" s="10" t="n">
        <v>2.5</v>
      </c>
      <c r="E349" s="10" t="n">
        <v>2.5</v>
      </c>
      <c r="F349" s="10" t="n">
        <v>350</v>
      </c>
      <c r="G349" s="10" t="n">
        <v>400</v>
      </c>
      <c r="H349" s="15" t="n">
        <v>350</v>
      </c>
      <c r="I349" s="15" t="n">
        <v>400</v>
      </c>
      <c r="J349" s="16" t="n">
        <v>124.5758</v>
      </c>
      <c r="K349" s="10" t="inlineStr">
        <is>
          <t>14</t>
        </is>
      </c>
      <c r="L349" s="16" t="n">
        <v>101.8075</v>
      </c>
      <c r="M349" s="10" t="inlineStr">
        <is>
          <t>14</t>
        </is>
      </c>
      <c r="N349" s="16" t="n">
        <v>121.734</v>
      </c>
      <c r="O349" s="16" t="n">
        <v>467.381</v>
      </c>
      <c r="P349" s="10" t="inlineStr">
        <is>
          <t>14</t>
        </is>
      </c>
      <c r="Q349" s="16" t="n">
        <v>1.8131</v>
      </c>
      <c r="R349" s="10">
        <f>MAX(MAX(1.4/'Parametros'!$B$3,0.25*SQRT('Parametros'!$B$2)/'Parametros'!$B$3)*H349*U349,(0.85*'Parametros'!$B$2/'Parametros'!$B$3)*(1-SQRT(1-2*(J349*1000000/('Parametros'!$B$5*H349*U349^2))/(0.85*'Parametros'!$B$2)))*H349*U349)</f>
        <v>1042.00244867791</v>
      </c>
      <c r="S349" s="17" t="n">
        <v>6</v>
      </c>
      <c r="T349" s="18" t="n">
        <v>1</v>
      </c>
      <c r="U349" s="10">
        <f>IF(T349=1,I349-('Parametros'!$B$7+'Parametros'!$B$9+'Parametros'!$B$12/2),I349-(ROUNDUP(S349/2,0)*('Parametros'!$B$7+'Parametros'!$B$9+'Parametros'!$B$12/2)+ROUNDDOWN(S349/2,0)*('Parametros'!$B$7+'Parametros'!$B$9+'Parametros'!$B$12/2+'Parametros'!$B$12+'Parametros'!$B$10))/S349)</f>
        <v>342.55</v>
      </c>
      <c r="V349" s="10">
        <f>S349*'Parametros'!$B$8</f>
        <v>1194</v>
      </c>
      <c r="W349" s="10">
        <f>'Parametros'!$B$5*V349*'Parametros'!$B$3*(U349-(V349*'Parametros'!$B$3/(0.85*'Parametros'!$B$2*H349))/2)/1000000</f>
        <v>141.018304129412</v>
      </c>
      <c r="X349" s="10" t="str">
        <f>IF(W349&gt;=J349,"CUMPLE","NO CUMPLE")</f>
        <v>CUMPLE</v>
      </c>
      <c r="Y349" s="10">
        <f>MAX(MAX(1.4/'Parametros'!$B$3,0.25*SQRT('Parametros'!$B$2)/'Parametros'!$B$3)*H349*AB349,(0.85*'Parametros'!$B$2/'Parametros'!$B$3)*(1-SQRT(1-2*(L349*1000000/('Parametros'!$B$5*H349*AB349^2))/(0.85*'Parametros'!$B$2)))*H349*AB349)</f>
        <v>837.929206832271</v>
      </c>
      <c r="Z349" s="17" t="n">
        <v>5</v>
      </c>
      <c r="AA349" s="18" t="n">
        <v>1</v>
      </c>
      <c r="AB349" s="10">
        <f>IF(AA349=1,I349-('Parametros'!$B$7+'Parametros'!$B$9+'Parametros'!$B$12/2),I349-(ROUNDUP(Z349/2,0)*('Parametros'!$B$7+'Parametros'!$B$9+'Parametros'!$B$12/2)+ROUNDDOWN(Z349/2,0)*('Parametros'!$B$7+'Parametros'!$B$9+'Parametros'!$B$12/2+'Parametros'!$B$12+'Parametros'!$B$10))/Z349)</f>
        <v>342.55</v>
      </c>
      <c r="AC349" s="10">
        <f>Z349*'Parametros'!$B$8</f>
        <v>995</v>
      </c>
      <c r="AD349" s="10">
        <f>'Parametros'!$B$5*AC349*'Parametros'!$B$3*(AB349-(AC349*'Parametros'!$B$3/(0.85*'Parametros'!$B$2*H349))/2)/1000000</f>
        <v>119.402124617647</v>
      </c>
      <c r="AE349" s="10" t="str">
        <f>IF(AD349&gt;=L349,"CUMPLE","NO CUMPLE")</f>
        <v>CUMPLE</v>
      </c>
      <c r="AF349" s="10">
        <f>V349*1.25*'Parametros'!$B$3*(U349-(V349*1.25*'Parametros'!$B$3/(0.85*'Parametros'!$B$2*H349))/2)/1000000</f>
        <v>191.141577794118</v>
      </c>
      <c r="AG349" s="10">
        <f>AC349*1.25*'Parametros'!$B$3*(AB349-(AC349*1.25*'Parametros'!$B$3/(0.85*'Parametros'!$B$2*H349))/2)/1000000</f>
        <v>162.560466176471</v>
      </c>
      <c r="AH349" s="10">
        <f>N349+(AF349+AG349)/D349</f>
        <v>263.214817588235</v>
      </c>
      <c r="AI349" s="10">
        <f>MIN(O349,MAX(N349,AH349))</f>
        <v>263.214817588235</v>
      </c>
      <c r="AJ349" s="10">
        <f>0.17*SQRT('Parametros'!$B$2)*H349*MIN(U349,AB349)/1000</f>
        <v>107.849951281016</v>
      </c>
      <c r="AK349" s="10">
        <f>MAX(AI349/'Parametros'!$B$6-AJ349,0)</f>
        <v>243.103138836631</v>
      </c>
      <c r="AL349" s="10">
        <f>0.66*SQRT('Parametros'!$B$2)*H349*MIN(U349,AB349)/1000</f>
        <v>418.711575561591</v>
      </c>
      <c r="AM349" s="10" t="str">
        <f>IF(AK349&lt;=AL349,"CUMPLE","NO CUMPLE")</f>
        <v>CUMPLE</v>
      </c>
      <c r="AN349" s="15" t="inlineStr">
        <is>
          <t>Nº3 cerrado</t>
        </is>
      </c>
      <c r="AO349" s="17" t="n">
        <v>2</v>
      </c>
      <c r="AP349" s="10">
        <f>ROUNDDOWN(MIN(IF(AK349=0,1000000000,AO349*'Parametros'!$B$11*'Parametros'!$B$4*MIN(U349,AB349)/(AK349*1000)),IF(AV349=0,1000000000,'Parametros'!$B$11/AV349),MIN(U349,AB349)/4,8*'Parametros'!$B$12,24*'Parametros'!$B$9,300)/10,0)*10</f>
        <v>80</v>
      </c>
      <c r="AQ349" s="10">
        <f>ROUNDDOWN(MIN(IF(AK349=0,1000000000,AO349*'Parametros'!$B$11*'Parametros'!$B$4*MIN(U349,AB349)/(AK349*1000)),IF(AV349=0,1000000000,'Parametros'!$B$11/AV349),MIN(U349,AB349)/2,600)/10,0)*10</f>
        <v>80</v>
      </c>
      <c r="AR349" s="10">
        <f>'Parametros'!$B$6*(AJ349+AO349*'Parametros'!$B$11*'Parametros'!$B$4*MIN(U349,AB349)/AP349/1000)</f>
        <v>272.415732210762</v>
      </c>
      <c r="AS349" s="10" t="str">
        <f>IF(AND(AM349="CUMPLE",AR349&gt;=AI349),"CUMPLE","NO CUMPLE")</f>
        <v>CUMPLE</v>
      </c>
      <c r="AT349" s="10">
        <f>'Parametros'!$B$6*0.083*SQRT('Parametros'!$B$2)*(H349*I349)^2/(2*(H349+I349))/1000000</f>
        <v>4.30410823283988</v>
      </c>
      <c r="AU349" s="10" t="str">
        <f>IF(Q349&lt;=AT349,"DESPRECIABLE","DISEÑAR")</f>
        <v>DESPRECIABLE</v>
      </c>
      <c r="AV349" s="10">
        <f>IF(Q349&lt;=AT349,0,Q349*1000000/('Parametros'!$B$6*2*0.85*(H349-2*'Parametros'!$B$7)*(I349-2*'Parametros'!$B$7)*'Parametros'!$B$4))</f>
        <v>0</v>
      </c>
      <c r="AW349" s="10">
        <f>AV349*2*((H349-2*'Parametros'!$B$7)+(I349-2*'Parametros'!$B$7))*'Parametros'!$B$4/'Parametros'!$B$3</f>
        <v>0</v>
      </c>
      <c r="AX349" s="17" t="n">
        <v>0</v>
      </c>
      <c r="AY349" s="10" t="str">
        <f>IF(AV349=0,"DESPRECIABLE",IF('Parametros'!$B$11/AP349&gt;=AV349,"CUMPLE","NO CUMPLE"))</f>
        <v>DESPRECIABLE</v>
      </c>
      <c r="AZ349" s="10" t="str">
        <f>IF(AND(X349="CUMPLE",AE349="CUMPLE",AS349="CUMPLE",OR(AY349="CUMPLE",AY349="DESPRECIABLE")),IF(OR(F349&lt;&gt;H349,G349&lt;&gt;I349),"CUMPLE - REANALIZAR SAP","CUMPLE"),"NO CUMPLE")</f>
        <v>CUMPLE</v>
      </c>
    </row>
    <row r="350">
      <c r="A350" s="26" t="inlineStr">
        <is>
          <t>VR2</t>
        </is>
      </c>
      <c r="B350" s="26" t="inlineStr">
        <is>
          <t>15</t>
        </is>
      </c>
      <c r="C350" s="10" t="n">
        <v>1</v>
      </c>
      <c r="D350" s="10" t="n">
        <v>4.17612</v>
      </c>
      <c r="E350" s="10" t="n">
        <v>4.17612</v>
      </c>
      <c r="F350" s="10" t="n">
        <v>350</v>
      </c>
      <c r="G350" s="10" t="n">
        <v>400</v>
      </c>
      <c r="H350" s="15" t="n">
        <v>350</v>
      </c>
      <c r="I350" s="15" t="n">
        <v>400</v>
      </c>
      <c r="J350" s="16" t="n">
        <v>117.851</v>
      </c>
      <c r="K350" s="10" t="inlineStr">
        <is>
          <t>15</t>
        </is>
      </c>
      <c r="L350" s="16" t="n">
        <v>57.1118</v>
      </c>
      <c r="M350" s="10" t="inlineStr">
        <is>
          <t>15</t>
        </is>
      </c>
      <c r="N350" s="16" t="n">
        <v>93.652</v>
      </c>
      <c r="O350" s="16" t="n">
        <v>246.354</v>
      </c>
      <c r="P350" s="10" t="inlineStr">
        <is>
          <t>15</t>
        </is>
      </c>
      <c r="Q350" s="16" t="n">
        <v>0.2093</v>
      </c>
      <c r="R350" s="10">
        <f>MAX(MAX(1.4/'Parametros'!$B$3,0.25*SQRT('Parametros'!$B$2)/'Parametros'!$B$3)*H350*U350,(0.85*'Parametros'!$B$2/'Parametros'!$B$3)*(1-SQRT(1-2*(J350*1000000/('Parametros'!$B$5*H350*U350^2))/(0.85*'Parametros'!$B$2)))*H350*U350)</f>
        <v>980.982203162529</v>
      </c>
      <c r="S350" s="17" t="n">
        <v>5</v>
      </c>
      <c r="T350" s="18" t="n">
        <v>1</v>
      </c>
      <c r="U350" s="10">
        <f>IF(T350=1,I350-('Parametros'!$B$7+'Parametros'!$B$9+'Parametros'!$B$12/2),I350-(ROUNDUP(S350/2,0)*('Parametros'!$B$7+'Parametros'!$B$9+'Parametros'!$B$12/2)+ROUNDDOWN(S350/2,0)*('Parametros'!$B$7+'Parametros'!$B$9+'Parametros'!$B$12/2+'Parametros'!$B$12+'Parametros'!$B$10))/S350)</f>
        <v>342.55</v>
      </c>
      <c r="V350" s="10">
        <f>S350*'Parametros'!$B$8</f>
        <v>995</v>
      </c>
      <c r="W350" s="10">
        <f>'Parametros'!$B$5*V350*'Parametros'!$B$3*(U350-(V350*'Parametros'!$B$3/(0.85*'Parametros'!$B$2*H350))/2)/1000000</f>
        <v>119.402124617647</v>
      </c>
      <c r="X350" s="10" t="str">
        <f>IF(W350&gt;=J350,"CUMPLE","NO CUMPLE")</f>
        <v>CUMPLE</v>
      </c>
      <c r="Y350" s="10">
        <f>MAX(MAX(1.4/'Parametros'!$B$3,0.25*SQRT('Parametros'!$B$2)/'Parametros'!$B$3)*H350*AB350,(0.85*'Parametros'!$B$2/'Parametros'!$B$3)*(1-SQRT(1-2*(L350*1000000/('Parametros'!$B$5*H350*AB350^2))/(0.85*'Parametros'!$B$2)))*H350*AB350)</f>
        <v>456.402762409612</v>
      </c>
      <c r="Z350" s="17" t="n">
        <v>3</v>
      </c>
      <c r="AA350" s="18" t="n">
        <v>1</v>
      </c>
      <c r="AB350" s="10">
        <f>IF(AA350=1,I350-('Parametros'!$B$7+'Parametros'!$B$9+'Parametros'!$B$12/2),I350-(ROUNDUP(Z350/2,0)*('Parametros'!$B$7+'Parametros'!$B$9+'Parametros'!$B$12/2)+ROUNDDOWN(Z350/2,0)*('Parametros'!$B$7+'Parametros'!$B$9+'Parametros'!$B$12/2+'Parametros'!$B$12+'Parametros'!$B$10))/Z350)</f>
        <v>342.55</v>
      </c>
      <c r="AC350" s="10">
        <f>Z350*'Parametros'!$B$8</f>
        <v>597</v>
      </c>
      <c r="AD350" s="10">
        <f>'Parametros'!$B$5*AC350*'Parametros'!$B$3*(AB350-(AC350*'Parametros'!$B$3/(0.85*'Parametros'!$B$2*H350))/2)/1000000</f>
        <v>73.905520182353</v>
      </c>
      <c r="AE350" s="10" t="str">
        <f>IF(AD350&gt;=L350,"CUMPLE","NO CUMPLE")</f>
        <v>CUMPLE</v>
      </c>
      <c r="AF350" s="10">
        <f>V350*1.25*'Parametros'!$B$3*(U350-(V350*1.25*'Parametros'!$B$3/(0.85*'Parametros'!$B$2*H350))/2)/1000000</f>
        <v>162.560466176471</v>
      </c>
      <c r="AG350" s="10">
        <f>AC350*1.25*'Parametros'!$B$3*(AB350-(AC350*1.25*'Parametros'!$B$3/(0.85*'Parametros'!$B$2*H350))/2)/1000000</f>
        <v>101.467261323529</v>
      </c>
      <c r="AH350" s="10">
        <f>N350+(AF350+AG350)/D350</f>
        <v>156.875213772593</v>
      </c>
      <c r="AI350" s="10">
        <f>MIN(O350,MAX(N350,AH350))</f>
        <v>156.875213772593</v>
      </c>
      <c r="AJ350" s="10">
        <f>0.17*SQRT('Parametros'!$B$2)*H350*MIN(U350,AB350)/1000</f>
        <v>107.849951281016</v>
      </c>
      <c r="AK350" s="10">
        <f>MAX(AI350/'Parametros'!$B$6-AJ350,0)</f>
        <v>101.317000415774</v>
      </c>
      <c r="AL350" s="10">
        <f>0.66*SQRT('Parametros'!$B$2)*H350*MIN(U350,AB350)/1000</f>
        <v>418.711575561591</v>
      </c>
      <c r="AM350" s="10" t="str">
        <f>IF(AK350&lt;=AL350,"CUMPLE","NO CUMPLE")</f>
        <v>CUMPLE</v>
      </c>
      <c r="AN350" s="15" t="inlineStr">
        <is>
          <t>Nº3 cerrado</t>
        </is>
      </c>
      <c r="AO350" s="17" t="n">
        <v>2</v>
      </c>
      <c r="AP350" s="10">
        <f>ROUNDDOWN(MIN(IF(AK350=0,1000000000,AO350*'Parametros'!$B$11*'Parametros'!$B$4*MIN(U350,AB350)/(AK350*1000)),IF(AV350=0,1000000000,'Parametros'!$B$11/AV350),MIN(U350,AB350)/4,8*'Parametros'!$B$12,24*'Parametros'!$B$9,300)/10,0)*10</f>
        <v>80</v>
      </c>
      <c r="AQ350" s="10">
        <f>ROUNDDOWN(MIN(IF(AK350=0,1000000000,AO350*'Parametros'!$B$11*'Parametros'!$B$4*MIN(U350,AB350)/(AK350*1000)),IF(AV350=0,1000000000,'Parametros'!$B$11/AV350),MIN(U350,AB350)/2,600)/10,0)*10</f>
        <v>170</v>
      </c>
      <c r="AR350" s="10">
        <f>'Parametros'!$B$6*(AJ350+AO350*'Parametros'!$B$11*'Parametros'!$B$4*MIN(U350,AB350)/AP350/1000)</f>
        <v>272.415732210762</v>
      </c>
      <c r="AS350" s="10" t="str">
        <f>IF(AND(AM350="CUMPLE",AR350&gt;=AI350),"CUMPLE","NO CUMPLE")</f>
        <v>CUMPLE</v>
      </c>
      <c r="AT350" s="10">
        <f>'Parametros'!$B$6*0.083*SQRT('Parametros'!$B$2)*(H350*I350)^2/(2*(H350+I350))/1000000</f>
        <v>4.30410823283988</v>
      </c>
      <c r="AU350" s="10" t="str">
        <f>IF(Q350&lt;=AT350,"DESPRECIABLE","DISEÑAR")</f>
        <v>DESPRECIABLE</v>
      </c>
      <c r="AV350" s="10">
        <f>IF(Q350&lt;=AT350,0,Q350*1000000/('Parametros'!$B$6*2*0.85*(H350-2*'Parametros'!$B$7)*(I350-2*'Parametros'!$B$7)*'Parametros'!$B$4))</f>
        <v>0</v>
      </c>
      <c r="AW350" s="10">
        <f>AV350*2*((H350-2*'Parametros'!$B$7)+(I350-2*'Parametros'!$B$7))*'Parametros'!$B$4/'Parametros'!$B$3</f>
        <v>0</v>
      </c>
      <c r="AX350" s="17" t="n">
        <v>0</v>
      </c>
      <c r="AY350" s="10" t="str">
        <f>IF(AV350=0,"DESPRECIABLE",IF('Parametros'!$B$11/AP350&gt;=AV350,"CUMPLE","NO CUMPLE"))</f>
        <v>DESPRECIABLE</v>
      </c>
      <c r="AZ350" s="10" t="str">
        <f>IF(AND(X350="CUMPLE",AE350="CUMPLE",AS350="CUMPLE",OR(AY350="CUMPLE",AY350="DESPRECIABLE")),IF(OR(F350&lt;&gt;H350,G350&lt;&gt;I350),"CUMPLE - REANALIZAR SAP","CUMPLE"),"NO CUMPLE")</f>
        <v>CUMPLE</v>
      </c>
    </row>
    <row r="351">
      <c r="A351" s="26" t="inlineStr">
        <is>
          <t>VR2</t>
        </is>
      </c>
      <c r="B351" s="26" t="inlineStr">
        <is>
          <t>16</t>
        </is>
      </c>
      <c r="C351" s="10" t="n">
        <v>1</v>
      </c>
      <c r="D351" s="10" t="n">
        <v>2.7</v>
      </c>
      <c r="E351" s="10" t="n">
        <v>2.7</v>
      </c>
      <c r="F351" s="10" t="n">
        <v>350</v>
      </c>
      <c r="G351" s="10" t="n">
        <v>400</v>
      </c>
      <c r="H351" s="15" t="n">
        <v>350</v>
      </c>
      <c r="I351" s="15" t="n">
        <v>400</v>
      </c>
      <c r="J351" s="16" t="n">
        <v>93.83799999999999</v>
      </c>
      <c r="K351" s="10" t="inlineStr">
        <is>
          <t>16</t>
        </is>
      </c>
      <c r="L351" s="16" t="n">
        <v>77.319</v>
      </c>
      <c r="M351" s="10" t="inlineStr">
        <is>
          <t>16</t>
        </is>
      </c>
      <c r="N351" s="16" t="n">
        <v>92</v>
      </c>
      <c r="O351" s="16" t="n">
        <v>296.996</v>
      </c>
      <c r="P351" s="10" t="inlineStr">
        <is>
          <t>16</t>
        </is>
      </c>
      <c r="Q351" s="16" t="n">
        <v>2.5658</v>
      </c>
      <c r="R351" s="10">
        <f>MAX(MAX(1.4/'Parametros'!$B$3,0.25*SQRT('Parametros'!$B$2)/'Parametros'!$B$3)*H351*U351,(0.85*'Parametros'!$B$2/'Parametros'!$B$3)*(1-SQRT(1-2*(J351*1000000/('Parametros'!$B$5*H351*U351^2))/(0.85*'Parametros'!$B$2)))*H351*U351)</f>
        <v>768.130963493661</v>
      </c>
      <c r="S351" s="17" t="n">
        <v>4</v>
      </c>
      <c r="T351" s="18" t="n">
        <v>1</v>
      </c>
      <c r="U351" s="10">
        <f>IF(T351=1,I351-('Parametros'!$B$7+'Parametros'!$B$9+'Parametros'!$B$12/2),I351-(ROUNDUP(S351/2,0)*('Parametros'!$B$7+'Parametros'!$B$9+'Parametros'!$B$12/2)+ROUNDDOWN(S351/2,0)*('Parametros'!$B$7+'Parametros'!$B$9+'Parametros'!$B$12/2+'Parametros'!$B$12+'Parametros'!$B$10))/S351)</f>
        <v>342.55</v>
      </c>
      <c r="V351" s="10">
        <f>S351*'Parametros'!$B$8</f>
        <v>796</v>
      </c>
      <c r="W351" s="10">
        <f>'Parametros'!$B$5*V351*'Parametros'!$B$3*(U351-(V351*'Parametros'!$B$3/(0.85*'Parametros'!$B$2*H351))/2)/1000000</f>
        <v>97.0311966352941</v>
      </c>
      <c r="X351" s="10" t="str">
        <f>IF(W351&gt;=J351,"CUMPLE","NO CUMPLE")</f>
        <v>CUMPLE</v>
      </c>
      <c r="Y351" s="10">
        <f>MAX(MAX(1.4/'Parametros'!$B$3,0.25*SQRT('Parametros'!$B$2)/'Parametros'!$B$3)*H351*AB351,(0.85*'Parametros'!$B$2/'Parametros'!$B$3)*(1-SQRT(1-2*(L351*1000000/('Parametros'!$B$5*H351*AB351^2))/(0.85*'Parametros'!$B$2)))*H351*AB351)</f>
        <v>625.96959988973</v>
      </c>
      <c r="Z351" s="17" t="n">
        <v>4</v>
      </c>
      <c r="AA351" s="18" t="n">
        <v>1</v>
      </c>
      <c r="AB351" s="10">
        <f>IF(AA351=1,I351-('Parametros'!$B$7+'Parametros'!$B$9+'Parametros'!$B$12/2),I351-(ROUNDUP(Z351/2,0)*('Parametros'!$B$7+'Parametros'!$B$9+'Parametros'!$B$12/2)+ROUNDDOWN(Z351/2,0)*('Parametros'!$B$7+'Parametros'!$B$9+'Parametros'!$B$12/2+'Parametros'!$B$12+'Parametros'!$B$10))/Z351)</f>
        <v>342.55</v>
      </c>
      <c r="AC351" s="10">
        <f>Z351*'Parametros'!$B$8</f>
        <v>796</v>
      </c>
      <c r="AD351" s="10">
        <f>'Parametros'!$B$5*AC351*'Parametros'!$B$3*(AB351-(AC351*'Parametros'!$B$3/(0.85*'Parametros'!$B$2*H351))/2)/1000000</f>
        <v>97.0311966352941</v>
      </c>
      <c r="AE351" s="10" t="str">
        <f>IF(AD351&gt;=L351,"CUMPLE","NO CUMPLE")</f>
        <v>CUMPLE</v>
      </c>
      <c r="AF351" s="10">
        <f>V351*1.25*'Parametros'!$B$3*(U351-(V351*1.25*'Parametros'!$B$3/(0.85*'Parametros'!$B$2*H351))/2)/1000000</f>
        <v>132.669027352941</v>
      </c>
      <c r="AG351" s="10">
        <f>AC351*1.25*'Parametros'!$B$3*(AB351-(AC351*1.25*'Parametros'!$B$3/(0.85*'Parametros'!$B$2*H351))/2)/1000000</f>
        <v>132.669027352941</v>
      </c>
      <c r="AH351" s="10">
        <f>N351+(AF351+AG351)/D351</f>
        <v>190.273353594771</v>
      </c>
      <c r="AI351" s="10">
        <f>MIN(O351,MAX(N351,AH351))</f>
        <v>190.273353594771</v>
      </c>
      <c r="AJ351" s="10">
        <f>0.17*SQRT('Parametros'!$B$2)*H351*MIN(U351,AB351)/1000</f>
        <v>107.849951281016</v>
      </c>
      <c r="AK351" s="10">
        <f>MAX(AI351/'Parametros'!$B$6-AJ351,0)</f>
        <v>145.847853512012</v>
      </c>
      <c r="AL351" s="10">
        <f>0.66*SQRT('Parametros'!$B$2)*H351*MIN(U351,AB351)/1000</f>
        <v>418.711575561591</v>
      </c>
      <c r="AM351" s="10" t="str">
        <f>IF(AK351&lt;=AL351,"CUMPLE","NO CUMPLE")</f>
        <v>CUMPLE</v>
      </c>
      <c r="AN351" s="15" t="inlineStr">
        <is>
          <t>Nº3 cerrado</t>
        </is>
      </c>
      <c r="AO351" s="17" t="n">
        <v>2</v>
      </c>
      <c r="AP351" s="10">
        <f>ROUNDDOWN(MIN(IF(AK351=0,1000000000,AO351*'Parametros'!$B$11*'Parametros'!$B$4*MIN(U351,AB351)/(AK351*1000)),IF(AV351=0,1000000000,'Parametros'!$B$11/AV351),MIN(U351,AB351)/4,8*'Parametros'!$B$12,24*'Parametros'!$B$9,300)/10,0)*10</f>
        <v>80</v>
      </c>
      <c r="AQ351" s="10">
        <f>ROUNDDOWN(MIN(IF(AK351=0,1000000000,AO351*'Parametros'!$B$11*'Parametros'!$B$4*MIN(U351,AB351)/(AK351*1000)),IF(AV351=0,1000000000,'Parametros'!$B$11/AV351),MIN(U351,AB351)/2,600)/10,0)*10</f>
        <v>140</v>
      </c>
      <c r="AR351" s="10">
        <f>'Parametros'!$B$6*(AJ351+AO351*'Parametros'!$B$11*'Parametros'!$B$4*MIN(U351,AB351)/AP351/1000)</f>
        <v>272.415732210762</v>
      </c>
      <c r="AS351" s="10" t="str">
        <f>IF(AND(AM351="CUMPLE",AR351&gt;=AI351),"CUMPLE","NO CUMPLE")</f>
        <v>CUMPLE</v>
      </c>
      <c r="AT351" s="10">
        <f>'Parametros'!$B$6*0.083*SQRT('Parametros'!$B$2)*(H351*I351)^2/(2*(H351+I351))/1000000</f>
        <v>4.30410823283988</v>
      </c>
      <c r="AU351" s="10" t="str">
        <f>IF(Q351&lt;=AT351,"DESPRECIABLE","DISEÑAR")</f>
        <v>DESPRECIABLE</v>
      </c>
      <c r="AV351" s="10">
        <f>IF(Q351&lt;=AT351,0,Q351*1000000/('Parametros'!$B$6*2*0.85*(H351-2*'Parametros'!$B$7)*(I351-2*'Parametros'!$B$7)*'Parametros'!$B$4))</f>
        <v>0</v>
      </c>
      <c r="AW351" s="10">
        <f>AV351*2*((H351-2*'Parametros'!$B$7)+(I351-2*'Parametros'!$B$7))*'Parametros'!$B$4/'Parametros'!$B$3</f>
        <v>0</v>
      </c>
      <c r="AX351" s="17" t="n">
        <v>0</v>
      </c>
      <c r="AY351" s="10" t="str">
        <f>IF(AV351=0,"DESPRECIABLE",IF('Parametros'!$B$11/AP351&gt;=AV351,"CUMPLE","NO CUMPLE"))</f>
        <v>DESPRECIABLE</v>
      </c>
      <c r="AZ351" s="10" t="str">
        <f>IF(AND(X351="CUMPLE",AE351="CUMPLE",AS351="CUMPLE",OR(AY351="CUMPLE",AY351="DESPRECIABLE")),IF(OR(F351&lt;&gt;H351,G351&lt;&gt;I351),"CUMPLE - REANALIZAR SAP","CUMPLE"),"NO CUMPLE")</f>
        <v>CUMPLE</v>
      </c>
    </row>
    <row r="352">
      <c r="A352" s="26" t="inlineStr">
        <is>
          <t>VR2</t>
        </is>
      </c>
      <c r="B352" s="26" t="inlineStr">
        <is>
          <t>17</t>
        </is>
      </c>
      <c r="C352" s="10" t="n">
        <v>1</v>
      </c>
      <c r="D352" s="10" t="n">
        <v>2.8</v>
      </c>
      <c r="E352" s="10" t="n">
        <v>2.8</v>
      </c>
      <c r="F352" s="10" t="n">
        <v>350</v>
      </c>
      <c r="G352" s="10" t="n">
        <v>400</v>
      </c>
      <c r="H352" s="15" t="n">
        <v>350</v>
      </c>
      <c r="I352" s="15" t="n">
        <v>400</v>
      </c>
      <c r="J352" s="16" t="n">
        <v>93.84610000000001</v>
      </c>
      <c r="K352" s="10" t="inlineStr">
        <is>
          <t>17</t>
        </is>
      </c>
      <c r="L352" s="16" t="n">
        <v>75.1618</v>
      </c>
      <c r="M352" s="10" t="inlineStr">
        <is>
          <t>17</t>
        </is>
      </c>
      <c r="N352" s="16" t="n">
        <v>90.44799999999999</v>
      </c>
      <c r="O352" s="16" t="n">
        <v>285.598</v>
      </c>
      <c r="P352" s="10" t="inlineStr">
        <is>
          <t>17</t>
        </is>
      </c>
      <c r="Q352" s="16" t="n">
        <v>2.4857</v>
      </c>
      <c r="R352" s="10">
        <f>MAX(MAX(1.4/'Parametros'!$B$3,0.25*SQRT('Parametros'!$B$2)/'Parametros'!$B$3)*H352*U352,(0.85*'Parametros'!$B$2/'Parametros'!$B$3)*(1-SQRT(1-2*(J352*1000000/('Parametros'!$B$5*H352*U352^2))/(0.85*'Parametros'!$B$2)))*H352*U352)</f>
        <v>768.201494225417</v>
      </c>
      <c r="S352" s="17" t="n">
        <v>4</v>
      </c>
      <c r="T352" s="18" t="n">
        <v>1</v>
      </c>
      <c r="U352" s="10">
        <f>IF(T352=1,I352-('Parametros'!$B$7+'Parametros'!$B$9+'Parametros'!$B$12/2),I352-(ROUNDUP(S352/2,0)*('Parametros'!$B$7+'Parametros'!$B$9+'Parametros'!$B$12/2)+ROUNDDOWN(S352/2,0)*('Parametros'!$B$7+'Parametros'!$B$9+'Parametros'!$B$12/2+'Parametros'!$B$12+'Parametros'!$B$10))/S352)</f>
        <v>342.55</v>
      </c>
      <c r="V352" s="10">
        <f>S352*'Parametros'!$B$8</f>
        <v>796</v>
      </c>
      <c r="W352" s="10">
        <f>'Parametros'!$B$5*V352*'Parametros'!$B$3*(U352-(V352*'Parametros'!$B$3/(0.85*'Parametros'!$B$2*H352))/2)/1000000</f>
        <v>97.0311966352941</v>
      </c>
      <c r="X352" s="10" t="str">
        <f>IF(W352&gt;=J352,"CUMPLE","NO CUMPLE")</f>
        <v>CUMPLE</v>
      </c>
      <c r="Y352" s="10">
        <f>MAX(MAX(1.4/'Parametros'!$B$3,0.25*SQRT('Parametros'!$B$2)/'Parametros'!$B$3)*H352*AB352,(0.85*'Parametros'!$B$2/'Parametros'!$B$3)*(1-SQRT(1-2*(L352*1000000/('Parametros'!$B$5*H352*AB352^2))/(0.85*'Parametros'!$B$2)))*H352*AB352)</f>
        <v>607.646048316631</v>
      </c>
      <c r="Z352" s="17" t="n">
        <v>4</v>
      </c>
      <c r="AA352" s="18" t="n">
        <v>1</v>
      </c>
      <c r="AB352" s="10">
        <f>IF(AA352=1,I352-('Parametros'!$B$7+'Parametros'!$B$9+'Parametros'!$B$12/2),I352-(ROUNDUP(Z352/2,0)*('Parametros'!$B$7+'Parametros'!$B$9+'Parametros'!$B$12/2)+ROUNDDOWN(Z352/2,0)*('Parametros'!$B$7+'Parametros'!$B$9+'Parametros'!$B$12/2+'Parametros'!$B$12+'Parametros'!$B$10))/Z352)</f>
        <v>342.55</v>
      </c>
      <c r="AC352" s="10">
        <f>Z352*'Parametros'!$B$8</f>
        <v>796</v>
      </c>
      <c r="AD352" s="10">
        <f>'Parametros'!$B$5*AC352*'Parametros'!$B$3*(AB352-(AC352*'Parametros'!$B$3/(0.85*'Parametros'!$B$2*H352))/2)/1000000</f>
        <v>97.0311966352941</v>
      </c>
      <c r="AE352" s="10" t="str">
        <f>IF(AD352&gt;=L352,"CUMPLE","NO CUMPLE")</f>
        <v>CUMPLE</v>
      </c>
      <c r="AF352" s="10">
        <f>V352*1.25*'Parametros'!$B$3*(U352-(V352*1.25*'Parametros'!$B$3/(0.85*'Parametros'!$B$2*H352))/2)/1000000</f>
        <v>132.669027352941</v>
      </c>
      <c r="AG352" s="10">
        <f>AC352*1.25*'Parametros'!$B$3*(AB352-(AC352*1.25*'Parametros'!$B$3/(0.85*'Parametros'!$B$2*H352))/2)/1000000</f>
        <v>132.669027352941</v>
      </c>
      <c r="AH352" s="10">
        <f>N352+(AF352+AG352)/D352</f>
        <v>185.211590966387</v>
      </c>
      <c r="AI352" s="10">
        <f>MIN(O352,MAX(N352,AH352))</f>
        <v>185.211590966387</v>
      </c>
      <c r="AJ352" s="10">
        <f>0.17*SQRT('Parametros'!$B$2)*H352*MIN(U352,AB352)/1000</f>
        <v>107.849951281016</v>
      </c>
      <c r="AK352" s="10">
        <f>MAX(AI352/'Parametros'!$B$6-AJ352,0)</f>
        <v>139.098836674166</v>
      </c>
      <c r="AL352" s="10">
        <f>0.66*SQRT('Parametros'!$B$2)*H352*MIN(U352,AB352)/1000</f>
        <v>418.711575561591</v>
      </c>
      <c r="AM352" s="10" t="str">
        <f>IF(AK352&lt;=AL352,"CUMPLE","NO CUMPLE")</f>
        <v>CUMPLE</v>
      </c>
      <c r="AN352" s="15" t="inlineStr">
        <is>
          <t>Nº3 cerrado</t>
        </is>
      </c>
      <c r="AO352" s="17" t="n">
        <v>2</v>
      </c>
      <c r="AP352" s="10">
        <f>ROUNDDOWN(MIN(IF(AK352=0,1000000000,AO352*'Parametros'!$B$11*'Parametros'!$B$4*MIN(U352,AB352)/(AK352*1000)),IF(AV352=0,1000000000,'Parametros'!$B$11/AV352),MIN(U352,AB352)/4,8*'Parametros'!$B$12,24*'Parametros'!$B$9,300)/10,0)*10</f>
        <v>80</v>
      </c>
      <c r="AQ352" s="10">
        <f>ROUNDDOWN(MIN(IF(AK352=0,1000000000,AO352*'Parametros'!$B$11*'Parametros'!$B$4*MIN(U352,AB352)/(AK352*1000)),IF(AV352=0,1000000000,'Parametros'!$B$11/AV352),MIN(U352,AB352)/2,600)/10,0)*10</f>
        <v>140</v>
      </c>
      <c r="AR352" s="10">
        <f>'Parametros'!$B$6*(AJ352+AO352*'Parametros'!$B$11*'Parametros'!$B$4*MIN(U352,AB352)/AP352/1000)</f>
        <v>272.415732210762</v>
      </c>
      <c r="AS352" s="10" t="str">
        <f>IF(AND(AM352="CUMPLE",AR352&gt;=AI352),"CUMPLE","NO CUMPLE")</f>
        <v>CUMPLE</v>
      </c>
      <c r="AT352" s="10">
        <f>'Parametros'!$B$6*0.083*SQRT('Parametros'!$B$2)*(H352*I352)^2/(2*(H352+I352))/1000000</f>
        <v>4.30410823283988</v>
      </c>
      <c r="AU352" s="10" t="str">
        <f>IF(Q352&lt;=AT352,"DESPRECIABLE","DISEÑAR")</f>
        <v>DESPRECIABLE</v>
      </c>
      <c r="AV352" s="10">
        <f>IF(Q352&lt;=AT352,0,Q352*1000000/('Parametros'!$B$6*2*0.85*(H352-2*'Parametros'!$B$7)*(I352-2*'Parametros'!$B$7)*'Parametros'!$B$4))</f>
        <v>0</v>
      </c>
      <c r="AW352" s="10">
        <f>AV352*2*((H352-2*'Parametros'!$B$7)+(I352-2*'Parametros'!$B$7))*'Parametros'!$B$4/'Parametros'!$B$3</f>
        <v>0</v>
      </c>
      <c r="AX352" s="17" t="n">
        <v>0</v>
      </c>
      <c r="AY352" s="10" t="str">
        <f>IF(AV352=0,"DESPRECIABLE",IF('Parametros'!$B$11/AP352&gt;=AV352,"CUMPLE","NO CUMPLE"))</f>
        <v>DESPRECIABLE</v>
      </c>
      <c r="AZ352" s="10" t="str">
        <f>IF(AND(X352="CUMPLE",AE352="CUMPLE",AS352="CUMPLE",OR(AY352="CUMPLE",AY352="DESPRECIABLE")),IF(OR(F352&lt;&gt;H352,G352&lt;&gt;I352),"CUMPLE - REANALIZAR SAP","CUMPLE"),"NO CUMPLE")</f>
        <v>CUMPLE</v>
      </c>
    </row>
    <row r="353">
      <c r="A353" s="26" t="inlineStr">
        <is>
          <t>VR2</t>
        </is>
      </c>
      <c r="B353" s="26" t="inlineStr">
        <is>
          <t>18</t>
        </is>
      </c>
      <c r="C353" s="10" t="n">
        <v>1</v>
      </c>
      <c r="D353" s="10" t="n">
        <v>4.17612</v>
      </c>
      <c r="E353" s="10" t="n">
        <v>4.17612</v>
      </c>
      <c r="F353" s="10" t="n">
        <v>350</v>
      </c>
      <c r="G353" s="10" t="n">
        <v>400</v>
      </c>
      <c r="H353" s="15" t="n">
        <v>350</v>
      </c>
      <c r="I353" s="15" t="n">
        <v>400</v>
      </c>
      <c r="J353" s="16" t="n">
        <v>117.8797</v>
      </c>
      <c r="K353" s="10" t="inlineStr">
        <is>
          <t>18</t>
        </is>
      </c>
      <c r="L353" s="16" t="n">
        <v>57.25</v>
      </c>
      <c r="M353" s="10" t="inlineStr">
        <is>
          <t>18</t>
        </is>
      </c>
      <c r="N353" s="16" t="n">
        <v>93.682</v>
      </c>
      <c r="O353" s="16" t="n">
        <v>246.646</v>
      </c>
      <c r="P353" s="10" t="inlineStr">
        <is>
          <t>18</t>
        </is>
      </c>
      <c r="Q353" s="16" t="n">
        <v>0.192</v>
      </c>
      <c r="R353" s="10">
        <f>MAX(MAX(1.4/'Parametros'!$B$3,0.25*SQRT('Parametros'!$B$2)/'Parametros'!$B$3)*H353*U353,(0.85*'Parametros'!$B$2/'Parametros'!$B$3)*(1-SQRT(1-2*(J353*1000000/('Parametros'!$B$5*H353*U353^2))/(0.85*'Parametros'!$B$2)))*H353*U353)</f>
        <v>981.24126335354</v>
      </c>
      <c r="S353" s="17" t="n">
        <v>5</v>
      </c>
      <c r="T353" s="18" t="n">
        <v>1</v>
      </c>
      <c r="U353" s="10">
        <f>IF(T353=1,I353-('Parametros'!$B$7+'Parametros'!$B$9+'Parametros'!$B$12/2),I353-(ROUNDUP(S353/2,0)*('Parametros'!$B$7+'Parametros'!$B$9+'Parametros'!$B$12/2)+ROUNDDOWN(S353/2,0)*('Parametros'!$B$7+'Parametros'!$B$9+'Parametros'!$B$12/2+'Parametros'!$B$12+'Parametros'!$B$10))/S353)</f>
        <v>342.55</v>
      </c>
      <c r="V353" s="10">
        <f>S353*'Parametros'!$B$8</f>
        <v>995</v>
      </c>
      <c r="W353" s="10">
        <f>'Parametros'!$B$5*V353*'Parametros'!$B$3*(U353-(V353*'Parametros'!$B$3/(0.85*'Parametros'!$B$2*H353))/2)/1000000</f>
        <v>119.402124617647</v>
      </c>
      <c r="X353" s="10" t="str">
        <f>IF(W353&gt;=J353,"CUMPLE","NO CUMPLE")</f>
        <v>CUMPLE</v>
      </c>
      <c r="Y353" s="10">
        <f>MAX(MAX(1.4/'Parametros'!$B$3,0.25*SQRT('Parametros'!$B$2)/'Parametros'!$B$3)*H353*AB353,(0.85*'Parametros'!$B$2/'Parametros'!$B$3)*(1-SQRT(1-2*(L353*1000000/('Parametros'!$B$5*H353*AB353^2))/(0.85*'Parametros'!$B$2)))*H353*AB353)</f>
        <v>457.547043732385</v>
      </c>
      <c r="Z353" s="17" t="n">
        <v>3</v>
      </c>
      <c r="AA353" s="18" t="n">
        <v>1</v>
      </c>
      <c r="AB353" s="10">
        <f>IF(AA353=1,I353-('Parametros'!$B$7+'Parametros'!$B$9+'Parametros'!$B$12/2),I353-(ROUNDUP(Z353/2,0)*('Parametros'!$B$7+'Parametros'!$B$9+'Parametros'!$B$12/2)+ROUNDDOWN(Z353/2,0)*('Parametros'!$B$7+'Parametros'!$B$9+'Parametros'!$B$12/2+'Parametros'!$B$12+'Parametros'!$B$10))/Z353)</f>
        <v>342.55</v>
      </c>
      <c r="AC353" s="10">
        <f>Z353*'Parametros'!$B$8</f>
        <v>597</v>
      </c>
      <c r="AD353" s="10">
        <f>'Parametros'!$B$5*AC353*'Parametros'!$B$3*(AB353-(AC353*'Parametros'!$B$3/(0.85*'Parametros'!$B$2*H353))/2)/1000000</f>
        <v>73.905520182353</v>
      </c>
      <c r="AE353" s="10" t="str">
        <f>IF(AD353&gt;=L353,"CUMPLE","NO CUMPLE")</f>
        <v>CUMPLE</v>
      </c>
      <c r="AF353" s="10">
        <f>V353*1.25*'Parametros'!$B$3*(U353-(V353*1.25*'Parametros'!$B$3/(0.85*'Parametros'!$B$2*H353))/2)/1000000</f>
        <v>162.560466176471</v>
      </c>
      <c r="AG353" s="10">
        <f>AC353*1.25*'Parametros'!$B$3*(AB353-(AC353*1.25*'Parametros'!$B$3/(0.85*'Parametros'!$B$2*H353))/2)/1000000</f>
        <v>101.467261323529</v>
      </c>
      <c r="AH353" s="10">
        <f>N353+(AF353+AG353)/D353</f>
        <v>156.905213772593</v>
      </c>
      <c r="AI353" s="10">
        <f>MIN(O353,MAX(N353,AH353))</f>
        <v>156.905213772593</v>
      </c>
      <c r="AJ353" s="10">
        <f>0.17*SQRT('Parametros'!$B$2)*H353*MIN(U353,AB353)/1000</f>
        <v>107.849951281016</v>
      </c>
      <c r="AK353" s="10">
        <f>MAX(AI353/'Parametros'!$B$6-AJ353,0)</f>
        <v>101.357000415774</v>
      </c>
      <c r="AL353" s="10">
        <f>0.66*SQRT('Parametros'!$B$2)*H353*MIN(U353,AB353)/1000</f>
        <v>418.711575561591</v>
      </c>
      <c r="AM353" s="10" t="str">
        <f>IF(AK353&lt;=AL353,"CUMPLE","NO CUMPLE")</f>
        <v>CUMPLE</v>
      </c>
      <c r="AN353" s="15" t="inlineStr">
        <is>
          <t>Nº3 cerrado</t>
        </is>
      </c>
      <c r="AO353" s="17" t="n">
        <v>2</v>
      </c>
      <c r="AP353" s="10">
        <f>ROUNDDOWN(MIN(IF(AK353=0,1000000000,AO353*'Parametros'!$B$11*'Parametros'!$B$4*MIN(U353,AB353)/(AK353*1000)),IF(AV353=0,1000000000,'Parametros'!$B$11/AV353),MIN(U353,AB353)/4,8*'Parametros'!$B$12,24*'Parametros'!$B$9,300)/10,0)*10</f>
        <v>80</v>
      </c>
      <c r="AQ353" s="10">
        <f>ROUNDDOWN(MIN(IF(AK353=0,1000000000,AO353*'Parametros'!$B$11*'Parametros'!$B$4*MIN(U353,AB353)/(AK353*1000)),IF(AV353=0,1000000000,'Parametros'!$B$11/AV353),MIN(U353,AB353)/2,600)/10,0)*10</f>
        <v>170</v>
      </c>
      <c r="AR353" s="10">
        <f>'Parametros'!$B$6*(AJ353+AO353*'Parametros'!$B$11*'Parametros'!$B$4*MIN(U353,AB353)/AP353/1000)</f>
        <v>272.415732210762</v>
      </c>
      <c r="AS353" s="10" t="str">
        <f>IF(AND(AM353="CUMPLE",AR353&gt;=AI353),"CUMPLE","NO CUMPLE")</f>
        <v>CUMPLE</v>
      </c>
      <c r="AT353" s="10">
        <f>'Parametros'!$B$6*0.083*SQRT('Parametros'!$B$2)*(H353*I353)^2/(2*(H353+I353))/1000000</f>
        <v>4.30410823283988</v>
      </c>
      <c r="AU353" s="10" t="str">
        <f>IF(Q353&lt;=AT353,"DESPRECIABLE","DISEÑAR")</f>
        <v>DESPRECIABLE</v>
      </c>
      <c r="AV353" s="10">
        <f>IF(Q353&lt;=AT353,0,Q353*1000000/('Parametros'!$B$6*2*0.85*(H353-2*'Parametros'!$B$7)*(I353-2*'Parametros'!$B$7)*'Parametros'!$B$4))</f>
        <v>0</v>
      </c>
      <c r="AW353" s="10">
        <f>AV353*2*((H353-2*'Parametros'!$B$7)+(I353-2*'Parametros'!$B$7))*'Parametros'!$B$4/'Parametros'!$B$3</f>
        <v>0</v>
      </c>
      <c r="AX353" s="17" t="n">
        <v>0</v>
      </c>
      <c r="AY353" s="10" t="str">
        <f>IF(AV353=0,"DESPRECIABLE",IF('Parametros'!$B$11/AP353&gt;=AV353,"CUMPLE","NO CUMPLE"))</f>
        <v>DESPRECIABLE</v>
      </c>
      <c r="AZ353" s="10" t="str">
        <f>IF(AND(X353="CUMPLE",AE353="CUMPLE",AS353="CUMPLE",OR(AY353="CUMPLE",AY353="DESPRECIABLE")),IF(OR(F353&lt;&gt;H353,G353&lt;&gt;I353),"CUMPLE - REANALIZAR SAP","CUMPLE"),"NO CUMPLE")</f>
        <v>CUMPLE</v>
      </c>
    </row>
    <row r="354">
      <c r="A354" s="26" t="inlineStr">
        <is>
          <t>VR2</t>
        </is>
      </c>
      <c r="B354" s="26" t="inlineStr">
        <is>
          <t>19</t>
        </is>
      </c>
      <c r="C354" s="10" t="n">
        <v>1</v>
      </c>
      <c r="D354" s="10" t="n">
        <v>2.5</v>
      </c>
      <c r="E354" s="10" t="n">
        <v>2.5</v>
      </c>
      <c r="F354" s="10" t="n">
        <v>350</v>
      </c>
      <c r="G354" s="10" t="n">
        <v>400</v>
      </c>
      <c r="H354" s="15" t="n">
        <v>350</v>
      </c>
      <c r="I354" s="15" t="n">
        <v>400</v>
      </c>
      <c r="J354" s="16" t="n">
        <v>124.5307</v>
      </c>
      <c r="K354" s="10" t="inlineStr">
        <is>
          <t>19</t>
        </is>
      </c>
      <c r="L354" s="16" t="n">
        <v>101.7707</v>
      </c>
      <c r="M354" s="10" t="inlineStr">
        <is>
          <t>19</t>
        </is>
      </c>
      <c r="N354" s="16" t="n">
        <v>121.695</v>
      </c>
      <c r="O354" s="16" t="n">
        <v>467.312</v>
      </c>
      <c r="P354" s="10" t="inlineStr">
        <is>
          <t>19</t>
        </is>
      </c>
      <c r="Q354" s="16" t="n">
        <v>1.8123</v>
      </c>
      <c r="R354" s="10">
        <f>MAX(MAX(1.4/'Parametros'!$B$3,0.25*SQRT('Parametros'!$B$2)/'Parametros'!$B$3)*H354*U354,(0.85*'Parametros'!$B$2/'Parametros'!$B$3)*(1-SQRT(1-2*(J354*1000000/('Parametros'!$B$5*H354*U354^2))/(0.85*'Parametros'!$B$2)))*H354*U354)</f>
        <v>1041.59105922692</v>
      </c>
      <c r="S354" s="17" t="n">
        <v>6</v>
      </c>
      <c r="T354" s="18" t="n">
        <v>1</v>
      </c>
      <c r="U354" s="10">
        <f>IF(T354=1,I354-('Parametros'!$B$7+'Parametros'!$B$9+'Parametros'!$B$12/2),I354-(ROUNDUP(S354/2,0)*('Parametros'!$B$7+'Parametros'!$B$9+'Parametros'!$B$12/2)+ROUNDDOWN(S354/2,0)*('Parametros'!$B$7+'Parametros'!$B$9+'Parametros'!$B$12/2+'Parametros'!$B$12+'Parametros'!$B$10))/S354)</f>
        <v>342.55</v>
      </c>
      <c r="V354" s="10">
        <f>S354*'Parametros'!$B$8</f>
        <v>1194</v>
      </c>
      <c r="W354" s="10">
        <f>'Parametros'!$B$5*V354*'Parametros'!$B$3*(U354-(V354*'Parametros'!$B$3/(0.85*'Parametros'!$B$2*H354))/2)/1000000</f>
        <v>141.018304129412</v>
      </c>
      <c r="X354" s="10" t="str">
        <f>IF(W354&gt;=J354,"CUMPLE","NO CUMPLE")</f>
        <v>CUMPLE</v>
      </c>
      <c r="Y354" s="10">
        <f>MAX(MAX(1.4/'Parametros'!$B$3,0.25*SQRT('Parametros'!$B$2)/'Parametros'!$B$3)*H354*AB354,(0.85*'Parametros'!$B$2/'Parametros'!$B$3)*(1-SQRT(1-2*(L354*1000000/('Parametros'!$B$5*H354*AB354^2))/(0.85*'Parametros'!$B$2)))*H354*AB354)</f>
        <v>837.605026439752</v>
      </c>
      <c r="Z354" s="17" t="n">
        <v>5</v>
      </c>
      <c r="AA354" s="18" t="n">
        <v>1</v>
      </c>
      <c r="AB354" s="10">
        <f>IF(AA354=1,I354-('Parametros'!$B$7+'Parametros'!$B$9+'Parametros'!$B$12/2),I354-(ROUNDUP(Z354/2,0)*('Parametros'!$B$7+'Parametros'!$B$9+'Parametros'!$B$12/2)+ROUNDDOWN(Z354/2,0)*('Parametros'!$B$7+'Parametros'!$B$9+'Parametros'!$B$12/2+'Parametros'!$B$12+'Parametros'!$B$10))/Z354)</f>
        <v>342.55</v>
      </c>
      <c r="AC354" s="10">
        <f>Z354*'Parametros'!$B$8</f>
        <v>995</v>
      </c>
      <c r="AD354" s="10">
        <f>'Parametros'!$B$5*AC354*'Parametros'!$B$3*(AB354-(AC354*'Parametros'!$B$3/(0.85*'Parametros'!$B$2*H354))/2)/1000000</f>
        <v>119.402124617647</v>
      </c>
      <c r="AE354" s="10" t="str">
        <f>IF(AD354&gt;=L354,"CUMPLE","NO CUMPLE")</f>
        <v>CUMPLE</v>
      </c>
      <c r="AF354" s="10">
        <f>V354*1.25*'Parametros'!$B$3*(U354-(V354*1.25*'Parametros'!$B$3/(0.85*'Parametros'!$B$2*H354))/2)/1000000</f>
        <v>191.141577794118</v>
      </c>
      <c r="AG354" s="10">
        <f>AC354*1.25*'Parametros'!$B$3*(AB354-(AC354*1.25*'Parametros'!$B$3/(0.85*'Parametros'!$B$2*H354))/2)/1000000</f>
        <v>162.560466176471</v>
      </c>
      <c r="AH354" s="10">
        <f>N354+(AF354+AG354)/D354</f>
        <v>263.175817588235</v>
      </c>
      <c r="AI354" s="10">
        <f>MIN(O354,MAX(N354,AH354))</f>
        <v>263.175817588235</v>
      </c>
      <c r="AJ354" s="10">
        <f>0.17*SQRT('Parametros'!$B$2)*H354*MIN(U354,AB354)/1000</f>
        <v>107.849951281016</v>
      </c>
      <c r="AK354" s="10">
        <f>MAX(AI354/'Parametros'!$B$6-AJ354,0)</f>
        <v>243.051138836631</v>
      </c>
      <c r="AL354" s="10">
        <f>0.66*SQRT('Parametros'!$B$2)*H354*MIN(U354,AB354)/1000</f>
        <v>418.711575561591</v>
      </c>
      <c r="AM354" s="10" t="str">
        <f>IF(AK354&lt;=AL354,"CUMPLE","NO CUMPLE")</f>
        <v>CUMPLE</v>
      </c>
      <c r="AN354" s="15" t="inlineStr">
        <is>
          <t>Nº3 cerrado</t>
        </is>
      </c>
      <c r="AO354" s="17" t="n">
        <v>2</v>
      </c>
      <c r="AP354" s="10">
        <f>ROUNDDOWN(MIN(IF(AK354=0,1000000000,AO354*'Parametros'!$B$11*'Parametros'!$B$4*MIN(U354,AB354)/(AK354*1000)),IF(AV354=0,1000000000,'Parametros'!$B$11/AV354),MIN(U354,AB354)/4,8*'Parametros'!$B$12,24*'Parametros'!$B$9,300)/10,0)*10</f>
        <v>80</v>
      </c>
      <c r="AQ354" s="10">
        <f>ROUNDDOWN(MIN(IF(AK354=0,1000000000,AO354*'Parametros'!$B$11*'Parametros'!$B$4*MIN(U354,AB354)/(AK354*1000)),IF(AV354=0,1000000000,'Parametros'!$B$11/AV354),MIN(U354,AB354)/2,600)/10,0)*10</f>
        <v>80</v>
      </c>
      <c r="AR354" s="10">
        <f>'Parametros'!$B$6*(AJ354+AO354*'Parametros'!$B$11*'Parametros'!$B$4*MIN(U354,AB354)/AP354/1000)</f>
        <v>272.415732210762</v>
      </c>
      <c r="AS354" s="10" t="str">
        <f>IF(AND(AM354="CUMPLE",AR354&gt;=AI354),"CUMPLE","NO CUMPLE")</f>
        <v>CUMPLE</v>
      </c>
      <c r="AT354" s="10">
        <f>'Parametros'!$B$6*0.083*SQRT('Parametros'!$B$2)*(H354*I354)^2/(2*(H354+I354))/1000000</f>
        <v>4.30410823283988</v>
      </c>
      <c r="AU354" s="10" t="str">
        <f>IF(Q354&lt;=AT354,"DESPRECIABLE","DISEÑAR")</f>
        <v>DESPRECIABLE</v>
      </c>
      <c r="AV354" s="10">
        <f>IF(Q354&lt;=AT354,0,Q354*1000000/('Parametros'!$B$6*2*0.85*(H354-2*'Parametros'!$B$7)*(I354-2*'Parametros'!$B$7)*'Parametros'!$B$4))</f>
        <v>0</v>
      </c>
      <c r="AW354" s="10">
        <f>AV354*2*((H354-2*'Parametros'!$B$7)+(I354-2*'Parametros'!$B$7))*'Parametros'!$B$4/'Parametros'!$B$3</f>
        <v>0</v>
      </c>
      <c r="AX354" s="17" t="n">
        <v>0</v>
      </c>
      <c r="AY354" s="10" t="str">
        <f>IF(AV354=0,"DESPRECIABLE",IF('Parametros'!$B$11/AP354&gt;=AV354,"CUMPLE","NO CUMPLE"))</f>
        <v>DESPRECIABLE</v>
      </c>
      <c r="AZ354" s="10" t="str">
        <f>IF(AND(X354="CUMPLE",AE354="CUMPLE",AS354="CUMPLE",OR(AY354="CUMPLE",AY354="DESPRECIABLE")),IF(OR(F354&lt;&gt;H354,G354&lt;&gt;I354),"CUMPLE - REANALIZAR SAP","CUMPLE"),"NO CUMPLE")</f>
        <v>CUMPLE</v>
      </c>
    </row>
    <row r="355">
      <c r="A355" s="26" t="inlineStr">
        <is>
          <t>VR2</t>
        </is>
      </c>
      <c r="B355" s="26" t="inlineStr">
        <is>
          <t>20</t>
        </is>
      </c>
      <c r="C355" s="10" t="n">
        <v>1</v>
      </c>
      <c r="D355" s="10" t="n">
        <v>2.6</v>
      </c>
      <c r="E355" s="10" t="n">
        <v>2.6</v>
      </c>
      <c r="F355" s="10" t="n">
        <v>350</v>
      </c>
      <c r="G355" s="10" t="n">
        <v>400</v>
      </c>
      <c r="H355" s="15" t="n">
        <v>350</v>
      </c>
      <c r="I355" s="15" t="n">
        <v>400</v>
      </c>
      <c r="J355" s="16" t="n">
        <v>133.4894</v>
      </c>
      <c r="K355" s="10" t="inlineStr">
        <is>
          <t>20</t>
        </is>
      </c>
      <c r="L355" s="16" t="n">
        <v>94.4405</v>
      </c>
      <c r="M355" s="10" t="inlineStr">
        <is>
          <t>20</t>
        </is>
      </c>
      <c r="N355" s="16" t="n">
        <v>128.526</v>
      </c>
      <c r="O355" s="16" t="n">
        <v>462.739</v>
      </c>
      <c r="P355" s="10" t="inlineStr">
        <is>
          <t>20</t>
        </is>
      </c>
      <c r="Q355" s="16" t="n">
        <v>7.5888</v>
      </c>
      <c r="R355" s="10">
        <f>MAX(MAX(1.4/'Parametros'!$B$3,0.25*SQRT('Parametros'!$B$2)/'Parametros'!$B$3)*H355*U355,(0.85*'Parametros'!$B$2/'Parametros'!$B$3)*(1-SQRT(1-2*(J355*1000000/('Parametros'!$B$5*H355*U355^2))/(0.85*'Parametros'!$B$2)))*H355*U355)</f>
        <v>1123.89567654359</v>
      </c>
      <c r="S355" s="17" t="n">
        <v>6</v>
      </c>
      <c r="T355" s="18" t="n">
        <v>1</v>
      </c>
      <c r="U355" s="10">
        <f>IF(T355=1,I355-('Parametros'!$B$7+'Parametros'!$B$9+'Parametros'!$B$12/2),I355-(ROUNDUP(S355/2,0)*('Parametros'!$B$7+'Parametros'!$B$9+'Parametros'!$B$12/2)+ROUNDDOWN(S355/2,0)*('Parametros'!$B$7+'Parametros'!$B$9+'Parametros'!$B$12/2+'Parametros'!$B$12+'Parametros'!$B$10))/S355)</f>
        <v>342.55</v>
      </c>
      <c r="V355" s="10">
        <f>S355*'Parametros'!$B$8</f>
        <v>1194</v>
      </c>
      <c r="W355" s="10">
        <f>'Parametros'!$B$5*V355*'Parametros'!$B$3*(U355-(V355*'Parametros'!$B$3/(0.85*'Parametros'!$B$2*H355))/2)/1000000</f>
        <v>141.018304129412</v>
      </c>
      <c r="X355" s="10" t="str">
        <f>IF(W355&gt;=J355,"CUMPLE","NO CUMPLE")</f>
        <v>CUMPLE</v>
      </c>
      <c r="Y355" s="10">
        <f>MAX(MAX(1.4/'Parametros'!$B$3,0.25*SQRT('Parametros'!$B$2)/'Parametros'!$B$3)*H355*AB355,(0.85*'Parametros'!$B$2/'Parametros'!$B$3)*(1-SQRT(1-2*(L355*1000000/('Parametros'!$B$5*H355*AB355^2))/(0.85*'Parametros'!$B$2)))*H355*AB355)</f>
        <v>773.379485945428</v>
      </c>
      <c r="Z355" s="17" t="n">
        <v>4</v>
      </c>
      <c r="AA355" s="18" t="n">
        <v>1</v>
      </c>
      <c r="AB355" s="10">
        <f>IF(AA355=1,I355-('Parametros'!$B$7+'Parametros'!$B$9+'Parametros'!$B$12/2),I355-(ROUNDUP(Z355/2,0)*('Parametros'!$B$7+'Parametros'!$B$9+'Parametros'!$B$12/2)+ROUNDDOWN(Z355/2,0)*('Parametros'!$B$7+'Parametros'!$B$9+'Parametros'!$B$12/2+'Parametros'!$B$12+'Parametros'!$B$10))/Z355)</f>
        <v>342.55</v>
      </c>
      <c r="AC355" s="10">
        <f>Z355*'Parametros'!$B$8</f>
        <v>796</v>
      </c>
      <c r="AD355" s="10">
        <f>'Parametros'!$B$5*AC355*'Parametros'!$B$3*(AB355-(AC355*'Parametros'!$B$3/(0.85*'Parametros'!$B$2*H355))/2)/1000000</f>
        <v>97.0311966352941</v>
      </c>
      <c r="AE355" s="10" t="str">
        <f>IF(AD355&gt;=L355,"CUMPLE","NO CUMPLE")</f>
        <v>CUMPLE</v>
      </c>
      <c r="AF355" s="10">
        <f>V355*1.25*'Parametros'!$B$3*(U355-(V355*1.25*'Parametros'!$B$3/(0.85*'Parametros'!$B$2*H355))/2)/1000000</f>
        <v>191.141577794118</v>
      </c>
      <c r="AG355" s="10">
        <f>AC355*1.25*'Parametros'!$B$3*(AB355-(AC355*1.25*'Parametros'!$B$3/(0.85*'Parametros'!$B$2*H355))/2)/1000000</f>
        <v>132.669027352941</v>
      </c>
      <c r="AH355" s="10">
        <f>N355+(AF355+AG355)/D355</f>
        <v>253.068540441176</v>
      </c>
      <c r="AI355" s="10">
        <f>MIN(O355,MAX(N355,AH355))</f>
        <v>253.068540441176</v>
      </c>
      <c r="AJ355" s="10">
        <f>0.17*SQRT('Parametros'!$B$2)*H355*MIN(U355,AB355)/1000</f>
        <v>107.849951281016</v>
      </c>
      <c r="AK355" s="10">
        <f>MAX(AI355/'Parametros'!$B$6-AJ355,0)</f>
        <v>229.574769307219</v>
      </c>
      <c r="AL355" s="10">
        <f>0.66*SQRT('Parametros'!$B$2)*H355*MIN(U355,AB355)/1000</f>
        <v>418.711575561591</v>
      </c>
      <c r="AM355" s="10" t="str">
        <f>IF(AK355&lt;=AL355,"CUMPLE","NO CUMPLE")</f>
        <v>CUMPLE</v>
      </c>
      <c r="AN355" s="15" t="inlineStr">
        <is>
          <t>Nº3 cerrado</t>
        </is>
      </c>
      <c r="AO355" s="17" t="n">
        <v>2</v>
      </c>
      <c r="AP355" s="10">
        <f>ROUNDDOWN(MIN(IF(AK355=0,1000000000,AO355*'Parametros'!$B$11*'Parametros'!$B$4*MIN(U355,AB355)/(AK355*1000)),IF(AV355=0,1000000000,'Parametros'!$B$11/AV355),MIN(U355,AB355)/4,8*'Parametros'!$B$12,24*'Parametros'!$B$9,300)/10,0)*10</f>
        <v>80</v>
      </c>
      <c r="AQ355" s="10">
        <f>ROUNDDOWN(MIN(IF(AK355=0,1000000000,AO355*'Parametros'!$B$11*'Parametros'!$B$4*MIN(U355,AB355)/(AK355*1000)),IF(AV355=0,1000000000,'Parametros'!$B$11/AV355),MIN(U355,AB355)/2,600)/10,0)*10</f>
        <v>80</v>
      </c>
      <c r="AR355" s="10">
        <f>'Parametros'!$B$6*(AJ355+AO355*'Parametros'!$B$11*'Parametros'!$B$4*MIN(U355,AB355)/AP355/1000)</f>
        <v>272.415732210762</v>
      </c>
      <c r="AS355" s="10" t="str">
        <f>IF(AND(AM355="CUMPLE",AR355&gt;=AI355),"CUMPLE","NO CUMPLE")</f>
        <v>CUMPLE</v>
      </c>
      <c r="AT355" s="10">
        <f>'Parametros'!$B$6*0.083*SQRT('Parametros'!$B$2)*(H355*I355)^2/(2*(H355+I355))/1000000</f>
        <v>4.30410823283988</v>
      </c>
      <c r="AU355" s="10" t="str">
        <f>IF(Q355&lt;=AT355,"DESPRECIABLE","DISEÑAR")</f>
        <v>DISEÑAR</v>
      </c>
      <c r="AV355" s="10">
        <f>IF(Q355&lt;=AT355,0,Q355*1000000/('Parametros'!$B$6*2*0.85*(H355-2*'Parametros'!$B$7)*(I355-2*'Parametros'!$B$7)*'Parametros'!$B$4))</f>
        <v>0.164021164021164</v>
      </c>
      <c r="AW355" s="10">
        <f>AV355*2*((H355-2*'Parametros'!$B$7)+(I355-2*'Parametros'!$B$7))*'Parametros'!$B$4/'Parametros'!$B$3</f>
        <v>193.544973544974</v>
      </c>
      <c r="AX355" s="17" t="n">
        <v>1</v>
      </c>
      <c r="AY355" s="10" t="str">
        <f>IF(AV355=0,"DESPRECIABLE",IF('Parametros'!$B$11/AP355&gt;=AV355,"CUMPLE","NO CUMPLE"))</f>
        <v>CUMPLE</v>
      </c>
      <c r="AZ355" s="10" t="str">
        <f>IF(AND(X355="CUMPLE",AE355="CUMPLE",AS355="CUMPLE",OR(AY355="CUMPLE",AY355="DESPRECIABLE")),IF(OR(F355&lt;&gt;H355,G355&lt;&gt;I355),"CUMPLE - REANALIZAR SAP","CUMPLE"),"NO CUMPLE")</f>
        <v>CUMPLE</v>
      </c>
    </row>
    <row r="356">
      <c r="A356" s="26" t="inlineStr">
        <is>
          <t>VR2</t>
        </is>
      </c>
      <c r="B356" s="26" t="inlineStr">
        <is>
          <t>21</t>
        </is>
      </c>
      <c r="C356" s="10" t="n">
        <v>1</v>
      </c>
      <c r="D356" s="10" t="n">
        <v>3.65308</v>
      </c>
      <c r="E356" s="10" t="n">
        <v>3.65308</v>
      </c>
      <c r="F356" s="10" t="n">
        <v>350</v>
      </c>
      <c r="G356" s="10" t="n">
        <v>400</v>
      </c>
      <c r="H356" s="15" t="n">
        <v>350</v>
      </c>
      <c r="I356" s="15" t="n">
        <v>400</v>
      </c>
      <c r="J356" s="16" t="n">
        <v>108.6475</v>
      </c>
      <c r="K356" s="10" t="inlineStr">
        <is>
          <t>21</t>
        </is>
      </c>
      <c r="L356" s="16" t="n">
        <v>65.9507</v>
      </c>
      <c r="M356" s="10" t="inlineStr">
        <is>
          <t>21</t>
        </is>
      </c>
      <c r="N356" s="16" t="n">
        <v>81.392</v>
      </c>
      <c r="O356" s="16" t="n">
        <v>243.97</v>
      </c>
      <c r="P356" s="10" t="inlineStr">
        <is>
          <t>21</t>
        </is>
      </c>
      <c r="Q356" s="16" t="n">
        <v>7.5869</v>
      </c>
      <c r="R356" s="10">
        <f>MAX(MAX(1.4/'Parametros'!$B$3,0.25*SQRT('Parametros'!$B$2)/'Parametros'!$B$3)*H356*U356,(0.85*'Parametros'!$B$2/'Parametros'!$B$3)*(1-SQRT(1-2*(J356*1000000/('Parametros'!$B$5*H356*U356^2))/(0.85*'Parametros'!$B$2)))*H356*U356)</f>
        <v>898.494049541347</v>
      </c>
      <c r="S356" s="17" t="n">
        <v>5</v>
      </c>
      <c r="T356" s="18" t="n">
        <v>1</v>
      </c>
      <c r="U356" s="10">
        <f>IF(T356=1,I356-('Parametros'!$B$7+'Parametros'!$B$9+'Parametros'!$B$12/2),I356-(ROUNDUP(S356/2,0)*('Parametros'!$B$7+'Parametros'!$B$9+'Parametros'!$B$12/2)+ROUNDDOWN(S356/2,0)*('Parametros'!$B$7+'Parametros'!$B$9+'Parametros'!$B$12/2+'Parametros'!$B$12+'Parametros'!$B$10))/S356)</f>
        <v>342.55</v>
      </c>
      <c r="V356" s="10">
        <f>S356*'Parametros'!$B$8</f>
        <v>995</v>
      </c>
      <c r="W356" s="10">
        <f>'Parametros'!$B$5*V356*'Parametros'!$B$3*(U356-(V356*'Parametros'!$B$3/(0.85*'Parametros'!$B$2*H356))/2)/1000000</f>
        <v>119.402124617647</v>
      </c>
      <c r="X356" s="10" t="str">
        <f>IF(W356&gt;=J356,"CUMPLE","NO CUMPLE")</f>
        <v>CUMPLE</v>
      </c>
      <c r="Y356" s="10">
        <f>MAX(MAX(1.4/'Parametros'!$B$3,0.25*SQRT('Parametros'!$B$2)/'Parametros'!$B$3)*H356*AB356,(0.85*'Parametros'!$B$2/'Parametros'!$B$3)*(1-SQRT(1-2*(L356*1000000/('Parametros'!$B$5*H356*AB356^2))/(0.85*'Parametros'!$B$2)))*H356*AB356)</f>
        <v>530.008751395552</v>
      </c>
      <c r="Z356" s="17" t="n">
        <v>3</v>
      </c>
      <c r="AA356" s="18" t="n">
        <v>1</v>
      </c>
      <c r="AB356" s="10">
        <f>IF(AA356=1,I356-('Parametros'!$B$7+'Parametros'!$B$9+'Parametros'!$B$12/2),I356-(ROUNDUP(Z356/2,0)*('Parametros'!$B$7+'Parametros'!$B$9+'Parametros'!$B$12/2)+ROUNDDOWN(Z356/2,0)*('Parametros'!$B$7+'Parametros'!$B$9+'Parametros'!$B$12/2+'Parametros'!$B$12+'Parametros'!$B$10))/Z356)</f>
        <v>342.55</v>
      </c>
      <c r="AC356" s="10">
        <f>Z356*'Parametros'!$B$8</f>
        <v>597</v>
      </c>
      <c r="AD356" s="10">
        <f>'Parametros'!$B$5*AC356*'Parametros'!$B$3*(AB356-(AC356*'Parametros'!$B$3/(0.85*'Parametros'!$B$2*H356))/2)/1000000</f>
        <v>73.905520182353</v>
      </c>
      <c r="AE356" s="10" t="str">
        <f>IF(AD356&gt;=L356,"CUMPLE","NO CUMPLE")</f>
        <v>CUMPLE</v>
      </c>
      <c r="AF356" s="10">
        <f>V356*1.25*'Parametros'!$B$3*(U356-(V356*1.25*'Parametros'!$B$3/(0.85*'Parametros'!$B$2*H356))/2)/1000000</f>
        <v>162.560466176471</v>
      </c>
      <c r="AG356" s="10">
        <f>AC356*1.25*'Parametros'!$B$3*(AB356-(AC356*1.25*'Parametros'!$B$3/(0.85*'Parametros'!$B$2*H356))/2)/1000000</f>
        <v>101.467261323529</v>
      </c>
      <c r="AH356" s="10">
        <f>N356+(AF356+AG356)/D356</f>
        <v>153.667375162876</v>
      </c>
      <c r="AI356" s="10">
        <f>MIN(O356,MAX(N356,AH356))</f>
        <v>153.667375162876</v>
      </c>
      <c r="AJ356" s="10">
        <f>0.17*SQRT('Parametros'!$B$2)*H356*MIN(U356,AB356)/1000</f>
        <v>107.849951281016</v>
      </c>
      <c r="AK356" s="10">
        <f>MAX(AI356/'Parametros'!$B$6-AJ356,0)</f>
        <v>97.0398822694857</v>
      </c>
      <c r="AL356" s="10">
        <f>0.66*SQRT('Parametros'!$B$2)*H356*MIN(U356,AB356)/1000</f>
        <v>418.711575561591</v>
      </c>
      <c r="AM356" s="10" t="str">
        <f>IF(AK356&lt;=AL356,"CUMPLE","NO CUMPLE")</f>
        <v>CUMPLE</v>
      </c>
      <c r="AN356" s="15" t="inlineStr">
        <is>
          <t>Nº3 cerrado</t>
        </is>
      </c>
      <c r="AO356" s="17" t="n">
        <v>2</v>
      </c>
      <c r="AP356" s="10">
        <f>ROUNDDOWN(MIN(IF(AK356=0,1000000000,AO356*'Parametros'!$B$11*'Parametros'!$B$4*MIN(U356,AB356)/(AK356*1000)),IF(AV356=0,1000000000,'Parametros'!$B$11/AV356),MIN(U356,AB356)/4,8*'Parametros'!$B$12,24*'Parametros'!$B$9,300)/10,0)*10</f>
        <v>80</v>
      </c>
      <c r="AQ356" s="10">
        <f>ROUNDDOWN(MIN(IF(AK356=0,1000000000,AO356*'Parametros'!$B$11*'Parametros'!$B$4*MIN(U356,AB356)/(AK356*1000)),IF(AV356=0,1000000000,'Parametros'!$B$11/AV356),MIN(U356,AB356)/2,600)/10,0)*10</f>
        <v>170</v>
      </c>
      <c r="AR356" s="10">
        <f>'Parametros'!$B$6*(AJ356+AO356*'Parametros'!$B$11*'Parametros'!$B$4*MIN(U356,AB356)/AP356/1000)</f>
        <v>272.415732210762</v>
      </c>
      <c r="AS356" s="10" t="str">
        <f>IF(AND(AM356="CUMPLE",AR356&gt;=AI356),"CUMPLE","NO CUMPLE")</f>
        <v>CUMPLE</v>
      </c>
      <c r="AT356" s="10">
        <f>'Parametros'!$B$6*0.083*SQRT('Parametros'!$B$2)*(H356*I356)^2/(2*(H356+I356))/1000000</f>
        <v>4.30410823283988</v>
      </c>
      <c r="AU356" s="10" t="str">
        <f>IF(Q356&lt;=AT356,"DESPRECIABLE","DISEÑAR")</f>
        <v>DISEÑAR</v>
      </c>
      <c r="AV356" s="10">
        <f>IF(Q356&lt;=AT356,0,Q356*1000000/('Parametros'!$B$6*2*0.85*(H356-2*'Parametros'!$B$7)*(I356-2*'Parametros'!$B$7)*'Parametros'!$B$4))</f>
        <v>0.163980098212124</v>
      </c>
      <c r="AW356" s="10">
        <f>AV356*2*((H356-2*'Parametros'!$B$7)+(I356-2*'Parametros'!$B$7))*'Parametros'!$B$4/'Parametros'!$B$3</f>
        <v>193.496515890307</v>
      </c>
      <c r="AX356" s="17" t="n">
        <v>1</v>
      </c>
      <c r="AY356" s="10" t="str">
        <f>IF(AV356=0,"DESPRECIABLE",IF('Parametros'!$B$11/AP356&gt;=AV356,"CUMPLE","NO CUMPLE"))</f>
        <v>CUMPLE</v>
      </c>
      <c r="AZ356" s="10" t="str">
        <f>IF(AND(X356="CUMPLE",AE356="CUMPLE",AS356="CUMPLE",OR(AY356="CUMPLE",AY356="DESPRECIABLE")),IF(OR(F356&lt;&gt;H356,G356&lt;&gt;I356),"CUMPLE - REANALIZAR SAP","CUMPLE"),"NO CUMPLE")</f>
        <v>CUMPLE</v>
      </c>
    </row>
    <row r="357">
      <c r="A357" s="26" t="inlineStr">
        <is>
          <t>VR2</t>
        </is>
      </c>
      <c r="B357" s="26" t="inlineStr">
        <is>
          <t>22</t>
        </is>
      </c>
      <c r="C357" s="10" t="n">
        <v>1</v>
      </c>
      <c r="D357" s="10" t="n">
        <v>2.6</v>
      </c>
      <c r="E357" s="10" t="n">
        <v>2.6</v>
      </c>
      <c r="F357" s="10" t="n">
        <v>350</v>
      </c>
      <c r="G357" s="10" t="n">
        <v>400</v>
      </c>
      <c r="H357" s="15" t="n">
        <v>350</v>
      </c>
      <c r="I357" s="15" t="n">
        <v>400</v>
      </c>
      <c r="J357" s="16" t="n">
        <v>130.2259</v>
      </c>
      <c r="K357" s="10" t="inlineStr">
        <is>
          <t>22</t>
        </is>
      </c>
      <c r="L357" s="16" t="n">
        <v>92.71299999999999</v>
      </c>
      <c r="M357" s="10" t="inlineStr">
        <is>
          <t>22</t>
        </is>
      </c>
      <c r="N357" s="16" t="n">
        <v>116.494</v>
      </c>
      <c r="O357" s="16" t="n">
        <v>433.702</v>
      </c>
      <c r="P357" s="10" t="inlineStr">
        <is>
          <t>22</t>
        </is>
      </c>
      <c r="Q357" s="16" t="n">
        <v>0.8788</v>
      </c>
      <c r="R357" s="10">
        <f>MAX(MAX(1.4/'Parametros'!$B$3,0.25*SQRT('Parametros'!$B$2)/'Parametros'!$B$3)*H357*U357,(0.85*'Parametros'!$B$2/'Parametros'!$B$3)*(1-SQRT(1-2*(J357*1000000/('Parametros'!$B$5*H357*U357^2))/(0.85*'Parametros'!$B$2)))*H357*U357)</f>
        <v>1093.77591578911</v>
      </c>
      <c r="S357" s="17" t="n">
        <v>6</v>
      </c>
      <c r="T357" s="18" t="n">
        <v>1</v>
      </c>
      <c r="U357" s="10">
        <f>IF(T357=1,I357-('Parametros'!$B$7+'Parametros'!$B$9+'Parametros'!$B$12/2),I357-(ROUNDUP(S357/2,0)*('Parametros'!$B$7+'Parametros'!$B$9+'Parametros'!$B$12/2)+ROUNDDOWN(S357/2,0)*('Parametros'!$B$7+'Parametros'!$B$9+'Parametros'!$B$12/2+'Parametros'!$B$12+'Parametros'!$B$10))/S357)</f>
        <v>342.55</v>
      </c>
      <c r="V357" s="10">
        <f>S357*'Parametros'!$B$8</f>
        <v>1194</v>
      </c>
      <c r="W357" s="10">
        <f>'Parametros'!$B$5*V357*'Parametros'!$B$3*(U357-(V357*'Parametros'!$B$3/(0.85*'Parametros'!$B$2*H357))/2)/1000000</f>
        <v>141.018304129412</v>
      </c>
      <c r="X357" s="10" t="str">
        <f>IF(W357&gt;=J357,"CUMPLE","NO CUMPLE")</f>
        <v>CUMPLE</v>
      </c>
      <c r="Y357" s="10">
        <f>MAX(MAX(1.4/'Parametros'!$B$3,0.25*SQRT('Parametros'!$B$2)/'Parametros'!$B$3)*H357*AB357,(0.85*'Parametros'!$B$2/'Parametros'!$B$3)*(1-SQRT(1-2*(L357*1000000/('Parametros'!$B$5*H357*AB357^2))/(0.85*'Parametros'!$B$2)))*H357*AB357)</f>
        <v>758.343035332866</v>
      </c>
      <c r="Z357" s="17" t="n">
        <v>4</v>
      </c>
      <c r="AA357" s="18" t="n">
        <v>1</v>
      </c>
      <c r="AB357" s="10">
        <f>IF(AA357=1,I357-('Parametros'!$B$7+'Parametros'!$B$9+'Parametros'!$B$12/2),I357-(ROUNDUP(Z357/2,0)*('Parametros'!$B$7+'Parametros'!$B$9+'Parametros'!$B$12/2)+ROUNDDOWN(Z357/2,0)*('Parametros'!$B$7+'Parametros'!$B$9+'Parametros'!$B$12/2+'Parametros'!$B$12+'Parametros'!$B$10))/Z357)</f>
        <v>342.55</v>
      </c>
      <c r="AC357" s="10">
        <f>Z357*'Parametros'!$B$8</f>
        <v>796</v>
      </c>
      <c r="AD357" s="10">
        <f>'Parametros'!$B$5*AC357*'Parametros'!$B$3*(AB357-(AC357*'Parametros'!$B$3/(0.85*'Parametros'!$B$2*H357))/2)/1000000</f>
        <v>97.0311966352941</v>
      </c>
      <c r="AE357" s="10" t="str">
        <f>IF(AD357&gt;=L357,"CUMPLE","NO CUMPLE")</f>
        <v>CUMPLE</v>
      </c>
      <c r="AF357" s="10">
        <f>V357*1.25*'Parametros'!$B$3*(U357-(V357*1.25*'Parametros'!$B$3/(0.85*'Parametros'!$B$2*H357))/2)/1000000</f>
        <v>191.141577794118</v>
      </c>
      <c r="AG357" s="10">
        <f>AC357*1.25*'Parametros'!$B$3*(AB357-(AC357*1.25*'Parametros'!$B$3/(0.85*'Parametros'!$B$2*H357))/2)/1000000</f>
        <v>132.669027352941</v>
      </c>
      <c r="AH357" s="10">
        <f>N357+(AF357+AG357)/D357</f>
        <v>241.036540441176</v>
      </c>
      <c r="AI357" s="10">
        <f>MIN(O357,MAX(N357,AH357))</f>
        <v>241.036540441176</v>
      </c>
      <c r="AJ357" s="10">
        <f>0.17*SQRT('Parametros'!$B$2)*H357*MIN(U357,AB357)/1000</f>
        <v>107.849951281016</v>
      </c>
      <c r="AK357" s="10">
        <f>MAX(AI357/'Parametros'!$B$6-AJ357,0)</f>
        <v>213.532102640553</v>
      </c>
      <c r="AL357" s="10">
        <f>0.66*SQRT('Parametros'!$B$2)*H357*MIN(U357,AB357)/1000</f>
        <v>418.711575561591</v>
      </c>
      <c r="AM357" s="10" t="str">
        <f>IF(AK357&lt;=AL357,"CUMPLE","NO CUMPLE")</f>
        <v>CUMPLE</v>
      </c>
      <c r="AN357" s="15" t="inlineStr">
        <is>
          <t>Nº3 cerrado</t>
        </is>
      </c>
      <c r="AO357" s="17" t="n">
        <v>2</v>
      </c>
      <c r="AP357" s="10">
        <f>ROUNDDOWN(MIN(IF(AK357=0,1000000000,AO357*'Parametros'!$B$11*'Parametros'!$B$4*MIN(U357,AB357)/(AK357*1000)),IF(AV357=0,1000000000,'Parametros'!$B$11/AV357),MIN(U357,AB357)/4,8*'Parametros'!$B$12,24*'Parametros'!$B$9,300)/10,0)*10</f>
        <v>80</v>
      </c>
      <c r="AQ357" s="10">
        <f>ROUNDDOWN(MIN(IF(AK357=0,1000000000,AO357*'Parametros'!$B$11*'Parametros'!$B$4*MIN(U357,AB357)/(AK357*1000)),IF(AV357=0,1000000000,'Parametros'!$B$11/AV357),MIN(U357,AB357)/2,600)/10,0)*10</f>
        <v>90</v>
      </c>
      <c r="AR357" s="10">
        <f>'Parametros'!$B$6*(AJ357+AO357*'Parametros'!$B$11*'Parametros'!$B$4*MIN(U357,AB357)/AP357/1000)</f>
        <v>272.415732210762</v>
      </c>
      <c r="AS357" s="10" t="str">
        <f>IF(AND(AM357="CUMPLE",AR357&gt;=AI357),"CUMPLE","NO CUMPLE")</f>
        <v>CUMPLE</v>
      </c>
      <c r="AT357" s="10">
        <f>'Parametros'!$B$6*0.083*SQRT('Parametros'!$B$2)*(H357*I357)^2/(2*(H357+I357))/1000000</f>
        <v>4.30410823283988</v>
      </c>
      <c r="AU357" s="10" t="str">
        <f>IF(Q357&lt;=AT357,"DESPRECIABLE","DISEÑAR")</f>
        <v>DESPRECIABLE</v>
      </c>
      <c r="AV357" s="10">
        <f>IF(Q357&lt;=AT357,0,Q357*1000000/('Parametros'!$B$6*2*0.85*(H357-2*'Parametros'!$B$7)*(I357-2*'Parametros'!$B$7)*'Parametros'!$B$4))</f>
        <v>0</v>
      </c>
      <c r="AW357" s="10">
        <f>AV357*2*((H357-2*'Parametros'!$B$7)+(I357-2*'Parametros'!$B$7))*'Parametros'!$B$4/'Parametros'!$B$3</f>
        <v>0</v>
      </c>
      <c r="AX357" s="17" t="n">
        <v>0</v>
      </c>
      <c r="AY357" s="10" t="str">
        <f>IF(AV357=0,"DESPRECIABLE",IF('Parametros'!$B$11/AP357&gt;=AV357,"CUMPLE","NO CUMPLE"))</f>
        <v>DESPRECIABLE</v>
      </c>
      <c r="AZ357" s="10" t="str">
        <f>IF(AND(X357="CUMPLE",AE357="CUMPLE",AS357="CUMPLE",OR(AY357="CUMPLE",AY357="DESPRECIABLE")),IF(OR(F357&lt;&gt;H357,G357&lt;&gt;I357),"CUMPLE - REANALIZAR SAP","CUMPLE"),"NO CUMPLE")</f>
        <v>CUMPLE</v>
      </c>
    </row>
    <row r="358">
      <c r="A358" s="26" t="inlineStr">
        <is>
          <t>VR2</t>
        </is>
      </c>
      <c r="B358" s="26" t="inlineStr">
        <is>
          <t>33</t>
        </is>
      </c>
      <c r="C358" s="10" t="n">
        <v>1</v>
      </c>
      <c r="D358" s="10" t="n">
        <v>2.6</v>
      </c>
      <c r="E358" s="10" t="n">
        <v>2.6</v>
      </c>
      <c r="F358" s="10" t="n">
        <v>350</v>
      </c>
      <c r="G358" s="10" t="n">
        <v>400</v>
      </c>
      <c r="H358" s="15" t="n">
        <v>350</v>
      </c>
      <c r="I358" s="15" t="n">
        <v>400</v>
      </c>
      <c r="J358" s="16" t="n">
        <v>130.2818</v>
      </c>
      <c r="K358" s="10" t="inlineStr">
        <is>
          <t>33</t>
        </is>
      </c>
      <c r="L358" s="16" t="n">
        <v>92.6794</v>
      </c>
      <c r="M358" s="10" t="inlineStr">
        <is>
          <t>33</t>
        </is>
      </c>
      <c r="N358" s="16" t="n">
        <v>116.535</v>
      </c>
      <c r="O358" s="16" t="n">
        <v>433.745</v>
      </c>
      <c r="P358" s="10" t="inlineStr">
        <is>
          <t>33</t>
        </is>
      </c>
      <c r="Q358" s="16" t="n">
        <v>0.8794</v>
      </c>
      <c r="R358" s="10">
        <f>MAX(MAX(1.4/'Parametros'!$B$3,0.25*SQRT('Parametros'!$B$2)/'Parametros'!$B$3)*H358*U358,(0.85*'Parametros'!$B$2/'Parametros'!$B$3)*(1-SQRT(1-2*(J358*1000000/('Parametros'!$B$5*H358*U358^2))/(0.85*'Parametros'!$B$2)))*H358*U358)</f>
        <v>1094.29049279737</v>
      </c>
      <c r="S358" s="17" t="n">
        <v>6</v>
      </c>
      <c r="T358" s="18" t="n">
        <v>1</v>
      </c>
      <c r="U358" s="10">
        <f>IF(T358=1,I358-('Parametros'!$B$7+'Parametros'!$B$9+'Parametros'!$B$12/2),I358-(ROUNDUP(S358/2,0)*('Parametros'!$B$7+'Parametros'!$B$9+'Parametros'!$B$12/2)+ROUNDDOWN(S358/2,0)*('Parametros'!$B$7+'Parametros'!$B$9+'Parametros'!$B$12/2+'Parametros'!$B$12+'Parametros'!$B$10))/S358)</f>
        <v>342.55</v>
      </c>
      <c r="V358" s="10">
        <f>S358*'Parametros'!$B$8</f>
        <v>1194</v>
      </c>
      <c r="W358" s="10">
        <f>'Parametros'!$B$5*V358*'Parametros'!$B$3*(U358-(V358*'Parametros'!$B$3/(0.85*'Parametros'!$B$2*H358))/2)/1000000</f>
        <v>141.018304129412</v>
      </c>
      <c r="X358" s="10" t="str">
        <f>IF(W358&gt;=J358,"CUMPLE","NO CUMPLE")</f>
        <v>CUMPLE</v>
      </c>
      <c r="Y358" s="10">
        <f>MAX(MAX(1.4/'Parametros'!$B$3,0.25*SQRT('Parametros'!$B$2)/'Parametros'!$B$3)*H358*AB358,(0.85*'Parametros'!$B$2/'Parametros'!$B$3)*(1-SQRT(1-2*(L358*1000000/('Parametros'!$B$5*H358*AB358^2))/(0.85*'Parametros'!$B$2)))*H358*AB358)</f>
        <v>758.050946652184</v>
      </c>
      <c r="Z358" s="17" t="n">
        <v>4</v>
      </c>
      <c r="AA358" s="18" t="n">
        <v>1</v>
      </c>
      <c r="AB358" s="10">
        <f>IF(AA358=1,I358-('Parametros'!$B$7+'Parametros'!$B$9+'Parametros'!$B$12/2),I358-(ROUNDUP(Z358/2,0)*('Parametros'!$B$7+'Parametros'!$B$9+'Parametros'!$B$12/2)+ROUNDDOWN(Z358/2,0)*('Parametros'!$B$7+'Parametros'!$B$9+'Parametros'!$B$12/2+'Parametros'!$B$12+'Parametros'!$B$10))/Z358)</f>
        <v>342.55</v>
      </c>
      <c r="AC358" s="10">
        <f>Z358*'Parametros'!$B$8</f>
        <v>796</v>
      </c>
      <c r="AD358" s="10">
        <f>'Parametros'!$B$5*AC358*'Parametros'!$B$3*(AB358-(AC358*'Parametros'!$B$3/(0.85*'Parametros'!$B$2*H358))/2)/1000000</f>
        <v>97.0311966352941</v>
      </c>
      <c r="AE358" s="10" t="str">
        <f>IF(AD358&gt;=L358,"CUMPLE","NO CUMPLE")</f>
        <v>CUMPLE</v>
      </c>
      <c r="AF358" s="10">
        <f>V358*1.25*'Parametros'!$B$3*(U358-(V358*1.25*'Parametros'!$B$3/(0.85*'Parametros'!$B$2*H358))/2)/1000000</f>
        <v>191.141577794118</v>
      </c>
      <c r="AG358" s="10">
        <f>AC358*1.25*'Parametros'!$B$3*(AB358-(AC358*1.25*'Parametros'!$B$3/(0.85*'Parametros'!$B$2*H358))/2)/1000000</f>
        <v>132.669027352941</v>
      </c>
      <c r="AH358" s="10">
        <f>N358+(AF358+AG358)/D358</f>
        <v>241.077540441176</v>
      </c>
      <c r="AI358" s="10">
        <f>MIN(O358,MAX(N358,AH358))</f>
        <v>241.077540441176</v>
      </c>
      <c r="AJ358" s="10">
        <f>0.17*SQRT('Parametros'!$B$2)*H358*MIN(U358,AB358)/1000</f>
        <v>107.849951281016</v>
      </c>
      <c r="AK358" s="10">
        <f>MAX(AI358/'Parametros'!$B$6-AJ358,0)</f>
        <v>213.586769307219</v>
      </c>
      <c r="AL358" s="10">
        <f>0.66*SQRT('Parametros'!$B$2)*H358*MIN(U358,AB358)/1000</f>
        <v>418.711575561591</v>
      </c>
      <c r="AM358" s="10" t="str">
        <f>IF(AK358&lt;=AL358,"CUMPLE","NO CUMPLE")</f>
        <v>CUMPLE</v>
      </c>
      <c r="AN358" s="15" t="inlineStr">
        <is>
          <t>Nº3 cerrado</t>
        </is>
      </c>
      <c r="AO358" s="17" t="n">
        <v>2</v>
      </c>
      <c r="AP358" s="10">
        <f>ROUNDDOWN(MIN(IF(AK358=0,1000000000,AO358*'Parametros'!$B$11*'Parametros'!$B$4*MIN(U358,AB358)/(AK358*1000)),IF(AV358=0,1000000000,'Parametros'!$B$11/AV358),MIN(U358,AB358)/4,8*'Parametros'!$B$12,24*'Parametros'!$B$9,300)/10,0)*10</f>
        <v>80</v>
      </c>
      <c r="AQ358" s="10">
        <f>ROUNDDOWN(MIN(IF(AK358=0,1000000000,AO358*'Parametros'!$B$11*'Parametros'!$B$4*MIN(U358,AB358)/(AK358*1000)),IF(AV358=0,1000000000,'Parametros'!$B$11/AV358),MIN(U358,AB358)/2,600)/10,0)*10</f>
        <v>90</v>
      </c>
      <c r="AR358" s="10">
        <f>'Parametros'!$B$6*(AJ358+AO358*'Parametros'!$B$11*'Parametros'!$B$4*MIN(U358,AB358)/AP358/1000)</f>
        <v>272.415732210762</v>
      </c>
      <c r="AS358" s="10" t="str">
        <f>IF(AND(AM358="CUMPLE",AR358&gt;=AI358),"CUMPLE","NO CUMPLE")</f>
        <v>CUMPLE</v>
      </c>
      <c r="AT358" s="10">
        <f>'Parametros'!$B$6*0.083*SQRT('Parametros'!$B$2)*(H358*I358)^2/(2*(H358+I358))/1000000</f>
        <v>4.30410823283988</v>
      </c>
      <c r="AU358" s="10" t="str">
        <f>IF(Q358&lt;=AT358,"DESPRECIABLE","DISEÑAR")</f>
        <v>DESPRECIABLE</v>
      </c>
      <c r="AV358" s="10">
        <f>IF(Q358&lt;=AT358,0,Q358*1000000/('Parametros'!$B$6*2*0.85*(H358-2*'Parametros'!$B$7)*(I358-2*'Parametros'!$B$7)*'Parametros'!$B$4))</f>
        <v>0</v>
      </c>
      <c r="AW358" s="10">
        <f>AV358*2*((H358-2*'Parametros'!$B$7)+(I358-2*'Parametros'!$B$7))*'Parametros'!$B$4/'Parametros'!$B$3</f>
        <v>0</v>
      </c>
      <c r="AX358" s="17" t="n">
        <v>0</v>
      </c>
      <c r="AY358" s="10" t="str">
        <f>IF(AV358=0,"DESPRECIABLE",IF('Parametros'!$B$11/AP358&gt;=AV358,"CUMPLE","NO CUMPLE"))</f>
        <v>DESPRECIABLE</v>
      </c>
      <c r="AZ358" s="10" t="str">
        <f>IF(AND(X358="CUMPLE",AE358="CUMPLE",AS358="CUMPLE",OR(AY358="CUMPLE",AY358="DESPRECIABLE")),IF(OR(F358&lt;&gt;H358,G358&lt;&gt;I358),"CUMPLE - REANALIZAR SAP","CUMPLE"),"NO CUMPLE")</f>
        <v>CUMPLE</v>
      </c>
    </row>
    <row r="359">
      <c r="A359" s="26" t="inlineStr">
        <is>
          <t>VR2</t>
        </is>
      </c>
      <c r="B359" s="26" t="inlineStr">
        <is>
          <t>34</t>
        </is>
      </c>
      <c r="C359" s="10" t="n">
        <v>1</v>
      </c>
      <c r="D359" s="10" t="n">
        <v>3.65308</v>
      </c>
      <c r="E359" s="10" t="n">
        <v>3.65308</v>
      </c>
      <c r="F359" s="10" t="n">
        <v>350</v>
      </c>
      <c r="G359" s="10" t="n">
        <v>400</v>
      </c>
      <c r="H359" s="15" t="n">
        <v>350</v>
      </c>
      <c r="I359" s="15" t="n">
        <v>400</v>
      </c>
      <c r="J359" s="16" t="n">
        <v>108.6017</v>
      </c>
      <c r="K359" s="10" t="inlineStr">
        <is>
          <t>34</t>
        </is>
      </c>
      <c r="L359" s="16" t="n">
        <v>65.9241</v>
      </c>
      <c r="M359" s="10" t="inlineStr">
        <is>
          <t>34</t>
        </is>
      </c>
      <c r="N359" s="16" t="n">
        <v>81.372</v>
      </c>
      <c r="O359" s="16" t="n">
        <v>243.946</v>
      </c>
      <c r="P359" s="10" t="inlineStr">
        <is>
          <t>34</t>
        </is>
      </c>
      <c r="Q359" s="16" t="n">
        <v>7.5873</v>
      </c>
      <c r="R359" s="10">
        <f>MAX(MAX(1.4/'Parametros'!$B$3,0.25*SQRT('Parametros'!$B$2)/'Parametros'!$B$3)*H359*U359,(0.85*'Parametros'!$B$2/'Parametros'!$B$3)*(1-SQRT(1-2*(J359*1000000/('Parametros'!$B$5*H359*U359^2))/(0.85*'Parametros'!$B$2)))*H359*U359)</f>
        <v>898.086444030868</v>
      </c>
      <c r="S359" s="17" t="n">
        <v>5</v>
      </c>
      <c r="T359" s="18" t="n">
        <v>1</v>
      </c>
      <c r="U359" s="10">
        <f>IF(T359=1,I359-('Parametros'!$B$7+'Parametros'!$B$9+'Parametros'!$B$12/2),I359-(ROUNDUP(S359/2,0)*('Parametros'!$B$7+'Parametros'!$B$9+'Parametros'!$B$12/2)+ROUNDDOWN(S359/2,0)*('Parametros'!$B$7+'Parametros'!$B$9+'Parametros'!$B$12/2+'Parametros'!$B$12+'Parametros'!$B$10))/S359)</f>
        <v>342.55</v>
      </c>
      <c r="V359" s="10">
        <f>S359*'Parametros'!$B$8</f>
        <v>995</v>
      </c>
      <c r="W359" s="10">
        <f>'Parametros'!$B$5*V359*'Parametros'!$B$3*(U359-(V359*'Parametros'!$B$3/(0.85*'Parametros'!$B$2*H359))/2)/1000000</f>
        <v>119.402124617647</v>
      </c>
      <c r="X359" s="10" t="str">
        <f>IF(W359&gt;=J359,"CUMPLE","NO CUMPLE")</f>
        <v>CUMPLE</v>
      </c>
      <c r="Y359" s="10">
        <f>MAX(MAX(1.4/'Parametros'!$B$3,0.25*SQRT('Parametros'!$B$2)/'Parametros'!$B$3)*H359*AB359,(0.85*'Parametros'!$B$2/'Parametros'!$B$3)*(1-SQRT(1-2*(L359*1000000/('Parametros'!$B$5*H359*AB359^2))/(0.85*'Parametros'!$B$2)))*H359*AB359)</f>
        <v>529.785942237754</v>
      </c>
      <c r="Z359" s="17" t="n">
        <v>3</v>
      </c>
      <c r="AA359" s="18" t="n">
        <v>1</v>
      </c>
      <c r="AB359" s="10">
        <f>IF(AA359=1,I359-('Parametros'!$B$7+'Parametros'!$B$9+'Parametros'!$B$12/2),I359-(ROUNDUP(Z359/2,0)*('Parametros'!$B$7+'Parametros'!$B$9+'Parametros'!$B$12/2)+ROUNDDOWN(Z359/2,0)*('Parametros'!$B$7+'Parametros'!$B$9+'Parametros'!$B$12/2+'Parametros'!$B$12+'Parametros'!$B$10))/Z359)</f>
        <v>342.55</v>
      </c>
      <c r="AC359" s="10">
        <f>Z359*'Parametros'!$B$8</f>
        <v>597</v>
      </c>
      <c r="AD359" s="10">
        <f>'Parametros'!$B$5*AC359*'Parametros'!$B$3*(AB359-(AC359*'Parametros'!$B$3/(0.85*'Parametros'!$B$2*H359))/2)/1000000</f>
        <v>73.905520182353</v>
      </c>
      <c r="AE359" s="10" t="str">
        <f>IF(AD359&gt;=L359,"CUMPLE","NO CUMPLE")</f>
        <v>CUMPLE</v>
      </c>
      <c r="AF359" s="10">
        <f>V359*1.25*'Parametros'!$B$3*(U359-(V359*1.25*'Parametros'!$B$3/(0.85*'Parametros'!$B$2*H359))/2)/1000000</f>
        <v>162.560466176471</v>
      </c>
      <c r="AG359" s="10">
        <f>AC359*1.25*'Parametros'!$B$3*(AB359-(AC359*1.25*'Parametros'!$B$3/(0.85*'Parametros'!$B$2*H359))/2)/1000000</f>
        <v>101.467261323529</v>
      </c>
      <c r="AH359" s="10">
        <f>N359+(AF359+AG359)/D359</f>
        <v>153.647375162876</v>
      </c>
      <c r="AI359" s="10">
        <f>MIN(O359,MAX(N359,AH359))</f>
        <v>153.647375162876</v>
      </c>
      <c r="AJ359" s="10">
        <f>0.17*SQRT('Parametros'!$B$2)*H359*MIN(U359,AB359)/1000</f>
        <v>107.849951281016</v>
      </c>
      <c r="AK359" s="10">
        <f>MAX(AI359/'Parametros'!$B$6-AJ359,0)</f>
        <v>97.0132156028191</v>
      </c>
      <c r="AL359" s="10">
        <f>0.66*SQRT('Parametros'!$B$2)*H359*MIN(U359,AB359)/1000</f>
        <v>418.711575561591</v>
      </c>
      <c r="AM359" s="10" t="str">
        <f>IF(AK359&lt;=AL359,"CUMPLE","NO CUMPLE")</f>
        <v>CUMPLE</v>
      </c>
      <c r="AN359" s="15" t="inlineStr">
        <is>
          <t>Nº3 cerrado</t>
        </is>
      </c>
      <c r="AO359" s="17" t="n">
        <v>2</v>
      </c>
      <c r="AP359" s="10">
        <f>ROUNDDOWN(MIN(IF(AK359=0,1000000000,AO359*'Parametros'!$B$11*'Parametros'!$B$4*MIN(U359,AB359)/(AK359*1000)),IF(AV359=0,1000000000,'Parametros'!$B$11/AV359),MIN(U359,AB359)/4,8*'Parametros'!$B$12,24*'Parametros'!$B$9,300)/10,0)*10</f>
        <v>80</v>
      </c>
      <c r="AQ359" s="10">
        <f>ROUNDDOWN(MIN(IF(AK359=0,1000000000,AO359*'Parametros'!$B$11*'Parametros'!$B$4*MIN(U359,AB359)/(AK359*1000)),IF(AV359=0,1000000000,'Parametros'!$B$11/AV359),MIN(U359,AB359)/2,600)/10,0)*10</f>
        <v>170</v>
      </c>
      <c r="AR359" s="10">
        <f>'Parametros'!$B$6*(AJ359+AO359*'Parametros'!$B$11*'Parametros'!$B$4*MIN(U359,AB359)/AP359/1000)</f>
        <v>272.415732210762</v>
      </c>
      <c r="AS359" s="10" t="str">
        <f>IF(AND(AM359="CUMPLE",AR359&gt;=AI359),"CUMPLE","NO CUMPLE")</f>
        <v>CUMPLE</v>
      </c>
      <c r="AT359" s="10">
        <f>'Parametros'!$B$6*0.083*SQRT('Parametros'!$B$2)*(H359*I359)^2/(2*(H359+I359))/1000000</f>
        <v>4.30410823283988</v>
      </c>
      <c r="AU359" s="10" t="str">
        <f>IF(Q359&lt;=AT359,"DESPRECIABLE","DISEÑAR")</f>
        <v>DISEÑAR</v>
      </c>
      <c r="AV359" s="10">
        <f>IF(Q359&lt;=AT359,0,Q359*1000000/('Parametros'!$B$6*2*0.85*(H359-2*'Parametros'!$B$7)*(I359-2*'Parametros'!$B$7)*'Parametros'!$B$4))</f>
        <v>0.163988743645606</v>
      </c>
      <c r="AW359" s="10">
        <f>AV359*2*((H359-2*'Parametros'!$B$7)+(I359-2*'Parametros'!$B$7))*'Parametros'!$B$4/'Parametros'!$B$3</f>
        <v>193.506717501816</v>
      </c>
      <c r="AX359" s="17" t="n">
        <v>1</v>
      </c>
      <c r="AY359" s="10" t="str">
        <f>IF(AV359=0,"DESPRECIABLE",IF('Parametros'!$B$11/AP359&gt;=AV359,"CUMPLE","NO CUMPLE"))</f>
        <v>CUMPLE</v>
      </c>
      <c r="AZ359" s="10" t="str">
        <f>IF(AND(X359="CUMPLE",AE359="CUMPLE",AS359="CUMPLE",OR(AY359="CUMPLE",AY359="DESPRECIABLE")),IF(OR(F359&lt;&gt;H359,G359&lt;&gt;I359),"CUMPLE - REANALIZAR SAP","CUMPLE"),"NO CUMPLE")</f>
        <v>CUMPLE</v>
      </c>
    </row>
    <row r="360">
      <c r="A360" s="26" t="inlineStr">
        <is>
          <t>VR2</t>
        </is>
      </c>
      <c r="B360" s="26" t="inlineStr">
        <is>
          <t>35</t>
        </is>
      </c>
      <c r="C360" s="10" t="n">
        <v>1</v>
      </c>
      <c r="D360" s="10" t="n">
        <v>2.6</v>
      </c>
      <c r="E360" s="10" t="n">
        <v>2.6</v>
      </c>
      <c r="F360" s="10" t="n">
        <v>350</v>
      </c>
      <c r="G360" s="10" t="n">
        <v>400</v>
      </c>
      <c r="H360" s="15" t="n">
        <v>350</v>
      </c>
      <c r="I360" s="15" t="n">
        <v>400</v>
      </c>
      <c r="J360" s="16" t="n">
        <v>133.5495</v>
      </c>
      <c r="K360" s="10" t="inlineStr">
        <is>
          <t>35</t>
        </is>
      </c>
      <c r="L360" s="16" t="n">
        <v>94.40309999999999</v>
      </c>
      <c r="M360" s="10" t="inlineStr">
        <is>
          <t>35</t>
        </is>
      </c>
      <c r="N360" s="16" t="n">
        <v>128.571</v>
      </c>
      <c r="O360" s="16" t="n">
        <v>462.781</v>
      </c>
      <c r="P360" s="10" t="inlineStr">
        <is>
          <t>35</t>
        </is>
      </c>
      <c r="Q360" s="16" t="n">
        <v>7.5896</v>
      </c>
      <c r="R360" s="10">
        <f>MAX(MAX(1.4/'Parametros'!$B$3,0.25*SQRT('Parametros'!$B$2)/'Parametros'!$B$3)*H360*U360,(0.85*'Parametros'!$B$2/'Parametros'!$B$3)*(1-SQRT(1-2*(J360*1000000/('Parametros'!$B$5*H360*U360^2))/(0.85*'Parametros'!$B$2)))*H360*U360)</f>
        <v>1124.4518569123</v>
      </c>
      <c r="S360" s="17" t="n">
        <v>6</v>
      </c>
      <c r="T360" s="18" t="n">
        <v>1</v>
      </c>
      <c r="U360" s="10">
        <f>IF(T360=1,I360-('Parametros'!$B$7+'Parametros'!$B$9+'Parametros'!$B$12/2),I360-(ROUNDUP(S360/2,0)*('Parametros'!$B$7+'Parametros'!$B$9+'Parametros'!$B$12/2)+ROUNDDOWN(S360/2,0)*('Parametros'!$B$7+'Parametros'!$B$9+'Parametros'!$B$12/2+'Parametros'!$B$12+'Parametros'!$B$10))/S360)</f>
        <v>342.55</v>
      </c>
      <c r="V360" s="10">
        <f>S360*'Parametros'!$B$8</f>
        <v>1194</v>
      </c>
      <c r="W360" s="10">
        <f>'Parametros'!$B$5*V360*'Parametros'!$B$3*(U360-(V360*'Parametros'!$B$3/(0.85*'Parametros'!$B$2*H360))/2)/1000000</f>
        <v>141.018304129412</v>
      </c>
      <c r="X360" s="10" t="str">
        <f>IF(W360&gt;=J360,"CUMPLE","NO CUMPLE")</f>
        <v>CUMPLE</v>
      </c>
      <c r="Y360" s="10">
        <f>MAX(MAX(1.4/'Parametros'!$B$3,0.25*SQRT('Parametros'!$B$2)/'Parametros'!$B$3)*H360*AB360,(0.85*'Parametros'!$B$2/'Parametros'!$B$3)*(1-SQRT(1-2*(L360*1000000/('Parametros'!$B$5*H360*AB360^2))/(0.85*'Parametros'!$B$2)))*H360*AB360)</f>
        <v>773.053552358462</v>
      </c>
      <c r="Z360" s="17" t="n">
        <v>4</v>
      </c>
      <c r="AA360" s="18" t="n">
        <v>1</v>
      </c>
      <c r="AB360" s="10">
        <f>IF(AA360=1,I360-('Parametros'!$B$7+'Parametros'!$B$9+'Parametros'!$B$12/2),I360-(ROUNDUP(Z360/2,0)*('Parametros'!$B$7+'Parametros'!$B$9+'Parametros'!$B$12/2)+ROUNDDOWN(Z360/2,0)*('Parametros'!$B$7+'Parametros'!$B$9+'Parametros'!$B$12/2+'Parametros'!$B$12+'Parametros'!$B$10))/Z360)</f>
        <v>342.55</v>
      </c>
      <c r="AC360" s="10">
        <f>Z360*'Parametros'!$B$8</f>
        <v>796</v>
      </c>
      <c r="AD360" s="10">
        <f>'Parametros'!$B$5*AC360*'Parametros'!$B$3*(AB360-(AC360*'Parametros'!$B$3/(0.85*'Parametros'!$B$2*H360))/2)/1000000</f>
        <v>97.0311966352941</v>
      </c>
      <c r="AE360" s="10" t="str">
        <f>IF(AD360&gt;=L360,"CUMPLE","NO CUMPLE")</f>
        <v>CUMPLE</v>
      </c>
      <c r="AF360" s="10">
        <f>V360*1.25*'Parametros'!$B$3*(U360-(V360*1.25*'Parametros'!$B$3/(0.85*'Parametros'!$B$2*H360))/2)/1000000</f>
        <v>191.141577794118</v>
      </c>
      <c r="AG360" s="10">
        <f>AC360*1.25*'Parametros'!$B$3*(AB360-(AC360*1.25*'Parametros'!$B$3/(0.85*'Parametros'!$B$2*H360))/2)/1000000</f>
        <v>132.669027352941</v>
      </c>
      <c r="AH360" s="10">
        <f>N360+(AF360+AG360)/D360</f>
        <v>253.113540441176</v>
      </c>
      <c r="AI360" s="10">
        <f>MIN(O360,MAX(N360,AH360))</f>
        <v>253.113540441176</v>
      </c>
      <c r="AJ360" s="10">
        <f>0.17*SQRT('Parametros'!$B$2)*H360*MIN(U360,AB360)/1000</f>
        <v>107.849951281016</v>
      </c>
      <c r="AK360" s="10">
        <f>MAX(AI360/'Parametros'!$B$6-AJ360,0)</f>
        <v>229.634769307219</v>
      </c>
      <c r="AL360" s="10">
        <f>0.66*SQRT('Parametros'!$B$2)*H360*MIN(U360,AB360)/1000</f>
        <v>418.711575561591</v>
      </c>
      <c r="AM360" s="10" t="str">
        <f>IF(AK360&lt;=AL360,"CUMPLE","NO CUMPLE")</f>
        <v>CUMPLE</v>
      </c>
      <c r="AN360" s="15" t="inlineStr">
        <is>
          <t>Nº3 cerrado</t>
        </is>
      </c>
      <c r="AO360" s="17" t="n">
        <v>2</v>
      </c>
      <c r="AP360" s="10">
        <f>ROUNDDOWN(MIN(IF(AK360=0,1000000000,AO360*'Parametros'!$B$11*'Parametros'!$B$4*MIN(U360,AB360)/(AK360*1000)),IF(AV360=0,1000000000,'Parametros'!$B$11/AV360),MIN(U360,AB360)/4,8*'Parametros'!$B$12,24*'Parametros'!$B$9,300)/10,0)*10</f>
        <v>80</v>
      </c>
      <c r="AQ360" s="10">
        <f>ROUNDDOWN(MIN(IF(AK360=0,1000000000,AO360*'Parametros'!$B$11*'Parametros'!$B$4*MIN(U360,AB360)/(AK360*1000)),IF(AV360=0,1000000000,'Parametros'!$B$11/AV360),MIN(U360,AB360)/2,600)/10,0)*10</f>
        <v>80</v>
      </c>
      <c r="AR360" s="10">
        <f>'Parametros'!$B$6*(AJ360+AO360*'Parametros'!$B$11*'Parametros'!$B$4*MIN(U360,AB360)/AP360/1000)</f>
        <v>272.415732210762</v>
      </c>
      <c r="AS360" s="10" t="str">
        <f>IF(AND(AM360="CUMPLE",AR360&gt;=AI360),"CUMPLE","NO CUMPLE")</f>
        <v>CUMPLE</v>
      </c>
      <c r="AT360" s="10">
        <f>'Parametros'!$B$6*0.083*SQRT('Parametros'!$B$2)*(H360*I360)^2/(2*(H360+I360))/1000000</f>
        <v>4.30410823283988</v>
      </c>
      <c r="AU360" s="10" t="str">
        <f>IF(Q360&lt;=AT360,"DESPRECIABLE","DISEÑAR")</f>
        <v>DISEÑAR</v>
      </c>
      <c r="AV360" s="10">
        <f>IF(Q360&lt;=AT360,0,Q360*1000000/('Parametros'!$B$6*2*0.85*(H360-2*'Parametros'!$B$7)*(I360-2*'Parametros'!$B$7)*'Parametros'!$B$4))</f>
        <v>0.164038454888128</v>
      </c>
      <c r="AW360" s="10">
        <f>AV360*2*((H360-2*'Parametros'!$B$7)+(I360-2*'Parametros'!$B$7))*'Parametros'!$B$4/'Parametros'!$B$3</f>
        <v>193.565376767991</v>
      </c>
      <c r="AX360" s="17" t="n">
        <v>1</v>
      </c>
      <c r="AY360" s="10" t="str">
        <f>IF(AV360=0,"DESPRECIABLE",IF('Parametros'!$B$11/AP360&gt;=AV360,"CUMPLE","NO CUMPLE"))</f>
        <v>CUMPLE</v>
      </c>
      <c r="AZ360" s="10" t="str">
        <f>IF(AND(X360="CUMPLE",AE360="CUMPLE",AS360="CUMPLE",OR(AY360="CUMPLE",AY360="DESPRECIABLE")),IF(OR(F360&lt;&gt;H360,G360&lt;&gt;I360),"CUMPLE - REANALIZAR SAP","CUMPLE"),"NO CUMPLE")</f>
        <v>CUMPLE</v>
      </c>
    </row>
    <row r="361">
      <c r="A361" s="26" t="inlineStr">
        <is>
          <t>VR2</t>
        </is>
      </c>
      <c r="B361" s="26" t="inlineStr">
        <is>
          <t>36</t>
        </is>
      </c>
      <c r="C361" s="10" t="n">
        <v>1</v>
      </c>
      <c r="D361" s="10" t="n">
        <v>2.5</v>
      </c>
      <c r="E361" s="10" t="n">
        <v>2.5</v>
      </c>
      <c r="F361" s="10" t="n">
        <v>350</v>
      </c>
      <c r="G361" s="10" t="n">
        <v>400</v>
      </c>
      <c r="H361" s="15" t="n">
        <v>350</v>
      </c>
      <c r="I361" s="15" t="n">
        <v>400</v>
      </c>
      <c r="J361" s="16" t="n">
        <v>124.5925</v>
      </c>
      <c r="K361" s="10" t="inlineStr">
        <is>
          <t>36</t>
        </is>
      </c>
      <c r="L361" s="16" t="n">
        <v>101.8171</v>
      </c>
      <c r="M361" s="10" t="inlineStr">
        <is>
          <t>36</t>
        </is>
      </c>
      <c r="N361" s="16" t="n">
        <v>121.747</v>
      </c>
      <c r="O361" s="16" t="n">
        <v>467.396</v>
      </c>
      <c r="P361" s="10" t="inlineStr">
        <is>
          <t>36</t>
        </is>
      </c>
      <c r="Q361" s="16" t="n">
        <v>1.8125</v>
      </c>
      <c r="R361" s="10">
        <f>MAX(MAX(1.4/'Parametros'!$B$3,0.25*SQRT('Parametros'!$B$2)/'Parametros'!$B$3)*H361*U361,(0.85*'Parametros'!$B$2/'Parametros'!$B$3)*(1-SQRT(1-2*(J361*1000000/('Parametros'!$B$5*H361*U361^2))/(0.85*'Parametros'!$B$2)))*H361*U361)</f>
        <v>1042.15478882207</v>
      </c>
      <c r="S361" s="17" t="n">
        <v>6</v>
      </c>
      <c r="T361" s="18" t="n">
        <v>1</v>
      </c>
      <c r="U361" s="10">
        <f>IF(T361=1,I361-('Parametros'!$B$7+'Parametros'!$B$9+'Parametros'!$B$12/2),I361-(ROUNDUP(S361/2,0)*('Parametros'!$B$7+'Parametros'!$B$9+'Parametros'!$B$12/2)+ROUNDDOWN(S361/2,0)*('Parametros'!$B$7+'Parametros'!$B$9+'Parametros'!$B$12/2+'Parametros'!$B$12+'Parametros'!$B$10))/S361)</f>
        <v>342.55</v>
      </c>
      <c r="V361" s="10">
        <f>S361*'Parametros'!$B$8</f>
        <v>1194</v>
      </c>
      <c r="W361" s="10">
        <f>'Parametros'!$B$5*V361*'Parametros'!$B$3*(U361-(V361*'Parametros'!$B$3/(0.85*'Parametros'!$B$2*H361))/2)/1000000</f>
        <v>141.018304129412</v>
      </c>
      <c r="X361" s="10" t="str">
        <f>IF(W361&gt;=J361,"CUMPLE","NO CUMPLE")</f>
        <v>CUMPLE</v>
      </c>
      <c r="Y361" s="10">
        <f>MAX(MAX(1.4/'Parametros'!$B$3,0.25*SQRT('Parametros'!$B$2)/'Parametros'!$B$3)*H361*AB361,(0.85*'Parametros'!$B$2/'Parametros'!$B$3)*(1-SQRT(1-2*(L361*1000000/('Parametros'!$B$5*H361*AB361^2))/(0.85*'Parametros'!$B$2)))*H361*AB361)</f>
        <v>838.01377853227</v>
      </c>
      <c r="Z361" s="17" t="n">
        <v>5</v>
      </c>
      <c r="AA361" s="18" t="n">
        <v>1</v>
      </c>
      <c r="AB361" s="10">
        <f>IF(AA361=1,I361-('Parametros'!$B$7+'Parametros'!$B$9+'Parametros'!$B$12/2),I361-(ROUNDUP(Z361/2,0)*('Parametros'!$B$7+'Parametros'!$B$9+'Parametros'!$B$12/2)+ROUNDDOWN(Z361/2,0)*('Parametros'!$B$7+'Parametros'!$B$9+'Parametros'!$B$12/2+'Parametros'!$B$12+'Parametros'!$B$10))/Z361)</f>
        <v>342.55</v>
      </c>
      <c r="AC361" s="10">
        <f>Z361*'Parametros'!$B$8</f>
        <v>995</v>
      </c>
      <c r="AD361" s="10">
        <f>'Parametros'!$B$5*AC361*'Parametros'!$B$3*(AB361-(AC361*'Parametros'!$B$3/(0.85*'Parametros'!$B$2*H361))/2)/1000000</f>
        <v>119.402124617647</v>
      </c>
      <c r="AE361" s="10" t="str">
        <f>IF(AD361&gt;=L361,"CUMPLE","NO CUMPLE")</f>
        <v>CUMPLE</v>
      </c>
      <c r="AF361" s="10">
        <f>V361*1.25*'Parametros'!$B$3*(U361-(V361*1.25*'Parametros'!$B$3/(0.85*'Parametros'!$B$2*H361))/2)/1000000</f>
        <v>191.141577794118</v>
      </c>
      <c r="AG361" s="10">
        <f>AC361*1.25*'Parametros'!$B$3*(AB361-(AC361*1.25*'Parametros'!$B$3/(0.85*'Parametros'!$B$2*H361))/2)/1000000</f>
        <v>162.560466176471</v>
      </c>
      <c r="AH361" s="10">
        <f>N361+(AF361+AG361)/D361</f>
        <v>263.227817588235</v>
      </c>
      <c r="AI361" s="10">
        <f>MIN(O361,MAX(N361,AH361))</f>
        <v>263.227817588235</v>
      </c>
      <c r="AJ361" s="10">
        <f>0.17*SQRT('Parametros'!$B$2)*H361*MIN(U361,AB361)/1000</f>
        <v>107.849951281016</v>
      </c>
      <c r="AK361" s="10">
        <f>MAX(AI361/'Parametros'!$B$6-AJ361,0)</f>
        <v>243.120472169965</v>
      </c>
      <c r="AL361" s="10">
        <f>0.66*SQRT('Parametros'!$B$2)*H361*MIN(U361,AB361)/1000</f>
        <v>418.711575561591</v>
      </c>
      <c r="AM361" s="10" t="str">
        <f>IF(AK361&lt;=AL361,"CUMPLE","NO CUMPLE")</f>
        <v>CUMPLE</v>
      </c>
      <c r="AN361" s="15" t="inlineStr">
        <is>
          <t>Nº3 cerrado</t>
        </is>
      </c>
      <c r="AO361" s="17" t="n">
        <v>2</v>
      </c>
      <c r="AP361" s="10">
        <f>ROUNDDOWN(MIN(IF(AK361=0,1000000000,AO361*'Parametros'!$B$11*'Parametros'!$B$4*MIN(U361,AB361)/(AK361*1000)),IF(AV361=0,1000000000,'Parametros'!$B$11/AV361),MIN(U361,AB361)/4,8*'Parametros'!$B$12,24*'Parametros'!$B$9,300)/10,0)*10</f>
        <v>80</v>
      </c>
      <c r="AQ361" s="10">
        <f>ROUNDDOWN(MIN(IF(AK361=0,1000000000,AO361*'Parametros'!$B$11*'Parametros'!$B$4*MIN(U361,AB361)/(AK361*1000)),IF(AV361=0,1000000000,'Parametros'!$B$11/AV361),MIN(U361,AB361)/2,600)/10,0)*10</f>
        <v>80</v>
      </c>
      <c r="AR361" s="10">
        <f>'Parametros'!$B$6*(AJ361+AO361*'Parametros'!$B$11*'Parametros'!$B$4*MIN(U361,AB361)/AP361/1000)</f>
        <v>272.415732210762</v>
      </c>
      <c r="AS361" s="10" t="str">
        <f>IF(AND(AM361="CUMPLE",AR361&gt;=AI361),"CUMPLE","NO CUMPLE")</f>
        <v>CUMPLE</v>
      </c>
      <c r="AT361" s="10">
        <f>'Parametros'!$B$6*0.083*SQRT('Parametros'!$B$2)*(H361*I361)^2/(2*(H361+I361))/1000000</f>
        <v>4.30410823283988</v>
      </c>
      <c r="AU361" s="10" t="str">
        <f>IF(Q361&lt;=AT361,"DESPRECIABLE","DISEÑAR")</f>
        <v>DESPRECIABLE</v>
      </c>
      <c r="AV361" s="10">
        <f>IF(Q361&lt;=AT361,0,Q361*1000000/('Parametros'!$B$6*2*0.85*(H361-2*'Parametros'!$B$7)*(I361-2*'Parametros'!$B$7)*'Parametros'!$B$4))</f>
        <v>0</v>
      </c>
      <c r="AW361" s="10">
        <f>AV361*2*((H361-2*'Parametros'!$B$7)+(I361-2*'Parametros'!$B$7))*'Parametros'!$B$4/'Parametros'!$B$3</f>
        <v>0</v>
      </c>
      <c r="AX361" s="17" t="n">
        <v>0</v>
      </c>
      <c r="AY361" s="10" t="str">
        <f>IF(AV361=0,"DESPRECIABLE",IF('Parametros'!$B$11/AP361&gt;=AV361,"CUMPLE","NO CUMPLE"))</f>
        <v>DESPRECIABLE</v>
      </c>
      <c r="AZ361" s="10" t="str">
        <f>IF(AND(X361="CUMPLE",AE361="CUMPLE",AS361="CUMPLE",OR(AY361="CUMPLE",AY361="DESPRECIABLE")),IF(OR(F361&lt;&gt;H361,G361&lt;&gt;I361),"CUMPLE - REANALIZAR SAP","CUMPLE"),"NO CUMPLE")</f>
        <v>CUMPLE</v>
      </c>
    </row>
    <row r="362">
      <c r="A362" s="26" t="inlineStr">
        <is>
          <t>VR2</t>
        </is>
      </c>
      <c r="B362" s="26" t="inlineStr">
        <is>
          <t>37</t>
        </is>
      </c>
      <c r="C362" s="10" t="n">
        <v>1</v>
      </c>
      <c r="D362" s="10" t="n">
        <v>4.17612</v>
      </c>
      <c r="E362" s="10" t="n">
        <v>4.17612</v>
      </c>
      <c r="F362" s="10" t="n">
        <v>350</v>
      </c>
      <c r="G362" s="10" t="n">
        <v>400</v>
      </c>
      <c r="H362" s="15" t="n">
        <v>350</v>
      </c>
      <c r="I362" s="15" t="n">
        <v>400</v>
      </c>
      <c r="J362" s="16" t="n">
        <v>117.8576</v>
      </c>
      <c r="K362" s="10" t="inlineStr">
        <is>
          <t>37</t>
        </is>
      </c>
      <c r="L362" s="16" t="n">
        <v>57.1157</v>
      </c>
      <c r="M362" s="10" t="inlineStr">
        <is>
          <t>37</t>
        </is>
      </c>
      <c r="N362" s="16" t="n">
        <v>93.655</v>
      </c>
      <c r="O362" s="16" t="n">
        <v>246.357</v>
      </c>
      <c r="P362" s="10" t="inlineStr">
        <is>
          <t>37</t>
        </is>
      </c>
      <c r="Q362" s="16" t="n">
        <v>0.2101</v>
      </c>
      <c r="R362" s="10">
        <f>MAX(MAX(1.4/'Parametros'!$B$3,0.25*SQRT('Parametros'!$B$2)/'Parametros'!$B$3)*H362*U362,(0.85*'Parametros'!$B$2/'Parametros'!$B$3)*(1-SQRT(1-2*(J362*1000000/('Parametros'!$B$5*H362*U362^2))/(0.85*'Parametros'!$B$2)))*H362*U362)</f>
        <v>981.041776957732</v>
      </c>
      <c r="S362" s="17" t="n">
        <v>5</v>
      </c>
      <c r="T362" s="18" t="n">
        <v>1</v>
      </c>
      <c r="U362" s="10">
        <f>IF(T362=1,I362-('Parametros'!$B$7+'Parametros'!$B$9+'Parametros'!$B$12/2),I362-(ROUNDUP(S362/2,0)*('Parametros'!$B$7+'Parametros'!$B$9+'Parametros'!$B$12/2)+ROUNDDOWN(S362/2,0)*('Parametros'!$B$7+'Parametros'!$B$9+'Parametros'!$B$12/2+'Parametros'!$B$12+'Parametros'!$B$10))/S362)</f>
        <v>342.55</v>
      </c>
      <c r="V362" s="10">
        <f>S362*'Parametros'!$B$8</f>
        <v>995</v>
      </c>
      <c r="W362" s="10">
        <f>'Parametros'!$B$5*V362*'Parametros'!$B$3*(U362-(V362*'Parametros'!$B$3/(0.85*'Parametros'!$B$2*H362))/2)/1000000</f>
        <v>119.402124617647</v>
      </c>
      <c r="X362" s="10" t="str">
        <f>IF(W362&gt;=J362,"CUMPLE","NO CUMPLE")</f>
        <v>CUMPLE</v>
      </c>
      <c r="Y362" s="10">
        <f>MAX(MAX(1.4/'Parametros'!$B$3,0.25*SQRT('Parametros'!$B$2)/'Parametros'!$B$3)*H362*AB362,(0.85*'Parametros'!$B$2/'Parametros'!$B$3)*(1-SQRT(1-2*(L362*1000000/('Parametros'!$B$5*H362*AB362^2))/(0.85*'Parametros'!$B$2)))*H362*AB362)</f>
        <v>456.435051162438</v>
      </c>
      <c r="Z362" s="17" t="n">
        <v>3</v>
      </c>
      <c r="AA362" s="18" t="n">
        <v>1</v>
      </c>
      <c r="AB362" s="10">
        <f>IF(AA362=1,I362-('Parametros'!$B$7+'Parametros'!$B$9+'Parametros'!$B$12/2),I362-(ROUNDUP(Z362/2,0)*('Parametros'!$B$7+'Parametros'!$B$9+'Parametros'!$B$12/2)+ROUNDDOWN(Z362/2,0)*('Parametros'!$B$7+'Parametros'!$B$9+'Parametros'!$B$12/2+'Parametros'!$B$12+'Parametros'!$B$10))/Z362)</f>
        <v>342.55</v>
      </c>
      <c r="AC362" s="10">
        <f>Z362*'Parametros'!$B$8</f>
        <v>597</v>
      </c>
      <c r="AD362" s="10">
        <f>'Parametros'!$B$5*AC362*'Parametros'!$B$3*(AB362-(AC362*'Parametros'!$B$3/(0.85*'Parametros'!$B$2*H362))/2)/1000000</f>
        <v>73.905520182353</v>
      </c>
      <c r="AE362" s="10" t="str">
        <f>IF(AD362&gt;=L362,"CUMPLE","NO CUMPLE")</f>
        <v>CUMPLE</v>
      </c>
      <c r="AF362" s="10">
        <f>V362*1.25*'Parametros'!$B$3*(U362-(V362*1.25*'Parametros'!$B$3/(0.85*'Parametros'!$B$2*H362))/2)/1000000</f>
        <v>162.560466176471</v>
      </c>
      <c r="AG362" s="10">
        <f>AC362*1.25*'Parametros'!$B$3*(AB362-(AC362*1.25*'Parametros'!$B$3/(0.85*'Parametros'!$B$2*H362))/2)/1000000</f>
        <v>101.467261323529</v>
      </c>
      <c r="AH362" s="10">
        <f>N362+(AF362+AG362)/D362</f>
        <v>156.878213772593</v>
      </c>
      <c r="AI362" s="10">
        <f>MIN(O362,MAX(N362,AH362))</f>
        <v>156.878213772593</v>
      </c>
      <c r="AJ362" s="10">
        <f>0.17*SQRT('Parametros'!$B$2)*H362*MIN(U362,AB362)/1000</f>
        <v>107.849951281016</v>
      </c>
      <c r="AK362" s="10">
        <f>MAX(AI362/'Parametros'!$B$6-AJ362,0)</f>
        <v>101.321000415774</v>
      </c>
      <c r="AL362" s="10">
        <f>0.66*SQRT('Parametros'!$B$2)*H362*MIN(U362,AB362)/1000</f>
        <v>418.711575561591</v>
      </c>
      <c r="AM362" s="10" t="str">
        <f>IF(AK362&lt;=AL362,"CUMPLE","NO CUMPLE")</f>
        <v>CUMPLE</v>
      </c>
      <c r="AN362" s="15" t="inlineStr">
        <is>
          <t>Nº3 cerrado</t>
        </is>
      </c>
      <c r="AO362" s="17" t="n">
        <v>2</v>
      </c>
      <c r="AP362" s="10">
        <f>ROUNDDOWN(MIN(IF(AK362=0,1000000000,AO362*'Parametros'!$B$11*'Parametros'!$B$4*MIN(U362,AB362)/(AK362*1000)),IF(AV362=0,1000000000,'Parametros'!$B$11/AV362),MIN(U362,AB362)/4,8*'Parametros'!$B$12,24*'Parametros'!$B$9,300)/10,0)*10</f>
        <v>80</v>
      </c>
      <c r="AQ362" s="10">
        <f>ROUNDDOWN(MIN(IF(AK362=0,1000000000,AO362*'Parametros'!$B$11*'Parametros'!$B$4*MIN(U362,AB362)/(AK362*1000)),IF(AV362=0,1000000000,'Parametros'!$B$11/AV362),MIN(U362,AB362)/2,600)/10,0)*10</f>
        <v>170</v>
      </c>
      <c r="AR362" s="10">
        <f>'Parametros'!$B$6*(AJ362+AO362*'Parametros'!$B$11*'Parametros'!$B$4*MIN(U362,AB362)/AP362/1000)</f>
        <v>272.415732210762</v>
      </c>
      <c r="AS362" s="10" t="str">
        <f>IF(AND(AM362="CUMPLE",AR362&gt;=AI362),"CUMPLE","NO CUMPLE")</f>
        <v>CUMPLE</v>
      </c>
      <c r="AT362" s="10">
        <f>'Parametros'!$B$6*0.083*SQRT('Parametros'!$B$2)*(H362*I362)^2/(2*(H362+I362))/1000000</f>
        <v>4.30410823283988</v>
      </c>
      <c r="AU362" s="10" t="str">
        <f>IF(Q362&lt;=AT362,"DESPRECIABLE","DISEÑAR")</f>
        <v>DESPRECIABLE</v>
      </c>
      <c r="AV362" s="10">
        <f>IF(Q362&lt;=AT362,0,Q362*1000000/('Parametros'!$B$6*2*0.85*(H362-2*'Parametros'!$B$7)*(I362-2*'Parametros'!$B$7)*'Parametros'!$B$4))</f>
        <v>0</v>
      </c>
      <c r="AW362" s="10">
        <f>AV362*2*((H362-2*'Parametros'!$B$7)+(I362-2*'Parametros'!$B$7))*'Parametros'!$B$4/'Parametros'!$B$3</f>
        <v>0</v>
      </c>
      <c r="AX362" s="17" t="n">
        <v>0</v>
      </c>
      <c r="AY362" s="10" t="str">
        <f>IF(AV362=0,"DESPRECIABLE",IF('Parametros'!$B$11/AP362&gt;=AV362,"CUMPLE","NO CUMPLE"))</f>
        <v>DESPRECIABLE</v>
      </c>
      <c r="AZ362" s="10" t="str">
        <f>IF(AND(X362="CUMPLE",AE362="CUMPLE",AS362="CUMPLE",OR(AY362="CUMPLE",AY362="DESPRECIABLE")),IF(OR(F362&lt;&gt;H362,G362&lt;&gt;I362),"CUMPLE - REANALIZAR SAP","CUMPLE"),"NO CUMPLE")</f>
        <v>CUMPLE</v>
      </c>
    </row>
    <row r="363">
      <c r="A363" s="26" t="inlineStr">
        <is>
          <t>VR2</t>
        </is>
      </c>
      <c r="B363" s="26" t="inlineStr">
        <is>
          <t>38</t>
        </is>
      </c>
      <c r="C363" s="10" t="n">
        <v>1</v>
      </c>
      <c r="D363" s="10" t="n">
        <v>2.7</v>
      </c>
      <c r="E363" s="10" t="n">
        <v>2.7</v>
      </c>
      <c r="F363" s="10" t="n">
        <v>350</v>
      </c>
      <c r="G363" s="10" t="n">
        <v>400</v>
      </c>
      <c r="H363" s="15" t="n">
        <v>350</v>
      </c>
      <c r="I363" s="15" t="n">
        <v>400</v>
      </c>
      <c r="J363" s="16" t="n">
        <v>93.8443</v>
      </c>
      <c r="K363" s="10" t="inlineStr">
        <is>
          <t>38</t>
        </is>
      </c>
      <c r="L363" s="16" t="n">
        <v>77.3151</v>
      </c>
      <c r="M363" s="10" t="inlineStr">
        <is>
          <t>38</t>
        </is>
      </c>
      <c r="N363" s="16" t="n">
        <v>91.996</v>
      </c>
      <c r="O363" s="16" t="n">
        <v>296.992</v>
      </c>
      <c r="P363" s="10" t="inlineStr">
        <is>
          <t>38</t>
        </is>
      </c>
      <c r="Q363" s="16" t="n">
        <v>2.5664</v>
      </c>
      <c r="R363" s="10">
        <f>MAX(MAX(1.4/'Parametros'!$B$3,0.25*SQRT('Parametros'!$B$2)/'Parametros'!$B$3)*H363*U363,(0.85*'Parametros'!$B$2/'Parametros'!$B$3)*(1-SQRT(1-2*(J363*1000000/('Parametros'!$B$5*H363*U363^2))/(0.85*'Parametros'!$B$2)))*H363*U363)</f>
        <v>768.185820658127</v>
      </c>
      <c r="S363" s="17" t="n">
        <v>4</v>
      </c>
      <c r="T363" s="18" t="n">
        <v>1</v>
      </c>
      <c r="U363" s="10">
        <f>IF(T363=1,I363-('Parametros'!$B$7+'Parametros'!$B$9+'Parametros'!$B$12/2),I363-(ROUNDUP(S363/2,0)*('Parametros'!$B$7+'Parametros'!$B$9+'Parametros'!$B$12/2)+ROUNDDOWN(S363/2,0)*('Parametros'!$B$7+'Parametros'!$B$9+'Parametros'!$B$12/2+'Parametros'!$B$12+'Parametros'!$B$10))/S363)</f>
        <v>342.55</v>
      </c>
      <c r="V363" s="10">
        <f>S363*'Parametros'!$B$8</f>
        <v>796</v>
      </c>
      <c r="W363" s="10">
        <f>'Parametros'!$B$5*V363*'Parametros'!$B$3*(U363-(V363*'Parametros'!$B$3/(0.85*'Parametros'!$B$2*H363))/2)/1000000</f>
        <v>97.0311966352941</v>
      </c>
      <c r="X363" s="10" t="str">
        <f>IF(W363&gt;=J363,"CUMPLE","NO CUMPLE")</f>
        <v>CUMPLE</v>
      </c>
      <c r="Y363" s="10">
        <f>MAX(MAX(1.4/'Parametros'!$B$3,0.25*SQRT('Parametros'!$B$2)/'Parametros'!$B$3)*H363*AB363,(0.85*'Parametros'!$B$2/'Parametros'!$B$3)*(1-SQRT(1-2*(L363*1000000/('Parametros'!$B$5*H363*AB363^2))/(0.85*'Parametros'!$B$2)))*H363*AB363)</f>
        <v>625.936423639423</v>
      </c>
      <c r="Z363" s="17" t="n">
        <v>4</v>
      </c>
      <c r="AA363" s="18" t="n">
        <v>1</v>
      </c>
      <c r="AB363" s="10">
        <f>IF(AA363=1,I363-('Parametros'!$B$7+'Parametros'!$B$9+'Parametros'!$B$12/2),I363-(ROUNDUP(Z363/2,0)*('Parametros'!$B$7+'Parametros'!$B$9+'Parametros'!$B$12/2)+ROUNDDOWN(Z363/2,0)*('Parametros'!$B$7+'Parametros'!$B$9+'Parametros'!$B$12/2+'Parametros'!$B$12+'Parametros'!$B$10))/Z363)</f>
        <v>342.55</v>
      </c>
      <c r="AC363" s="10">
        <f>Z363*'Parametros'!$B$8</f>
        <v>796</v>
      </c>
      <c r="AD363" s="10">
        <f>'Parametros'!$B$5*AC363*'Parametros'!$B$3*(AB363-(AC363*'Parametros'!$B$3/(0.85*'Parametros'!$B$2*H363))/2)/1000000</f>
        <v>97.0311966352941</v>
      </c>
      <c r="AE363" s="10" t="str">
        <f>IF(AD363&gt;=L363,"CUMPLE","NO CUMPLE")</f>
        <v>CUMPLE</v>
      </c>
      <c r="AF363" s="10">
        <f>V363*1.25*'Parametros'!$B$3*(U363-(V363*1.25*'Parametros'!$B$3/(0.85*'Parametros'!$B$2*H363))/2)/1000000</f>
        <v>132.669027352941</v>
      </c>
      <c r="AG363" s="10">
        <f>AC363*1.25*'Parametros'!$B$3*(AB363-(AC363*1.25*'Parametros'!$B$3/(0.85*'Parametros'!$B$2*H363))/2)/1000000</f>
        <v>132.669027352941</v>
      </c>
      <c r="AH363" s="10">
        <f>N363+(AF363+AG363)/D363</f>
        <v>190.269353594771</v>
      </c>
      <c r="AI363" s="10">
        <f>MIN(O363,MAX(N363,AH363))</f>
        <v>190.269353594771</v>
      </c>
      <c r="AJ363" s="10">
        <f>0.17*SQRT('Parametros'!$B$2)*H363*MIN(U363,AB363)/1000</f>
        <v>107.849951281016</v>
      </c>
      <c r="AK363" s="10">
        <f>MAX(AI363/'Parametros'!$B$6-AJ363,0)</f>
        <v>145.842520178679</v>
      </c>
      <c r="AL363" s="10">
        <f>0.66*SQRT('Parametros'!$B$2)*H363*MIN(U363,AB363)/1000</f>
        <v>418.711575561591</v>
      </c>
      <c r="AM363" s="10" t="str">
        <f>IF(AK363&lt;=AL363,"CUMPLE","NO CUMPLE")</f>
        <v>CUMPLE</v>
      </c>
      <c r="AN363" s="15" t="inlineStr">
        <is>
          <t>Nº3 cerrado</t>
        </is>
      </c>
      <c r="AO363" s="17" t="n">
        <v>2</v>
      </c>
      <c r="AP363" s="10">
        <f>ROUNDDOWN(MIN(IF(AK363=0,1000000000,AO363*'Parametros'!$B$11*'Parametros'!$B$4*MIN(U363,AB363)/(AK363*1000)),IF(AV363=0,1000000000,'Parametros'!$B$11/AV363),MIN(U363,AB363)/4,8*'Parametros'!$B$12,24*'Parametros'!$B$9,300)/10,0)*10</f>
        <v>80</v>
      </c>
      <c r="AQ363" s="10">
        <f>ROUNDDOWN(MIN(IF(AK363=0,1000000000,AO363*'Parametros'!$B$11*'Parametros'!$B$4*MIN(U363,AB363)/(AK363*1000)),IF(AV363=0,1000000000,'Parametros'!$B$11/AV363),MIN(U363,AB363)/2,600)/10,0)*10</f>
        <v>140</v>
      </c>
      <c r="AR363" s="10">
        <f>'Parametros'!$B$6*(AJ363+AO363*'Parametros'!$B$11*'Parametros'!$B$4*MIN(U363,AB363)/AP363/1000)</f>
        <v>272.415732210762</v>
      </c>
      <c r="AS363" s="10" t="str">
        <f>IF(AND(AM363="CUMPLE",AR363&gt;=AI363),"CUMPLE","NO CUMPLE")</f>
        <v>CUMPLE</v>
      </c>
      <c r="AT363" s="10">
        <f>'Parametros'!$B$6*0.083*SQRT('Parametros'!$B$2)*(H363*I363)^2/(2*(H363+I363))/1000000</f>
        <v>4.30410823283988</v>
      </c>
      <c r="AU363" s="10" t="str">
        <f>IF(Q363&lt;=AT363,"DESPRECIABLE","DISEÑAR")</f>
        <v>DESPRECIABLE</v>
      </c>
      <c r="AV363" s="10">
        <f>IF(Q363&lt;=AT363,0,Q363*1000000/('Parametros'!$B$6*2*0.85*(H363-2*'Parametros'!$B$7)*(I363-2*'Parametros'!$B$7)*'Parametros'!$B$4))</f>
        <v>0</v>
      </c>
      <c r="AW363" s="10">
        <f>AV363*2*((H363-2*'Parametros'!$B$7)+(I363-2*'Parametros'!$B$7))*'Parametros'!$B$4/'Parametros'!$B$3</f>
        <v>0</v>
      </c>
      <c r="AX363" s="17" t="n">
        <v>0</v>
      </c>
      <c r="AY363" s="10" t="str">
        <f>IF(AV363=0,"DESPRECIABLE",IF('Parametros'!$B$11/AP363&gt;=AV363,"CUMPLE","NO CUMPLE"))</f>
        <v>DESPRECIABLE</v>
      </c>
      <c r="AZ363" s="10" t="str">
        <f>IF(AND(X363="CUMPLE",AE363="CUMPLE",AS363="CUMPLE",OR(AY363="CUMPLE",AY363="DESPRECIABLE")),IF(OR(F363&lt;&gt;H363,G363&lt;&gt;I363),"CUMPLE - REANALIZAR SAP","CUMPLE"),"NO CUMPLE")</f>
        <v>CUMPLE</v>
      </c>
    </row>
    <row r="364">
      <c r="A364" s="26" t="inlineStr">
        <is>
          <t>VR2</t>
        </is>
      </c>
      <c r="B364" s="26" t="inlineStr">
        <is>
          <t>39</t>
        </is>
      </c>
      <c r="C364" s="10" t="n">
        <v>1</v>
      </c>
      <c r="D364" s="10" t="n">
        <v>2.8</v>
      </c>
      <c r="E364" s="10" t="n">
        <v>2.8</v>
      </c>
      <c r="F364" s="10" t="n">
        <v>350</v>
      </c>
      <c r="G364" s="10" t="n">
        <v>400</v>
      </c>
      <c r="H364" s="15" t="n">
        <v>350</v>
      </c>
      <c r="I364" s="15" t="n">
        <v>400</v>
      </c>
      <c r="J364" s="16" t="n">
        <v>93.8399</v>
      </c>
      <c r="K364" s="10" t="inlineStr">
        <is>
          <t>39</t>
        </is>
      </c>
      <c r="L364" s="16" t="n">
        <v>75.1656</v>
      </c>
      <c r="M364" s="10" t="inlineStr">
        <is>
          <t>39</t>
        </is>
      </c>
      <c r="N364" s="16" t="n">
        <v>90.452</v>
      </c>
      <c r="O364" s="16" t="n">
        <v>285.601</v>
      </c>
      <c r="P364" s="10" t="inlineStr">
        <is>
          <t>39</t>
        </is>
      </c>
      <c r="Q364" s="16" t="n">
        <v>2.4852</v>
      </c>
      <c r="R364" s="10">
        <f>MAX(MAX(1.4/'Parametros'!$B$3,0.25*SQRT('Parametros'!$B$2)/'Parametros'!$B$3)*H364*U364,(0.85*'Parametros'!$B$2/'Parametros'!$B$3)*(1-SQRT(1-2*(J364*1000000/('Parametros'!$B$5*H364*U364^2))/(0.85*'Parametros'!$B$2)))*H364*U364)</f>
        <v>768.14750766527</v>
      </c>
      <c r="S364" s="17" t="n">
        <v>4</v>
      </c>
      <c r="T364" s="18" t="n">
        <v>1</v>
      </c>
      <c r="U364" s="10">
        <f>IF(T364=1,I364-('Parametros'!$B$7+'Parametros'!$B$9+'Parametros'!$B$12/2),I364-(ROUNDUP(S364/2,0)*('Parametros'!$B$7+'Parametros'!$B$9+'Parametros'!$B$12/2)+ROUNDDOWN(S364/2,0)*('Parametros'!$B$7+'Parametros'!$B$9+'Parametros'!$B$12/2+'Parametros'!$B$12+'Parametros'!$B$10))/S364)</f>
        <v>342.55</v>
      </c>
      <c r="V364" s="10">
        <f>S364*'Parametros'!$B$8</f>
        <v>796</v>
      </c>
      <c r="W364" s="10">
        <f>'Parametros'!$B$5*V364*'Parametros'!$B$3*(U364-(V364*'Parametros'!$B$3/(0.85*'Parametros'!$B$2*H364))/2)/1000000</f>
        <v>97.0311966352941</v>
      </c>
      <c r="X364" s="10" t="str">
        <f>IF(W364&gt;=J364,"CUMPLE","NO CUMPLE")</f>
        <v>CUMPLE</v>
      </c>
      <c r="Y364" s="10">
        <f>MAX(MAX(1.4/'Parametros'!$B$3,0.25*SQRT('Parametros'!$B$2)/'Parametros'!$B$3)*H364*AB364,(0.85*'Parametros'!$B$2/'Parametros'!$B$3)*(1-SQRT(1-2*(L364*1000000/('Parametros'!$B$5*H364*AB364^2))/(0.85*'Parametros'!$B$2)))*H364*AB364)</f>
        <v>607.678278316953</v>
      </c>
      <c r="Z364" s="17" t="n">
        <v>4</v>
      </c>
      <c r="AA364" s="18" t="n">
        <v>1</v>
      </c>
      <c r="AB364" s="10">
        <f>IF(AA364=1,I364-('Parametros'!$B$7+'Parametros'!$B$9+'Parametros'!$B$12/2),I364-(ROUNDUP(Z364/2,0)*('Parametros'!$B$7+'Parametros'!$B$9+'Parametros'!$B$12/2)+ROUNDDOWN(Z364/2,0)*('Parametros'!$B$7+'Parametros'!$B$9+'Parametros'!$B$12/2+'Parametros'!$B$12+'Parametros'!$B$10))/Z364)</f>
        <v>342.55</v>
      </c>
      <c r="AC364" s="10">
        <f>Z364*'Parametros'!$B$8</f>
        <v>796</v>
      </c>
      <c r="AD364" s="10">
        <f>'Parametros'!$B$5*AC364*'Parametros'!$B$3*(AB364-(AC364*'Parametros'!$B$3/(0.85*'Parametros'!$B$2*H364))/2)/1000000</f>
        <v>97.0311966352941</v>
      </c>
      <c r="AE364" s="10" t="str">
        <f>IF(AD364&gt;=L364,"CUMPLE","NO CUMPLE")</f>
        <v>CUMPLE</v>
      </c>
      <c r="AF364" s="10">
        <f>V364*1.25*'Parametros'!$B$3*(U364-(V364*1.25*'Parametros'!$B$3/(0.85*'Parametros'!$B$2*H364))/2)/1000000</f>
        <v>132.669027352941</v>
      </c>
      <c r="AG364" s="10">
        <f>AC364*1.25*'Parametros'!$B$3*(AB364-(AC364*1.25*'Parametros'!$B$3/(0.85*'Parametros'!$B$2*H364))/2)/1000000</f>
        <v>132.669027352941</v>
      </c>
      <c r="AH364" s="10">
        <f>N364+(AF364+AG364)/D364</f>
        <v>185.215590966387</v>
      </c>
      <c r="AI364" s="10">
        <f>MIN(O364,MAX(N364,AH364))</f>
        <v>185.215590966387</v>
      </c>
      <c r="AJ364" s="10">
        <f>0.17*SQRT('Parametros'!$B$2)*H364*MIN(U364,AB364)/1000</f>
        <v>107.849951281016</v>
      </c>
      <c r="AK364" s="10">
        <f>MAX(AI364/'Parametros'!$B$6-AJ364,0)</f>
        <v>139.104170007499</v>
      </c>
      <c r="AL364" s="10">
        <f>0.66*SQRT('Parametros'!$B$2)*H364*MIN(U364,AB364)/1000</f>
        <v>418.711575561591</v>
      </c>
      <c r="AM364" s="10" t="str">
        <f>IF(AK364&lt;=AL364,"CUMPLE","NO CUMPLE")</f>
        <v>CUMPLE</v>
      </c>
      <c r="AN364" s="15" t="inlineStr">
        <is>
          <t>Nº3 cerrado</t>
        </is>
      </c>
      <c r="AO364" s="17" t="n">
        <v>2</v>
      </c>
      <c r="AP364" s="10">
        <f>ROUNDDOWN(MIN(IF(AK364=0,1000000000,AO364*'Parametros'!$B$11*'Parametros'!$B$4*MIN(U364,AB364)/(AK364*1000)),IF(AV364=0,1000000000,'Parametros'!$B$11/AV364),MIN(U364,AB364)/4,8*'Parametros'!$B$12,24*'Parametros'!$B$9,300)/10,0)*10</f>
        <v>80</v>
      </c>
      <c r="AQ364" s="10">
        <f>ROUNDDOWN(MIN(IF(AK364=0,1000000000,AO364*'Parametros'!$B$11*'Parametros'!$B$4*MIN(U364,AB364)/(AK364*1000)),IF(AV364=0,1000000000,'Parametros'!$B$11/AV364),MIN(U364,AB364)/2,600)/10,0)*10</f>
        <v>140</v>
      </c>
      <c r="AR364" s="10">
        <f>'Parametros'!$B$6*(AJ364+AO364*'Parametros'!$B$11*'Parametros'!$B$4*MIN(U364,AB364)/AP364/1000)</f>
        <v>272.415732210762</v>
      </c>
      <c r="AS364" s="10" t="str">
        <f>IF(AND(AM364="CUMPLE",AR364&gt;=AI364),"CUMPLE","NO CUMPLE")</f>
        <v>CUMPLE</v>
      </c>
      <c r="AT364" s="10">
        <f>'Parametros'!$B$6*0.083*SQRT('Parametros'!$B$2)*(H364*I364)^2/(2*(H364+I364))/1000000</f>
        <v>4.30410823283988</v>
      </c>
      <c r="AU364" s="10" t="str">
        <f>IF(Q364&lt;=AT364,"DESPRECIABLE","DISEÑAR")</f>
        <v>DESPRECIABLE</v>
      </c>
      <c r="AV364" s="10">
        <f>IF(Q364&lt;=AT364,0,Q364*1000000/('Parametros'!$B$6*2*0.85*(H364-2*'Parametros'!$B$7)*(I364-2*'Parametros'!$B$7)*'Parametros'!$B$4))</f>
        <v>0</v>
      </c>
      <c r="AW364" s="10">
        <f>AV364*2*((H364-2*'Parametros'!$B$7)+(I364-2*'Parametros'!$B$7))*'Parametros'!$B$4/'Parametros'!$B$3</f>
        <v>0</v>
      </c>
      <c r="AX364" s="17" t="n">
        <v>0</v>
      </c>
      <c r="AY364" s="10" t="str">
        <f>IF(AV364=0,"DESPRECIABLE",IF('Parametros'!$B$11/AP364&gt;=AV364,"CUMPLE","NO CUMPLE"))</f>
        <v>DESPRECIABLE</v>
      </c>
      <c r="AZ364" s="10" t="str">
        <f>IF(AND(X364="CUMPLE",AE364="CUMPLE",AS364="CUMPLE",OR(AY364="CUMPLE",AY364="DESPRECIABLE")),IF(OR(F364&lt;&gt;H364,G364&lt;&gt;I364),"CUMPLE - REANALIZAR SAP","CUMPLE"),"NO CUMPLE")</f>
        <v>CUMPLE</v>
      </c>
    </row>
    <row r="365">
      <c r="A365" s="26" t="inlineStr">
        <is>
          <t>VR2</t>
        </is>
      </c>
      <c r="B365" s="26" t="inlineStr">
        <is>
          <t>40</t>
        </is>
      </c>
      <c r="C365" s="10" t="n">
        <v>1</v>
      </c>
      <c r="D365" s="10" t="n">
        <v>4.17612</v>
      </c>
      <c r="E365" s="10" t="n">
        <v>4.17612</v>
      </c>
      <c r="F365" s="10" t="n">
        <v>350</v>
      </c>
      <c r="G365" s="10" t="n">
        <v>400</v>
      </c>
      <c r="H365" s="15" t="n">
        <v>350</v>
      </c>
      <c r="I365" s="15" t="n">
        <v>400</v>
      </c>
      <c r="J365" s="16" t="n">
        <v>117.8726</v>
      </c>
      <c r="K365" s="10" t="inlineStr">
        <is>
          <t>40</t>
        </is>
      </c>
      <c r="L365" s="16" t="n">
        <v>57.2458</v>
      </c>
      <c r="M365" s="10" t="inlineStr">
        <is>
          <t>40</t>
        </is>
      </c>
      <c r="N365" s="16" t="n">
        <v>93.679</v>
      </c>
      <c r="O365" s="16" t="n">
        <v>246.642</v>
      </c>
      <c r="P365" s="10" t="inlineStr">
        <is>
          <t>40</t>
        </is>
      </c>
      <c r="Q365" s="16" t="n">
        <v>0.1918</v>
      </c>
      <c r="R365" s="10">
        <f>MAX(MAX(1.4/'Parametros'!$B$3,0.25*SQRT('Parametros'!$B$2)/'Parametros'!$B$3)*H365*U365,(0.85*'Parametros'!$B$2/'Parametros'!$B$3)*(1-SQRT(1-2*(J365*1000000/('Parametros'!$B$5*H365*U365^2))/(0.85*'Parametros'!$B$2)))*H365*U365)</f>
        <v>981.17717421752</v>
      </c>
      <c r="S365" s="17" t="n">
        <v>5</v>
      </c>
      <c r="T365" s="18" t="n">
        <v>1</v>
      </c>
      <c r="U365" s="10">
        <f>IF(T365=1,I365-('Parametros'!$B$7+'Parametros'!$B$9+'Parametros'!$B$12/2),I365-(ROUNDUP(S365/2,0)*('Parametros'!$B$7+'Parametros'!$B$9+'Parametros'!$B$12/2)+ROUNDDOWN(S365/2,0)*('Parametros'!$B$7+'Parametros'!$B$9+'Parametros'!$B$12/2+'Parametros'!$B$12+'Parametros'!$B$10))/S365)</f>
        <v>342.55</v>
      </c>
      <c r="V365" s="10">
        <f>S365*'Parametros'!$B$8</f>
        <v>995</v>
      </c>
      <c r="W365" s="10">
        <f>'Parametros'!$B$5*V365*'Parametros'!$B$3*(U365-(V365*'Parametros'!$B$3/(0.85*'Parametros'!$B$2*H365))/2)/1000000</f>
        <v>119.402124617647</v>
      </c>
      <c r="X365" s="10" t="str">
        <f>IF(W365&gt;=J365,"CUMPLE","NO CUMPLE")</f>
        <v>CUMPLE</v>
      </c>
      <c r="Y365" s="10">
        <f>MAX(MAX(1.4/'Parametros'!$B$3,0.25*SQRT('Parametros'!$B$2)/'Parametros'!$B$3)*H365*AB365,(0.85*'Parametros'!$B$2/'Parametros'!$B$3)*(1-SQRT(1-2*(L365*1000000/('Parametros'!$B$5*H365*AB365^2))/(0.85*'Parametros'!$B$2)))*H365*AB365)</f>
        <v>457.512265133829</v>
      </c>
      <c r="Z365" s="17" t="n">
        <v>3</v>
      </c>
      <c r="AA365" s="18" t="n">
        <v>1</v>
      </c>
      <c r="AB365" s="10">
        <f>IF(AA365=1,I365-('Parametros'!$B$7+'Parametros'!$B$9+'Parametros'!$B$12/2),I365-(ROUNDUP(Z365/2,0)*('Parametros'!$B$7+'Parametros'!$B$9+'Parametros'!$B$12/2)+ROUNDDOWN(Z365/2,0)*('Parametros'!$B$7+'Parametros'!$B$9+'Parametros'!$B$12/2+'Parametros'!$B$12+'Parametros'!$B$10))/Z365)</f>
        <v>342.55</v>
      </c>
      <c r="AC365" s="10">
        <f>Z365*'Parametros'!$B$8</f>
        <v>597</v>
      </c>
      <c r="AD365" s="10">
        <f>'Parametros'!$B$5*AC365*'Parametros'!$B$3*(AB365-(AC365*'Parametros'!$B$3/(0.85*'Parametros'!$B$2*H365))/2)/1000000</f>
        <v>73.905520182353</v>
      </c>
      <c r="AE365" s="10" t="str">
        <f>IF(AD365&gt;=L365,"CUMPLE","NO CUMPLE")</f>
        <v>CUMPLE</v>
      </c>
      <c r="AF365" s="10">
        <f>V365*1.25*'Parametros'!$B$3*(U365-(V365*1.25*'Parametros'!$B$3/(0.85*'Parametros'!$B$2*H365))/2)/1000000</f>
        <v>162.560466176471</v>
      </c>
      <c r="AG365" s="10">
        <f>AC365*1.25*'Parametros'!$B$3*(AB365-(AC365*1.25*'Parametros'!$B$3/(0.85*'Parametros'!$B$2*H365))/2)/1000000</f>
        <v>101.467261323529</v>
      </c>
      <c r="AH365" s="10">
        <f>N365+(AF365+AG365)/D365</f>
        <v>156.902213772593</v>
      </c>
      <c r="AI365" s="10">
        <f>MIN(O365,MAX(N365,AH365))</f>
        <v>156.902213772593</v>
      </c>
      <c r="AJ365" s="10">
        <f>0.17*SQRT('Parametros'!$B$2)*H365*MIN(U365,AB365)/1000</f>
        <v>107.849951281016</v>
      </c>
      <c r="AK365" s="10">
        <f>MAX(AI365/'Parametros'!$B$6-AJ365,0)</f>
        <v>101.353000415774</v>
      </c>
      <c r="AL365" s="10">
        <f>0.66*SQRT('Parametros'!$B$2)*H365*MIN(U365,AB365)/1000</f>
        <v>418.711575561591</v>
      </c>
      <c r="AM365" s="10" t="str">
        <f>IF(AK365&lt;=AL365,"CUMPLE","NO CUMPLE")</f>
        <v>CUMPLE</v>
      </c>
      <c r="AN365" s="15" t="inlineStr">
        <is>
          <t>Nº3 cerrado</t>
        </is>
      </c>
      <c r="AO365" s="17" t="n">
        <v>2</v>
      </c>
      <c r="AP365" s="10">
        <f>ROUNDDOWN(MIN(IF(AK365=0,1000000000,AO365*'Parametros'!$B$11*'Parametros'!$B$4*MIN(U365,AB365)/(AK365*1000)),IF(AV365=0,1000000000,'Parametros'!$B$11/AV365),MIN(U365,AB365)/4,8*'Parametros'!$B$12,24*'Parametros'!$B$9,300)/10,0)*10</f>
        <v>80</v>
      </c>
      <c r="AQ365" s="10">
        <f>ROUNDDOWN(MIN(IF(AK365=0,1000000000,AO365*'Parametros'!$B$11*'Parametros'!$B$4*MIN(U365,AB365)/(AK365*1000)),IF(AV365=0,1000000000,'Parametros'!$B$11/AV365),MIN(U365,AB365)/2,600)/10,0)*10</f>
        <v>170</v>
      </c>
      <c r="AR365" s="10">
        <f>'Parametros'!$B$6*(AJ365+AO365*'Parametros'!$B$11*'Parametros'!$B$4*MIN(U365,AB365)/AP365/1000)</f>
        <v>272.415732210762</v>
      </c>
      <c r="AS365" s="10" t="str">
        <f>IF(AND(AM365="CUMPLE",AR365&gt;=AI365),"CUMPLE","NO CUMPLE")</f>
        <v>CUMPLE</v>
      </c>
      <c r="AT365" s="10">
        <f>'Parametros'!$B$6*0.083*SQRT('Parametros'!$B$2)*(H365*I365)^2/(2*(H365+I365))/1000000</f>
        <v>4.30410823283988</v>
      </c>
      <c r="AU365" s="10" t="str">
        <f>IF(Q365&lt;=AT365,"DESPRECIABLE","DISEÑAR")</f>
        <v>DESPRECIABLE</v>
      </c>
      <c r="AV365" s="10">
        <f>IF(Q365&lt;=AT365,0,Q365*1000000/('Parametros'!$B$6*2*0.85*(H365-2*'Parametros'!$B$7)*(I365-2*'Parametros'!$B$7)*'Parametros'!$B$4))</f>
        <v>0</v>
      </c>
      <c r="AW365" s="10">
        <f>AV365*2*((H365-2*'Parametros'!$B$7)+(I365-2*'Parametros'!$B$7))*'Parametros'!$B$4/'Parametros'!$B$3</f>
        <v>0</v>
      </c>
      <c r="AX365" s="17" t="n">
        <v>0</v>
      </c>
      <c r="AY365" s="10" t="str">
        <f>IF(AV365=0,"DESPRECIABLE",IF('Parametros'!$B$11/AP365&gt;=AV365,"CUMPLE","NO CUMPLE"))</f>
        <v>DESPRECIABLE</v>
      </c>
      <c r="AZ365" s="10" t="str">
        <f>IF(AND(X365="CUMPLE",AE365="CUMPLE",AS365="CUMPLE",OR(AY365="CUMPLE",AY365="DESPRECIABLE")),IF(OR(F365&lt;&gt;H365,G365&lt;&gt;I365),"CUMPLE - REANALIZAR SAP","CUMPLE"),"NO CUMPLE")</f>
        <v>CUMPLE</v>
      </c>
    </row>
    <row r="366">
      <c r="A366" s="26" t="inlineStr">
        <is>
          <t>VR2</t>
        </is>
      </c>
      <c r="B366" s="26" t="inlineStr">
        <is>
          <t>41</t>
        </is>
      </c>
      <c r="C366" s="10" t="n">
        <v>1</v>
      </c>
      <c r="D366" s="10" t="n">
        <v>2.5</v>
      </c>
      <c r="E366" s="10" t="n">
        <v>2.5</v>
      </c>
      <c r="F366" s="10" t="n">
        <v>350</v>
      </c>
      <c r="G366" s="10" t="n">
        <v>400</v>
      </c>
      <c r="H366" s="15" t="n">
        <v>350</v>
      </c>
      <c r="I366" s="15" t="n">
        <v>400</v>
      </c>
      <c r="J366" s="16" t="n">
        <v>124.516</v>
      </c>
      <c r="K366" s="10" t="inlineStr">
        <is>
          <t>41</t>
        </is>
      </c>
      <c r="L366" s="16" t="n">
        <v>101.762</v>
      </c>
      <c r="M366" s="10" t="inlineStr">
        <is>
          <t>41</t>
        </is>
      </c>
      <c r="N366" s="16" t="n">
        <v>121.683</v>
      </c>
      <c r="O366" s="16" t="n">
        <v>467.298</v>
      </c>
      <c r="P366" s="10" t="inlineStr">
        <is>
          <t>41</t>
        </is>
      </c>
      <c r="Q366" s="16" t="n">
        <v>1.8126</v>
      </c>
      <c r="R366" s="10">
        <f>MAX(MAX(1.4/'Parametros'!$B$3,0.25*SQRT('Parametros'!$B$2)/'Parametros'!$B$3)*H366*U366,(0.85*'Parametros'!$B$2/'Parametros'!$B$3)*(1-SQRT(1-2*(J366*1000000/('Parametros'!$B$5*H366*U366^2))/(0.85*'Parametros'!$B$2)))*H366*U366)</f>
        <v>1041.4569763399</v>
      </c>
      <c r="S366" s="17" t="n">
        <v>6</v>
      </c>
      <c r="T366" s="18" t="n">
        <v>1</v>
      </c>
      <c r="U366" s="10">
        <f>IF(T366=1,I366-('Parametros'!$B$7+'Parametros'!$B$9+'Parametros'!$B$12/2),I366-(ROUNDUP(S366/2,0)*('Parametros'!$B$7+'Parametros'!$B$9+'Parametros'!$B$12/2)+ROUNDDOWN(S366/2,0)*('Parametros'!$B$7+'Parametros'!$B$9+'Parametros'!$B$12/2+'Parametros'!$B$12+'Parametros'!$B$10))/S366)</f>
        <v>342.55</v>
      </c>
      <c r="V366" s="10">
        <f>S366*'Parametros'!$B$8</f>
        <v>1194</v>
      </c>
      <c r="W366" s="10">
        <f>'Parametros'!$B$5*V366*'Parametros'!$B$3*(U366-(V366*'Parametros'!$B$3/(0.85*'Parametros'!$B$2*H366))/2)/1000000</f>
        <v>141.018304129412</v>
      </c>
      <c r="X366" s="10" t="str">
        <f>IF(W366&gt;=J366,"CUMPLE","NO CUMPLE")</f>
        <v>CUMPLE</v>
      </c>
      <c r="Y366" s="10">
        <f>MAX(MAX(1.4/'Parametros'!$B$3,0.25*SQRT('Parametros'!$B$2)/'Parametros'!$B$3)*H366*AB366,(0.85*'Parametros'!$B$2/'Parametros'!$B$3)*(1-SQRT(1-2*(L366*1000000/('Parametros'!$B$5*H366*AB366^2))/(0.85*'Parametros'!$B$2)))*H366*AB366)</f>
        <v>837.528388545192</v>
      </c>
      <c r="Z366" s="17" t="n">
        <v>5</v>
      </c>
      <c r="AA366" s="18" t="n">
        <v>1</v>
      </c>
      <c r="AB366" s="10">
        <f>IF(AA366=1,I366-('Parametros'!$B$7+'Parametros'!$B$9+'Parametros'!$B$12/2),I366-(ROUNDUP(Z366/2,0)*('Parametros'!$B$7+'Parametros'!$B$9+'Parametros'!$B$12/2)+ROUNDDOWN(Z366/2,0)*('Parametros'!$B$7+'Parametros'!$B$9+'Parametros'!$B$12/2+'Parametros'!$B$12+'Parametros'!$B$10))/Z366)</f>
        <v>342.55</v>
      </c>
      <c r="AC366" s="10">
        <f>Z366*'Parametros'!$B$8</f>
        <v>995</v>
      </c>
      <c r="AD366" s="10">
        <f>'Parametros'!$B$5*AC366*'Parametros'!$B$3*(AB366-(AC366*'Parametros'!$B$3/(0.85*'Parametros'!$B$2*H366))/2)/1000000</f>
        <v>119.402124617647</v>
      </c>
      <c r="AE366" s="10" t="str">
        <f>IF(AD366&gt;=L366,"CUMPLE","NO CUMPLE")</f>
        <v>CUMPLE</v>
      </c>
      <c r="AF366" s="10">
        <f>V366*1.25*'Parametros'!$B$3*(U366-(V366*1.25*'Parametros'!$B$3/(0.85*'Parametros'!$B$2*H366))/2)/1000000</f>
        <v>191.141577794118</v>
      </c>
      <c r="AG366" s="10">
        <f>AC366*1.25*'Parametros'!$B$3*(AB366-(AC366*1.25*'Parametros'!$B$3/(0.85*'Parametros'!$B$2*H366))/2)/1000000</f>
        <v>162.560466176471</v>
      </c>
      <c r="AH366" s="10">
        <f>N366+(AF366+AG366)/D366</f>
        <v>263.163817588235</v>
      </c>
      <c r="AI366" s="10">
        <f>MIN(O366,MAX(N366,AH366))</f>
        <v>263.163817588235</v>
      </c>
      <c r="AJ366" s="10">
        <f>0.17*SQRT('Parametros'!$B$2)*H366*MIN(U366,AB366)/1000</f>
        <v>107.849951281016</v>
      </c>
      <c r="AK366" s="10">
        <f>MAX(AI366/'Parametros'!$B$6-AJ366,0)</f>
        <v>243.035138836631</v>
      </c>
      <c r="AL366" s="10">
        <f>0.66*SQRT('Parametros'!$B$2)*H366*MIN(U366,AB366)/1000</f>
        <v>418.711575561591</v>
      </c>
      <c r="AM366" s="10" t="str">
        <f>IF(AK366&lt;=AL366,"CUMPLE","NO CUMPLE")</f>
        <v>CUMPLE</v>
      </c>
      <c r="AN366" s="15" t="inlineStr">
        <is>
          <t>Nº3 cerrado</t>
        </is>
      </c>
      <c r="AO366" s="17" t="n">
        <v>2</v>
      </c>
      <c r="AP366" s="10">
        <f>ROUNDDOWN(MIN(IF(AK366=0,1000000000,AO366*'Parametros'!$B$11*'Parametros'!$B$4*MIN(U366,AB366)/(AK366*1000)),IF(AV366=0,1000000000,'Parametros'!$B$11/AV366),MIN(U366,AB366)/4,8*'Parametros'!$B$12,24*'Parametros'!$B$9,300)/10,0)*10</f>
        <v>80</v>
      </c>
      <c r="AQ366" s="10">
        <f>ROUNDDOWN(MIN(IF(AK366=0,1000000000,AO366*'Parametros'!$B$11*'Parametros'!$B$4*MIN(U366,AB366)/(AK366*1000)),IF(AV366=0,1000000000,'Parametros'!$B$11/AV366),MIN(U366,AB366)/2,600)/10,0)*10</f>
        <v>80</v>
      </c>
      <c r="AR366" s="10">
        <f>'Parametros'!$B$6*(AJ366+AO366*'Parametros'!$B$11*'Parametros'!$B$4*MIN(U366,AB366)/AP366/1000)</f>
        <v>272.415732210762</v>
      </c>
      <c r="AS366" s="10" t="str">
        <f>IF(AND(AM366="CUMPLE",AR366&gt;=AI366),"CUMPLE","NO CUMPLE")</f>
        <v>CUMPLE</v>
      </c>
      <c r="AT366" s="10">
        <f>'Parametros'!$B$6*0.083*SQRT('Parametros'!$B$2)*(H366*I366)^2/(2*(H366+I366))/1000000</f>
        <v>4.30410823283988</v>
      </c>
      <c r="AU366" s="10" t="str">
        <f>IF(Q366&lt;=AT366,"DESPRECIABLE","DISEÑAR")</f>
        <v>DESPRECIABLE</v>
      </c>
      <c r="AV366" s="10">
        <f>IF(Q366&lt;=AT366,0,Q366*1000000/('Parametros'!$B$6*2*0.85*(H366-2*'Parametros'!$B$7)*(I366-2*'Parametros'!$B$7)*'Parametros'!$B$4))</f>
        <v>0</v>
      </c>
      <c r="AW366" s="10">
        <f>AV366*2*((H366-2*'Parametros'!$B$7)+(I366-2*'Parametros'!$B$7))*'Parametros'!$B$4/'Parametros'!$B$3</f>
        <v>0</v>
      </c>
      <c r="AX366" s="17" t="n">
        <v>0</v>
      </c>
      <c r="AY366" s="10" t="str">
        <f>IF(AV366=0,"DESPRECIABLE",IF('Parametros'!$B$11/AP366&gt;=AV366,"CUMPLE","NO CUMPLE"))</f>
        <v>DESPRECIABLE</v>
      </c>
      <c r="AZ366" s="10" t="str">
        <f>IF(AND(X366="CUMPLE",AE366="CUMPLE",AS366="CUMPLE",OR(AY366="CUMPLE",AY366="DESPRECIABLE")),IF(OR(F366&lt;&gt;H366,G366&lt;&gt;I366),"CUMPLE - REANALIZAR SAP","CUMPLE"),"NO CUMPLE")</f>
        <v>CUMPLE</v>
      </c>
    </row>
    <row r="367">
      <c r="A367" s="26" t="inlineStr">
        <is>
          <t>VR2</t>
        </is>
      </c>
      <c r="B367" s="26" t="inlineStr">
        <is>
          <t>42</t>
        </is>
      </c>
      <c r="C367" s="10" t="n">
        <v>1</v>
      </c>
      <c r="D367" s="10" t="n">
        <v>2.6</v>
      </c>
      <c r="E367" s="10" t="n">
        <v>2.6</v>
      </c>
      <c r="F367" s="10" t="n">
        <v>350</v>
      </c>
      <c r="G367" s="10" t="n">
        <v>400</v>
      </c>
      <c r="H367" s="15" t="n">
        <v>350</v>
      </c>
      <c r="I367" s="15" t="n">
        <v>400</v>
      </c>
      <c r="J367" s="16" t="n">
        <v>133.4101</v>
      </c>
      <c r="K367" s="10" t="inlineStr">
        <is>
          <t>42</t>
        </is>
      </c>
      <c r="L367" s="16" t="n">
        <v>94.47020000000001</v>
      </c>
      <c r="M367" s="10" t="inlineStr">
        <is>
          <t>42</t>
        </is>
      </c>
      <c r="N367" s="16" t="n">
        <v>128.36</v>
      </c>
      <c r="O367" s="16" t="n">
        <v>462.488</v>
      </c>
      <c r="P367" s="10" t="inlineStr">
        <is>
          <t>42</t>
        </is>
      </c>
      <c r="Q367" s="16" t="n">
        <v>7.5334</v>
      </c>
      <c r="R367" s="10">
        <f>MAX(MAX(1.4/'Parametros'!$B$3,0.25*SQRT('Parametros'!$B$2)/'Parametros'!$B$3)*H367*U367,(0.85*'Parametros'!$B$2/'Parametros'!$B$3)*(1-SQRT(1-2*(J367*1000000/('Parametros'!$B$5*H367*U367^2))/(0.85*'Parametros'!$B$2)))*H367*U367)</f>
        <v>1123.16189806627</v>
      </c>
      <c r="S367" s="17" t="n">
        <v>6</v>
      </c>
      <c r="T367" s="18" t="n">
        <v>1</v>
      </c>
      <c r="U367" s="10">
        <f>IF(T367=1,I367-('Parametros'!$B$7+'Parametros'!$B$9+'Parametros'!$B$12/2),I367-(ROUNDUP(S367/2,0)*('Parametros'!$B$7+'Parametros'!$B$9+'Parametros'!$B$12/2)+ROUNDDOWN(S367/2,0)*('Parametros'!$B$7+'Parametros'!$B$9+'Parametros'!$B$12/2+'Parametros'!$B$12+'Parametros'!$B$10))/S367)</f>
        <v>342.55</v>
      </c>
      <c r="V367" s="10">
        <f>S367*'Parametros'!$B$8</f>
        <v>1194</v>
      </c>
      <c r="W367" s="10">
        <f>'Parametros'!$B$5*V367*'Parametros'!$B$3*(U367-(V367*'Parametros'!$B$3/(0.85*'Parametros'!$B$2*H367))/2)/1000000</f>
        <v>141.018304129412</v>
      </c>
      <c r="X367" s="10" t="str">
        <f>IF(W367&gt;=J367,"CUMPLE","NO CUMPLE")</f>
        <v>CUMPLE</v>
      </c>
      <c r="Y367" s="10">
        <f>MAX(MAX(1.4/'Parametros'!$B$3,0.25*SQRT('Parametros'!$B$2)/'Parametros'!$B$3)*H367*AB367,(0.85*'Parametros'!$B$2/'Parametros'!$B$3)*(1-SQRT(1-2*(L367*1000000/('Parametros'!$B$5*H367*AB367^2))/(0.85*'Parametros'!$B$2)))*H367*AB367)</f>
        <v>773.638328128976</v>
      </c>
      <c r="Z367" s="17" t="n">
        <v>4</v>
      </c>
      <c r="AA367" s="18" t="n">
        <v>1</v>
      </c>
      <c r="AB367" s="10">
        <f>IF(AA367=1,I367-('Parametros'!$B$7+'Parametros'!$B$9+'Parametros'!$B$12/2),I367-(ROUNDUP(Z367/2,0)*('Parametros'!$B$7+'Parametros'!$B$9+'Parametros'!$B$12/2)+ROUNDDOWN(Z367/2,0)*('Parametros'!$B$7+'Parametros'!$B$9+'Parametros'!$B$12/2+'Parametros'!$B$12+'Parametros'!$B$10))/Z367)</f>
        <v>342.55</v>
      </c>
      <c r="AC367" s="10">
        <f>Z367*'Parametros'!$B$8</f>
        <v>796</v>
      </c>
      <c r="AD367" s="10">
        <f>'Parametros'!$B$5*AC367*'Parametros'!$B$3*(AB367-(AC367*'Parametros'!$B$3/(0.85*'Parametros'!$B$2*H367))/2)/1000000</f>
        <v>97.0311966352941</v>
      </c>
      <c r="AE367" s="10" t="str">
        <f>IF(AD367&gt;=L367,"CUMPLE","NO CUMPLE")</f>
        <v>CUMPLE</v>
      </c>
      <c r="AF367" s="10">
        <f>V367*1.25*'Parametros'!$B$3*(U367-(V367*1.25*'Parametros'!$B$3/(0.85*'Parametros'!$B$2*H367))/2)/1000000</f>
        <v>191.141577794118</v>
      </c>
      <c r="AG367" s="10">
        <f>AC367*1.25*'Parametros'!$B$3*(AB367-(AC367*1.25*'Parametros'!$B$3/(0.85*'Parametros'!$B$2*H367))/2)/1000000</f>
        <v>132.669027352941</v>
      </c>
      <c r="AH367" s="10">
        <f>N367+(AF367+AG367)/D367</f>
        <v>252.902540441176</v>
      </c>
      <c r="AI367" s="10">
        <f>MIN(O367,MAX(N367,AH367))</f>
        <v>252.902540441176</v>
      </c>
      <c r="AJ367" s="10">
        <f>0.17*SQRT('Parametros'!$B$2)*H367*MIN(U367,AB367)/1000</f>
        <v>107.849951281016</v>
      </c>
      <c r="AK367" s="10">
        <f>MAX(AI367/'Parametros'!$B$6-AJ367,0)</f>
        <v>229.353435973886</v>
      </c>
      <c r="AL367" s="10">
        <f>0.66*SQRT('Parametros'!$B$2)*H367*MIN(U367,AB367)/1000</f>
        <v>418.711575561591</v>
      </c>
      <c r="AM367" s="10" t="str">
        <f>IF(AK367&lt;=AL367,"CUMPLE","NO CUMPLE")</f>
        <v>CUMPLE</v>
      </c>
      <c r="AN367" s="15" t="inlineStr">
        <is>
          <t>Nº3 cerrado</t>
        </is>
      </c>
      <c r="AO367" s="17" t="n">
        <v>2</v>
      </c>
      <c r="AP367" s="10">
        <f>ROUNDDOWN(MIN(IF(AK367=0,1000000000,AO367*'Parametros'!$B$11*'Parametros'!$B$4*MIN(U367,AB367)/(AK367*1000)),IF(AV367=0,1000000000,'Parametros'!$B$11/AV367),MIN(U367,AB367)/4,8*'Parametros'!$B$12,24*'Parametros'!$B$9,300)/10,0)*10</f>
        <v>80</v>
      </c>
      <c r="AQ367" s="10">
        <f>ROUNDDOWN(MIN(IF(AK367=0,1000000000,AO367*'Parametros'!$B$11*'Parametros'!$B$4*MIN(U367,AB367)/(AK367*1000)),IF(AV367=0,1000000000,'Parametros'!$B$11/AV367),MIN(U367,AB367)/2,600)/10,0)*10</f>
        <v>80</v>
      </c>
      <c r="AR367" s="10">
        <f>'Parametros'!$B$6*(AJ367+AO367*'Parametros'!$B$11*'Parametros'!$B$4*MIN(U367,AB367)/AP367/1000)</f>
        <v>272.415732210762</v>
      </c>
      <c r="AS367" s="10" t="str">
        <f>IF(AND(AM367="CUMPLE",AR367&gt;=AI367),"CUMPLE","NO CUMPLE")</f>
        <v>CUMPLE</v>
      </c>
      <c r="AT367" s="10">
        <f>'Parametros'!$B$6*0.083*SQRT('Parametros'!$B$2)*(H367*I367)^2/(2*(H367+I367))/1000000</f>
        <v>4.30410823283988</v>
      </c>
      <c r="AU367" s="10" t="str">
        <f>IF(Q367&lt;=AT367,"DESPRECIABLE","DISEÑAR")</f>
        <v>DISEÑAR</v>
      </c>
      <c r="AV367" s="10">
        <f>IF(Q367&lt;=AT367,0,Q367*1000000/('Parametros'!$B$6*2*0.85*(H367-2*'Parametros'!$B$7)*(I367-2*'Parametros'!$B$7)*'Parametros'!$B$4))</f>
        <v>0.162823771483902</v>
      </c>
      <c r="AW367" s="10">
        <f>AV367*2*((H367-2*'Parametros'!$B$7)+(I367-2*'Parametros'!$B$7))*'Parametros'!$B$4/'Parametros'!$B$3</f>
        <v>192.132050351005</v>
      </c>
      <c r="AX367" s="17" t="n">
        <v>1</v>
      </c>
      <c r="AY367" s="10" t="str">
        <f>IF(AV367=0,"DESPRECIABLE",IF('Parametros'!$B$11/AP367&gt;=AV367,"CUMPLE","NO CUMPLE"))</f>
        <v>CUMPLE</v>
      </c>
      <c r="AZ367" s="10" t="str">
        <f>IF(AND(X367="CUMPLE",AE367="CUMPLE",AS367="CUMPLE",OR(AY367="CUMPLE",AY367="DESPRECIABLE")),IF(OR(F367&lt;&gt;H367,G367&lt;&gt;I367),"CUMPLE - REANALIZAR SAP","CUMPLE"),"NO CUMPLE")</f>
        <v>CUMPLE</v>
      </c>
    </row>
    <row r="368">
      <c r="A368" s="26" t="inlineStr">
        <is>
          <t>VR2</t>
        </is>
      </c>
      <c r="B368" s="26" t="inlineStr">
        <is>
          <t>43</t>
        </is>
      </c>
      <c r="C368" s="10" t="n">
        <v>1</v>
      </c>
      <c r="D368" s="10" t="n">
        <v>3.65308</v>
      </c>
      <c r="E368" s="10" t="n">
        <v>3.65308</v>
      </c>
      <c r="F368" s="10" t="n">
        <v>350</v>
      </c>
      <c r="G368" s="10" t="n">
        <v>400</v>
      </c>
      <c r="H368" s="15" t="n">
        <v>350</v>
      </c>
      <c r="I368" s="15" t="n">
        <v>400</v>
      </c>
      <c r="J368" s="16" t="n">
        <v>108.673</v>
      </c>
      <c r="K368" s="10" t="inlineStr">
        <is>
          <t>43</t>
        </is>
      </c>
      <c r="L368" s="16" t="n">
        <v>65.9729</v>
      </c>
      <c r="M368" s="10" t="inlineStr">
        <is>
          <t>43</t>
        </is>
      </c>
      <c r="N368" s="16" t="n">
        <v>81.48399999999999</v>
      </c>
      <c r="O368" s="16" t="n">
        <v>244.135</v>
      </c>
      <c r="P368" s="10" t="inlineStr">
        <is>
          <t>43</t>
        </is>
      </c>
      <c r="Q368" s="16" t="n">
        <v>7.5712</v>
      </c>
      <c r="R368" s="10">
        <f>MAX(MAX(1.4/'Parametros'!$B$3,0.25*SQRT('Parametros'!$B$2)/'Parametros'!$B$3)*H368*U368,(0.85*'Parametros'!$B$2/'Parametros'!$B$3)*(1-SQRT(1-2*(J368*1000000/('Parametros'!$B$5*H368*U368^2))/(0.85*'Parametros'!$B$2)))*H368*U368)</f>
        <v>898.721003687849</v>
      </c>
      <c r="S368" s="17" t="n">
        <v>5</v>
      </c>
      <c r="T368" s="18" t="n">
        <v>1</v>
      </c>
      <c r="U368" s="10">
        <f>IF(T368=1,I368-('Parametros'!$B$7+'Parametros'!$B$9+'Parametros'!$B$12/2),I368-(ROUNDUP(S368/2,0)*('Parametros'!$B$7+'Parametros'!$B$9+'Parametros'!$B$12/2)+ROUNDDOWN(S368/2,0)*('Parametros'!$B$7+'Parametros'!$B$9+'Parametros'!$B$12/2+'Parametros'!$B$12+'Parametros'!$B$10))/S368)</f>
        <v>342.55</v>
      </c>
      <c r="V368" s="10">
        <f>S368*'Parametros'!$B$8</f>
        <v>995</v>
      </c>
      <c r="W368" s="10">
        <f>'Parametros'!$B$5*V368*'Parametros'!$B$3*(U368-(V368*'Parametros'!$B$3/(0.85*'Parametros'!$B$2*H368))/2)/1000000</f>
        <v>119.402124617647</v>
      </c>
      <c r="X368" s="10" t="str">
        <f>IF(W368&gt;=J368,"CUMPLE","NO CUMPLE")</f>
        <v>CUMPLE</v>
      </c>
      <c r="Y368" s="10">
        <f>MAX(MAX(1.4/'Parametros'!$B$3,0.25*SQRT('Parametros'!$B$2)/'Parametros'!$B$3)*H368*AB368,(0.85*'Parametros'!$B$2/'Parametros'!$B$3)*(1-SQRT(1-2*(L368*1000000/('Parametros'!$B$5*H368*AB368^2))/(0.85*'Parametros'!$B$2)))*H368*AB368)</f>
        <v>530.194710970743</v>
      </c>
      <c r="Z368" s="17" t="n">
        <v>3</v>
      </c>
      <c r="AA368" s="18" t="n">
        <v>1</v>
      </c>
      <c r="AB368" s="10">
        <f>IF(AA368=1,I368-('Parametros'!$B$7+'Parametros'!$B$9+'Parametros'!$B$12/2),I368-(ROUNDUP(Z368/2,0)*('Parametros'!$B$7+'Parametros'!$B$9+'Parametros'!$B$12/2)+ROUNDDOWN(Z368/2,0)*('Parametros'!$B$7+'Parametros'!$B$9+'Parametros'!$B$12/2+'Parametros'!$B$12+'Parametros'!$B$10))/Z368)</f>
        <v>342.55</v>
      </c>
      <c r="AC368" s="10">
        <f>Z368*'Parametros'!$B$8</f>
        <v>597</v>
      </c>
      <c r="AD368" s="10">
        <f>'Parametros'!$B$5*AC368*'Parametros'!$B$3*(AB368-(AC368*'Parametros'!$B$3/(0.85*'Parametros'!$B$2*H368))/2)/1000000</f>
        <v>73.905520182353</v>
      </c>
      <c r="AE368" s="10" t="str">
        <f>IF(AD368&gt;=L368,"CUMPLE","NO CUMPLE")</f>
        <v>CUMPLE</v>
      </c>
      <c r="AF368" s="10">
        <f>V368*1.25*'Parametros'!$B$3*(U368-(V368*1.25*'Parametros'!$B$3/(0.85*'Parametros'!$B$2*H368))/2)/1000000</f>
        <v>162.560466176471</v>
      </c>
      <c r="AG368" s="10">
        <f>AC368*1.25*'Parametros'!$B$3*(AB368-(AC368*1.25*'Parametros'!$B$3/(0.85*'Parametros'!$B$2*H368))/2)/1000000</f>
        <v>101.467261323529</v>
      </c>
      <c r="AH368" s="10">
        <f>N368+(AF368+AG368)/D368</f>
        <v>153.759375162876</v>
      </c>
      <c r="AI368" s="10">
        <f>MIN(O368,MAX(N368,AH368))</f>
        <v>153.759375162876</v>
      </c>
      <c r="AJ368" s="10">
        <f>0.17*SQRT('Parametros'!$B$2)*H368*MIN(U368,AB368)/1000</f>
        <v>107.849951281016</v>
      </c>
      <c r="AK368" s="10">
        <f>MAX(AI368/'Parametros'!$B$6-AJ368,0)</f>
        <v>97.1625489361524</v>
      </c>
      <c r="AL368" s="10">
        <f>0.66*SQRT('Parametros'!$B$2)*H368*MIN(U368,AB368)/1000</f>
        <v>418.711575561591</v>
      </c>
      <c r="AM368" s="10" t="str">
        <f>IF(AK368&lt;=AL368,"CUMPLE","NO CUMPLE")</f>
        <v>CUMPLE</v>
      </c>
      <c r="AN368" s="15" t="inlineStr">
        <is>
          <t>Nº3 cerrado</t>
        </is>
      </c>
      <c r="AO368" s="17" t="n">
        <v>2</v>
      </c>
      <c r="AP368" s="10">
        <f>ROUNDDOWN(MIN(IF(AK368=0,1000000000,AO368*'Parametros'!$B$11*'Parametros'!$B$4*MIN(U368,AB368)/(AK368*1000)),IF(AV368=0,1000000000,'Parametros'!$B$11/AV368),MIN(U368,AB368)/4,8*'Parametros'!$B$12,24*'Parametros'!$B$9,300)/10,0)*10</f>
        <v>80</v>
      </c>
      <c r="AQ368" s="10">
        <f>ROUNDDOWN(MIN(IF(AK368=0,1000000000,AO368*'Parametros'!$B$11*'Parametros'!$B$4*MIN(U368,AB368)/(AK368*1000)),IF(AV368=0,1000000000,'Parametros'!$B$11/AV368),MIN(U368,AB368)/2,600)/10,0)*10</f>
        <v>170</v>
      </c>
      <c r="AR368" s="10">
        <f>'Parametros'!$B$6*(AJ368+AO368*'Parametros'!$B$11*'Parametros'!$B$4*MIN(U368,AB368)/AP368/1000)</f>
        <v>272.415732210762</v>
      </c>
      <c r="AS368" s="10" t="str">
        <f>IF(AND(AM368="CUMPLE",AR368&gt;=AI368),"CUMPLE","NO CUMPLE")</f>
        <v>CUMPLE</v>
      </c>
      <c r="AT368" s="10">
        <f>'Parametros'!$B$6*0.083*SQRT('Parametros'!$B$2)*(H368*I368)^2/(2*(H368+I368))/1000000</f>
        <v>4.30410823283988</v>
      </c>
      <c r="AU368" s="10" t="str">
        <f>IF(Q368&lt;=AT368,"DESPRECIABLE","DISEÑAR")</f>
        <v>DISEÑAR</v>
      </c>
      <c r="AV368" s="10">
        <f>IF(Q368&lt;=AT368,0,Q368*1000000/('Parametros'!$B$6*2*0.85*(H368-2*'Parametros'!$B$7)*(I368-2*'Parametros'!$B$7)*'Parametros'!$B$4))</f>
        <v>0.163640764947954</v>
      </c>
      <c r="AW368" s="10">
        <f>AV368*2*((H368-2*'Parametros'!$B$7)+(I368-2*'Parametros'!$B$7))*'Parametros'!$B$4/'Parametros'!$B$3</f>
        <v>193.096102638586</v>
      </c>
      <c r="AX368" s="17" t="n">
        <v>1</v>
      </c>
      <c r="AY368" s="10" t="str">
        <f>IF(AV368=0,"DESPRECIABLE",IF('Parametros'!$B$11/AP368&gt;=AV368,"CUMPLE","NO CUMPLE"))</f>
        <v>CUMPLE</v>
      </c>
      <c r="AZ368" s="10" t="str">
        <f>IF(AND(X368="CUMPLE",AE368="CUMPLE",AS368="CUMPLE",OR(AY368="CUMPLE",AY368="DESPRECIABLE")),IF(OR(F368&lt;&gt;H368,G368&lt;&gt;I368),"CUMPLE - REANALIZAR SAP","CUMPLE"),"NO CUMPLE")</f>
        <v>CUMPLE</v>
      </c>
    </row>
    <row r="369">
      <c r="A369" s="26" t="inlineStr">
        <is>
          <t>VR2</t>
        </is>
      </c>
      <c r="B369" s="26" t="inlineStr">
        <is>
          <t>44</t>
        </is>
      </c>
      <c r="C369" s="10" t="n">
        <v>1</v>
      </c>
      <c r="D369" s="10" t="n">
        <v>2.6</v>
      </c>
      <c r="E369" s="10" t="n">
        <v>2.6</v>
      </c>
      <c r="F369" s="10" t="n">
        <v>350</v>
      </c>
      <c r="G369" s="10" t="n">
        <v>400</v>
      </c>
      <c r="H369" s="15" t="n">
        <v>350</v>
      </c>
      <c r="I369" s="15" t="n">
        <v>400</v>
      </c>
      <c r="J369" s="16" t="n">
        <v>130.2229</v>
      </c>
      <c r="K369" s="10" t="inlineStr">
        <is>
          <t>44</t>
        </is>
      </c>
      <c r="L369" s="16" t="n">
        <v>92.7146</v>
      </c>
      <c r="M369" s="10" t="inlineStr">
        <is>
          <t>44</t>
        </is>
      </c>
      <c r="N369" s="16" t="n">
        <v>116.493</v>
      </c>
      <c r="O369" s="16" t="n">
        <v>433.701</v>
      </c>
      <c r="P369" s="10" t="inlineStr">
        <is>
          <t>44</t>
        </is>
      </c>
      <c r="Q369" s="16" t="n">
        <v>0.8784</v>
      </c>
      <c r="R369" s="10">
        <f>MAX(MAX(1.4/'Parametros'!$B$3,0.25*SQRT('Parametros'!$B$2)/'Parametros'!$B$3)*H369*U369,(0.85*'Parametros'!$B$2/'Parametros'!$B$3)*(1-SQRT(1-2*(J369*1000000/('Parametros'!$B$5*H369*U369^2))/(0.85*'Parametros'!$B$2)))*H369*U369)</f>
        <v>1093.74830116289</v>
      </c>
      <c r="S369" s="17" t="n">
        <v>6</v>
      </c>
      <c r="T369" s="18" t="n">
        <v>1</v>
      </c>
      <c r="U369" s="10">
        <f>IF(T369=1,I369-('Parametros'!$B$7+'Parametros'!$B$9+'Parametros'!$B$12/2),I369-(ROUNDUP(S369/2,0)*('Parametros'!$B$7+'Parametros'!$B$9+'Parametros'!$B$12/2)+ROUNDDOWN(S369/2,0)*('Parametros'!$B$7+'Parametros'!$B$9+'Parametros'!$B$12/2+'Parametros'!$B$12+'Parametros'!$B$10))/S369)</f>
        <v>342.55</v>
      </c>
      <c r="V369" s="10">
        <f>S369*'Parametros'!$B$8</f>
        <v>1194</v>
      </c>
      <c r="W369" s="10">
        <f>'Parametros'!$B$5*V369*'Parametros'!$B$3*(U369-(V369*'Parametros'!$B$3/(0.85*'Parametros'!$B$2*H369))/2)/1000000</f>
        <v>141.018304129412</v>
      </c>
      <c r="X369" s="10" t="str">
        <f>IF(W369&gt;=J369,"CUMPLE","NO CUMPLE")</f>
        <v>CUMPLE</v>
      </c>
      <c r="Y369" s="10">
        <f>MAX(MAX(1.4/'Parametros'!$B$3,0.25*SQRT('Parametros'!$B$2)/'Parametros'!$B$3)*H369*AB369,(0.85*'Parametros'!$B$2/'Parametros'!$B$3)*(1-SQRT(1-2*(L369*1000000/('Parametros'!$B$5*H369*AB369^2))/(0.85*'Parametros'!$B$2)))*H369*AB369)</f>
        <v>758.356944670248</v>
      </c>
      <c r="Z369" s="17" t="n">
        <v>4</v>
      </c>
      <c r="AA369" s="18" t="n">
        <v>1</v>
      </c>
      <c r="AB369" s="10">
        <f>IF(AA369=1,I369-('Parametros'!$B$7+'Parametros'!$B$9+'Parametros'!$B$12/2),I369-(ROUNDUP(Z369/2,0)*('Parametros'!$B$7+'Parametros'!$B$9+'Parametros'!$B$12/2)+ROUNDDOWN(Z369/2,0)*('Parametros'!$B$7+'Parametros'!$B$9+'Parametros'!$B$12/2+'Parametros'!$B$12+'Parametros'!$B$10))/Z369)</f>
        <v>342.55</v>
      </c>
      <c r="AC369" s="10">
        <f>Z369*'Parametros'!$B$8</f>
        <v>796</v>
      </c>
      <c r="AD369" s="10">
        <f>'Parametros'!$B$5*AC369*'Parametros'!$B$3*(AB369-(AC369*'Parametros'!$B$3/(0.85*'Parametros'!$B$2*H369))/2)/1000000</f>
        <v>97.0311966352941</v>
      </c>
      <c r="AE369" s="10" t="str">
        <f>IF(AD369&gt;=L369,"CUMPLE","NO CUMPLE")</f>
        <v>CUMPLE</v>
      </c>
      <c r="AF369" s="10">
        <f>V369*1.25*'Parametros'!$B$3*(U369-(V369*1.25*'Parametros'!$B$3/(0.85*'Parametros'!$B$2*H369))/2)/1000000</f>
        <v>191.141577794118</v>
      </c>
      <c r="AG369" s="10">
        <f>AC369*1.25*'Parametros'!$B$3*(AB369-(AC369*1.25*'Parametros'!$B$3/(0.85*'Parametros'!$B$2*H369))/2)/1000000</f>
        <v>132.669027352941</v>
      </c>
      <c r="AH369" s="10">
        <f>N369+(AF369+AG369)/D369</f>
        <v>241.035540441176</v>
      </c>
      <c r="AI369" s="10">
        <f>MIN(O369,MAX(N369,AH369))</f>
        <v>241.035540441176</v>
      </c>
      <c r="AJ369" s="10">
        <f>0.17*SQRT('Parametros'!$B$2)*H369*MIN(U369,AB369)/1000</f>
        <v>107.849951281016</v>
      </c>
      <c r="AK369" s="10">
        <f>MAX(AI369/'Parametros'!$B$6-AJ369,0)</f>
        <v>213.530769307219</v>
      </c>
      <c r="AL369" s="10">
        <f>0.66*SQRT('Parametros'!$B$2)*H369*MIN(U369,AB369)/1000</f>
        <v>418.711575561591</v>
      </c>
      <c r="AM369" s="10" t="str">
        <f>IF(AK369&lt;=AL369,"CUMPLE","NO CUMPLE")</f>
        <v>CUMPLE</v>
      </c>
      <c r="AN369" s="15" t="inlineStr">
        <is>
          <t>Nº3 cerrado</t>
        </is>
      </c>
      <c r="AO369" s="17" t="n">
        <v>2</v>
      </c>
      <c r="AP369" s="10">
        <f>ROUNDDOWN(MIN(IF(AK369=0,1000000000,AO369*'Parametros'!$B$11*'Parametros'!$B$4*MIN(U369,AB369)/(AK369*1000)),IF(AV369=0,1000000000,'Parametros'!$B$11/AV369),MIN(U369,AB369)/4,8*'Parametros'!$B$12,24*'Parametros'!$B$9,300)/10,0)*10</f>
        <v>80</v>
      </c>
      <c r="AQ369" s="10">
        <f>ROUNDDOWN(MIN(IF(AK369=0,1000000000,AO369*'Parametros'!$B$11*'Parametros'!$B$4*MIN(U369,AB369)/(AK369*1000)),IF(AV369=0,1000000000,'Parametros'!$B$11/AV369),MIN(U369,AB369)/2,600)/10,0)*10</f>
        <v>90</v>
      </c>
      <c r="AR369" s="10">
        <f>'Parametros'!$B$6*(AJ369+AO369*'Parametros'!$B$11*'Parametros'!$B$4*MIN(U369,AB369)/AP369/1000)</f>
        <v>272.415732210762</v>
      </c>
      <c r="AS369" s="10" t="str">
        <f>IF(AND(AM369="CUMPLE",AR369&gt;=AI369),"CUMPLE","NO CUMPLE")</f>
        <v>CUMPLE</v>
      </c>
      <c r="AT369" s="10">
        <f>'Parametros'!$B$6*0.083*SQRT('Parametros'!$B$2)*(H369*I369)^2/(2*(H369+I369))/1000000</f>
        <v>4.30410823283988</v>
      </c>
      <c r="AU369" s="10" t="str">
        <f>IF(Q369&lt;=AT369,"DESPRECIABLE","DISEÑAR")</f>
        <v>DESPRECIABLE</v>
      </c>
      <c r="AV369" s="10">
        <f>IF(Q369&lt;=AT369,0,Q369*1000000/('Parametros'!$B$6*2*0.85*(H369-2*'Parametros'!$B$7)*(I369-2*'Parametros'!$B$7)*'Parametros'!$B$4))</f>
        <v>0</v>
      </c>
      <c r="AW369" s="10">
        <f>AV369*2*((H369-2*'Parametros'!$B$7)+(I369-2*'Parametros'!$B$7))*'Parametros'!$B$4/'Parametros'!$B$3</f>
        <v>0</v>
      </c>
      <c r="AX369" s="17" t="n">
        <v>0</v>
      </c>
      <c r="AY369" s="10" t="str">
        <f>IF(AV369=0,"DESPRECIABLE",IF('Parametros'!$B$11/AP369&gt;=AV369,"CUMPLE","NO CUMPLE"))</f>
        <v>DESPRECIABLE</v>
      </c>
      <c r="AZ369" s="10" t="str">
        <f>IF(AND(X369="CUMPLE",AE369="CUMPLE",AS369="CUMPLE",OR(AY369="CUMPLE",AY369="DESPRECIABLE")),IF(OR(F369&lt;&gt;H369,G369&lt;&gt;I369),"CUMPLE - REANALIZAR SAP","CUMPLE"),"NO CUMPLE")</f>
        <v>CUMPLE</v>
      </c>
    </row>
    <row r="370">
      <c r="A370" s="26" t="inlineStr">
        <is>
          <t>VR2</t>
        </is>
      </c>
      <c r="B370" s="26" t="inlineStr">
        <is>
          <t>145</t>
        </is>
      </c>
      <c r="C370" s="10" t="n">
        <v>1</v>
      </c>
      <c r="D370" s="10" t="n">
        <v>1.5</v>
      </c>
      <c r="E370" s="10" t="n">
        <v>1.5</v>
      </c>
      <c r="F370" s="10" t="n">
        <v>350</v>
      </c>
      <c r="G370" s="10" t="n">
        <v>400</v>
      </c>
      <c r="H370" s="15" t="n">
        <v>350</v>
      </c>
      <c r="I370" s="15" t="n">
        <v>400</v>
      </c>
      <c r="J370" s="16" t="n">
        <v>47.1047</v>
      </c>
      <c r="K370" s="10" t="inlineStr">
        <is>
          <t>145</t>
        </is>
      </c>
      <c r="L370" s="16" t="n">
        <v>0</v>
      </c>
      <c r="M370" s="10" t="inlineStr">
        <is>
          <t>145</t>
        </is>
      </c>
      <c r="N370" s="16" t="n">
        <v>33.768</v>
      </c>
      <c r="O370" s="16" t="n">
        <v>60.107</v>
      </c>
      <c r="P370" s="10" t="inlineStr">
        <is>
          <t>145</t>
        </is>
      </c>
      <c r="Q370" s="16" t="n">
        <v>18.8744</v>
      </c>
      <c r="R370" s="10">
        <f>MAX(MAX(1.4/'Parametros'!$B$3,0.25*SQRT('Parametros'!$B$2)/'Parametros'!$B$3)*H370*U370,(0.85*'Parametros'!$B$2/'Parametros'!$B$3)*(1-SQRT(1-2*(J370*1000000/('Parametros'!$B$5*H370*U370^2))/(0.85*'Parametros'!$B$2)))*H370*U370)</f>
        <v>399.641666666667</v>
      </c>
      <c r="S370" s="17" t="n">
        <v>3</v>
      </c>
      <c r="T370" s="18" t="n">
        <v>1</v>
      </c>
      <c r="U370" s="10">
        <f>IF(T370=1,I370-('Parametros'!$B$7+'Parametros'!$B$9+'Parametros'!$B$12/2),I370-(ROUNDUP(S370/2,0)*('Parametros'!$B$7+'Parametros'!$B$9+'Parametros'!$B$12/2)+ROUNDDOWN(S370/2,0)*('Parametros'!$B$7+'Parametros'!$B$9+'Parametros'!$B$12/2+'Parametros'!$B$12+'Parametros'!$B$10))/S370)</f>
        <v>342.55</v>
      </c>
      <c r="V370" s="10">
        <f>S370*'Parametros'!$B$8</f>
        <v>597</v>
      </c>
      <c r="W370" s="10">
        <f>'Parametros'!$B$5*V370*'Parametros'!$B$3*(U370-(V370*'Parametros'!$B$3/(0.85*'Parametros'!$B$2*H370))/2)/1000000</f>
        <v>73.905520182353</v>
      </c>
      <c r="X370" s="10" t="str">
        <f>IF(W370&gt;=J370,"CUMPLE","NO CUMPLE")</f>
        <v>CUMPLE</v>
      </c>
      <c r="Y370" s="10">
        <f>MAX(MAX(1.4/'Parametros'!$B$3,0.25*SQRT('Parametros'!$B$2)/'Parametros'!$B$3)*H370*AB370,(0.85*'Parametros'!$B$2/'Parametros'!$B$3)*(1-SQRT(1-2*(L370*1000000/('Parametros'!$B$5*H370*AB370^2))/(0.85*'Parametros'!$B$2)))*H370*AB370)</f>
        <v>399.641666666667</v>
      </c>
      <c r="Z370" s="17" t="n">
        <v>3</v>
      </c>
      <c r="AA370" s="18" t="n">
        <v>1</v>
      </c>
      <c r="AB370" s="10">
        <f>IF(AA370=1,I370-('Parametros'!$B$7+'Parametros'!$B$9+'Parametros'!$B$12/2),I370-(ROUNDUP(Z370/2,0)*('Parametros'!$B$7+'Parametros'!$B$9+'Parametros'!$B$12/2)+ROUNDDOWN(Z370/2,0)*('Parametros'!$B$7+'Parametros'!$B$9+'Parametros'!$B$12/2+'Parametros'!$B$12+'Parametros'!$B$10))/Z370)</f>
        <v>342.55</v>
      </c>
      <c r="AC370" s="10">
        <f>Z370*'Parametros'!$B$8</f>
        <v>597</v>
      </c>
      <c r="AD370" s="10">
        <f>'Parametros'!$B$5*AC370*'Parametros'!$B$3*(AB370-(AC370*'Parametros'!$B$3/(0.85*'Parametros'!$B$2*H370))/2)/1000000</f>
        <v>73.905520182353</v>
      </c>
      <c r="AE370" s="10" t="str">
        <f>IF(AD370&gt;=L370,"CUMPLE","NO CUMPLE")</f>
        <v>CUMPLE</v>
      </c>
      <c r="AF370" s="10">
        <f>V370*1.25*'Parametros'!$B$3*(U370-(V370*1.25*'Parametros'!$B$3/(0.85*'Parametros'!$B$2*H370))/2)/1000000</f>
        <v>101.467261323529</v>
      </c>
      <c r="AG370" s="10">
        <f>AC370*1.25*'Parametros'!$B$3*(AB370-(AC370*1.25*'Parametros'!$B$3/(0.85*'Parametros'!$B$2*H370))/2)/1000000</f>
        <v>101.467261323529</v>
      </c>
      <c r="AH370" s="10">
        <f>N370+(AF370+AG370)/D370</f>
        <v>169.057681764706</v>
      </c>
      <c r="AI370" s="10">
        <f>MIN(O370,MAX(N370,AH370))</f>
        <v>60.107</v>
      </c>
      <c r="AJ370" s="10">
        <f>0.17*SQRT('Parametros'!$B$2)*H370*MIN(U370,AB370)/1000</f>
        <v>107.849951281016</v>
      </c>
      <c r="AK370" s="10">
        <f>MAX(AI370/'Parametros'!$B$6-AJ370,0)</f>
        <v>0</v>
      </c>
      <c r="AL370" s="10">
        <f>0.66*SQRT('Parametros'!$B$2)*H370*MIN(U370,AB370)/1000</f>
        <v>418.711575561591</v>
      </c>
      <c r="AM370" s="10" t="str">
        <f>IF(AK370&lt;=AL370,"CUMPLE","NO CUMPLE")</f>
        <v>CUMPLE</v>
      </c>
      <c r="AN370" s="15" t="inlineStr">
        <is>
          <t>Nº3 cerrado</t>
        </is>
      </c>
      <c r="AO370" s="17" t="n">
        <v>2</v>
      </c>
      <c r="AP370" s="10">
        <f>ROUNDDOWN(MIN(IF(AK370=0,1000000000,AO370*'Parametros'!$B$11*'Parametros'!$B$4*MIN(U370,AB370)/(AK370*1000)),IF(AV370=0,1000000000,'Parametros'!$B$11/AV370),MIN(U370,AB370)/4,8*'Parametros'!$B$12,24*'Parametros'!$B$9,300)/10,0)*10</f>
        <v>80</v>
      </c>
      <c r="AQ370" s="10">
        <f>ROUNDDOWN(MIN(IF(AK370=0,1000000000,AO370*'Parametros'!$B$11*'Parametros'!$B$4*MIN(U370,AB370)/(AK370*1000)),IF(AV370=0,1000000000,'Parametros'!$B$11/AV370),MIN(U370,AB370)/2,600)/10,0)*10</f>
        <v>170</v>
      </c>
      <c r="AR370" s="10">
        <f>'Parametros'!$B$6*(AJ370+AO370*'Parametros'!$B$11*'Parametros'!$B$4*MIN(U370,AB370)/AP370/1000)</f>
        <v>272.415732210762</v>
      </c>
      <c r="AS370" s="10" t="str">
        <f>IF(AND(AM370="CUMPLE",AR370&gt;=AI370),"CUMPLE","NO CUMPLE")</f>
        <v>CUMPLE</v>
      </c>
      <c r="AT370" s="10">
        <f>'Parametros'!$B$6*0.083*SQRT('Parametros'!$B$2)*(H370*I370)^2/(2*(H370+I370))/1000000</f>
        <v>4.30410823283988</v>
      </c>
      <c r="AU370" s="10" t="str">
        <f>IF(Q370&lt;=AT370,"DESPRECIABLE","DISEÑAR")</f>
        <v>DISEÑAR</v>
      </c>
      <c r="AV370" s="10">
        <f>IF(Q370&lt;=AT370,0,Q370*1000000/('Parametros'!$B$6*2*0.85*(H370-2*'Parametros'!$B$7)*(I370-2*'Parametros'!$B$7)*'Parametros'!$B$4))</f>
        <v>0.407943424283294</v>
      </c>
      <c r="AW370" s="10">
        <f>AV370*2*((H370-2*'Parametros'!$B$7)+(I370-2*'Parametros'!$B$7))*'Parametros'!$B$4/'Parametros'!$B$3</f>
        <v>481.373240654286</v>
      </c>
      <c r="AX370" s="17" t="n">
        <v>3</v>
      </c>
      <c r="AY370" s="10" t="str">
        <f>IF(AV370=0,"DESPRECIABLE",IF('Parametros'!$B$11/AP370&gt;=AV370,"CUMPLE","NO CUMPLE"))</f>
        <v>CUMPLE</v>
      </c>
      <c r="AZ370" s="10" t="str">
        <f>IF(AND(X370="CUMPLE",AE370="CUMPLE",AS370="CUMPLE",OR(AY370="CUMPLE",AY370="DESPRECIABLE")),IF(OR(F370&lt;&gt;H370,G370&lt;&gt;I370),"CUMPLE - REANALIZAR SAP","CUMPLE"),"NO CUMPLE")</f>
        <v>CUMPLE</v>
      </c>
    </row>
    <row r="371">
      <c r="A371" s="26" t="inlineStr">
        <is>
          <t>VR2</t>
        </is>
      </c>
      <c r="B371" s="26" t="inlineStr">
        <is>
          <t>147</t>
        </is>
      </c>
      <c r="C371" s="10" t="n">
        <v>1</v>
      </c>
      <c r="D371" s="10" t="n">
        <v>1.5</v>
      </c>
      <c r="E371" s="10" t="n">
        <v>1.5</v>
      </c>
      <c r="F371" s="10" t="n">
        <v>350</v>
      </c>
      <c r="G371" s="10" t="n">
        <v>400</v>
      </c>
      <c r="H371" s="15" t="n">
        <v>350</v>
      </c>
      <c r="I371" s="15" t="n">
        <v>400</v>
      </c>
      <c r="J371" s="16" t="n">
        <v>47.1016</v>
      </c>
      <c r="K371" s="10" t="inlineStr">
        <is>
          <t>147</t>
        </is>
      </c>
      <c r="L371" s="16" t="n">
        <v>0</v>
      </c>
      <c r="M371" s="10" t="inlineStr">
        <is>
          <t>147</t>
        </is>
      </c>
      <c r="N371" s="16" t="n">
        <v>33.766</v>
      </c>
      <c r="O371" s="16" t="n">
        <v>60.105</v>
      </c>
      <c r="P371" s="10" t="inlineStr">
        <is>
          <t>147</t>
        </is>
      </c>
      <c r="Q371" s="16" t="n">
        <v>18.8698</v>
      </c>
      <c r="R371" s="10">
        <f>MAX(MAX(1.4/'Parametros'!$B$3,0.25*SQRT('Parametros'!$B$2)/'Parametros'!$B$3)*H371*U371,(0.85*'Parametros'!$B$2/'Parametros'!$B$3)*(1-SQRT(1-2*(J371*1000000/('Parametros'!$B$5*H371*U371^2))/(0.85*'Parametros'!$B$2)))*H371*U371)</f>
        <v>399.641666666667</v>
      </c>
      <c r="S371" s="17" t="n">
        <v>3</v>
      </c>
      <c r="T371" s="18" t="n">
        <v>1</v>
      </c>
      <c r="U371" s="10">
        <f>IF(T371=1,I371-('Parametros'!$B$7+'Parametros'!$B$9+'Parametros'!$B$12/2),I371-(ROUNDUP(S371/2,0)*('Parametros'!$B$7+'Parametros'!$B$9+'Parametros'!$B$12/2)+ROUNDDOWN(S371/2,0)*('Parametros'!$B$7+'Parametros'!$B$9+'Parametros'!$B$12/2+'Parametros'!$B$12+'Parametros'!$B$10))/S371)</f>
        <v>342.55</v>
      </c>
      <c r="V371" s="10">
        <f>S371*'Parametros'!$B$8</f>
        <v>597</v>
      </c>
      <c r="W371" s="10">
        <f>'Parametros'!$B$5*V371*'Parametros'!$B$3*(U371-(V371*'Parametros'!$B$3/(0.85*'Parametros'!$B$2*H371))/2)/1000000</f>
        <v>73.905520182353</v>
      </c>
      <c r="X371" s="10" t="str">
        <f>IF(W371&gt;=J371,"CUMPLE","NO CUMPLE")</f>
        <v>CUMPLE</v>
      </c>
      <c r="Y371" s="10">
        <f>MAX(MAX(1.4/'Parametros'!$B$3,0.25*SQRT('Parametros'!$B$2)/'Parametros'!$B$3)*H371*AB371,(0.85*'Parametros'!$B$2/'Parametros'!$B$3)*(1-SQRT(1-2*(L371*1000000/('Parametros'!$B$5*H371*AB371^2))/(0.85*'Parametros'!$B$2)))*H371*AB371)</f>
        <v>399.641666666667</v>
      </c>
      <c r="Z371" s="17" t="n">
        <v>3</v>
      </c>
      <c r="AA371" s="18" t="n">
        <v>1</v>
      </c>
      <c r="AB371" s="10">
        <f>IF(AA371=1,I371-('Parametros'!$B$7+'Parametros'!$B$9+'Parametros'!$B$12/2),I371-(ROUNDUP(Z371/2,0)*('Parametros'!$B$7+'Parametros'!$B$9+'Parametros'!$B$12/2)+ROUNDDOWN(Z371/2,0)*('Parametros'!$B$7+'Parametros'!$B$9+'Parametros'!$B$12/2+'Parametros'!$B$12+'Parametros'!$B$10))/Z371)</f>
        <v>342.55</v>
      </c>
      <c r="AC371" s="10">
        <f>Z371*'Parametros'!$B$8</f>
        <v>597</v>
      </c>
      <c r="AD371" s="10">
        <f>'Parametros'!$B$5*AC371*'Parametros'!$B$3*(AB371-(AC371*'Parametros'!$B$3/(0.85*'Parametros'!$B$2*H371))/2)/1000000</f>
        <v>73.905520182353</v>
      </c>
      <c r="AE371" s="10" t="str">
        <f>IF(AD371&gt;=L371,"CUMPLE","NO CUMPLE")</f>
        <v>CUMPLE</v>
      </c>
      <c r="AF371" s="10">
        <f>V371*1.25*'Parametros'!$B$3*(U371-(V371*1.25*'Parametros'!$B$3/(0.85*'Parametros'!$B$2*H371))/2)/1000000</f>
        <v>101.467261323529</v>
      </c>
      <c r="AG371" s="10">
        <f>AC371*1.25*'Parametros'!$B$3*(AB371-(AC371*1.25*'Parametros'!$B$3/(0.85*'Parametros'!$B$2*H371))/2)/1000000</f>
        <v>101.467261323529</v>
      </c>
      <c r="AH371" s="10">
        <f>N371+(AF371+AG371)/D371</f>
        <v>169.055681764706</v>
      </c>
      <c r="AI371" s="10">
        <f>MIN(O371,MAX(N371,AH371))</f>
        <v>60.105</v>
      </c>
      <c r="AJ371" s="10">
        <f>0.17*SQRT('Parametros'!$B$2)*H371*MIN(U371,AB371)/1000</f>
        <v>107.849951281016</v>
      </c>
      <c r="AK371" s="10">
        <f>MAX(AI371/'Parametros'!$B$6-AJ371,0)</f>
        <v>0</v>
      </c>
      <c r="AL371" s="10">
        <f>0.66*SQRT('Parametros'!$B$2)*H371*MIN(U371,AB371)/1000</f>
        <v>418.711575561591</v>
      </c>
      <c r="AM371" s="10" t="str">
        <f>IF(AK371&lt;=AL371,"CUMPLE","NO CUMPLE")</f>
        <v>CUMPLE</v>
      </c>
      <c r="AN371" s="15" t="inlineStr">
        <is>
          <t>Nº3 cerrado</t>
        </is>
      </c>
      <c r="AO371" s="17" t="n">
        <v>2</v>
      </c>
      <c r="AP371" s="10">
        <f>ROUNDDOWN(MIN(IF(AK371=0,1000000000,AO371*'Parametros'!$B$11*'Parametros'!$B$4*MIN(U371,AB371)/(AK371*1000)),IF(AV371=0,1000000000,'Parametros'!$B$11/AV371),MIN(U371,AB371)/4,8*'Parametros'!$B$12,24*'Parametros'!$B$9,300)/10,0)*10</f>
        <v>80</v>
      </c>
      <c r="AQ371" s="10">
        <f>ROUNDDOWN(MIN(IF(AK371=0,1000000000,AO371*'Parametros'!$B$11*'Parametros'!$B$4*MIN(U371,AB371)/(AK371*1000)),IF(AV371=0,1000000000,'Parametros'!$B$11/AV371),MIN(U371,AB371)/2,600)/10,0)*10</f>
        <v>170</v>
      </c>
      <c r="AR371" s="10">
        <f>'Parametros'!$B$6*(AJ371+AO371*'Parametros'!$B$11*'Parametros'!$B$4*MIN(U371,AB371)/AP371/1000)</f>
        <v>272.415732210762</v>
      </c>
      <c r="AS371" s="10" t="str">
        <f>IF(AND(AM371="CUMPLE",AR371&gt;=AI371),"CUMPLE","NO CUMPLE")</f>
        <v>CUMPLE</v>
      </c>
      <c r="AT371" s="10">
        <f>'Parametros'!$B$6*0.083*SQRT('Parametros'!$B$2)*(H371*I371)^2/(2*(H371+I371))/1000000</f>
        <v>4.30410823283988</v>
      </c>
      <c r="AU371" s="10" t="str">
        <f>IF(Q371&lt;=AT371,"DESPRECIABLE","DISEÑAR")</f>
        <v>DISEÑAR</v>
      </c>
      <c r="AV371" s="10">
        <f>IF(Q371&lt;=AT371,0,Q371*1000000/('Parametros'!$B$6*2*0.85*(H371-2*'Parametros'!$B$7)*(I371-2*'Parametros'!$B$7)*'Parametros'!$B$4))</f>
        <v>0.40784400179825</v>
      </c>
      <c r="AW371" s="10">
        <f>AV371*2*((H371-2*'Parametros'!$B$7)+(I371-2*'Parametros'!$B$7))*'Parametros'!$B$4/'Parametros'!$B$3</f>
        <v>481.255922121935</v>
      </c>
      <c r="AX371" s="17" t="n">
        <v>3</v>
      </c>
      <c r="AY371" s="10" t="str">
        <f>IF(AV371=0,"DESPRECIABLE",IF('Parametros'!$B$11/AP371&gt;=AV371,"CUMPLE","NO CUMPLE"))</f>
        <v>CUMPLE</v>
      </c>
      <c r="AZ371" s="10" t="str">
        <f>IF(AND(X371="CUMPLE",AE371="CUMPLE",AS371="CUMPLE",OR(AY371="CUMPLE",AY371="DESPRECIABLE")),IF(OR(F371&lt;&gt;H371,G371&lt;&gt;I371),"CUMPLE - REANALIZAR SAP","CUMPLE"),"NO CUMPLE")</f>
        <v>CUMPLE</v>
      </c>
    </row>
    <row r="372">
      <c r="A372" s="26" t="inlineStr">
        <is>
          <t>VR2</t>
        </is>
      </c>
      <c r="B372" s="26" t="inlineStr">
        <is>
          <t>150</t>
        </is>
      </c>
      <c r="C372" s="10" t="n">
        <v>1</v>
      </c>
      <c r="D372" s="10" t="n">
        <v>1.5</v>
      </c>
      <c r="E372" s="10" t="n">
        <v>1.5</v>
      </c>
      <c r="F372" s="10" t="n">
        <v>350</v>
      </c>
      <c r="G372" s="10" t="n">
        <v>400</v>
      </c>
      <c r="H372" s="15" t="n">
        <v>350</v>
      </c>
      <c r="I372" s="15" t="n">
        <v>400</v>
      </c>
      <c r="J372" s="16" t="n">
        <v>47.1017</v>
      </c>
      <c r="K372" s="10" t="inlineStr">
        <is>
          <t>150</t>
        </is>
      </c>
      <c r="L372" s="16" t="n">
        <v>0</v>
      </c>
      <c r="M372" s="10" t="inlineStr">
        <is>
          <t>150</t>
        </is>
      </c>
      <c r="N372" s="16" t="n">
        <v>33.766</v>
      </c>
      <c r="O372" s="16" t="n">
        <v>60.104</v>
      </c>
      <c r="P372" s="10" t="inlineStr">
        <is>
          <t>150</t>
        </is>
      </c>
      <c r="Q372" s="16" t="n">
        <v>18.8695</v>
      </c>
      <c r="R372" s="10">
        <f>MAX(MAX(1.4/'Parametros'!$B$3,0.25*SQRT('Parametros'!$B$2)/'Parametros'!$B$3)*H372*U372,(0.85*'Parametros'!$B$2/'Parametros'!$B$3)*(1-SQRT(1-2*(J372*1000000/('Parametros'!$B$5*H372*U372^2))/(0.85*'Parametros'!$B$2)))*H372*U372)</f>
        <v>399.641666666667</v>
      </c>
      <c r="S372" s="17" t="n">
        <v>3</v>
      </c>
      <c r="T372" s="18" t="n">
        <v>1</v>
      </c>
      <c r="U372" s="10">
        <f>IF(T372=1,I372-('Parametros'!$B$7+'Parametros'!$B$9+'Parametros'!$B$12/2),I372-(ROUNDUP(S372/2,0)*('Parametros'!$B$7+'Parametros'!$B$9+'Parametros'!$B$12/2)+ROUNDDOWN(S372/2,0)*('Parametros'!$B$7+'Parametros'!$B$9+'Parametros'!$B$12/2+'Parametros'!$B$12+'Parametros'!$B$10))/S372)</f>
        <v>342.55</v>
      </c>
      <c r="V372" s="10">
        <f>S372*'Parametros'!$B$8</f>
        <v>597</v>
      </c>
      <c r="W372" s="10">
        <f>'Parametros'!$B$5*V372*'Parametros'!$B$3*(U372-(V372*'Parametros'!$B$3/(0.85*'Parametros'!$B$2*H372))/2)/1000000</f>
        <v>73.905520182353</v>
      </c>
      <c r="X372" s="10" t="str">
        <f>IF(W372&gt;=J372,"CUMPLE","NO CUMPLE")</f>
        <v>CUMPLE</v>
      </c>
      <c r="Y372" s="10">
        <f>MAX(MAX(1.4/'Parametros'!$B$3,0.25*SQRT('Parametros'!$B$2)/'Parametros'!$B$3)*H372*AB372,(0.85*'Parametros'!$B$2/'Parametros'!$B$3)*(1-SQRT(1-2*(L372*1000000/('Parametros'!$B$5*H372*AB372^2))/(0.85*'Parametros'!$B$2)))*H372*AB372)</f>
        <v>399.641666666667</v>
      </c>
      <c r="Z372" s="17" t="n">
        <v>3</v>
      </c>
      <c r="AA372" s="18" t="n">
        <v>1</v>
      </c>
      <c r="AB372" s="10">
        <f>IF(AA372=1,I372-('Parametros'!$B$7+'Parametros'!$B$9+'Parametros'!$B$12/2),I372-(ROUNDUP(Z372/2,0)*('Parametros'!$B$7+'Parametros'!$B$9+'Parametros'!$B$12/2)+ROUNDDOWN(Z372/2,0)*('Parametros'!$B$7+'Parametros'!$B$9+'Parametros'!$B$12/2+'Parametros'!$B$12+'Parametros'!$B$10))/Z372)</f>
        <v>342.55</v>
      </c>
      <c r="AC372" s="10">
        <f>Z372*'Parametros'!$B$8</f>
        <v>597</v>
      </c>
      <c r="AD372" s="10">
        <f>'Parametros'!$B$5*AC372*'Parametros'!$B$3*(AB372-(AC372*'Parametros'!$B$3/(0.85*'Parametros'!$B$2*H372))/2)/1000000</f>
        <v>73.905520182353</v>
      </c>
      <c r="AE372" s="10" t="str">
        <f>IF(AD372&gt;=L372,"CUMPLE","NO CUMPLE")</f>
        <v>CUMPLE</v>
      </c>
      <c r="AF372" s="10">
        <f>V372*1.25*'Parametros'!$B$3*(U372-(V372*1.25*'Parametros'!$B$3/(0.85*'Parametros'!$B$2*H372))/2)/1000000</f>
        <v>101.467261323529</v>
      </c>
      <c r="AG372" s="10">
        <f>AC372*1.25*'Parametros'!$B$3*(AB372-(AC372*1.25*'Parametros'!$B$3/(0.85*'Parametros'!$B$2*H372))/2)/1000000</f>
        <v>101.467261323529</v>
      </c>
      <c r="AH372" s="10">
        <f>N372+(AF372+AG372)/D372</f>
        <v>169.055681764706</v>
      </c>
      <c r="AI372" s="10">
        <f>MIN(O372,MAX(N372,AH372))</f>
        <v>60.104</v>
      </c>
      <c r="AJ372" s="10">
        <f>0.17*SQRT('Parametros'!$B$2)*H372*MIN(U372,AB372)/1000</f>
        <v>107.849951281016</v>
      </c>
      <c r="AK372" s="10">
        <f>MAX(AI372/'Parametros'!$B$6-AJ372,0)</f>
        <v>0</v>
      </c>
      <c r="AL372" s="10">
        <f>0.66*SQRT('Parametros'!$B$2)*H372*MIN(U372,AB372)/1000</f>
        <v>418.711575561591</v>
      </c>
      <c r="AM372" s="10" t="str">
        <f>IF(AK372&lt;=AL372,"CUMPLE","NO CUMPLE")</f>
        <v>CUMPLE</v>
      </c>
      <c r="AN372" s="15" t="inlineStr">
        <is>
          <t>Nº3 cerrado</t>
        </is>
      </c>
      <c r="AO372" s="17" t="n">
        <v>2</v>
      </c>
      <c r="AP372" s="10">
        <f>ROUNDDOWN(MIN(IF(AK372=0,1000000000,AO372*'Parametros'!$B$11*'Parametros'!$B$4*MIN(U372,AB372)/(AK372*1000)),IF(AV372=0,1000000000,'Parametros'!$B$11/AV372),MIN(U372,AB372)/4,8*'Parametros'!$B$12,24*'Parametros'!$B$9,300)/10,0)*10</f>
        <v>80</v>
      </c>
      <c r="AQ372" s="10">
        <f>ROUNDDOWN(MIN(IF(AK372=0,1000000000,AO372*'Parametros'!$B$11*'Parametros'!$B$4*MIN(U372,AB372)/(AK372*1000)),IF(AV372=0,1000000000,'Parametros'!$B$11/AV372),MIN(U372,AB372)/2,600)/10,0)*10</f>
        <v>170</v>
      </c>
      <c r="AR372" s="10">
        <f>'Parametros'!$B$6*(AJ372+AO372*'Parametros'!$B$11*'Parametros'!$B$4*MIN(U372,AB372)/AP372/1000)</f>
        <v>272.415732210762</v>
      </c>
      <c r="AS372" s="10" t="str">
        <f>IF(AND(AM372="CUMPLE",AR372&gt;=AI372),"CUMPLE","NO CUMPLE")</f>
        <v>CUMPLE</v>
      </c>
      <c r="AT372" s="10">
        <f>'Parametros'!$B$6*0.083*SQRT('Parametros'!$B$2)*(H372*I372)^2/(2*(H372+I372))/1000000</f>
        <v>4.30410823283988</v>
      </c>
      <c r="AU372" s="10" t="str">
        <f>IF(Q372&lt;=AT372,"DESPRECIABLE","DISEÑAR")</f>
        <v>DISEÑAR</v>
      </c>
      <c r="AV372" s="10">
        <f>IF(Q372&lt;=AT372,0,Q372*1000000/('Parametros'!$B$6*2*0.85*(H372-2*'Parametros'!$B$7)*(I372-2*'Parametros'!$B$7)*'Parametros'!$B$4))</f>
        <v>0.407837517723139</v>
      </c>
      <c r="AW372" s="10">
        <f>AV372*2*((H372-2*'Parametros'!$B$7)+(I372-2*'Parametros'!$B$7))*'Parametros'!$B$4/'Parametros'!$B$3</f>
        <v>481.248270913304</v>
      </c>
      <c r="AX372" s="17" t="n">
        <v>3</v>
      </c>
      <c r="AY372" s="10" t="str">
        <f>IF(AV372=0,"DESPRECIABLE",IF('Parametros'!$B$11/AP372&gt;=AV372,"CUMPLE","NO CUMPLE"))</f>
        <v>CUMPLE</v>
      </c>
      <c r="AZ372" s="10" t="str">
        <f>IF(AND(X372="CUMPLE",AE372="CUMPLE",AS372="CUMPLE",OR(AY372="CUMPLE",AY372="DESPRECIABLE")),IF(OR(F372&lt;&gt;H372,G372&lt;&gt;I372),"CUMPLE - REANALIZAR SAP","CUMPLE"),"NO CUMPLE")</f>
        <v>CUMPLE</v>
      </c>
    </row>
    <row r="373">
      <c r="A373" s="26" t="inlineStr">
        <is>
          <t>VR2</t>
        </is>
      </c>
      <c r="B373" s="26" t="inlineStr">
        <is>
          <t>152</t>
        </is>
      </c>
      <c r="C373" s="10" t="n">
        <v>1</v>
      </c>
      <c r="D373" s="10" t="n">
        <v>1.5</v>
      </c>
      <c r="E373" s="10" t="n">
        <v>1.5</v>
      </c>
      <c r="F373" s="10" t="n">
        <v>350</v>
      </c>
      <c r="G373" s="10" t="n">
        <v>400</v>
      </c>
      <c r="H373" s="15" t="n">
        <v>350</v>
      </c>
      <c r="I373" s="15" t="n">
        <v>400</v>
      </c>
      <c r="J373" s="16" t="n">
        <v>47.1049</v>
      </c>
      <c r="K373" s="10" t="inlineStr">
        <is>
          <t>152</t>
        </is>
      </c>
      <c r="L373" s="16" t="n">
        <v>0</v>
      </c>
      <c r="M373" s="10" t="inlineStr">
        <is>
          <t>152</t>
        </is>
      </c>
      <c r="N373" s="16" t="n">
        <v>33.768</v>
      </c>
      <c r="O373" s="16" t="n">
        <v>60.106</v>
      </c>
      <c r="P373" s="10" t="inlineStr">
        <is>
          <t>152</t>
        </is>
      </c>
      <c r="Q373" s="16" t="n">
        <v>18.8742</v>
      </c>
      <c r="R373" s="10">
        <f>MAX(MAX(1.4/'Parametros'!$B$3,0.25*SQRT('Parametros'!$B$2)/'Parametros'!$B$3)*H373*U373,(0.85*'Parametros'!$B$2/'Parametros'!$B$3)*(1-SQRT(1-2*(J373*1000000/('Parametros'!$B$5*H373*U373^2))/(0.85*'Parametros'!$B$2)))*H373*U373)</f>
        <v>399.641666666667</v>
      </c>
      <c r="S373" s="17" t="n">
        <v>3</v>
      </c>
      <c r="T373" s="18" t="n">
        <v>1</v>
      </c>
      <c r="U373" s="10">
        <f>IF(T373=1,I373-('Parametros'!$B$7+'Parametros'!$B$9+'Parametros'!$B$12/2),I373-(ROUNDUP(S373/2,0)*('Parametros'!$B$7+'Parametros'!$B$9+'Parametros'!$B$12/2)+ROUNDDOWN(S373/2,0)*('Parametros'!$B$7+'Parametros'!$B$9+'Parametros'!$B$12/2+'Parametros'!$B$12+'Parametros'!$B$10))/S373)</f>
        <v>342.55</v>
      </c>
      <c r="V373" s="10">
        <f>S373*'Parametros'!$B$8</f>
        <v>597</v>
      </c>
      <c r="W373" s="10">
        <f>'Parametros'!$B$5*V373*'Parametros'!$B$3*(U373-(V373*'Parametros'!$B$3/(0.85*'Parametros'!$B$2*H373))/2)/1000000</f>
        <v>73.905520182353</v>
      </c>
      <c r="X373" s="10" t="str">
        <f>IF(W373&gt;=J373,"CUMPLE","NO CUMPLE")</f>
        <v>CUMPLE</v>
      </c>
      <c r="Y373" s="10">
        <f>MAX(MAX(1.4/'Parametros'!$B$3,0.25*SQRT('Parametros'!$B$2)/'Parametros'!$B$3)*H373*AB373,(0.85*'Parametros'!$B$2/'Parametros'!$B$3)*(1-SQRT(1-2*(L373*1000000/('Parametros'!$B$5*H373*AB373^2))/(0.85*'Parametros'!$B$2)))*H373*AB373)</f>
        <v>399.641666666667</v>
      </c>
      <c r="Z373" s="17" t="n">
        <v>3</v>
      </c>
      <c r="AA373" s="18" t="n">
        <v>1</v>
      </c>
      <c r="AB373" s="10">
        <f>IF(AA373=1,I373-('Parametros'!$B$7+'Parametros'!$B$9+'Parametros'!$B$12/2),I373-(ROUNDUP(Z373/2,0)*('Parametros'!$B$7+'Parametros'!$B$9+'Parametros'!$B$12/2)+ROUNDDOWN(Z373/2,0)*('Parametros'!$B$7+'Parametros'!$B$9+'Parametros'!$B$12/2+'Parametros'!$B$12+'Parametros'!$B$10))/Z373)</f>
        <v>342.55</v>
      </c>
      <c r="AC373" s="10">
        <f>Z373*'Parametros'!$B$8</f>
        <v>597</v>
      </c>
      <c r="AD373" s="10">
        <f>'Parametros'!$B$5*AC373*'Parametros'!$B$3*(AB373-(AC373*'Parametros'!$B$3/(0.85*'Parametros'!$B$2*H373))/2)/1000000</f>
        <v>73.905520182353</v>
      </c>
      <c r="AE373" s="10" t="str">
        <f>IF(AD373&gt;=L373,"CUMPLE","NO CUMPLE")</f>
        <v>CUMPLE</v>
      </c>
      <c r="AF373" s="10">
        <f>V373*1.25*'Parametros'!$B$3*(U373-(V373*1.25*'Parametros'!$B$3/(0.85*'Parametros'!$B$2*H373))/2)/1000000</f>
        <v>101.467261323529</v>
      </c>
      <c r="AG373" s="10">
        <f>AC373*1.25*'Parametros'!$B$3*(AB373-(AC373*1.25*'Parametros'!$B$3/(0.85*'Parametros'!$B$2*H373))/2)/1000000</f>
        <v>101.467261323529</v>
      </c>
      <c r="AH373" s="10">
        <f>N373+(AF373+AG373)/D373</f>
        <v>169.057681764706</v>
      </c>
      <c r="AI373" s="10">
        <f>MIN(O373,MAX(N373,AH373))</f>
        <v>60.106</v>
      </c>
      <c r="AJ373" s="10">
        <f>0.17*SQRT('Parametros'!$B$2)*H373*MIN(U373,AB373)/1000</f>
        <v>107.849951281016</v>
      </c>
      <c r="AK373" s="10">
        <f>MAX(AI373/'Parametros'!$B$6-AJ373,0)</f>
        <v>0</v>
      </c>
      <c r="AL373" s="10">
        <f>0.66*SQRT('Parametros'!$B$2)*H373*MIN(U373,AB373)/1000</f>
        <v>418.711575561591</v>
      </c>
      <c r="AM373" s="10" t="str">
        <f>IF(AK373&lt;=AL373,"CUMPLE","NO CUMPLE")</f>
        <v>CUMPLE</v>
      </c>
      <c r="AN373" s="15" t="inlineStr">
        <is>
          <t>Nº3 cerrado</t>
        </is>
      </c>
      <c r="AO373" s="17" t="n">
        <v>2</v>
      </c>
      <c r="AP373" s="10">
        <f>ROUNDDOWN(MIN(IF(AK373=0,1000000000,AO373*'Parametros'!$B$11*'Parametros'!$B$4*MIN(U373,AB373)/(AK373*1000)),IF(AV373=0,1000000000,'Parametros'!$B$11/AV373),MIN(U373,AB373)/4,8*'Parametros'!$B$12,24*'Parametros'!$B$9,300)/10,0)*10</f>
        <v>80</v>
      </c>
      <c r="AQ373" s="10">
        <f>ROUNDDOWN(MIN(IF(AK373=0,1000000000,AO373*'Parametros'!$B$11*'Parametros'!$B$4*MIN(U373,AB373)/(AK373*1000)),IF(AV373=0,1000000000,'Parametros'!$B$11/AV373),MIN(U373,AB373)/2,600)/10,0)*10</f>
        <v>170</v>
      </c>
      <c r="AR373" s="10">
        <f>'Parametros'!$B$6*(AJ373+AO373*'Parametros'!$B$11*'Parametros'!$B$4*MIN(U373,AB373)/AP373/1000)</f>
        <v>272.415732210762</v>
      </c>
      <c r="AS373" s="10" t="str">
        <f>IF(AND(AM373="CUMPLE",AR373&gt;=AI373),"CUMPLE","NO CUMPLE")</f>
        <v>CUMPLE</v>
      </c>
      <c r="AT373" s="10">
        <f>'Parametros'!$B$6*0.083*SQRT('Parametros'!$B$2)*(H373*I373)^2/(2*(H373+I373))/1000000</f>
        <v>4.30410823283988</v>
      </c>
      <c r="AU373" s="10" t="str">
        <f>IF(Q373&lt;=AT373,"DESPRECIABLE","DISEÑAR")</f>
        <v>DISEÑAR</v>
      </c>
      <c r="AV373" s="10">
        <f>IF(Q373&lt;=AT373,0,Q373*1000000/('Parametros'!$B$6*2*0.85*(H373-2*'Parametros'!$B$7)*(I373-2*'Parametros'!$B$7)*'Parametros'!$B$4))</f>
        <v>0.407939101566553</v>
      </c>
      <c r="AW373" s="10">
        <f>AV373*2*((H373-2*'Parametros'!$B$7)+(I373-2*'Parametros'!$B$7))*'Parametros'!$B$4/'Parametros'!$B$3</f>
        <v>481.368139848532</v>
      </c>
      <c r="AX373" s="17" t="n">
        <v>3</v>
      </c>
      <c r="AY373" s="10" t="str">
        <f>IF(AV373=0,"DESPRECIABLE",IF('Parametros'!$B$11/AP373&gt;=AV373,"CUMPLE","NO CUMPLE"))</f>
        <v>CUMPLE</v>
      </c>
      <c r="AZ373" s="10" t="str">
        <f>IF(AND(X373="CUMPLE",AE373="CUMPLE",AS373="CUMPLE",OR(AY373="CUMPLE",AY373="DESPRECIABLE")),IF(OR(F373&lt;&gt;H373,G373&lt;&gt;I373),"CUMPLE - REANALIZAR SAP","CUMPLE"),"NO CUMPLE")</f>
        <v>CUMPLE</v>
      </c>
    </row>
    <row r="374">
      <c r="A374" s="26" t="inlineStr">
        <is>
          <t>VR2</t>
        </is>
      </c>
      <c r="B374" s="26" t="inlineStr">
        <is>
          <t>155</t>
        </is>
      </c>
      <c r="C374" s="10" t="n">
        <v>1</v>
      </c>
      <c r="D374" s="10" t="n">
        <v>1.5</v>
      </c>
      <c r="E374" s="10" t="n">
        <v>1.5</v>
      </c>
      <c r="F374" s="10" t="n">
        <v>350</v>
      </c>
      <c r="G374" s="10" t="n">
        <v>400</v>
      </c>
      <c r="H374" s="15" t="n">
        <v>350</v>
      </c>
      <c r="I374" s="15" t="n">
        <v>400</v>
      </c>
      <c r="J374" s="16" t="n">
        <v>47.5027</v>
      </c>
      <c r="K374" s="10" t="inlineStr">
        <is>
          <t>155</t>
        </is>
      </c>
      <c r="L374" s="16" t="n">
        <v>0</v>
      </c>
      <c r="M374" s="10" t="inlineStr">
        <is>
          <t>155</t>
        </is>
      </c>
      <c r="N374" s="16" t="n">
        <v>34.175</v>
      </c>
      <c r="O374" s="16" t="n">
        <v>61.117</v>
      </c>
      <c r="P374" s="10" t="inlineStr">
        <is>
          <t>155</t>
        </is>
      </c>
      <c r="Q374" s="16" t="n">
        <v>19.6351</v>
      </c>
      <c r="R374" s="10">
        <f>MAX(MAX(1.4/'Parametros'!$B$3,0.25*SQRT('Parametros'!$B$2)/'Parametros'!$B$3)*H374*U374,(0.85*'Parametros'!$B$2/'Parametros'!$B$3)*(1-SQRT(1-2*(J374*1000000/('Parametros'!$B$5*H374*U374^2))/(0.85*'Parametros'!$B$2)))*H374*U374)</f>
        <v>399.641666666667</v>
      </c>
      <c r="S374" s="17" t="n">
        <v>3</v>
      </c>
      <c r="T374" s="18" t="n">
        <v>1</v>
      </c>
      <c r="U374" s="10">
        <f>IF(T374=1,I374-('Parametros'!$B$7+'Parametros'!$B$9+'Parametros'!$B$12/2),I374-(ROUNDUP(S374/2,0)*('Parametros'!$B$7+'Parametros'!$B$9+'Parametros'!$B$12/2)+ROUNDDOWN(S374/2,0)*('Parametros'!$B$7+'Parametros'!$B$9+'Parametros'!$B$12/2+'Parametros'!$B$12+'Parametros'!$B$10))/S374)</f>
        <v>342.55</v>
      </c>
      <c r="V374" s="10">
        <f>S374*'Parametros'!$B$8</f>
        <v>597</v>
      </c>
      <c r="W374" s="10">
        <f>'Parametros'!$B$5*V374*'Parametros'!$B$3*(U374-(V374*'Parametros'!$B$3/(0.85*'Parametros'!$B$2*H374))/2)/1000000</f>
        <v>73.905520182353</v>
      </c>
      <c r="X374" s="10" t="str">
        <f>IF(W374&gt;=J374,"CUMPLE","NO CUMPLE")</f>
        <v>CUMPLE</v>
      </c>
      <c r="Y374" s="10">
        <f>MAX(MAX(1.4/'Parametros'!$B$3,0.25*SQRT('Parametros'!$B$2)/'Parametros'!$B$3)*H374*AB374,(0.85*'Parametros'!$B$2/'Parametros'!$B$3)*(1-SQRT(1-2*(L374*1000000/('Parametros'!$B$5*H374*AB374^2))/(0.85*'Parametros'!$B$2)))*H374*AB374)</f>
        <v>399.641666666667</v>
      </c>
      <c r="Z374" s="17" t="n">
        <v>3</v>
      </c>
      <c r="AA374" s="18" t="n">
        <v>1</v>
      </c>
      <c r="AB374" s="10">
        <f>IF(AA374=1,I374-('Parametros'!$B$7+'Parametros'!$B$9+'Parametros'!$B$12/2),I374-(ROUNDUP(Z374/2,0)*('Parametros'!$B$7+'Parametros'!$B$9+'Parametros'!$B$12/2)+ROUNDDOWN(Z374/2,0)*('Parametros'!$B$7+'Parametros'!$B$9+'Parametros'!$B$12/2+'Parametros'!$B$12+'Parametros'!$B$10))/Z374)</f>
        <v>342.55</v>
      </c>
      <c r="AC374" s="10">
        <f>Z374*'Parametros'!$B$8</f>
        <v>597</v>
      </c>
      <c r="AD374" s="10">
        <f>'Parametros'!$B$5*AC374*'Parametros'!$B$3*(AB374-(AC374*'Parametros'!$B$3/(0.85*'Parametros'!$B$2*H374))/2)/1000000</f>
        <v>73.905520182353</v>
      </c>
      <c r="AE374" s="10" t="str">
        <f>IF(AD374&gt;=L374,"CUMPLE","NO CUMPLE")</f>
        <v>CUMPLE</v>
      </c>
      <c r="AF374" s="10">
        <f>V374*1.25*'Parametros'!$B$3*(U374-(V374*1.25*'Parametros'!$B$3/(0.85*'Parametros'!$B$2*H374))/2)/1000000</f>
        <v>101.467261323529</v>
      </c>
      <c r="AG374" s="10">
        <f>AC374*1.25*'Parametros'!$B$3*(AB374-(AC374*1.25*'Parametros'!$B$3/(0.85*'Parametros'!$B$2*H374))/2)/1000000</f>
        <v>101.467261323529</v>
      </c>
      <c r="AH374" s="10">
        <f>N374+(AF374+AG374)/D374</f>
        <v>169.464681764706</v>
      </c>
      <c r="AI374" s="10">
        <f>MIN(O374,MAX(N374,AH374))</f>
        <v>61.117</v>
      </c>
      <c r="AJ374" s="10">
        <f>0.17*SQRT('Parametros'!$B$2)*H374*MIN(U374,AB374)/1000</f>
        <v>107.849951281016</v>
      </c>
      <c r="AK374" s="10">
        <f>MAX(AI374/'Parametros'!$B$6-AJ374,0)</f>
        <v>0</v>
      </c>
      <c r="AL374" s="10">
        <f>0.66*SQRT('Parametros'!$B$2)*H374*MIN(U374,AB374)/1000</f>
        <v>418.711575561591</v>
      </c>
      <c r="AM374" s="10" t="str">
        <f>IF(AK374&lt;=AL374,"CUMPLE","NO CUMPLE")</f>
        <v>CUMPLE</v>
      </c>
      <c r="AN374" s="15" t="inlineStr">
        <is>
          <t>Nº3 cerrado</t>
        </is>
      </c>
      <c r="AO374" s="17" t="n">
        <v>2</v>
      </c>
      <c r="AP374" s="10">
        <f>ROUNDDOWN(MIN(IF(AK374=0,1000000000,AO374*'Parametros'!$B$11*'Parametros'!$B$4*MIN(U374,AB374)/(AK374*1000)),IF(AV374=0,1000000000,'Parametros'!$B$11/AV374),MIN(U374,AB374)/4,8*'Parametros'!$B$12,24*'Parametros'!$B$9,300)/10,0)*10</f>
        <v>80</v>
      </c>
      <c r="AQ374" s="10">
        <f>ROUNDDOWN(MIN(IF(AK374=0,1000000000,AO374*'Parametros'!$B$11*'Parametros'!$B$4*MIN(U374,AB374)/(AK374*1000)),IF(AV374=0,1000000000,'Parametros'!$B$11/AV374),MIN(U374,AB374)/2,600)/10,0)*10</f>
        <v>160</v>
      </c>
      <c r="AR374" s="10">
        <f>'Parametros'!$B$6*(AJ374+AO374*'Parametros'!$B$11*'Parametros'!$B$4*MIN(U374,AB374)/AP374/1000)</f>
        <v>272.415732210762</v>
      </c>
      <c r="AS374" s="10" t="str">
        <f>IF(AND(AM374="CUMPLE",AR374&gt;=AI374),"CUMPLE","NO CUMPLE")</f>
        <v>CUMPLE</v>
      </c>
      <c r="AT374" s="10">
        <f>'Parametros'!$B$6*0.083*SQRT('Parametros'!$B$2)*(H374*I374)^2/(2*(H374+I374))/1000000</f>
        <v>4.30410823283988</v>
      </c>
      <c r="AU374" s="10" t="str">
        <f>IF(Q374&lt;=AT374,"DESPRECIABLE","DISEÑAR")</f>
        <v>DISEÑAR</v>
      </c>
      <c r="AV374" s="10">
        <f>IF(Q374&lt;=AT374,0,Q374*1000000/('Parametros'!$B$6*2*0.85*(H374-2*'Parametros'!$B$7)*(I374-2*'Parametros'!$B$7)*'Parametros'!$B$4))</f>
        <v>0.424384877407753</v>
      </c>
      <c r="AW374" s="10">
        <f>AV374*2*((H374-2*'Parametros'!$B$7)+(I374-2*'Parametros'!$B$7))*'Parametros'!$B$4/'Parametros'!$B$3</f>
        <v>500.774155341149</v>
      </c>
      <c r="AX374" s="17" t="n">
        <v>3</v>
      </c>
      <c r="AY374" s="10" t="str">
        <f>IF(AV374=0,"DESPRECIABLE",IF('Parametros'!$B$11/AP374&gt;=AV374,"CUMPLE","NO CUMPLE"))</f>
        <v>CUMPLE</v>
      </c>
      <c r="AZ374" s="10" t="str">
        <f>IF(AND(X374="CUMPLE",AE374="CUMPLE",AS374="CUMPLE",OR(AY374="CUMPLE",AY374="DESPRECIABLE")),IF(OR(F374&lt;&gt;H374,G374&lt;&gt;I374),"CUMPLE - REANALIZAR SAP","CUMPLE"),"NO CUMPLE")</f>
        <v>CUMPLE</v>
      </c>
    </row>
    <row r="375">
      <c r="A375" s="26" t="inlineStr">
        <is>
          <t>VR2</t>
        </is>
      </c>
      <c r="B375" s="26" t="inlineStr">
        <is>
          <t>157</t>
        </is>
      </c>
      <c r="C375" s="10" t="n">
        <v>1</v>
      </c>
      <c r="D375" s="10" t="n">
        <v>1.5</v>
      </c>
      <c r="E375" s="10" t="n">
        <v>1.5</v>
      </c>
      <c r="F375" s="10" t="n">
        <v>350</v>
      </c>
      <c r="G375" s="10" t="n">
        <v>400</v>
      </c>
      <c r="H375" s="15" t="n">
        <v>350</v>
      </c>
      <c r="I375" s="15" t="n">
        <v>400</v>
      </c>
      <c r="J375" s="16" t="n">
        <v>47.5063</v>
      </c>
      <c r="K375" s="10" t="inlineStr">
        <is>
          <t>157</t>
        </is>
      </c>
      <c r="L375" s="16" t="n">
        <v>0</v>
      </c>
      <c r="M375" s="10" t="inlineStr">
        <is>
          <t>157</t>
        </is>
      </c>
      <c r="N375" s="16" t="n">
        <v>34.177</v>
      </c>
      <c r="O375" s="16" t="n">
        <v>61.119</v>
      </c>
      <c r="P375" s="10" t="inlineStr">
        <is>
          <t>157</t>
        </is>
      </c>
      <c r="Q375" s="16" t="n">
        <v>19.6406</v>
      </c>
      <c r="R375" s="10">
        <f>MAX(MAX(1.4/'Parametros'!$B$3,0.25*SQRT('Parametros'!$B$2)/'Parametros'!$B$3)*H375*U375,(0.85*'Parametros'!$B$2/'Parametros'!$B$3)*(1-SQRT(1-2*(J375*1000000/('Parametros'!$B$5*H375*U375^2))/(0.85*'Parametros'!$B$2)))*H375*U375)</f>
        <v>399.641666666667</v>
      </c>
      <c r="S375" s="17" t="n">
        <v>3</v>
      </c>
      <c r="T375" s="18" t="n">
        <v>1</v>
      </c>
      <c r="U375" s="10">
        <f>IF(T375=1,I375-('Parametros'!$B$7+'Parametros'!$B$9+'Parametros'!$B$12/2),I375-(ROUNDUP(S375/2,0)*('Parametros'!$B$7+'Parametros'!$B$9+'Parametros'!$B$12/2)+ROUNDDOWN(S375/2,0)*('Parametros'!$B$7+'Parametros'!$B$9+'Parametros'!$B$12/2+'Parametros'!$B$12+'Parametros'!$B$10))/S375)</f>
        <v>342.55</v>
      </c>
      <c r="V375" s="10">
        <f>S375*'Parametros'!$B$8</f>
        <v>597</v>
      </c>
      <c r="W375" s="10">
        <f>'Parametros'!$B$5*V375*'Parametros'!$B$3*(U375-(V375*'Parametros'!$B$3/(0.85*'Parametros'!$B$2*H375))/2)/1000000</f>
        <v>73.905520182353</v>
      </c>
      <c r="X375" s="10" t="str">
        <f>IF(W375&gt;=J375,"CUMPLE","NO CUMPLE")</f>
        <v>CUMPLE</v>
      </c>
      <c r="Y375" s="10">
        <f>MAX(MAX(1.4/'Parametros'!$B$3,0.25*SQRT('Parametros'!$B$2)/'Parametros'!$B$3)*H375*AB375,(0.85*'Parametros'!$B$2/'Parametros'!$B$3)*(1-SQRT(1-2*(L375*1000000/('Parametros'!$B$5*H375*AB375^2))/(0.85*'Parametros'!$B$2)))*H375*AB375)</f>
        <v>399.641666666667</v>
      </c>
      <c r="Z375" s="17" t="n">
        <v>3</v>
      </c>
      <c r="AA375" s="18" t="n">
        <v>1</v>
      </c>
      <c r="AB375" s="10">
        <f>IF(AA375=1,I375-('Parametros'!$B$7+'Parametros'!$B$9+'Parametros'!$B$12/2),I375-(ROUNDUP(Z375/2,0)*('Parametros'!$B$7+'Parametros'!$B$9+'Parametros'!$B$12/2)+ROUNDDOWN(Z375/2,0)*('Parametros'!$B$7+'Parametros'!$B$9+'Parametros'!$B$12/2+'Parametros'!$B$12+'Parametros'!$B$10))/Z375)</f>
        <v>342.55</v>
      </c>
      <c r="AC375" s="10">
        <f>Z375*'Parametros'!$B$8</f>
        <v>597</v>
      </c>
      <c r="AD375" s="10">
        <f>'Parametros'!$B$5*AC375*'Parametros'!$B$3*(AB375-(AC375*'Parametros'!$B$3/(0.85*'Parametros'!$B$2*H375))/2)/1000000</f>
        <v>73.905520182353</v>
      </c>
      <c r="AE375" s="10" t="str">
        <f>IF(AD375&gt;=L375,"CUMPLE","NO CUMPLE")</f>
        <v>CUMPLE</v>
      </c>
      <c r="AF375" s="10">
        <f>V375*1.25*'Parametros'!$B$3*(U375-(V375*1.25*'Parametros'!$B$3/(0.85*'Parametros'!$B$2*H375))/2)/1000000</f>
        <v>101.467261323529</v>
      </c>
      <c r="AG375" s="10">
        <f>AC375*1.25*'Parametros'!$B$3*(AB375-(AC375*1.25*'Parametros'!$B$3/(0.85*'Parametros'!$B$2*H375))/2)/1000000</f>
        <v>101.467261323529</v>
      </c>
      <c r="AH375" s="10">
        <f>N375+(AF375+AG375)/D375</f>
        <v>169.466681764706</v>
      </c>
      <c r="AI375" s="10">
        <f>MIN(O375,MAX(N375,AH375))</f>
        <v>61.119</v>
      </c>
      <c r="AJ375" s="10">
        <f>0.17*SQRT('Parametros'!$B$2)*H375*MIN(U375,AB375)/1000</f>
        <v>107.849951281016</v>
      </c>
      <c r="AK375" s="10">
        <f>MAX(AI375/'Parametros'!$B$6-AJ375,0)</f>
        <v>0</v>
      </c>
      <c r="AL375" s="10">
        <f>0.66*SQRT('Parametros'!$B$2)*H375*MIN(U375,AB375)/1000</f>
        <v>418.711575561591</v>
      </c>
      <c r="AM375" s="10" t="str">
        <f>IF(AK375&lt;=AL375,"CUMPLE","NO CUMPLE")</f>
        <v>CUMPLE</v>
      </c>
      <c r="AN375" s="15" t="inlineStr">
        <is>
          <t>Nº3 cerrado</t>
        </is>
      </c>
      <c r="AO375" s="17" t="n">
        <v>2</v>
      </c>
      <c r="AP375" s="10">
        <f>ROUNDDOWN(MIN(IF(AK375=0,1000000000,AO375*'Parametros'!$B$11*'Parametros'!$B$4*MIN(U375,AB375)/(AK375*1000)),IF(AV375=0,1000000000,'Parametros'!$B$11/AV375),MIN(U375,AB375)/4,8*'Parametros'!$B$12,24*'Parametros'!$B$9,300)/10,0)*10</f>
        <v>80</v>
      </c>
      <c r="AQ375" s="10">
        <f>ROUNDDOWN(MIN(IF(AK375=0,1000000000,AO375*'Parametros'!$B$11*'Parametros'!$B$4*MIN(U375,AB375)/(AK375*1000)),IF(AV375=0,1000000000,'Parametros'!$B$11/AV375),MIN(U375,AB375)/2,600)/10,0)*10</f>
        <v>160</v>
      </c>
      <c r="AR375" s="10">
        <f>'Parametros'!$B$6*(AJ375+AO375*'Parametros'!$B$11*'Parametros'!$B$4*MIN(U375,AB375)/AP375/1000)</f>
        <v>272.415732210762</v>
      </c>
      <c r="AS375" s="10" t="str">
        <f>IF(AND(AM375="CUMPLE",AR375&gt;=AI375),"CUMPLE","NO CUMPLE")</f>
        <v>CUMPLE</v>
      </c>
      <c r="AT375" s="10">
        <f>'Parametros'!$B$6*0.083*SQRT('Parametros'!$B$2)*(H375*I375)^2/(2*(H375+I375))/1000000</f>
        <v>4.30410823283988</v>
      </c>
      <c r="AU375" s="10" t="str">
        <f>IF(Q375&lt;=AT375,"DESPRECIABLE","DISEÑAR")</f>
        <v>DISEÑAR</v>
      </c>
      <c r="AV375" s="10">
        <f>IF(Q375&lt;=AT375,0,Q375*1000000/('Parametros'!$B$6*2*0.85*(H375-2*'Parametros'!$B$7)*(I375-2*'Parametros'!$B$7)*'Parametros'!$B$4))</f>
        <v>0.424503752118131</v>
      </c>
      <c r="AW375" s="10">
        <f>AV375*2*((H375-2*'Parametros'!$B$7)+(I375-2*'Parametros'!$B$7))*'Parametros'!$B$4/'Parametros'!$B$3</f>
        <v>500.914427499395</v>
      </c>
      <c r="AX375" s="17" t="n">
        <v>3</v>
      </c>
      <c r="AY375" s="10" t="str">
        <f>IF(AV375=0,"DESPRECIABLE",IF('Parametros'!$B$11/AP375&gt;=AV375,"CUMPLE","NO CUMPLE"))</f>
        <v>CUMPLE</v>
      </c>
      <c r="AZ375" s="10" t="str">
        <f>IF(AND(X375="CUMPLE",AE375="CUMPLE",AS375="CUMPLE",OR(AY375="CUMPLE",AY375="DESPRECIABLE")),IF(OR(F375&lt;&gt;H375,G375&lt;&gt;I375),"CUMPLE - REANALIZAR SAP","CUMPLE"),"NO CUMPLE")</f>
        <v>CUMPLE</v>
      </c>
    </row>
    <row r="376">
      <c r="A376" s="26" t="inlineStr">
        <is>
          <t>VR2</t>
        </is>
      </c>
      <c r="B376" s="26" t="inlineStr">
        <is>
          <t>160</t>
        </is>
      </c>
      <c r="C376" s="10" t="n">
        <v>1</v>
      </c>
      <c r="D376" s="10" t="n">
        <v>1.5</v>
      </c>
      <c r="E376" s="10" t="n">
        <v>1.5</v>
      </c>
      <c r="F376" s="10" t="n">
        <v>350</v>
      </c>
      <c r="G376" s="10" t="n">
        <v>400</v>
      </c>
      <c r="H376" s="15" t="n">
        <v>350</v>
      </c>
      <c r="I376" s="15" t="n">
        <v>400</v>
      </c>
      <c r="J376" s="16" t="n">
        <v>46.2217</v>
      </c>
      <c r="K376" s="10" t="inlineStr">
        <is>
          <t>160</t>
        </is>
      </c>
      <c r="L376" s="16" t="n">
        <v>0</v>
      </c>
      <c r="M376" s="10" t="inlineStr">
        <is>
          <t>160</t>
        </is>
      </c>
      <c r="N376" s="16" t="n">
        <v>33.292</v>
      </c>
      <c r="O376" s="16" t="n">
        <v>55.691</v>
      </c>
      <c r="P376" s="10" t="inlineStr">
        <is>
          <t>160</t>
        </is>
      </c>
      <c r="Q376" s="16" t="n">
        <v>17.0713</v>
      </c>
      <c r="R376" s="10">
        <f>MAX(MAX(1.4/'Parametros'!$B$3,0.25*SQRT('Parametros'!$B$2)/'Parametros'!$B$3)*H376*U376,(0.85*'Parametros'!$B$2/'Parametros'!$B$3)*(1-SQRT(1-2*(J376*1000000/('Parametros'!$B$5*H376*U376^2))/(0.85*'Parametros'!$B$2)))*H376*U376)</f>
        <v>399.641666666667</v>
      </c>
      <c r="S376" s="17" t="n">
        <v>3</v>
      </c>
      <c r="T376" s="18" t="n">
        <v>1</v>
      </c>
      <c r="U376" s="10">
        <f>IF(T376=1,I376-('Parametros'!$B$7+'Parametros'!$B$9+'Parametros'!$B$12/2),I376-(ROUNDUP(S376/2,0)*('Parametros'!$B$7+'Parametros'!$B$9+'Parametros'!$B$12/2)+ROUNDDOWN(S376/2,0)*('Parametros'!$B$7+'Parametros'!$B$9+'Parametros'!$B$12/2+'Parametros'!$B$12+'Parametros'!$B$10))/S376)</f>
        <v>342.55</v>
      </c>
      <c r="V376" s="10">
        <f>S376*'Parametros'!$B$8</f>
        <v>597</v>
      </c>
      <c r="W376" s="10">
        <f>'Parametros'!$B$5*V376*'Parametros'!$B$3*(U376-(V376*'Parametros'!$B$3/(0.85*'Parametros'!$B$2*H376))/2)/1000000</f>
        <v>73.905520182353</v>
      </c>
      <c r="X376" s="10" t="str">
        <f>IF(W376&gt;=J376,"CUMPLE","NO CUMPLE")</f>
        <v>CUMPLE</v>
      </c>
      <c r="Y376" s="10">
        <f>MAX(MAX(1.4/'Parametros'!$B$3,0.25*SQRT('Parametros'!$B$2)/'Parametros'!$B$3)*H376*AB376,(0.85*'Parametros'!$B$2/'Parametros'!$B$3)*(1-SQRT(1-2*(L376*1000000/('Parametros'!$B$5*H376*AB376^2))/(0.85*'Parametros'!$B$2)))*H376*AB376)</f>
        <v>399.641666666667</v>
      </c>
      <c r="Z376" s="17" t="n">
        <v>3</v>
      </c>
      <c r="AA376" s="18" t="n">
        <v>1</v>
      </c>
      <c r="AB376" s="10">
        <f>IF(AA376=1,I376-('Parametros'!$B$7+'Parametros'!$B$9+'Parametros'!$B$12/2),I376-(ROUNDUP(Z376/2,0)*('Parametros'!$B$7+'Parametros'!$B$9+'Parametros'!$B$12/2)+ROUNDDOWN(Z376/2,0)*('Parametros'!$B$7+'Parametros'!$B$9+'Parametros'!$B$12/2+'Parametros'!$B$12+'Parametros'!$B$10))/Z376)</f>
        <v>342.55</v>
      </c>
      <c r="AC376" s="10">
        <f>Z376*'Parametros'!$B$8</f>
        <v>597</v>
      </c>
      <c r="AD376" s="10">
        <f>'Parametros'!$B$5*AC376*'Parametros'!$B$3*(AB376-(AC376*'Parametros'!$B$3/(0.85*'Parametros'!$B$2*H376))/2)/1000000</f>
        <v>73.905520182353</v>
      </c>
      <c r="AE376" s="10" t="str">
        <f>IF(AD376&gt;=L376,"CUMPLE","NO CUMPLE")</f>
        <v>CUMPLE</v>
      </c>
      <c r="AF376" s="10">
        <f>V376*1.25*'Parametros'!$B$3*(U376-(V376*1.25*'Parametros'!$B$3/(0.85*'Parametros'!$B$2*H376))/2)/1000000</f>
        <v>101.467261323529</v>
      </c>
      <c r="AG376" s="10">
        <f>AC376*1.25*'Parametros'!$B$3*(AB376-(AC376*1.25*'Parametros'!$B$3/(0.85*'Parametros'!$B$2*H376))/2)/1000000</f>
        <v>101.467261323529</v>
      </c>
      <c r="AH376" s="10">
        <f>N376+(AF376+AG376)/D376</f>
        <v>168.581681764706</v>
      </c>
      <c r="AI376" s="10">
        <f>MIN(O376,MAX(N376,AH376))</f>
        <v>55.691</v>
      </c>
      <c r="AJ376" s="10">
        <f>0.17*SQRT('Parametros'!$B$2)*H376*MIN(U376,AB376)/1000</f>
        <v>107.849951281016</v>
      </c>
      <c r="AK376" s="10">
        <f>MAX(AI376/'Parametros'!$B$6-AJ376,0)</f>
        <v>0</v>
      </c>
      <c r="AL376" s="10">
        <f>0.66*SQRT('Parametros'!$B$2)*H376*MIN(U376,AB376)/1000</f>
        <v>418.711575561591</v>
      </c>
      <c r="AM376" s="10" t="str">
        <f>IF(AK376&lt;=AL376,"CUMPLE","NO CUMPLE")</f>
        <v>CUMPLE</v>
      </c>
      <c r="AN376" s="15" t="inlineStr">
        <is>
          <t>Nº3 cerrado</t>
        </is>
      </c>
      <c r="AO376" s="17" t="n">
        <v>2</v>
      </c>
      <c r="AP376" s="10">
        <f>ROUNDDOWN(MIN(IF(AK376=0,1000000000,AO376*'Parametros'!$B$11*'Parametros'!$B$4*MIN(U376,AB376)/(AK376*1000)),IF(AV376=0,1000000000,'Parametros'!$B$11/AV376),MIN(U376,AB376)/4,8*'Parametros'!$B$12,24*'Parametros'!$B$9,300)/10,0)*10</f>
        <v>80</v>
      </c>
      <c r="AQ376" s="10">
        <f>ROUNDDOWN(MIN(IF(AK376=0,1000000000,AO376*'Parametros'!$B$11*'Parametros'!$B$4*MIN(U376,AB376)/(AK376*1000)),IF(AV376=0,1000000000,'Parametros'!$B$11/AV376),MIN(U376,AB376)/2,600)/10,0)*10</f>
        <v>170</v>
      </c>
      <c r="AR376" s="10">
        <f>'Parametros'!$B$6*(AJ376+AO376*'Parametros'!$B$11*'Parametros'!$B$4*MIN(U376,AB376)/AP376/1000)</f>
        <v>272.415732210762</v>
      </c>
      <c r="AS376" s="10" t="str">
        <f>IF(AND(AM376="CUMPLE",AR376&gt;=AI376),"CUMPLE","NO CUMPLE")</f>
        <v>CUMPLE</v>
      </c>
      <c r="AT376" s="10">
        <f>'Parametros'!$B$6*0.083*SQRT('Parametros'!$B$2)*(H376*I376)^2/(2*(H376+I376))/1000000</f>
        <v>4.30410823283988</v>
      </c>
      <c r="AU376" s="10" t="str">
        <f>IF(Q376&lt;=AT376,"DESPRECIABLE","DISEÑAR")</f>
        <v>DISEÑAR</v>
      </c>
      <c r="AV376" s="10">
        <f>IF(Q376&lt;=AT376,0,Q376*1000000/('Parametros'!$B$6*2*0.85*(H376-2*'Parametros'!$B$7)*(I376-2*'Parametros'!$B$7)*'Parametros'!$B$4))</f>
        <v>0.368971971504651</v>
      </c>
      <c r="AW376" s="10">
        <f>AV376*2*((H376-2*'Parametros'!$B$7)+(I376-2*'Parametros'!$B$7))*'Parametros'!$B$4/'Parametros'!$B$3</f>
        <v>435.386926375488</v>
      </c>
      <c r="AX376" s="17" t="n">
        <v>3</v>
      </c>
      <c r="AY376" s="10" t="str">
        <f>IF(AV376=0,"DESPRECIABLE",IF('Parametros'!$B$11/AP376&gt;=AV376,"CUMPLE","NO CUMPLE"))</f>
        <v>CUMPLE</v>
      </c>
      <c r="AZ376" s="10" t="str">
        <f>IF(AND(X376="CUMPLE",AE376="CUMPLE",AS376="CUMPLE",OR(AY376="CUMPLE",AY376="DESPRECIABLE")),IF(OR(F376&lt;&gt;H376,G376&lt;&gt;I376),"CUMPLE - REANALIZAR SAP","CUMPLE"),"NO CUMPLE")</f>
        <v>CUMPLE</v>
      </c>
    </row>
    <row r="377">
      <c r="A377" s="26" t="inlineStr">
        <is>
          <t>VR2</t>
        </is>
      </c>
      <c r="B377" s="26" t="inlineStr">
        <is>
          <t>162</t>
        </is>
      </c>
      <c r="C377" s="10" t="n">
        <v>1</v>
      </c>
      <c r="D377" s="10" t="n">
        <v>1.5</v>
      </c>
      <c r="E377" s="10" t="n">
        <v>1.5</v>
      </c>
      <c r="F377" s="10" t="n">
        <v>350</v>
      </c>
      <c r="G377" s="10" t="n">
        <v>400</v>
      </c>
      <c r="H377" s="15" t="n">
        <v>350</v>
      </c>
      <c r="I377" s="15" t="n">
        <v>400</v>
      </c>
      <c r="J377" s="16" t="n">
        <v>46.2272</v>
      </c>
      <c r="K377" s="10" t="inlineStr">
        <is>
          <t>162</t>
        </is>
      </c>
      <c r="L377" s="16" t="n">
        <v>0</v>
      </c>
      <c r="M377" s="10" t="inlineStr">
        <is>
          <t>162</t>
        </is>
      </c>
      <c r="N377" s="16" t="n">
        <v>33.295</v>
      </c>
      <c r="O377" s="16" t="n">
        <v>55.695</v>
      </c>
      <c r="P377" s="10" t="inlineStr">
        <is>
          <t>162</t>
        </is>
      </c>
      <c r="Q377" s="16" t="n">
        <v>17.0793</v>
      </c>
      <c r="R377" s="10">
        <f>MAX(MAX(1.4/'Parametros'!$B$3,0.25*SQRT('Parametros'!$B$2)/'Parametros'!$B$3)*H377*U377,(0.85*'Parametros'!$B$2/'Parametros'!$B$3)*(1-SQRT(1-2*(J377*1000000/('Parametros'!$B$5*H377*U377^2))/(0.85*'Parametros'!$B$2)))*H377*U377)</f>
        <v>399.641666666667</v>
      </c>
      <c r="S377" s="17" t="n">
        <v>3</v>
      </c>
      <c r="T377" s="18" t="n">
        <v>1</v>
      </c>
      <c r="U377" s="10">
        <f>IF(T377=1,I377-('Parametros'!$B$7+'Parametros'!$B$9+'Parametros'!$B$12/2),I377-(ROUNDUP(S377/2,0)*('Parametros'!$B$7+'Parametros'!$B$9+'Parametros'!$B$12/2)+ROUNDDOWN(S377/2,0)*('Parametros'!$B$7+'Parametros'!$B$9+'Parametros'!$B$12/2+'Parametros'!$B$12+'Parametros'!$B$10))/S377)</f>
        <v>342.55</v>
      </c>
      <c r="V377" s="10">
        <f>S377*'Parametros'!$B$8</f>
        <v>597</v>
      </c>
      <c r="W377" s="10">
        <f>'Parametros'!$B$5*V377*'Parametros'!$B$3*(U377-(V377*'Parametros'!$B$3/(0.85*'Parametros'!$B$2*H377))/2)/1000000</f>
        <v>73.905520182353</v>
      </c>
      <c r="X377" s="10" t="str">
        <f>IF(W377&gt;=J377,"CUMPLE","NO CUMPLE")</f>
        <v>CUMPLE</v>
      </c>
      <c r="Y377" s="10">
        <f>MAX(MAX(1.4/'Parametros'!$B$3,0.25*SQRT('Parametros'!$B$2)/'Parametros'!$B$3)*H377*AB377,(0.85*'Parametros'!$B$2/'Parametros'!$B$3)*(1-SQRT(1-2*(L377*1000000/('Parametros'!$B$5*H377*AB377^2))/(0.85*'Parametros'!$B$2)))*H377*AB377)</f>
        <v>399.641666666667</v>
      </c>
      <c r="Z377" s="17" t="n">
        <v>3</v>
      </c>
      <c r="AA377" s="18" t="n">
        <v>1</v>
      </c>
      <c r="AB377" s="10">
        <f>IF(AA377=1,I377-('Parametros'!$B$7+'Parametros'!$B$9+'Parametros'!$B$12/2),I377-(ROUNDUP(Z377/2,0)*('Parametros'!$B$7+'Parametros'!$B$9+'Parametros'!$B$12/2)+ROUNDDOWN(Z377/2,0)*('Parametros'!$B$7+'Parametros'!$B$9+'Parametros'!$B$12/2+'Parametros'!$B$12+'Parametros'!$B$10))/Z377)</f>
        <v>342.55</v>
      </c>
      <c r="AC377" s="10">
        <f>Z377*'Parametros'!$B$8</f>
        <v>597</v>
      </c>
      <c r="AD377" s="10">
        <f>'Parametros'!$B$5*AC377*'Parametros'!$B$3*(AB377-(AC377*'Parametros'!$B$3/(0.85*'Parametros'!$B$2*H377))/2)/1000000</f>
        <v>73.905520182353</v>
      </c>
      <c r="AE377" s="10" t="str">
        <f>IF(AD377&gt;=L377,"CUMPLE","NO CUMPLE")</f>
        <v>CUMPLE</v>
      </c>
      <c r="AF377" s="10">
        <f>V377*1.25*'Parametros'!$B$3*(U377-(V377*1.25*'Parametros'!$B$3/(0.85*'Parametros'!$B$2*H377))/2)/1000000</f>
        <v>101.467261323529</v>
      </c>
      <c r="AG377" s="10">
        <f>AC377*1.25*'Parametros'!$B$3*(AB377-(AC377*1.25*'Parametros'!$B$3/(0.85*'Parametros'!$B$2*H377))/2)/1000000</f>
        <v>101.467261323529</v>
      </c>
      <c r="AH377" s="10">
        <f>N377+(AF377+AG377)/D377</f>
        <v>168.584681764706</v>
      </c>
      <c r="AI377" s="10">
        <f>MIN(O377,MAX(N377,AH377))</f>
        <v>55.695</v>
      </c>
      <c r="AJ377" s="10">
        <f>0.17*SQRT('Parametros'!$B$2)*H377*MIN(U377,AB377)/1000</f>
        <v>107.849951281016</v>
      </c>
      <c r="AK377" s="10">
        <f>MAX(AI377/'Parametros'!$B$6-AJ377,0)</f>
        <v>0</v>
      </c>
      <c r="AL377" s="10">
        <f>0.66*SQRT('Parametros'!$B$2)*H377*MIN(U377,AB377)/1000</f>
        <v>418.711575561591</v>
      </c>
      <c r="AM377" s="10" t="str">
        <f>IF(AK377&lt;=AL377,"CUMPLE","NO CUMPLE")</f>
        <v>CUMPLE</v>
      </c>
      <c r="AN377" s="15" t="inlineStr">
        <is>
          <t>Nº3 cerrado</t>
        </is>
      </c>
      <c r="AO377" s="17" t="n">
        <v>2</v>
      </c>
      <c r="AP377" s="10">
        <f>ROUNDDOWN(MIN(IF(AK377=0,1000000000,AO377*'Parametros'!$B$11*'Parametros'!$B$4*MIN(U377,AB377)/(AK377*1000)),IF(AV377=0,1000000000,'Parametros'!$B$11/AV377),MIN(U377,AB377)/4,8*'Parametros'!$B$12,24*'Parametros'!$B$9,300)/10,0)*10</f>
        <v>80</v>
      </c>
      <c r="AQ377" s="10">
        <f>ROUNDDOWN(MIN(IF(AK377=0,1000000000,AO377*'Parametros'!$B$11*'Parametros'!$B$4*MIN(U377,AB377)/(AK377*1000)),IF(AV377=0,1000000000,'Parametros'!$B$11/AV377),MIN(U377,AB377)/2,600)/10,0)*10</f>
        <v>170</v>
      </c>
      <c r="AR377" s="10">
        <f>'Parametros'!$B$6*(AJ377+AO377*'Parametros'!$B$11*'Parametros'!$B$4*MIN(U377,AB377)/AP377/1000)</f>
        <v>272.415732210762</v>
      </c>
      <c r="AS377" s="10" t="str">
        <f>IF(AND(AM377="CUMPLE",AR377&gt;=AI377),"CUMPLE","NO CUMPLE")</f>
        <v>CUMPLE</v>
      </c>
      <c r="AT377" s="10">
        <f>'Parametros'!$B$6*0.083*SQRT('Parametros'!$B$2)*(H377*I377)^2/(2*(H377+I377))/1000000</f>
        <v>4.30410823283988</v>
      </c>
      <c r="AU377" s="10" t="str">
        <f>IF(Q377&lt;=AT377,"DESPRECIABLE","DISEÑAR")</f>
        <v>DISEÑAR</v>
      </c>
      <c r="AV377" s="10">
        <f>IF(Q377&lt;=AT377,0,Q377*1000000/('Parametros'!$B$6*2*0.85*(H377-2*'Parametros'!$B$7)*(I377-2*'Parametros'!$B$7)*'Parametros'!$B$4))</f>
        <v>0.369144880174292</v>
      </c>
      <c r="AW377" s="10">
        <f>AV377*2*((H377-2*'Parametros'!$B$7)+(I377-2*'Parametros'!$B$7))*'Parametros'!$B$4/'Parametros'!$B$3</f>
        <v>435.590958605664</v>
      </c>
      <c r="AX377" s="17" t="n">
        <v>3</v>
      </c>
      <c r="AY377" s="10" t="str">
        <f>IF(AV377=0,"DESPRECIABLE",IF('Parametros'!$B$11/AP377&gt;=AV377,"CUMPLE","NO CUMPLE"))</f>
        <v>CUMPLE</v>
      </c>
      <c r="AZ377" s="10" t="str">
        <f>IF(AND(X377="CUMPLE",AE377="CUMPLE",AS377="CUMPLE",OR(AY377="CUMPLE",AY377="DESPRECIABLE")),IF(OR(F377&lt;&gt;H377,G377&lt;&gt;I377),"CUMPLE - REANALIZAR SAP","CUMPLE"),"NO CUMPLE")</f>
        <v>CUMPLE</v>
      </c>
    </row>
    <row r="378">
      <c r="A378" s="26" t="inlineStr">
        <is>
          <t>VR2</t>
        </is>
      </c>
      <c r="B378" s="26" t="inlineStr">
        <is>
          <t>165</t>
        </is>
      </c>
      <c r="C378" s="10" t="n">
        <v>1</v>
      </c>
      <c r="D378" s="10" t="n">
        <v>1.5</v>
      </c>
      <c r="E378" s="10" t="n">
        <v>1.5</v>
      </c>
      <c r="F378" s="10" t="n">
        <v>350</v>
      </c>
      <c r="G378" s="10" t="n">
        <v>400</v>
      </c>
      <c r="H378" s="15" t="n">
        <v>350</v>
      </c>
      <c r="I378" s="15" t="n">
        <v>400</v>
      </c>
      <c r="J378" s="16" t="n">
        <v>57.3175</v>
      </c>
      <c r="K378" s="10" t="inlineStr">
        <is>
          <t>165</t>
        </is>
      </c>
      <c r="L378" s="16" t="n">
        <v>0</v>
      </c>
      <c r="M378" s="10" t="inlineStr">
        <is>
          <t>165</t>
        </is>
      </c>
      <c r="N378" s="16" t="n">
        <v>39.763</v>
      </c>
      <c r="O378" s="16" t="n">
        <v>54.725</v>
      </c>
      <c r="P378" s="10" t="inlineStr">
        <is>
          <t>165</t>
        </is>
      </c>
      <c r="Q378" s="16" t="n">
        <v>13.9034</v>
      </c>
      <c r="R378" s="10">
        <f>MAX(MAX(1.4/'Parametros'!$B$3,0.25*SQRT('Parametros'!$B$2)/'Parametros'!$B$3)*H378*U378,(0.85*'Parametros'!$B$2/'Parametros'!$B$3)*(1-SQRT(1-2*(J378*1000000/('Parametros'!$B$5*H378*U378^2))/(0.85*'Parametros'!$B$2)))*H378*U378)</f>
        <v>458.106011683765</v>
      </c>
      <c r="S378" s="17" t="n">
        <v>3</v>
      </c>
      <c r="T378" s="18" t="n">
        <v>1</v>
      </c>
      <c r="U378" s="10">
        <f>IF(T378=1,I378-('Parametros'!$B$7+'Parametros'!$B$9+'Parametros'!$B$12/2),I378-(ROUNDUP(S378/2,0)*('Parametros'!$B$7+'Parametros'!$B$9+'Parametros'!$B$12/2)+ROUNDDOWN(S378/2,0)*('Parametros'!$B$7+'Parametros'!$B$9+'Parametros'!$B$12/2+'Parametros'!$B$12+'Parametros'!$B$10))/S378)</f>
        <v>342.55</v>
      </c>
      <c r="V378" s="10">
        <f>S378*'Parametros'!$B$8</f>
        <v>597</v>
      </c>
      <c r="W378" s="10">
        <f>'Parametros'!$B$5*V378*'Parametros'!$B$3*(U378-(V378*'Parametros'!$B$3/(0.85*'Parametros'!$B$2*H378))/2)/1000000</f>
        <v>73.905520182353</v>
      </c>
      <c r="X378" s="10" t="str">
        <f>IF(W378&gt;=J378,"CUMPLE","NO CUMPLE")</f>
        <v>CUMPLE</v>
      </c>
      <c r="Y378" s="10">
        <f>MAX(MAX(1.4/'Parametros'!$B$3,0.25*SQRT('Parametros'!$B$2)/'Parametros'!$B$3)*H378*AB378,(0.85*'Parametros'!$B$2/'Parametros'!$B$3)*(1-SQRT(1-2*(L378*1000000/('Parametros'!$B$5*H378*AB378^2))/(0.85*'Parametros'!$B$2)))*H378*AB378)</f>
        <v>399.641666666667</v>
      </c>
      <c r="Z378" s="17" t="n">
        <v>3</v>
      </c>
      <c r="AA378" s="18" t="n">
        <v>1</v>
      </c>
      <c r="AB378" s="10">
        <f>IF(AA378=1,I378-('Parametros'!$B$7+'Parametros'!$B$9+'Parametros'!$B$12/2),I378-(ROUNDUP(Z378/2,0)*('Parametros'!$B$7+'Parametros'!$B$9+'Parametros'!$B$12/2)+ROUNDDOWN(Z378/2,0)*('Parametros'!$B$7+'Parametros'!$B$9+'Parametros'!$B$12/2+'Parametros'!$B$12+'Parametros'!$B$10))/Z378)</f>
        <v>342.55</v>
      </c>
      <c r="AC378" s="10">
        <f>Z378*'Parametros'!$B$8</f>
        <v>597</v>
      </c>
      <c r="AD378" s="10">
        <f>'Parametros'!$B$5*AC378*'Parametros'!$B$3*(AB378-(AC378*'Parametros'!$B$3/(0.85*'Parametros'!$B$2*H378))/2)/1000000</f>
        <v>73.905520182353</v>
      </c>
      <c r="AE378" s="10" t="str">
        <f>IF(AD378&gt;=L378,"CUMPLE","NO CUMPLE")</f>
        <v>CUMPLE</v>
      </c>
      <c r="AF378" s="10">
        <f>V378*1.25*'Parametros'!$B$3*(U378-(V378*1.25*'Parametros'!$B$3/(0.85*'Parametros'!$B$2*H378))/2)/1000000</f>
        <v>101.467261323529</v>
      </c>
      <c r="AG378" s="10">
        <f>AC378*1.25*'Parametros'!$B$3*(AB378-(AC378*1.25*'Parametros'!$B$3/(0.85*'Parametros'!$B$2*H378))/2)/1000000</f>
        <v>101.467261323529</v>
      </c>
      <c r="AH378" s="10">
        <f>N378+(AF378+AG378)/D378</f>
        <v>175.052681764706</v>
      </c>
      <c r="AI378" s="10">
        <f>MIN(O378,MAX(N378,AH378))</f>
        <v>54.725</v>
      </c>
      <c r="AJ378" s="10">
        <f>0.17*SQRT('Parametros'!$B$2)*H378*MIN(U378,AB378)/1000</f>
        <v>107.849951281016</v>
      </c>
      <c r="AK378" s="10">
        <f>MAX(AI378/'Parametros'!$B$6-AJ378,0)</f>
        <v>0</v>
      </c>
      <c r="AL378" s="10">
        <f>0.66*SQRT('Parametros'!$B$2)*H378*MIN(U378,AB378)/1000</f>
        <v>418.711575561591</v>
      </c>
      <c r="AM378" s="10" t="str">
        <f>IF(AK378&lt;=AL378,"CUMPLE","NO CUMPLE")</f>
        <v>CUMPLE</v>
      </c>
      <c r="AN378" s="15" t="inlineStr">
        <is>
          <t>Nº3 cerrado</t>
        </is>
      </c>
      <c r="AO378" s="17" t="n">
        <v>2</v>
      </c>
      <c r="AP378" s="10">
        <f>ROUNDDOWN(MIN(IF(AK378=0,1000000000,AO378*'Parametros'!$B$11*'Parametros'!$B$4*MIN(U378,AB378)/(AK378*1000)),IF(AV378=0,1000000000,'Parametros'!$B$11/AV378),MIN(U378,AB378)/4,8*'Parametros'!$B$12,24*'Parametros'!$B$9,300)/10,0)*10</f>
        <v>80</v>
      </c>
      <c r="AQ378" s="10">
        <f>ROUNDDOWN(MIN(IF(AK378=0,1000000000,AO378*'Parametros'!$B$11*'Parametros'!$B$4*MIN(U378,AB378)/(AK378*1000)),IF(AV378=0,1000000000,'Parametros'!$B$11/AV378),MIN(U378,AB378)/2,600)/10,0)*10</f>
        <v>170</v>
      </c>
      <c r="AR378" s="10">
        <f>'Parametros'!$B$6*(AJ378+AO378*'Parametros'!$B$11*'Parametros'!$B$4*MIN(U378,AB378)/AP378/1000)</f>
        <v>272.415732210762</v>
      </c>
      <c r="AS378" s="10" t="str">
        <f>IF(AND(AM378="CUMPLE",AR378&gt;=AI378),"CUMPLE","NO CUMPLE")</f>
        <v>CUMPLE</v>
      </c>
      <c r="AT378" s="10">
        <f>'Parametros'!$B$6*0.083*SQRT('Parametros'!$B$2)*(H378*I378)^2/(2*(H378+I378))/1000000</f>
        <v>4.30410823283988</v>
      </c>
      <c r="AU378" s="10" t="str">
        <f>IF(Q378&lt;=AT378,"DESPRECIABLE","DISEÑAR")</f>
        <v>DISEÑAR</v>
      </c>
      <c r="AV378" s="10">
        <f>IF(Q378&lt;=AT378,0,Q378*1000000/('Parametros'!$B$6*2*0.85*(H378-2*'Parametros'!$B$7)*(I378-2*'Parametros'!$B$7)*'Parametros'!$B$4))</f>
        <v>0.300502299685306</v>
      </c>
      <c r="AW378" s="10">
        <f>AV378*2*((H378-2*'Parametros'!$B$7)+(I378-2*'Parametros'!$B$7))*'Parametros'!$B$4/'Parametros'!$B$3</f>
        <v>354.592713628661</v>
      </c>
      <c r="AX378" s="17" t="n">
        <v>2</v>
      </c>
      <c r="AY378" s="10" t="str">
        <f>IF(AV378=0,"DESPRECIABLE",IF('Parametros'!$B$11/AP378&gt;=AV378,"CUMPLE","NO CUMPLE"))</f>
        <v>CUMPLE</v>
      </c>
      <c r="AZ378" s="10" t="str">
        <f>IF(AND(X378="CUMPLE",AE378="CUMPLE",AS378="CUMPLE",OR(AY378="CUMPLE",AY378="DESPRECIABLE")),IF(OR(F378&lt;&gt;H378,G378&lt;&gt;I378),"CUMPLE - REANALIZAR SAP","CUMPLE"),"NO CUMPLE")</f>
        <v>CUMPLE</v>
      </c>
    </row>
    <row r="379">
      <c r="A379" s="26" t="inlineStr">
        <is>
          <t>VR2</t>
        </is>
      </c>
      <c r="B379" s="26" t="inlineStr">
        <is>
          <t>167</t>
        </is>
      </c>
      <c r="C379" s="10" t="n">
        <v>1</v>
      </c>
      <c r="D379" s="10" t="n">
        <v>1.5</v>
      </c>
      <c r="E379" s="10" t="n">
        <v>1.5</v>
      </c>
      <c r="F379" s="10" t="n">
        <v>350</v>
      </c>
      <c r="G379" s="10" t="n">
        <v>400</v>
      </c>
      <c r="H379" s="15" t="n">
        <v>350</v>
      </c>
      <c r="I379" s="15" t="n">
        <v>400</v>
      </c>
      <c r="J379" s="16" t="n">
        <v>57.3255</v>
      </c>
      <c r="K379" s="10" t="inlineStr">
        <is>
          <t>167</t>
        </is>
      </c>
      <c r="L379" s="16" t="n">
        <v>0</v>
      </c>
      <c r="M379" s="10" t="inlineStr">
        <is>
          <t>167</t>
        </is>
      </c>
      <c r="N379" s="16" t="n">
        <v>39.768</v>
      </c>
      <c r="O379" s="16" t="n">
        <v>54.73</v>
      </c>
      <c r="P379" s="10" t="inlineStr">
        <is>
          <t>167</t>
        </is>
      </c>
      <c r="Q379" s="16" t="n">
        <v>13.9139</v>
      </c>
      <c r="R379" s="10">
        <f>MAX(MAX(1.4/'Parametros'!$B$3,0.25*SQRT('Parametros'!$B$2)/'Parametros'!$B$3)*H379*U379,(0.85*'Parametros'!$B$2/'Parametros'!$B$3)*(1-SQRT(1-2*(J379*1000000/('Parametros'!$B$5*H379*U379^2))/(0.85*'Parametros'!$B$2)))*H379*U379)</f>
        <v>458.172263005969</v>
      </c>
      <c r="S379" s="17" t="n">
        <v>3</v>
      </c>
      <c r="T379" s="18" t="n">
        <v>1</v>
      </c>
      <c r="U379" s="10">
        <f>IF(T379=1,I379-('Parametros'!$B$7+'Parametros'!$B$9+'Parametros'!$B$12/2),I379-(ROUNDUP(S379/2,0)*('Parametros'!$B$7+'Parametros'!$B$9+'Parametros'!$B$12/2)+ROUNDDOWN(S379/2,0)*('Parametros'!$B$7+'Parametros'!$B$9+'Parametros'!$B$12/2+'Parametros'!$B$12+'Parametros'!$B$10))/S379)</f>
        <v>342.55</v>
      </c>
      <c r="V379" s="10">
        <f>S379*'Parametros'!$B$8</f>
        <v>597</v>
      </c>
      <c r="W379" s="10">
        <f>'Parametros'!$B$5*V379*'Parametros'!$B$3*(U379-(V379*'Parametros'!$B$3/(0.85*'Parametros'!$B$2*H379))/2)/1000000</f>
        <v>73.905520182353</v>
      </c>
      <c r="X379" s="10" t="str">
        <f>IF(W379&gt;=J379,"CUMPLE","NO CUMPLE")</f>
        <v>CUMPLE</v>
      </c>
      <c r="Y379" s="10">
        <f>MAX(MAX(1.4/'Parametros'!$B$3,0.25*SQRT('Parametros'!$B$2)/'Parametros'!$B$3)*H379*AB379,(0.85*'Parametros'!$B$2/'Parametros'!$B$3)*(1-SQRT(1-2*(L379*1000000/('Parametros'!$B$5*H379*AB379^2))/(0.85*'Parametros'!$B$2)))*H379*AB379)</f>
        <v>399.641666666667</v>
      </c>
      <c r="Z379" s="17" t="n">
        <v>3</v>
      </c>
      <c r="AA379" s="18" t="n">
        <v>1</v>
      </c>
      <c r="AB379" s="10">
        <f>IF(AA379=1,I379-('Parametros'!$B$7+'Parametros'!$B$9+'Parametros'!$B$12/2),I379-(ROUNDUP(Z379/2,0)*('Parametros'!$B$7+'Parametros'!$B$9+'Parametros'!$B$12/2)+ROUNDDOWN(Z379/2,0)*('Parametros'!$B$7+'Parametros'!$B$9+'Parametros'!$B$12/2+'Parametros'!$B$12+'Parametros'!$B$10))/Z379)</f>
        <v>342.55</v>
      </c>
      <c r="AC379" s="10">
        <f>Z379*'Parametros'!$B$8</f>
        <v>597</v>
      </c>
      <c r="AD379" s="10">
        <f>'Parametros'!$B$5*AC379*'Parametros'!$B$3*(AB379-(AC379*'Parametros'!$B$3/(0.85*'Parametros'!$B$2*H379))/2)/1000000</f>
        <v>73.905520182353</v>
      </c>
      <c r="AE379" s="10" t="str">
        <f>IF(AD379&gt;=L379,"CUMPLE","NO CUMPLE")</f>
        <v>CUMPLE</v>
      </c>
      <c r="AF379" s="10">
        <f>V379*1.25*'Parametros'!$B$3*(U379-(V379*1.25*'Parametros'!$B$3/(0.85*'Parametros'!$B$2*H379))/2)/1000000</f>
        <v>101.467261323529</v>
      </c>
      <c r="AG379" s="10">
        <f>AC379*1.25*'Parametros'!$B$3*(AB379-(AC379*1.25*'Parametros'!$B$3/(0.85*'Parametros'!$B$2*H379))/2)/1000000</f>
        <v>101.467261323529</v>
      </c>
      <c r="AH379" s="10">
        <f>N379+(AF379+AG379)/D379</f>
        <v>175.057681764706</v>
      </c>
      <c r="AI379" s="10">
        <f>MIN(O379,MAX(N379,AH379))</f>
        <v>54.73</v>
      </c>
      <c r="AJ379" s="10">
        <f>0.17*SQRT('Parametros'!$B$2)*H379*MIN(U379,AB379)/1000</f>
        <v>107.849951281016</v>
      </c>
      <c r="AK379" s="10">
        <f>MAX(AI379/'Parametros'!$B$6-AJ379,0)</f>
        <v>0</v>
      </c>
      <c r="AL379" s="10">
        <f>0.66*SQRT('Parametros'!$B$2)*H379*MIN(U379,AB379)/1000</f>
        <v>418.711575561591</v>
      </c>
      <c r="AM379" s="10" t="str">
        <f>IF(AK379&lt;=AL379,"CUMPLE","NO CUMPLE")</f>
        <v>CUMPLE</v>
      </c>
      <c r="AN379" s="15" t="inlineStr">
        <is>
          <t>Nº3 cerrado</t>
        </is>
      </c>
      <c r="AO379" s="17" t="n">
        <v>2</v>
      </c>
      <c r="AP379" s="10">
        <f>ROUNDDOWN(MIN(IF(AK379=0,1000000000,AO379*'Parametros'!$B$11*'Parametros'!$B$4*MIN(U379,AB379)/(AK379*1000)),IF(AV379=0,1000000000,'Parametros'!$B$11/AV379),MIN(U379,AB379)/4,8*'Parametros'!$B$12,24*'Parametros'!$B$9,300)/10,0)*10</f>
        <v>80</v>
      </c>
      <c r="AQ379" s="10">
        <f>ROUNDDOWN(MIN(IF(AK379=0,1000000000,AO379*'Parametros'!$B$11*'Parametros'!$B$4*MIN(U379,AB379)/(AK379*1000)),IF(AV379=0,1000000000,'Parametros'!$B$11/AV379),MIN(U379,AB379)/2,600)/10,0)*10</f>
        <v>170</v>
      </c>
      <c r="AR379" s="10">
        <f>'Parametros'!$B$6*(AJ379+AO379*'Parametros'!$B$11*'Parametros'!$B$4*MIN(U379,AB379)/AP379/1000)</f>
        <v>272.415732210762</v>
      </c>
      <c r="AS379" s="10" t="str">
        <f>IF(AND(AM379="CUMPLE",AR379&gt;=AI379),"CUMPLE","NO CUMPLE")</f>
        <v>CUMPLE</v>
      </c>
      <c r="AT379" s="10">
        <f>'Parametros'!$B$6*0.083*SQRT('Parametros'!$B$2)*(H379*I379)^2/(2*(H379+I379))/1000000</f>
        <v>4.30410823283988</v>
      </c>
      <c r="AU379" s="10" t="str">
        <f>IF(Q379&lt;=AT379,"DESPRECIABLE","DISEÑAR")</f>
        <v>DISEÑAR</v>
      </c>
      <c r="AV379" s="10">
        <f>IF(Q379&lt;=AT379,0,Q379*1000000/('Parametros'!$B$6*2*0.85*(H379-2*'Parametros'!$B$7)*(I379-2*'Parametros'!$B$7)*'Parametros'!$B$4))</f>
        <v>0.30072924231421</v>
      </c>
      <c r="AW379" s="10">
        <f>AV379*2*((H379-2*'Parametros'!$B$7)+(I379-2*'Parametros'!$B$7))*'Parametros'!$B$4/'Parametros'!$B$3</f>
        <v>354.860505930767</v>
      </c>
      <c r="AX379" s="17" t="n">
        <v>2</v>
      </c>
      <c r="AY379" s="10" t="str">
        <f>IF(AV379=0,"DESPRECIABLE",IF('Parametros'!$B$11/AP379&gt;=AV379,"CUMPLE","NO CUMPLE"))</f>
        <v>CUMPLE</v>
      </c>
      <c r="AZ379" s="10" t="str">
        <f>IF(AND(X379="CUMPLE",AE379="CUMPLE",AS379="CUMPLE",OR(AY379="CUMPLE",AY379="DESPRECIABLE")),IF(OR(F379&lt;&gt;H379,G379&lt;&gt;I379),"CUMPLE - REANALIZAR SAP","CUMPLE"),"NO CUMPLE")</f>
        <v>CUMPLE</v>
      </c>
    </row>
    <row r="380">
      <c r="A380" s="26" t="inlineStr">
        <is>
          <t>VR2</t>
        </is>
      </c>
      <c r="B380" s="26" t="inlineStr">
        <is>
          <t>170</t>
        </is>
      </c>
      <c r="C380" s="10" t="n">
        <v>1</v>
      </c>
      <c r="D380" s="10" t="n">
        <v>1.5</v>
      </c>
      <c r="E380" s="10" t="n">
        <v>1.5</v>
      </c>
      <c r="F380" s="10" t="n">
        <v>350</v>
      </c>
      <c r="G380" s="10" t="n">
        <v>400</v>
      </c>
      <c r="H380" s="15" t="n">
        <v>350</v>
      </c>
      <c r="I380" s="15" t="n">
        <v>400</v>
      </c>
      <c r="J380" s="16" t="n">
        <v>50.451</v>
      </c>
      <c r="K380" s="10" t="inlineStr">
        <is>
          <t>170</t>
        </is>
      </c>
      <c r="L380" s="16" t="n">
        <v>0</v>
      </c>
      <c r="M380" s="10" t="inlineStr">
        <is>
          <t>170</t>
        </is>
      </c>
      <c r="N380" s="16" t="n">
        <v>35.278</v>
      </c>
      <c r="O380" s="16" t="n">
        <v>40.696</v>
      </c>
      <c r="P380" s="10" t="inlineStr">
        <is>
          <t>170</t>
        </is>
      </c>
      <c r="Q380" s="16" t="n">
        <v>9.280099999999999</v>
      </c>
      <c r="R380" s="10">
        <f>MAX(MAX(1.4/'Parametros'!$B$3,0.25*SQRT('Parametros'!$B$2)/'Parametros'!$B$3)*H380*U380,(0.85*'Parametros'!$B$2/'Parametros'!$B$3)*(1-SQRT(1-2*(J380*1000000/('Parametros'!$B$5*H380*U380^2))/(0.85*'Parametros'!$B$2)))*H380*U380)</f>
        <v>401.494884486695</v>
      </c>
      <c r="S380" s="17" t="n">
        <v>3</v>
      </c>
      <c r="T380" s="18" t="n">
        <v>1</v>
      </c>
      <c r="U380" s="10">
        <f>IF(T380=1,I380-('Parametros'!$B$7+'Parametros'!$B$9+'Parametros'!$B$12/2),I380-(ROUNDUP(S380/2,0)*('Parametros'!$B$7+'Parametros'!$B$9+'Parametros'!$B$12/2)+ROUNDDOWN(S380/2,0)*('Parametros'!$B$7+'Parametros'!$B$9+'Parametros'!$B$12/2+'Parametros'!$B$12+'Parametros'!$B$10))/S380)</f>
        <v>342.55</v>
      </c>
      <c r="V380" s="10">
        <f>S380*'Parametros'!$B$8</f>
        <v>597</v>
      </c>
      <c r="W380" s="10">
        <f>'Parametros'!$B$5*V380*'Parametros'!$B$3*(U380-(V380*'Parametros'!$B$3/(0.85*'Parametros'!$B$2*H380))/2)/1000000</f>
        <v>73.905520182353</v>
      </c>
      <c r="X380" s="10" t="str">
        <f>IF(W380&gt;=J380,"CUMPLE","NO CUMPLE")</f>
        <v>CUMPLE</v>
      </c>
      <c r="Y380" s="10">
        <f>MAX(MAX(1.4/'Parametros'!$B$3,0.25*SQRT('Parametros'!$B$2)/'Parametros'!$B$3)*H380*AB380,(0.85*'Parametros'!$B$2/'Parametros'!$B$3)*(1-SQRT(1-2*(L380*1000000/('Parametros'!$B$5*H380*AB380^2))/(0.85*'Parametros'!$B$2)))*H380*AB380)</f>
        <v>399.641666666667</v>
      </c>
      <c r="Z380" s="17" t="n">
        <v>3</v>
      </c>
      <c r="AA380" s="18" t="n">
        <v>1</v>
      </c>
      <c r="AB380" s="10">
        <f>IF(AA380=1,I380-('Parametros'!$B$7+'Parametros'!$B$9+'Parametros'!$B$12/2),I380-(ROUNDUP(Z380/2,0)*('Parametros'!$B$7+'Parametros'!$B$9+'Parametros'!$B$12/2)+ROUNDDOWN(Z380/2,0)*('Parametros'!$B$7+'Parametros'!$B$9+'Parametros'!$B$12/2+'Parametros'!$B$12+'Parametros'!$B$10))/Z380)</f>
        <v>342.55</v>
      </c>
      <c r="AC380" s="10">
        <f>Z380*'Parametros'!$B$8</f>
        <v>597</v>
      </c>
      <c r="AD380" s="10">
        <f>'Parametros'!$B$5*AC380*'Parametros'!$B$3*(AB380-(AC380*'Parametros'!$B$3/(0.85*'Parametros'!$B$2*H380))/2)/1000000</f>
        <v>73.905520182353</v>
      </c>
      <c r="AE380" s="10" t="str">
        <f>IF(AD380&gt;=L380,"CUMPLE","NO CUMPLE")</f>
        <v>CUMPLE</v>
      </c>
      <c r="AF380" s="10">
        <f>V380*1.25*'Parametros'!$B$3*(U380-(V380*1.25*'Parametros'!$B$3/(0.85*'Parametros'!$B$2*H380))/2)/1000000</f>
        <v>101.467261323529</v>
      </c>
      <c r="AG380" s="10">
        <f>AC380*1.25*'Parametros'!$B$3*(AB380-(AC380*1.25*'Parametros'!$B$3/(0.85*'Parametros'!$B$2*H380))/2)/1000000</f>
        <v>101.467261323529</v>
      </c>
      <c r="AH380" s="10">
        <f>N380+(AF380+AG380)/D380</f>
        <v>170.567681764706</v>
      </c>
      <c r="AI380" s="10">
        <f>MIN(O380,MAX(N380,AH380))</f>
        <v>40.696</v>
      </c>
      <c r="AJ380" s="10">
        <f>0.17*SQRT('Parametros'!$B$2)*H380*MIN(U380,AB380)/1000</f>
        <v>107.849951281016</v>
      </c>
      <c r="AK380" s="10">
        <f>MAX(AI380/'Parametros'!$B$6-AJ380,0)</f>
        <v>0</v>
      </c>
      <c r="AL380" s="10">
        <f>0.66*SQRT('Parametros'!$B$2)*H380*MIN(U380,AB380)/1000</f>
        <v>418.711575561591</v>
      </c>
      <c r="AM380" s="10" t="str">
        <f>IF(AK380&lt;=AL380,"CUMPLE","NO CUMPLE")</f>
        <v>CUMPLE</v>
      </c>
      <c r="AN380" s="15" t="inlineStr">
        <is>
          <t>Nº3 cerrado</t>
        </is>
      </c>
      <c r="AO380" s="17" t="n">
        <v>2</v>
      </c>
      <c r="AP380" s="10">
        <f>ROUNDDOWN(MIN(IF(AK380=0,1000000000,AO380*'Parametros'!$B$11*'Parametros'!$B$4*MIN(U380,AB380)/(AK380*1000)),IF(AV380=0,1000000000,'Parametros'!$B$11/AV380),MIN(U380,AB380)/4,8*'Parametros'!$B$12,24*'Parametros'!$B$9,300)/10,0)*10</f>
        <v>80</v>
      </c>
      <c r="AQ380" s="10">
        <f>ROUNDDOWN(MIN(IF(AK380=0,1000000000,AO380*'Parametros'!$B$11*'Parametros'!$B$4*MIN(U380,AB380)/(AK380*1000)),IF(AV380=0,1000000000,'Parametros'!$B$11/AV380),MIN(U380,AB380)/2,600)/10,0)*10</f>
        <v>170</v>
      </c>
      <c r="AR380" s="10">
        <f>'Parametros'!$B$6*(AJ380+AO380*'Parametros'!$B$11*'Parametros'!$B$4*MIN(U380,AB380)/AP380/1000)</f>
        <v>272.415732210762</v>
      </c>
      <c r="AS380" s="10" t="str">
        <f>IF(AND(AM380="CUMPLE",AR380&gt;=AI380),"CUMPLE","NO CUMPLE")</f>
        <v>CUMPLE</v>
      </c>
      <c r="AT380" s="10">
        <f>'Parametros'!$B$6*0.083*SQRT('Parametros'!$B$2)*(H380*I380)^2/(2*(H380+I380))/1000000</f>
        <v>4.30410823283988</v>
      </c>
      <c r="AU380" s="10" t="str">
        <f>IF(Q380&lt;=AT380,"DESPRECIABLE","DISEÑAR")</f>
        <v>DISEÑAR</v>
      </c>
      <c r="AV380" s="10">
        <f>IF(Q380&lt;=AT380,0,Q380*1000000/('Parametros'!$B$6*2*0.85*(H380-2*'Parametros'!$B$7)*(I380-2*'Parametros'!$B$7)*'Parametros'!$B$4))</f>
        <v>0.200576218141578</v>
      </c>
      <c r="AW380" s="10">
        <f>AV380*2*((H380-2*'Parametros'!$B$7)+(I380-2*'Parametros'!$B$7))*'Parametros'!$B$4/'Parametros'!$B$3</f>
        <v>236.679937407062</v>
      </c>
      <c r="AX380" s="17" t="n">
        <v>2</v>
      </c>
      <c r="AY380" s="10" t="str">
        <f>IF(AV380=0,"DESPRECIABLE",IF('Parametros'!$B$11/AP380&gt;=AV380,"CUMPLE","NO CUMPLE"))</f>
        <v>CUMPLE</v>
      </c>
      <c r="AZ380" s="10" t="str">
        <f>IF(AND(X380="CUMPLE",AE380="CUMPLE",AS380="CUMPLE",OR(AY380="CUMPLE",AY380="DESPRECIABLE")),IF(OR(F380&lt;&gt;H380,G380&lt;&gt;I380),"CUMPLE - REANALIZAR SAP","CUMPLE"),"NO CUMPLE")</f>
        <v>CUMPLE</v>
      </c>
    </row>
    <row r="381">
      <c r="A381" s="26" t="inlineStr">
        <is>
          <t>VR2</t>
        </is>
      </c>
      <c r="B381" s="26" t="inlineStr">
        <is>
          <t>172</t>
        </is>
      </c>
      <c r="C381" s="10" t="n">
        <v>1</v>
      </c>
      <c r="D381" s="10" t="n">
        <v>1.5</v>
      </c>
      <c r="E381" s="10" t="n">
        <v>1.5</v>
      </c>
      <c r="F381" s="10" t="n">
        <v>350</v>
      </c>
      <c r="G381" s="10" t="n">
        <v>400</v>
      </c>
      <c r="H381" s="15" t="n">
        <v>350</v>
      </c>
      <c r="I381" s="15" t="n">
        <v>400</v>
      </c>
      <c r="J381" s="16" t="n">
        <v>50.4575</v>
      </c>
      <c r="K381" s="10" t="inlineStr">
        <is>
          <t>172</t>
        </is>
      </c>
      <c r="L381" s="16" t="n">
        <v>0</v>
      </c>
      <c r="M381" s="10" t="inlineStr">
        <is>
          <t>172</t>
        </is>
      </c>
      <c r="N381" s="16" t="n">
        <v>35.282</v>
      </c>
      <c r="O381" s="16" t="n">
        <v>40.7</v>
      </c>
      <c r="P381" s="10" t="inlineStr">
        <is>
          <t>172</t>
        </is>
      </c>
      <c r="Q381" s="16" t="n">
        <v>9.2879</v>
      </c>
      <c r="R381" s="10">
        <f>MAX(MAX(1.4/'Parametros'!$B$3,0.25*SQRT('Parametros'!$B$2)/'Parametros'!$B$3)*H381*U381,(0.85*'Parametros'!$B$2/'Parametros'!$B$3)*(1-SQRT(1-2*(J381*1000000/('Parametros'!$B$5*H381*U381^2))/(0.85*'Parametros'!$B$2)))*H381*U381)</f>
        <v>401.548236919025</v>
      </c>
      <c r="S381" s="17" t="n">
        <v>3</v>
      </c>
      <c r="T381" s="18" t="n">
        <v>1</v>
      </c>
      <c r="U381" s="10">
        <f>IF(T381=1,I381-('Parametros'!$B$7+'Parametros'!$B$9+'Parametros'!$B$12/2),I381-(ROUNDUP(S381/2,0)*('Parametros'!$B$7+'Parametros'!$B$9+'Parametros'!$B$12/2)+ROUNDDOWN(S381/2,0)*('Parametros'!$B$7+'Parametros'!$B$9+'Parametros'!$B$12/2+'Parametros'!$B$12+'Parametros'!$B$10))/S381)</f>
        <v>342.55</v>
      </c>
      <c r="V381" s="10">
        <f>S381*'Parametros'!$B$8</f>
        <v>597</v>
      </c>
      <c r="W381" s="10">
        <f>'Parametros'!$B$5*V381*'Parametros'!$B$3*(U381-(V381*'Parametros'!$B$3/(0.85*'Parametros'!$B$2*H381))/2)/1000000</f>
        <v>73.905520182353</v>
      </c>
      <c r="X381" s="10" t="str">
        <f>IF(W381&gt;=J381,"CUMPLE","NO CUMPLE")</f>
        <v>CUMPLE</v>
      </c>
      <c r="Y381" s="10">
        <f>MAX(MAX(1.4/'Parametros'!$B$3,0.25*SQRT('Parametros'!$B$2)/'Parametros'!$B$3)*H381*AB381,(0.85*'Parametros'!$B$2/'Parametros'!$B$3)*(1-SQRT(1-2*(L381*1000000/('Parametros'!$B$5*H381*AB381^2))/(0.85*'Parametros'!$B$2)))*H381*AB381)</f>
        <v>399.641666666667</v>
      </c>
      <c r="Z381" s="17" t="n">
        <v>3</v>
      </c>
      <c r="AA381" s="18" t="n">
        <v>1</v>
      </c>
      <c r="AB381" s="10">
        <f>IF(AA381=1,I381-('Parametros'!$B$7+'Parametros'!$B$9+'Parametros'!$B$12/2),I381-(ROUNDUP(Z381/2,0)*('Parametros'!$B$7+'Parametros'!$B$9+'Parametros'!$B$12/2)+ROUNDDOWN(Z381/2,0)*('Parametros'!$B$7+'Parametros'!$B$9+'Parametros'!$B$12/2+'Parametros'!$B$12+'Parametros'!$B$10))/Z381)</f>
        <v>342.55</v>
      </c>
      <c r="AC381" s="10">
        <f>Z381*'Parametros'!$B$8</f>
        <v>597</v>
      </c>
      <c r="AD381" s="10">
        <f>'Parametros'!$B$5*AC381*'Parametros'!$B$3*(AB381-(AC381*'Parametros'!$B$3/(0.85*'Parametros'!$B$2*H381))/2)/1000000</f>
        <v>73.905520182353</v>
      </c>
      <c r="AE381" s="10" t="str">
        <f>IF(AD381&gt;=L381,"CUMPLE","NO CUMPLE")</f>
        <v>CUMPLE</v>
      </c>
      <c r="AF381" s="10">
        <f>V381*1.25*'Parametros'!$B$3*(U381-(V381*1.25*'Parametros'!$B$3/(0.85*'Parametros'!$B$2*H381))/2)/1000000</f>
        <v>101.467261323529</v>
      </c>
      <c r="AG381" s="10">
        <f>AC381*1.25*'Parametros'!$B$3*(AB381-(AC381*1.25*'Parametros'!$B$3/(0.85*'Parametros'!$B$2*H381))/2)/1000000</f>
        <v>101.467261323529</v>
      </c>
      <c r="AH381" s="10">
        <f>N381+(AF381+AG381)/D381</f>
        <v>170.571681764706</v>
      </c>
      <c r="AI381" s="10">
        <f>MIN(O381,MAX(N381,AH381))</f>
        <v>40.7</v>
      </c>
      <c r="AJ381" s="10">
        <f>0.17*SQRT('Parametros'!$B$2)*H381*MIN(U381,AB381)/1000</f>
        <v>107.849951281016</v>
      </c>
      <c r="AK381" s="10">
        <f>MAX(AI381/'Parametros'!$B$6-AJ381,0)</f>
        <v>0</v>
      </c>
      <c r="AL381" s="10">
        <f>0.66*SQRT('Parametros'!$B$2)*H381*MIN(U381,AB381)/1000</f>
        <v>418.711575561591</v>
      </c>
      <c r="AM381" s="10" t="str">
        <f>IF(AK381&lt;=AL381,"CUMPLE","NO CUMPLE")</f>
        <v>CUMPLE</v>
      </c>
      <c r="AN381" s="15" t="inlineStr">
        <is>
          <t>Nº3 cerrado</t>
        </is>
      </c>
      <c r="AO381" s="17" t="n">
        <v>2</v>
      </c>
      <c r="AP381" s="10">
        <f>ROUNDDOWN(MIN(IF(AK381=0,1000000000,AO381*'Parametros'!$B$11*'Parametros'!$B$4*MIN(U381,AB381)/(AK381*1000)),IF(AV381=0,1000000000,'Parametros'!$B$11/AV381),MIN(U381,AB381)/4,8*'Parametros'!$B$12,24*'Parametros'!$B$9,300)/10,0)*10</f>
        <v>80</v>
      </c>
      <c r="AQ381" s="10">
        <f>ROUNDDOWN(MIN(IF(AK381=0,1000000000,AO381*'Parametros'!$B$11*'Parametros'!$B$4*MIN(U381,AB381)/(AK381*1000)),IF(AV381=0,1000000000,'Parametros'!$B$11/AV381),MIN(U381,AB381)/2,600)/10,0)*10</f>
        <v>170</v>
      </c>
      <c r="AR381" s="10">
        <f>'Parametros'!$B$6*(AJ381+AO381*'Parametros'!$B$11*'Parametros'!$B$4*MIN(U381,AB381)/AP381/1000)</f>
        <v>272.415732210762</v>
      </c>
      <c r="AS381" s="10" t="str">
        <f>IF(AND(AM381="CUMPLE",AR381&gt;=AI381),"CUMPLE","NO CUMPLE")</f>
        <v>CUMPLE</v>
      </c>
      <c r="AT381" s="10">
        <f>'Parametros'!$B$6*0.083*SQRT('Parametros'!$B$2)*(H381*I381)^2/(2*(H381+I381))/1000000</f>
        <v>4.30410823283988</v>
      </c>
      <c r="AU381" s="10" t="str">
        <f>IF(Q381&lt;=AT381,"DESPRECIABLE","DISEÑAR")</f>
        <v>DISEÑAR</v>
      </c>
      <c r="AV381" s="10">
        <f>IF(Q381&lt;=AT381,0,Q381*1000000/('Parametros'!$B$6*2*0.85*(H381-2*'Parametros'!$B$7)*(I381-2*'Parametros'!$B$7)*'Parametros'!$B$4))</f>
        <v>0.200744804094477</v>
      </c>
      <c r="AW381" s="10">
        <f>AV381*2*((H381-2*'Parametros'!$B$7)+(I381-2*'Parametros'!$B$7))*'Parametros'!$B$4/'Parametros'!$B$3</f>
        <v>236.878868831483</v>
      </c>
      <c r="AX381" s="17" t="n">
        <v>2</v>
      </c>
      <c r="AY381" s="10" t="str">
        <f>IF(AV381=0,"DESPRECIABLE",IF('Parametros'!$B$11/AP381&gt;=AV381,"CUMPLE","NO CUMPLE"))</f>
        <v>CUMPLE</v>
      </c>
      <c r="AZ381" s="10" t="str">
        <f>IF(AND(X381="CUMPLE",AE381="CUMPLE",AS381="CUMPLE",OR(AY381="CUMPLE",AY381="DESPRECIABLE")),IF(OR(F381&lt;&gt;H381,G381&lt;&gt;I381),"CUMPLE - REANALIZAR SAP","CUMPLE"),"NO CUMPLE")</f>
        <v>CUMPLE</v>
      </c>
    </row>
    <row r="382">
      <c r="A382" s="26" t="inlineStr">
        <is>
          <t>VR2</t>
        </is>
      </c>
      <c r="B382" s="26" t="inlineStr">
        <is>
          <t>175</t>
        </is>
      </c>
      <c r="C382" s="10" t="n">
        <v>1</v>
      </c>
      <c r="D382" s="10" t="n">
        <v>1.5</v>
      </c>
      <c r="E382" s="10" t="n">
        <v>1.5</v>
      </c>
      <c r="F382" s="10" t="n">
        <v>350</v>
      </c>
      <c r="G382" s="10" t="n">
        <v>400</v>
      </c>
      <c r="H382" s="15" t="n">
        <v>350</v>
      </c>
      <c r="I382" s="15" t="n">
        <v>400</v>
      </c>
      <c r="J382" s="16" t="n">
        <v>47.5086</v>
      </c>
      <c r="K382" s="10" t="inlineStr">
        <is>
          <t>175</t>
        </is>
      </c>
      <c r="L382" s="16" t="n">
        <v>0</v>
      </c>
      <c r="M382" s="10" t="inlineStr">
        <is>
          <t>175</t>
        </is>
      </c>
      <c r="N382" s="16" t="n">
        <v>34.178</v>
      </c>
      <c r="O382" s="16" t="n">
        <v>61.123</v>
      </c>
      <c r="P382" s="10" t="inlineStr">
        <is>
          <t>175</t>
        </is>
      </c>
      <c r="Q382" s="16" t="n">
        <v>19.643</v>
      </c>
      <c r="R382" s="10">
        <f>MAX(MAX(1.4/'Parametros'!$B$3,0.25*SQRT('Parametros'!$B$2)/'Parametros'!$B$3)*H382*U382,(0.85*'Parametros'!$B$2/'Parametros'!$B$3)*(1-SQRT(1-2*(J382*1000000/('Parametros'!$B$5*H382*U382^2))/(0.85*'Parametros'!$B$2)))*H382*U382)</f>
        <v>399.641666666667</v>
      </c>
      <c r="S382" s="17" t="n">
        <v>3</v>
      </c>
      <c r="T382" s="18" t="n">
        <v>1</v>
      </c>
      <c r="U382" s="10">
        <f>IF(T382=1,I382-('Parametros'!$B$7+'Parametros'!$B$9+'Parametros'!$B$12/2),I382-(ROUNDUP(S382/2,0)*('Parametros'!$B$7+'Parametros'!$B$9+'Parametros'!$B$12/2)+ROUNDDOWN(S382/2,0)*('Parametros'!$B$7+'Parametros'!$B$9+'Parametros'!$B$12/2+'Parametros'!$B$12+'Parametros'!$B$10))/S382)</f>
        <v>342.55</v>
      </c>
      <c r="V382" s="10">
        <f>S382*'Parametros'!$B$8</f>
        <v>597</v>
      </c>
      <c r="W382" s="10">
        <f>'Parametros'!$B$5*V382*'Parametros'!$B$3*(U382-(V382*'Parametros'!$B$3/(0.85*'Parametros'!$B$2*H382))/2)/1000000</f>
        <v>73.905520182353</v>
      </c>
      <c r="X382" s="10" t="str">
        <f>IF(W382&gt;=J382,"CUMPLE","NO CUMPLE")</f>
        <v>CUMPLE</v>
      </c>
      <c r="Y382" s="10">
        <f>MAX(MAX(1.4/'Parametros'!$B$3,0.25*SQRT('Parametros'!$B$2)/'Parametros'!$B$3)*H382*AB382,(0.85*'Parametros'!$B$2/'Parametros'!$B$3)*(1-SQRT(1-2*(L382*1000000/('Parametros'!$B$5*H382*AB382^2))/(0.85*'Parametros'!$B$2)))*H382*AB382)</f>
        <v>399.641666666667</v>
      </c>
      <c r="Z382" s="17" t="n">
        <v>3</v>
      </c>
      <c r="AA382" s="18" t="n">
        <v>1</v>
      </c>
      <c r="AB382" s="10">
        <f>IF(AA382=1,I382-('Parametros'!$B$7+'Parametros'!$B$9+'Parametros'!$B$12/2),I382-(ROUNDUP(Z382/2,0)*('Parametros'!$B$7+'Parametros'!$B$9+'Parametros'!$B$12/2)+ROUNDDOWN(Z382/2,0)*('Parametros'!$B$7+'Parametros'!$B$9+'Parametros'!$B$12/2+'Parametros'!$B$12+'Parametros'!$B$10))/Z382)</f>
        <v>342.55</v>
      </c>
      <c r="AC382" s="10">
        <f>Z382*'Parametros'!$B$8</f>
        <v>597</v>
      </c>
      <c r="AD382" s="10">
        <f>'Parametros'!$B$5*AC382*'Parametros'!$B$3*(AB382-(AC382*'Parametros'!$B$3/(0.85*'Parametros'!$B$2*H382))/2)/1000000</f>
        <v>73.905520182353</v>
      </c>
      <c r="AE382" s="10" t="str">
        <f>IF(AD382&gt;=L382,"CUMPLE","NO CUMPLE")</f>
        <v>CUMPLE</v>
      </c>
      <c r="AF382" s="10">
        <f>V382*1.25*'Parametros'!$B$3*(U382-(V382*1.25*'Parametros'!$B$3/(0.85*'Parametros'!$B$2*H382))/2)/1000000</f>
        <v>101.467261323529</v>
      </c>
      <c r="AG382" s="10">
        <f>AC382*1.25*'Parametros'!$B$3*(AB382-(AC382*1.25*'Parametros'!$B$3/(0.85*'Parametros'!$B$2*H382))/2)/1000000</f>
        <v>101.467261323529</v>
      </c>
      <c r="AH382" s="10">
        <f>N382+(AF382+AG382)/D382</f>
        <v>169.467681764706</v>
      </c>
      <c r="AI382" s="10">
        <f>MIN(O382,MAX(N382,AH382))</f>
        <v>61.123</v>
      </c>
      <c r="AJ382" s="10">
        <f>0.17*SQRT('Parametros'!$B$2)*H382*MIN(U382,AB382)/1000</f>
        <v>107.849951281016</v>
      </c>
      <c r="AK382" s="10">
        <f>MAX(AI382/'Parametros'!$B$6-AJ382,0)</f>
        <v>0</v>
      </c>
      <c r="AL382" s="10">
        <f>0.66*SQRT('Parametros'!$B$2)*H382*MIN(U382,AB382)/1000</f>
        <v>418.711575561591</v>
      </c>
      <c r="AM382" s="10" t="str">
        <f>IF(AK382&lt;=AL382,"CUMPLE","NO CUMPLE")</f>
        <v>CUMPLE</v>
      </c>
      <c r="AN382" s="15" t="inlineStr">
        <is>
          <t>Nº3 cerrado</t>
        </is>
      </c>
      <c r="AO382" s="17" t="n">
        <v>2</v>
      </c>
      <c r="AP382" s="10">
        <f>ROUNDDOWN(MIN(IF(AK382=0,1000000000,AO382*'Parametros'!$B$11*'Parametros'!$B$4*MIN(U382,AB382)/(AK382*1000)),IF(AV382=0,1000000000,'Parametros'!$B$11/AV382),MIN(U382,AB382)/4,8*'Parametros'!$B$12,24*'Parametros'!$B$9,300)/10,0)*10</f>
        <v>80</v>
      </c>
      <c r="AQ382" s="10">
        <f>ROUNDDOWN(MIN(IF(AK382=0,1000000000,AO382*'Parametros'!$B$11*'Parametros'!$B$4*MIN(U382,AB382)/(AK382*1000)),IF(AV382=0,1000000000,'Parametros'!$B$11/AV382),MIN(U382,AB382)/2,600)/10,0)*10</f>
        <v>160</v>
      </c>
      <c r="AR382" s="10">
        <f>'Parametros'!$B$6*(AJ382+AO382*'Parametros'!$B$11*'Parametros'!$B$4*MIN(U382,AB382)/AP382/1000)</f>
        <v>272.415732210762</v>
      </c>
      <c r="AS382" s="10" t="str">
        <f>IF(AND(AM382="CUMPLE",AR382&gt;=AI382),"CUMPLE","NO CUMPLE")</f>
        <v>CUMPLE</v>
      </c>
      <c r="AT382" s="10">
        <f>'Parametros'!$B$6*0.083*SQRT('Parametros'!$B$2)*(H382*I382)^2/(2*(H382+I382))/1000000</f>
        <v>4.30410823283988</v>
      </c>
      <c r="AU382" s="10" t="str">
        <f>IF(Q382&lt;=AT382,"DESPRECIABLE","DISEÑAR")</f>
        <v>DISEÑAR</v>
      </c>
      <c r="AV382" s="10">
        <f>IF(Q382&lt;=AT382,0,Q382*1000000/('Parametros'!$B$6*2*0.85*(H382-2*'Parametros'!$B$7)*(I382-2*'Parametros'!$B$7)*'Parametros'!$B$4))</f>
        <v>0.424555624719023</v>
      </c>
      <c r="AW382" s="10">
        <f>AV382*2*((H382-2*'Parametros'!$B$7)+(I382-2*'Parametros'!$B$7))*'Parametros'!$B$4/'Parametros'!$B$3</f>
        <v>500.975637168448</v>
      </c>
      <c r="AX382" s="17" t="n">
        <v>3</v>
      </c>
      <c r="AY382" s="10" t="str">
        <f>IF(AV382=0,"DESPRECIABLE",IF('Parametros'!$B$11/AP382&gt;=AV382,"CUMPLE","NO CUMPLE"))</f>
        <v>CUMPLE</v>
      </c>
      <c r="AZ382" s="10" t="str">
        <f>IF(AND(X382="CUMPLE",AE382="CUMPLE",AS382="CUMPLE",OR(AY382="CUMPLE",AY382="DESPRECIABLE")),IF(OR(F382&lt;&gt;H382,G382&lt;&gt;I382),"CUMPLE - REANALIZAR SAP","CUMPLE"),"NO CUMPLE")</f>
        <v>CUMPLE</v>
      </c>
    </row>
    <row r="383">
      <c r="A383" s="26" t="inlineStr">
        <is>
          <t>VR2</t>
        </is>
      </c>
      <c r="B383" s="26" t="inlineStr">
        <is>
          <t>177</t>
        </is>
      </c>
      <c r="C383" s="10" t="n">
        <v>1</v>
      </c>
      <c r="D383" s="10" t="n">
        <v>1.5</v>
      </c>
      <c r="E383" s="10" t="n">
        <v>1.5</v>
      </c>
      <c r="F383" s="10" t="n">
        <v>350</v>
      </c>
      <c r="G383" s="10" t="n">
        <v>400</v>
      </c>
      <c r="H383" s="15" t="n">
        <v>350</v>
      </c>
      <c r="I383" s="15" t="n">
        <v>400</v>
      </c>
      <c r="J383" s="16" t="n">
        <v>47.5044</v>
      </c>
      <c r="K383" s="10" t="inlineStr">
        <is>
          <t>177</t>
        </is>
      </c>
      <c r="L383" s="16" t="n">
        <v>0</v>
      </c>
      <c r="M383" s="10" t="inlineStr">
        <is>
          <t>177</t>
        </is>
      </c>
      <c r="N383" s="16" t="n">
        <v>34.176</v>
      </c>
      <c r="O383" s="16" t="n">
        <v>61.12</v>
      </c>
      <c r="P383" s="10" t="inlineStr">
        <is>
          <t>177</t>
        </is>
      </c>
      <c r="Q383" s="16" t="n">
        <v>19.6367</v>
      </c>
      <c r="R383" s="10">
        <f>MAX(MAX(1.4/'Parametros'!$B$3,0.25*SQRT('Parametros'!$B$2)/'Parametros'!$B$3)*H383*U383,(0.85*'Parametros'!$B$2/'Parametros'!$B$3)*(1-SQRT(1-2*(J383*1000000/('Parametros'!$B$5*H383*U383^2))/(0.85*'Parametros'!$B$2)))*H383*U383)</f>
        <v>399.641666666667</v>
      </c>
      <c r="S383" s="17" t="n">
        <v>3</v>
      </c>
      <c r="T383" s="18" t="n">
        <v>1</v>
      </c>
      <c r="U383" s="10">
        <f>IF(T383=1,I383-('Parametros'!$B$7+'Parametros'!$B$9+'Parametros'!$B$12/2),I383-(ROUNDUP(S383/2,0)*('Parametros'!$B$7+'Parametros'!$B$9+'Parametros'!$B$12/2)+ROUNDDOWN(S383/2,0)*('Parametros'!$B$7+'Parametros'!$B$9+'Parametros'!$B$12/2+'Parametros'!$B$12+'Parametros'!$B$10))/S383)</f>
        <v>342.55</v>
      </c>
      <c r="V383" s="10">
        <f>S383*'Parametros'!$B$8</f>
        <v>597</v>
      </c>
      <c r="W383" s="10">
        <f>'Parametros'!$B$5*V383*'Parametros'!$B$3*(U383-(V383*'Parametros'!$B$3/(0.85*'Parametros'!$B$2*H383))/2)/1000000</f>
        <v>73.905520182353</v>
      </c>
      <c r="X383" s="10" t="str">
        <f>IF(W383&gt;=J383,"CUMPLE","NO CUMPLE")</f>
        <v>CUMPLE</v>
      </c>
      <c r="Y383" s="10">
        <f>MAX(MAX(1.4/'Parametros'!$B$3,0.25*SQRT('Parametros'!$B$2)/'Parametros'!$B$3)*H383*AB383,(0.85*'Parametros'!$B$2/'Parametros'!$B$3)*(1-SQRT(1-2*(L383*1000000/('Parametros'!$B$5*H383*AB383^2))/(0.85*'Parametros'!$B$2)))*H383*AB383)</f>
        <v>399.641666666667</v>
      </c>
      <c r="Z383" s="17" t="n">
        <v>3</v>
      </c>
      <c r="AA383" s="18" t="n">
        <v>1</v>
      </c>
      <c r="AB383" s="10">
        <f>IF(AA383=1,I383-('Parametros'!$B$7+'Parametros'!$B$9+'Parametros'!$B$12/2),I383-(ROUNDUP(Z383/2,0)*('Parametros'!$B$7+'Parametros'!$B$9+'Parametros'!$B$12/2)+ROUNDDOWN(Z383/2,0)*('Parametros'!$B$7+'Parametros'!$B$9+'Parametros'!$B$12/2+'Parametros'!$B$12+'Parametros'!$B$10))/Z383)</f>
        <v>342.55</v>
      </c>
      <c r="AC383" s="10">
        <f>Z383*'Parametros'!$B$8</f>
        <v>597</v>
      </c>
      <c r="AD383" s="10">
        <f>'Parametros'!$B$5*AC383*'Parametros'!$B$3*(AB383-(AC383*'Parametros'!$B$3/(0.85*'Parametros'!$B$2*H383))/2)/1000000</f>
        <v>73.905520182353</v>
      </c>
      <c r="AE383" s="10" t="str">
        <f>IF(AD383&gt;=L383,"CUMPLE","NO CUMPLE")</f>
        <v>CUMPLE</v>
      </c>
      <c r="AF383" s="10">
        <f>V383*1.25*'Parametros'!$B$3*(U383-(V383*1.25*'Parametros'!$B$3/(0.85*'Parametros'!$B$2*H383))/2)/1000000</f>
        <v>101.467261323529</v>
      </c>
      <c r="AG383" s="10">
        <f>AC383*1.25*'Parametros'!$B$3*(AB383-(AC383*1.25*'Parametros'!$B$3/(0.85*'Parametros'!$B$2*H383))/2)/1000000</f>
        <v>101.467261323529</v>
      </c>
      <c r="AH383" s="10">
        <f>N383+(AF383+AG383)/D383</f>
        <v>169.465681764706</v>
      </c>
      <c r="AI383" s="10">
        <f>MIN(O383,MAX(N383,AH383))</f>
        <v>61.12</v>
      </c>
      <c r="AJ383" s="10">
        <f>0.17*SQRT('Parametros'!$B$2)*H383*MIN(U383,AB383)/1000</f>
        <v>107.849951281016</v>
      </c>
      <c r="AK383" s="10">
        <f>MAX(AI383/'Parametros'!$B$6-AJ383,0)</f>
        <v>0</v>
      </c>
      <c r="AL383" s="10">
        <f>0.66*SQRT('Parametros'!$B$2)*H383*MIN(U383,AB383)/1000</f>
        <v>418.711575561591</v>
      </c>
      <c r="AM383" s="10" t="str">
        <f>IF(AK383&lt;=AL383,"CUMPLE","NO CUMPLE")</f>
        <v>CUMPLE</v>
      </c>
      <c r="AN383" s="15" t="inlineStr">
        <is>
          <t>Nº3 cerrado</t>
        </is>
      </c>
      <c r="AO383" s="17" t="n">
        <v>2</v>
      </c>
      <c r="AP383" s="10">
        <f>ROUNDDOWN(MIN(IF(AK383=0,1000000000,AO383*'Parametros'!$B$11*'Parametros'!$B$4*MIN(U383,AB383)/(AK383*1000)),IF(AV383=0,1000000000,'Parametros'!$B$11/AV383),MIN(U383,AB383)/4,8*'Parametros'!$B$12,24*'Parametros'!$B$9,300)/10,0)*10</f>
        <v>80</v>
      </c>
      <c r="AQ383" s="10">
        <f>ROUNDDOWN(MIN(IF(AK383=0,1000000000,AO383*'Parametros'!$B$11*'Parametros'!$B$4*MIN(U383,AB383)/(AK383*1000)),IF(AV383=0,1000000000,'Parametros'!$B$11/AV383),MIN(U383,AB383)/2,600)/10,0)*10</f>
        <v>160</v>
      </c>
      <c r="AR383" s="10">
        <f>'Parametros'!$B$6*(AJ383+AO383*'Parametros'!$B$11*'Parametros'!$B$4*MIN(U383,AB383)/AP383/1000)</f>
        <v>272.415732210762</v>
      </c>
      <c r="AS383" s="10" t="str">
        <f>IF(AND(AM383="CUMPLE",AR383&gt;=AI383),"CUMPLE","NO CUMPLE")</f>
        <v>CUMPLE</v>
      </c>
      <c r="AT383" s="10">
        <f>'Parametros'!$B$6*0.083*SQRT('Parametros'!$B$2)*(H383*I383)^2/(2*(H383+I383))/1000000</f>
        <v>4.30410823283988</v>
      </c>
      <c r="AU383" s="10" t="str">
        <f>IF(Q383&lt;=AT383,"DESPRECIABLE","DISEÑAR")</f>
        <v>DISEÑAR</v>
      </c>
      <c r="AV383" s="10">
        <f>IF(Q383&lt;=AT383,0,Q383*1000000/('Parametros'!$B$6*2*0.85*(H383-2*'Parametros'!$B$7)*(I383-2*'Parametros'!$B$7)*'Parametros'!$B$4))</f>
        <v>0.424419459141681</v>
      </c>
      <c r="AW383" s="10">
        <f>AV383*2*((H383-2*'Parametros'!$B$7)+(I383-2*'Parametros'!$B$7))*'Parametros'!$B$4/'Parametros'!$B$3</f>
        <v>500.814961787184</v>
      </c>
      <c r="AX383" s="17" t="n">
        <v>3</v>
      </c>
      <c r="AY383" s="10" t="str">
        <f>IF(AV383=0,"DESPRECIABLE",IF('Parametros'!$B$11/AP383&gt;=AV383,"CUMPLE","NO CUMPLE"))</f>
        <v>CUMPLE</v>
      </c>
      <c r="AZ383" s="10" t="str">
        <f>IF(AND(X383="CUMPLE",AE383="CUMPLE",AS383="CUMPLE",OR(AY383="CUMPLE",AY383="DESPRECIABLE")),IF(OR(F383&lt;&gt;H383,G383&lt;&gt;I383),"CUMPLE - REANALIZAR SAP","CUMPLE"),"NO CUMPLE")</f>
        <v>CUMPLE</v>
      </c>
    </row>
    <row r="384">
      <c r="A384" s="26" t="inlineStr">
        <is>
          <t>VR2</t>
        </is>
      </c>
      <c r="B384" s="26" t="inlineStr">
        <is>
          <t>180</t>
        </is>
      </c>
      <c r="C384" s="10" t="n">
        <v>1</v>
      </c>
      <c r="D384" s="10" t="n">
        <v>1.5</v>
      </c>
      <c r="E384" s="10" t="n">
        <v>1.5</v>
      </c>
      <c r="F384" s="10" t="n">
        <v>350</v>
      </c>
      <c r="G384" s="10" t="n">
        <v>400</v>
      </c>
      <c r="H384" s="15" t="n">
        <v>350</v>
      </c>
      <c r="I384" s="15" t="n">
        <v>400</v>
      </c>
      <c r="J384" s="16" t="n">
        <v>46.2272</v>
      </c>
      <c r="K384" s="10" t="inlineStr">
        <is>
          <t>180</t>
        </is>
      </c>
      <c r="L384" s="16" t="n">
        <v>0</v>
      </c>
      <c r="M384" s="10" t="inlineStr">
        <is>
          <t>180</t>
        </is>
      </c>
      <c r="N384" s="16" t="n">
        <v>33.295</v>
      </c>
      <c r="O384" s="16" t="n">
        <v>55.697</v>
      </c>
      <c r="P384" s="10" t="inlineStr">
        <is>
          <t>180</t>
        </is>
      </c>
      <c r="Q384" s="16" t="n">
        <v>17.0799</v>
      </c>
      <c r="R384" s="10">
        <f>MAX(MAX(1.4/'Parametros'!$B$3,0.25*SQRT('Parametros'!$B$2)/'Parametros'!$B$3)*H384*U384,(0.85*'Parametros'!$B$2/'Parametros'!$B$3)*(1-SQRT(1-2*(J384*1000000/('Parametros'!$B$5*H384*U384^2))/(0.85*'Parametros'!$B$2)))*H384*U384)</f>
        <v>399.641666666667</v>
      </c>
      <c r="S384" s="17" t="n">
        <v>3</v>
      </c>
      <c r="T384" s="18" t="n">
        <v>1</v>
      </c>
      <c r="U384" s="10">
        <f>IF(T384=1,I384-('Parametros'!$B$7+'Parametros'!$B$9+'Parametros'!$B$12/2),I384-(ROUNDUP(S384/2,0)*('Parametros'!$B$7+'Parametros'!$B$9+'Parametros'!$B$12/2)+ROUNDDOWN(S384/2,0)*('Parametros'!$B$7+'Parametros'!$B$9+'Parametros'!$B$12/2+'Parametros'!$B$12+'Parametros'!$B$10))/S384)</f>
        <v>342.55</v>
      </c>
      <c r="V384" s="10">
        <f>S384*'Parametros'!$B$8</f>
        <v>597</v>
      </c>
      <c r="W384" s="10">
        <f>'Parametros'!$B$5*V384*'Parametros'!$B$3*(U384-(V384*'Parametros'!$B$3/(0.85*'Parametros'!$B$2*H384))/2)/1000000</f>
        <v>73.905520182353</v>
      </c>
      <c r="X384" s="10" t="str">
        <f>IF(W384&gt;=J384,"CUMPLE","NO CUMPLE")</f>
        <v>CUMPLE</v>
      </c>
      <c r="Y384" s="10">
        <f>MAX(MAX(1.4/'Parametros'!$B$3,0.25*SQRT('Parametros'!$B$2)/'Parametros'!$B$3)*H384*AB384,(0.85*'Parametros'!$B$2/'Parametros'!$B$3)*(1-SQRT(1-2*(L384*1000000/('Parametros'!$B$5*H384*AB384^2))/(0.85*'Parametros'!$B$2)))*H384*AB384)</f>
        <v>399.641666666667</v>
      </c>
      <c r="Z384" s="17" t="n">
        <v>3</v>
      </c>
      <c r="AA384" s="18" t="n">
        <v>1</v>
      </c>
      <c r="AB384" s="10">
        <f>IF(AA384=1,I384-('Parametros'!$B$7+'Parametros'!$B$9+'Parametros'!$B$12/2),I384-(ROUNDUP(Z384/2,0)*('Parametros'!$B$7+'Parametros'!$B$9+'Parametros'!$B$12/2)+ROUNDDOWN(Z384/2,0)*('Parametros'!$B$7+'Parametros'!$B$9+'Parametros'!$B$12/2+'Parametros'!$B$12+'Parametros'!$B$10))/Z384)</f>
        <v>342.55</v>
      </c>
      <c r="AC384" s="10">
        <f>Z384*'Parametros'!$B$8</f>
        <v>597</v>
      </c>
      <c r="AD384" s="10">
        <f>'Parametros'!$B$5*AC384*'Parametros'!$B$3*(AB384-(AC384*'Parametros'!$B$3/(0.85*'Parametros'!$B$2*H384))/2)/1000000</f>
        <v>73.905520182353</v>
      </c>
      <c r="AE384" s="10" t="str">
        <f>IF(AD384&gt;=L384,"CUMPLE","NO CUMPLE")</f>
        <v>CUMPLE</v>
      </c>
      <c r="AF384" s="10">
        <f>V384*1.25*'Parametros'!$B$3*(U384-(V384*1.25*'Parametros'!$B$3/(0.85*'Parametros'!$B$2*H384))/2)/1000000</f>
        <v>101.467261323529</v>
      </c>
      <c r="AG384" s="10">
        <f>AC384*1.25*'Parametros'!$B$3*(AB384-(AC384*1.25*'Parametros'!$B$3/(0.85*'Parametros'!$B$2*H384))/2)/1000000</f>
        <v>101.467261323529</v>
      </c>
      <c r="AH384" s="10">
        <f>N384+(AF384+AG384)/D384</f>
        <v>168.584681764706</v>
      </c>
      <c r="AI384" s="10">
        <f>MIN(O384,MAX(N384,AH384))</f>
        <v>55.697</v>
      </c>
      <c r="AJ384" s="10">
        <f>0.17*SQRT('Parametros'!$B$2)*H384*MIN(U384,AB384)/1000</f>
        <v>107.849951281016</v>
      </c>
      <c r="AK384" s="10">
        <f>MAX(AI384/'Parametros'!$B$6-AJ384,0)</f>
        <v>0</v>
      </c>
      <c r="AL384" s="10">
        <f>0.66*SQRT('Parametros'!$B$2)*H384*MIN(U384,AB384)/1000</f>
        <v>418.711575561591</v>
      </c>
      <c r="AM384" s="10" t="str">
        <f>IF(AK384&lt;=AL384,"CUMPLE","NO CUMPLE")</f>
        <v>CUMPLE</v>
      </c>
      <c r="AN384" s="15" t="inlineStr">
        <is>
          <t>Nº3 cerrado</t>
        </is>
      </c>
      <c r="AO384" s="17" t="n">
        <v>2</v>
      </c>
      <c r="AP384" s="10">
        <f>ROUNDDOWN(MIN(IF(AK384=0,1000000000,AO384*'Parametros'!$B$11*'Parametros'!$B$4*MIN(U384,AB384)/(AK384*1000)),IF(AV384=0,1000000000,'Parametros'!$B$11/AV384),MIN(U384,AB384)/4,8*'Parametros'!$B$12,24*'Parametros'!$B$9,300)/10,0)*10</f>
        <v>80</v>
      </c>
      <c r="AQ384" s="10">
        <f>ROUNDDOWN(MIN(IF(AK384=0,1000000000,AO384*'Parametros'!$B$11*'Parametros'!$B$4*MIN(U384,AB384)/(AK384*1000)),IF(AV384=0,1000000000,'Parametros'!$B$11/AV384),MIN(U384,AB384)/2,600)/10,0)*10</f>
        <v>170</v>
      </c>
      <c r="AR384" s="10">
        <f>'Parametros'!$B$6*(AJ384+AO384*'Parametros'!$B$11*'Parametros'!$B$4*MIN(U384,AB384)/AP384/1000)</f>
        <v>272.415732210762</v>
      </c>
      <c r="AS384" s="10" t="str">
        <f>IF(AND(AM384="CUMPLE",AR384&gt;=AI384),"CUMPLE","NO CUMPLE")</f>
        <v>CUMPLE</v>
      </c>
      <c r="AT384" s="10">
        <f>'Parametros'!$B$6*0.083*SQRT('Parametros'!$B$2)*(H384*I384)^2/(2*(H384+I384))/1000000</f>
        <v>4.30410823283988</v>
      </c>
      <c r="AU384" s="10" t="str">
        <f>IF(Q384&lt;=AT384,"DESPRECIABLE","DISEÑAR")</f>
        <v>DISEÑAR</v>
      </c>
      <c r="AV384" s="10">
        <f>IF(Q384&lt;=AT384,0,Q384*1000000/('Parametros'!$B$6*2*0.85*(H384-2*'Parametros'!$B$7)*(I384-2*'Parametros'!$B$7)*'Parametros'!$B$4))</f>
        <v>0.369157848324515</v>
      </c>
      <c r="AW384" s="10">
        <f>AV384*2*((H384-2*'Parametros'!$B$7)+(I384-2*'Parametros'!$B$7))*'Parametros'!$B$4/'Parametros'!$B$3</f>
        <v>435.606261022928</v>
      </c>
      <c r="AX384" s="17" t="n">
        <v>3</v>
      </c>
      <c r="AY384" s="10" t="str">
        <f>IF(AV384=0,"DESPRECIABLE",IF('Parametros'!$B$11/AP384&gt;=AV384,"CUMPLE","NO CUMPLE"))</f>
        <v>CUMPLE</v>
      </c>
      <c r="AZ384" s="10" t="str">
        <f>IF(AND(X384="CUMPLE",AE384="CUMPLE",AS384="CUMPLE",OR(AY384="CUMPLE",AY384="DESPRECIABLE")),IF(OR(F384&lt;&gt;H384,G384&lt;&gt;I384),"CUMPLE - REANALIZAR SAP","CUMPLE"),"NO CUMPLE")</f>
        <v>CUMPLE</v>
      </c>
    </row>
    <row r="385">
      <c r="A385" s="26" t="inlineStr">
        <is>
          <t>VR2</t>
        </is>
      </c>
      <c r="B385" s="26" t="inlineStr">
        <is>
          <t>182</t>
        </is>
      </c>
      <c r="C385" s="10" t="n">
        <v>1</v>
      </c>
      <c r="D385" s="10" t="n">
        <v>1.5</v>
      </c>
      <c r="E385" s="10" t="n">
        <v>1.5</v>
      </c>
      <c r="F385" s="10" t="n">
        <v>350</v>
      </c>
      <c r="G385" s="10" t="n">
        <v>400</v>
      </c>
      <c r="H385" s="15" t="n">
        <v>350</v>
      </c>
      <c r="I385" s="15" t="n">
        <v>400</v>
      </c>
      <c r="J385" s="16" t="n">
        <v>46.2225</v>
      </c>
      <c r="K385" s="10" t="inlineStr">
        <is>
          <t>182</t>
        </is>
      </c>
      <c r="L385" s="16" t="n">
        <v>0</v>
      </c>
      <c r="M385" s="10" t="inlineStr">
        <is>
          <t>182</t>
        </is>
      </c>
      <c r="N385" s="16" t="n">
        <v>33.292</v>
      </c>
      <c r="O385" s="16" t="n">
        <v>55.694</v>
      </c>
      <c r="P385" s="10" t="inlineStr">
        <is>
          <t>182</t>
        </is>
      </c>
      <c r="Q385" s="16" t="n">
        <v>17.0729</v>
      </c>
      <c r="R385" s="10">
        <f>MAX(MAX(1.4/'Parametros'!$B$3,0.25*SQRT('Parametros'!$B$2)/'Parametros'!$B$3)*H385*U385,(0.85*'Parametros'!$B$2/'Parametros'!$B$3)*(1-SQRT(1-2*(J385*1000000/('Parametros'!$B$5*H385*U385^2))/(0.85*'Parametros'!$B$2)))*H385*U385)</f>
        <v>399.641666666667</v>
      </c>
      <c r="S385" s="17" t="n">
        <v>3</v>
      </c>
      <c r="T385" s="18" t="n">
        <v>1</v>
      </c>
      <c r="U385" s="10">
        <f>IF(T385=1,I385-('Parametros'!$B$7+'Parametros'!$B$9+'Parametros'!$B$12/2),I385-(ROUNDUP(S385/2,0)*('Parametros'!$B$7+'Parametros'!$B$9+'Parametros'!$B$12/2)+ROUNDDOWN(S385/2,0)*('Parametros'!$B$7+'Parametros'!$B$9+'Parametros'!$B$12/2+'Parametros'!$B$12+'Parametros'!$B$10))/S385)</f>
        <v>342.55</v>
      </c>
      <c r="V385" s="10">
        <f>S385*'Parametros'!$B$8</f>
        <v>597</v>
      </c>
      <c r="W385" s="10">
        <f>'Parametros'!$B$5*V385*'Parametros'!$B$3*(U385-(V385*'Parametros'!$B$3/(0.85*'Parametros'!$B$2*H385))/2)/1000000</f>
        <v>73.905520182353</v>
      </c>
      <c r="X385" s="10" t="str">
        <f>IF(W385&gt;=J385,"CUMPLE","NO CUMPLE")</f>
        <v>CUMPLE</v>
      </c>
      <c r="Y385" s="10">
        <f>MAX(MAX(1.4/'Parametros'!$B$3,0.25*SQRT('Parametros'!$B$2)/'Parametros'!$B$3)*H385*AB385,(0.85*'Parametros'!$B$2/'Parametros'!$B$3)*(1-SQRT(1-2*(L385*1000000/('Parametros'!$B$5*H385*AB385^2))/(0.85*'Parametros'!$B$2)))*H385*AB385)</f>
        <v>399.641666666667</v>
      </c>
      <c r="Z385" s="17" t="n">
        <v>3</v>
      </c>
      <c r="AA385" s="18" t="n">
        <v>1</v>
      </c>
      <c r="AB385" s="10">
        <f>IF(AA385=1,I385-('Parametros'!$B$7+'Parametros'!$B$9+'Parametros'!$B$12/2),I385-(ROUNDUP(Z385/2,0)*('Parametros'!$B$7+'Parametros'!$B$9+'Parametros'!$B$12/2)+ROUNDDOWN(Z385/2,0)*('Parametros'!$B$7+'Parametros'!$B$9+'Parametros'!$B$12/2+'Parametros'!$B$12+'Parametros'!$B$10))/Z385)</f>
        <v>342.55</v>
      </c>
      <c r="AC385" s="10">
        <f>Z385*'Parametros'!$B$8</f>
        <v>597</v>
      </c>
      <c r="AD385" s="10">
        <f>'Parametros'!$B$5*AC385*'Parametros'!$B$3*(AB385-(AC385*'Parametros'!$B$3/(0.85*'Parametros'!$B$2*H385))/2)/1000000</f>
        <v>73.905520182353</v>
      </c>
      <c r="AE385" s="10" t="str">
        <f>IF(AD385&gt;=L385,"CUMPLE","NO CUMPLE")</f>
        <v>CUMPLE</v>
      </c>
      <c r="AF385" s="10">
        <f>V385*1.25*'Parametros'!$B$3*(U385-(V385*1.25*'Parametros'!$B$3/(0.85*'Parametros'!$B$2*H385))/2)/1000000</f>
        <v>101.467261323529</v>
      </c>
      <c r="AG385" s="10">
        <f>AC385*1.25*'Parametros'!$B$3*(AB385-(AC385*1.25*'Parametros'!$B$3/(0.85*'Parametros'!$B$2*H385))/2)/1000000</f>
        <v>101.467261323529</v>
      </c>
      <c r="AH385" s="10">
        <f>N385+(AF385+AG385)/D385</f>
        <v>168.581681764706</v>
      </c>
      <c r="AI385" s="10">
        <f>MIN(O385,MAX(N385,AH385))</f>
        <v>55.694</v>
      </c>
      <c r="AJ385" s="10">
        <f>0.17*SQRT('Parametros'!$B$2)*H385*MIN(U385,AB385)/1000</f>
        <v>107.849951281016</v>
      </c>
      <c r="AK385" s="10">
        <f>MAX(AI385/'Parametros'!$B$6-AJ385,0)</f>
        <v>0</v>
      </c>
      <c r="AL385" s="10">
        <f>0.66*SQRT('Parametros'!$B$2)*H385*MIN(U385,AB385)/1000</f>
        <v>418.711575561591</v>
      </c>
      <c r="AM385" s="10" t="str">
        <f>IF(AK385&lt;=AL385,"CUMPLE","NO CUMPLE")</f>
        <v>CUMPLE</v>
      </c>
      <c r="AN385" s="15" t="inlineStr">
        <is>
          <t>Nº3 cerrado</t>
        </is>
      </c>
      <c r="AO385" s="17" t="n">
        <v>2</v>
      </c>
      <c r="AP385" s="10">
        <f>ROUNDDOWN(MIN(IF(AK385=0,1000000000,AO385*'Parametros'!$B$11*'Parametros'!$B$4*MIN(U385,AB385)/(AK385*1000)),IF(AV385=0,1000000000,'Parametros'!$B$11/AV385),MIN(U385,AB385)/4,8*'Parametros'!$B$12,24*'Parametros'!$B$9,300)/10,0)*10</f>
        <v>80</v>
      </c>
      <c r="AQ385" s="10">
        <f>ROUNDDOWN(MIN(IF(AK385=0,1000000000,AO385*'Parametros'!$B$11*'Parametros'!$B$4*MIN(U385,AB385)/(AK385*1000)),IF(AV385=0,1000000000,'Parametros'!$B$11/AV385),MIN(U385,AB385)/2,600)/10,0)*10</f>
        <v>170</v>
      </c>
      <c r="AR385" s="10">
        <f>'Parametros'!$B$6*(AJ385+AO385*'Parametros'!$B$11*'Parametros'!$B$4*MIN(U385,AB385)/AP385/1000)</f>
        <v>272.415732210762</v>
      </c>
      <c r="AS385" s="10" t="str">
        <f>IF(AND(AM385="CUMPLE",AR385&gt;=AI385),"CUMPLE","NO CUMPLE")</f>
        <v>CUMPLE</v>
      </c>
      <c r="AT385" s="10">
        <f>'Parametros'!$B$6*0.083*SQRT('Parametros'!$B$2)*(H385*I385)^2/(2*(H385+I385))/1000000</f>
        <v>4.30410823283988</v>
      </c>
      <c r="AU385" s="10" t="str">
        <f>IF(Q385&lt;=AT385,"DESPRECIABLE","DISEÑAR")</f>
        <v>DISEÑAR</v>
      </c>
      <c r="AV385" s="10">
        <f>IF(Q385&lt;=AT385,0,Q385*1000000/('Parametros'!$B$6*2*0.85*(H385-2*'Parametros'!$B$7)*(I385-2*'Parametros'!$B$7)*'Parametros'!$B$4))</f>
        <v>0.369006553238579</v>
      </c>
      <c r="AW385" s="10">
        <f>AV385*2*((H385-2*'Parametros'!$B$7)+(I385-2*'Parametros'!$B$7))*'Parametros'!$B$4/'Parametros'!$B$3</f>
        <v>435.427732821524</v>
      </c>
      <c r="AX385" s="17" t="n">
        <v>3</v>
      </c>
      <c r="AY385" s="10" t="str">
        <f>IF(AV385=0,"DESPRECIABLE",IF('Parametros'!$B$11/AP385&gt;=AV385,"CUMPLE","NO CUMPLE"))</f>
        <v>CUMPLE</v>
      </c>
      <c r="AZ385" s="10" t="str">
        <f>IF(AND(X385="CUMPLE",AE385="CUMPLE",AS385="CUMPLE",OR(AY385="CUMPLE",AY385="DESPRECIABLE")),IF(OR(F385&lt;&gt;H385,G385&lt;&gt;I385),"CUMPLE - REANALIZAR SAP","CUMPLE"),"NO CUMPLE")</f>
        <v>CUMPLE</v>
      </c>
    </row>
    <row r="386">
      <c r="A386" s="26" t="inlineStr">
        <is>
          <t>VR2</t>
        </is>
      </c>
      <c r="B386" s="26" t="inlineStr">
        <is>
          <t>185</t>
        </is>
      </c>
      <c r="C386" s="10" t="n">
        <v>1</v>
      </c>
      <c r="D386" s="10" t="n">
        <v>1.5</v>
      </c>
      <c r="E386" s="10" t="n">
        <v>1.5</v>
      </c>
      <c r="F386" s="10" t="n">
        <v>350</v>
      </c>
      <c r="G386" s="10" t="n">
        <v>400</v>
      </c>
      <c r="H386" s="15" t="n">
        <v>350</v>
      </c>
      <c r="I386" s="15" t="n">
        <v>400</v>
      </c>
      <c r="J386" s="16" t="n">
        <v>57.3246</v>
      </c>
      <c r="K386" s="10" t="inlineStr">
        <is>
          <t>185</t>
        </is>
      </c>
      <c r="L386" s="16" t="n">
        <v>0</v>
      </c>
      <c r="M386" s="10" t="inlineStr">
        <is>
          <t>185</t>
        </is>
      </c>
      <c r="N386" s="16" t="n">
        <v>39.767</v>
      </c>
      <c r="O386" s="16" t="n">
        <v>54.732</v>
      </c>
      <c r="P386" s="10" t="inlineStr">
        <is>
          <t>185</t>
        </is>
      </c>
      <c r="Q386" s="16" t="n">
        <v>13.9137</v>
      </c>
      <c r="R386" s="10">
        <f>MAX(MAX(1.4/'Parametros'!$B$3,0.25*SQRT('Parametros'!$B$2)/'Parametros'!$B$3)*H386*U386,(0.85*'Parametros'!$B$2/'Parametros'!$B$3)*(1-SQRT(1-2*(J386*1000000/('Parametros'!$B$5*H386*U386^2))/(0.85*'Parametros'!$B$2)))*H386*U386)</f>
        <v>458.164809697637</v>
      </c>
      <c r="S386" s="17" t="n">
        <v>3</v>
      </c>
      <c r="T386" s="18" t="n">
        <v>1</v>
      </c>
      <c r="U386" s="10">
        <f>IF(T386=1,I386-('Parametros'!$B$7+'Parametros'!$B$9+'Parametros'!$B$12/2),I386-(ROUNDUP(S386/2,0)*('Parametros'!$B$7+'Parametros'!$B$9+'Parametros'!$B$12/2)+ROUNDDOWN(S386/2,0)*('Parametros'!$B$7+'Parametros'!$B$9+'Parametros'!$B$12/2+'Parametros'!$B$12+'Parametros'!$B$10))/S386)</f>
        <v>342.55</v>
      </c>
      <c r="V386" s="10">
        <f>S386*'Parametros'!$B$8</f>
        <v>597</v>
      </c>
      <c r="W386" s="10">
        <f>'Parametros'!$B$5*V386*'Parametros'!$B$3*(U386-(V386*'Parametros'!$B$3/(0.85*'Parametros'!$B$2*H386))/2)/1000000</f>
        <v>73.905520182353</v>
      </c>
      <c r="X386" s="10" t="str">
        <f>IF(W386&gt;=J386,"CUMPLE","NO CUMPLE")</f>
        <v>CUMPLE</v>
      </c>
      <c r="Y386" s="10">
        <f>MAX(MAX(1.4/'Parametros'!$B$3,0.25*SQRT('Parametros'!$B$2)/'Parametros'!$B$3)*H386*AB386,(0.85*'Parametros'!$B$2/'Parametros'!$B$3)*(1-SQRT(1-2*(L386*1000000/('Parametros'!$B$5*H386*AB386^2))/(0.85*'Parametros'!$B$2)))*H386*AB386)</f>
        <v>399.641666666667</v>
      </c>
      <c r="Z386" s="17" t="n">
        <v>3</v>
      </c>
      <c r="AA386" s="18" t="n">
        <v>1</v>
      </c>
      <c r="AB386" s="10">
        <f>IF(AA386=1,I386-('Parametros'!$B$7+'Parametros'!$B$9+'Parametros'!$B$12/2),I386-(ROUNDUP(Z386/2,0)*('Parametros'!$B$7+'Parametros'!$B$9+'Parametros'!$B$12/2)+ROUNDDOWN(Z386/2,0)*('Parametros'!$B$7+'Parametros'!$B$9+'Parametros'!$B$12/2+'Parametros'!$B$12+'Parametros'!$B$10))/Z386)</f>
        <v>342.55</v>
      </c>
      <c r="AC386" s="10">
        <f>Z386*'Parametros'!$B$8</f>
        <v>597</v>
      </c>
      <c r="AD386" s="10">
        <f>'Parametros'!$B$5*AC386*'Parametros'!$B$3*(AB386-(AC386*'Parametros'!$B$3/(0.85*'Parametros'!$B$2*H386))/2)/1000000</f>
        <v>73.905520182353</v>
      </c>
      <c r="AE386" s="10" t="str">
        <f>IF(AD386&gt;=L386,"CUMPLE","NO CUMPLE")</f>
        <v>CUMPLE</v>
      </c>
      <c r="AF386" s="10">
        <f>V386*1.25*'Parametros'!$B$3*(U386-(V386*1.25*'Parametros'!$B$3/(0.85*'Parametros'!$B$2*H386))/2)/1000000</f>
        <v>101.467261323529</v>
      </c>
      <c r="AG386" s="10">
        <f>AC386*1.25*'Parametros'!$B$3*(AB386-(AC386*1.25*'Parametros'!$B$3/(0.85*'Parametros'!$B$2*H386))/2)/1000000</f>
        <v>101.467261323529</v>
      </c>
      <c r="AH386" s="10">
        <f>N386+(AF386+AG386)/D386</f>
        <v>175.056681764706</v>
      </c>
      <c r="AI386" s="10">
        <f>MIN(O386,MAX(N386,AH386))</f>
        <v>54.732</v>
      </c>
      <c r="AJ386" s="10">
        <f>0.17*SQRT('Parametros'!$B$2)*H386*MIN(U386,AB386)/1000</f>
        <v>107.849951281016</v>
      </c>
      <c r="AK386" s="10">
        <f>MAX(AI386/'Parametros'!$B$6-AJ386,0)</f>
        <v>0</v>
      </c>
      <c r="AL386" s="10">
        <f>0.66*SQRT('Parametros'!$B$2)*H386*MIN(U386,AB386)/1000</f>
        <v>418.711575561591</v>
      </c>
      <c r="AM386" s="10" t="str">
        <f>IF(AK386&lt;=AL386,"CUMPLE","NO CUMPLE")</f>
        <v>CUMPLE</v>
      </c>
      <c r="AN386" s="15" t="inlineStr">
        <is>
          <t>Nº3 cerrado</t>
        </is>
      </c>
      <c r="AO386" s="17" t="n">
        <v>2</v>
      </c>
      <c r="AP386" s="10">
        <f>ROUNDDOWN(MIN(IF(AK386=0,1000000000,AO386*'Parametros'!$B$11*'Parametros'!$B$4*MIN(U386,AB386)/(AK386*1000)),IF(AV386=0,1000000000,'Parametros'!$B$11/AV386),MIN(U386,AB386)/4,8*'Parametros'!$B$12,24*'Parametros'!$B$9,300)/10,0)*10</f>
        <v>80</v>
      </c>
      <c r="AQ386" s="10">
        <f>ROUNDDOWN(MIN(IF(AK386=0,1000000000,AO386*'Parametros'!$B$11*'Parametros'!$B$4*MIN(U386,AB386)/(AK386*1000)),IF(AV386=0,1000000000,'Parametros'!$B$11/AV386),MIN(U386,AB386)/2,600)/10,0)*10</f>
        <v>170</v>
      </c>
      <c r="AR386" s="10">
        <f>'Parametros'!$B$6*(AJ386+AO386*'Parametros'!$B$11*'Parametros'!$B$4*MIN(U386,AB386)/AP386/1000)</f>
        <v>272.415732210762</v>
      </c>
      <c r="AS386" s="10" t="str">
        <f>IF(AND(AM386="CUMPLE",AR386&gt;=AI386),"CUMPLE","NO CUMPLE")</f>
        <v>CUMPLE</v>
      </c>
      <c r="AT386" s="10">
        <f>'Parametros'!$B$6*0.083*SQRT('Parametros'!$B$2)*(H386*I386)^2/(2*(H386+I386))/1000000</f>
        <v>4.30410823283988</v>
      </c>
      <c r="AU386" s="10" t="str">
        <f>IF(Q386&lt;=AT386,"DESPRECIABLE","DISEÑAR")</f>
        <v>DISEÑAR</v>
      </c>
      <c r="AV386" s="10">
        <f>IF(Q386&lt;=AT386,0,Q386*1000000/('Parametros'!$B$6*2*0.85*(H386-2*'Parametros'!$B$7)*(I386-2*'Parametros'!$B$7)*'Parametros'!$B$4))</f>
        <v>0.300724919597469</v>
      </c>
      <c r="AW386" s="10">
        <f>AV386*2*((H386-2*'Parametros'!$B$7)+(I386-2*'Parametros'!$B$7))*'Parametros'!$B$4/'Parametros'!$B$3</f>
        <v>354.855405125013</v>
      </c>
      <c r="AX386" s="17" t="n">
        <v>2</v>
      </c>
      <c r="AY386" s="10" t="str">
        <f>IF(AV386=0,"DESPRECIABLE",IF('Parametros'!$B$11/AP386&gt;=AV386,"CUMPLE","NO CUMPLE"))</f>
        <v>CUMPLE</v>
      </c>
      <c r="AZ386" s="10" t="str">
        <f>IF(AND(X386="CUMPLE",AE386="CUMPLE",AS386="CUMPLE",OR(AY386="CUMPLE",AY386="DESPRECIABLE")),IF(OR(F386&lt;&gt;H386,G386&lt;&gt;I386),"CUMPLE - REANALIZAR SAP","CUMPLE"),"NO CUMPLE")</f>
        <v>CUMPLE</v>
      </c>
    </row>
    <row r="387">
      <c r="A387" s="26" t="inlineStr">
        <is>
          <t>VR2</t>
        </is>
      </c>
      <c r="B387" s="26" t="inlineStr">
        <is>
          <t>187</t>
        </is>
      </c>
      <c r="C387" s="10" t="n">
        <v>1</v>
      </c>
      <c r="D387" s="10" t="n">
        <v>1.5</v>
      </c>
      <c r="E387" s="10" t="n">
        <v>1.5</v>
      </c>
      <c r="F387" s="10" t="n">
        <v>350</v>
      </c>
      <c r="G387" s="10" t="n">
        <v>400</v>
      </c>
      <c r="H387" s="15" t="n">
        <v>350</v>
      </c>
      <c r="I387" s="15" t="n">
        <v>400</v>
      </c>
      <c r="J387" s="16" t="n">
        <v>57.3185</v>
      </c>
      <c r="K387" s="10" t="inlineStr">
        <is>
          <t>187</t>
        </is>
      </c>
      <c r="L387" s="16" t="n">
        <v>0</v>
      </c>
      <c r="M387" s="10" t="inlineStr">
        <is>
          <t>187</t>
        </is>
      </c>
      <c r="N387" s="16" t="n">
        <v>39.763</v>
      </c>
      <c r="O387" s="16" t="n">
        <v>54.728</v>
      </c>
      <c r="P387" s="10" t="inlineStr">
        <is>
          <t>187</t>
        </is>
      </c>
      <c r="Q387" s="16" t="n">
        <v>13.9059</v>
      </c>
      <c r="R387" s="10">
        <f>MAX(MAX(1.4/'Parametros'!$B$3,0.25*SQRT('Parametros'!$B$2)/'Parametros'!$B$3)*H387*U387,(0.85*'Parametros'!$B$2/'Parametros'!$B$3)*(1-SQRT(1-2*(J387*1000000/('Parametros'!$B$5*H387*U387^2))/(0.85*'Parametros'!$B$2)))*H387*U387)</f>
        <v>458.114293061155</v>
      </c>
      <c r="S387" s="17" t="n">
        <v>3</v>
      </c>
      <c r="T387" s="18" t="n">
        <v>1</v>
      </c>
      <c r="U387" s="10">
        <f>IF(T387=1,I387-('Parametros'!$B$7+'Parametros'!$B$9+'Parametros'!$B$12/2),I387-(ROUNDUP(S387/2,0)*('Parametros'!$B$7+'Parametros'!$B$9+'Parametros'!$B$12/2)+ROUNDDOWN(S387/2,0)*('Parametros'!$B$7+'Parametros'!$B$9+'Parametros'!$B$12/2+'Parametros'!$B$12+'Parametros'!$B$10))/S387)</f>
        <v>342.55</v>
      </c>
      <c r="V387" s="10">
        <f>S387*'Parametros'!$B$8</f>
        <v>597</v>
      </c>
      <c r="W387" s="10">
        <f>'Parametros'!$B$5*V387*'Parametros'!$B$3*(U387-(V387*'Parametros'!$B$3/(0.85*'Parametros'!$B$2*H387))/2)/1000000</f>
        <v>73.905520182353</v>
      </c>
      <c r="X387" s="10" t="str">
        <f>IF(W387&gt;=J387,"CUMPLE","NO CUMPLE")</f>
        <v>CUMPLE</v>
      </c>
      <c r="Y387" s="10">
        <f>MAX(MAX(1.4/'Parametros'!$B$3,0.25*SQRT('Parametros'!$B$2)/'Parametros'!$B$3)*H387*AB387,(0.85*'Parametros'!$B$2/'Parametros'!$B$3)*(1-SQRT(1-2*(L387*1000000/('Parametros'!$B$5*H387*AB387^2))/(0.85*'Parametros'!$B$2)))*H387*AB387)</f>
        <v>399.641666666667</v>
      </c>
      <c r="Z387" s="17" t="n">
        <v>3</v>
      </c>
      <c r="AA387" s="18" t="n">
        <v>1</v>
      </c>
      <c r="AB387" s="10">
        <f>IF(AA387=1,I387-('Parametros'!$B$7+'Parametros'!$B$9+'Parametros'!$B$12/2),I387-(ROUNDUP(Z387/2,0)*('Parametros'!$B$7+'Parametros'!$B$9+'Parametros'!$B$12/2)+ROUNDDOWN(Z387/2,0)*('Parametros'!$B$7+'Parametros'!$B$9+'Parametros'!$B$12/2+'Parametros'!$B$12+'Parametros'!$B$10))/Z387)</f>
        <v>342.55</v>
      </c>
      <c r="AC387" s="10">
        <f>Z387*'Parametros'!$B$8</f>
        <v>597</v>
      </c>
      <c r="AD387" s="10">
        <f>'Parametros'!$B$5*AC387*'Parametros'!$B$3*(AB387-(AC387*'Parametros'!$B$3/(0.85*'Parametros'!$B$2*H387))/2)/1000000</f>
        <v>73.905520182353</v>
      </c>
      <c r="AE387" s="10" t="str">
        <f>IF(AD387&gt;=L387,"CUMPLE","NO CUMPLE")</f>
        <v>CUMPLE</v>
      </c>
      <c r="AF387" s="10">
        <f>V387*1.25*'Parametros'!$B$3*(U387-(V387*1.25*'Parametros'!$B$3/(0.85*'Parametros'!$B$2*H387))/2)/1000000</f>
        <v>101.467261323529</v>
      </c>
      <c r="AG387" s="10">
        <f>AC387*1.25*'Parametros'!$B$3*(AB387-(AC387*1.25*'Parametros'!$B$3/(0.85*'Parametros'!$B$2*H387))/2)/1000000</f>
        <v>101.467261323529</v>
      </c>
      <c r="AH387" s="10">
        <f>N387+(AF387+AG387)/D387</f>
        <v>175.052681764706</v>
      </c>
      <c r="AI387" s="10">
        <f>MIN(O387,MAX(N387,AH387))</f>
        <v>54.728</v>
      </c>
      <c r="AJ387" s="10">
        <f>0.17*SQRT('Parametros'!$B$2)*H387*MIN(U387,AB387)/1000</f>
        <v>107.849951281016</v>
      </c>
      <c r="AK387" s="10">
        <f>MAX(AI387/'Parametros'!$B$6-AJ387,0)</f>
        <v>0</v>
      </c>
      <c r="AL387" s="10">
        <f>0.66*SQRT('Parametros'!$B$2)*H387*MIN(U387,AB387)/1000</f>
        <v>418.711575561591</v>
      </c>
      <c r="AM387" s="10" t="str">
        <f>IF(AK387&lt;=AL387,"CUMPLE","NO CUMPLE")</f>
        <v>CUMPLE</v>
      </c>
      <c r="AN387" s="15" t="inlineStr">
        <is>
          <t>Nº3 cerrado</t>
        </is>
      </c>
      <c r="AO387" s="17" t="n">
        <v>2</v>
      </c>
      <c r="AP387" s="10">
        <f>ROUNDDOWN(MIN(IF(AK387=0,1000000000,AO387*'Parametros'!$B$11*'Parametros'!$B$4*MIN(U387,AB387)/(AK387*1000)),IF(AV387=0,1000000000,'Parametros'!$B$11/AV387),MIN(U387,AB387)/4,8*'Parametros'!$B$12,24*'Parametros'!$B$9,300)/10,0)*10</f>
        <v>80</v>
      </c>
      <c r="AQ387" s="10">
        <f>ROUNDDOWN(MIN(IF(AK387=0,1000000000,AO387*'Parametros'!$B$11*'Parametros'!$B$4*MIN(U387,AB387)/(AK387*1000)),IF(AV387=0,1000000000,'Parametros'!$B$11/AV387),MIN(U387,AB387)/2,600)/10,0)*10</f>
        <v>170</v>
      </c>
      <c r="AR387" s="10">
        <f>'Parametros'!$B$6*(AJ387+AO387*'Parametros'!$B$11*'Parametros'!$B$4*MIN(U387,AB387)/AP387/1000)</f>
        <v>272.415732210762</v>
      </c>
      <c r="AS387" s="10" t="str">
        <f>IF(AND(AM387="CUMPLE",AR387&gt;=AI387),"CUMPLE","NO CUMPLE")</f>
        <v>CUMPLE</v>
      </c>
      <c r="AT387" s="10">
        <f>'Parametros'!$B$6*0.083*SQRT('Parametros'!$B$2)*(H387*I387)^2/(2*(H387+I387))/1000000</f>
        <v>4.30410823283988</v>
      </c>
      <c r="AU387" s="10" t="str">
        <f>IF(Q387&lt;=AT387,"DESPRECIABLE","DISEÑAR")</f>
        <v>DISEÑAR</v>
      </c>
      <c r="AV387" s="10">
        <f>IF(Q387&lt;=AT387,0,Q387*1000000/('Parametros'!$B$6*2*0.85*(H387-2*'Parametros'!$B$7)*(I387-2*'Parametros'!$B$7)*'Parametros'!$B$4))</f>
        <v>0.300556333644569</v>
      </c>
      <c r="AW387" s="10">
        <f>AV387*2*((H387-2*'Parametros'!$B$7)+(I387-2*'Parametros'!$B$7))*'Parametros'!$B$4/'Parametros'!$B$3</f>
        <v>354.656473700591</v>
      </c>
      <c r="AX387" s="17" t="n">
        <v>2</v>
      </c>
      <c r="AY387" s="10" t="str">
        <f>IF(AV387=0,"DESPRECIABLE",IF('Parametros'!$B$11/AP387&gt;=AV387,"CUMPLE","NO CUMPLE"))</f>
        <v>CUMPLE</v>
      </c>
      <c r="AZ387" s="10" t="str">
        <f>IF(AND(X387="CUMPLE",AE387="CUMPLE",AS387="CUMPLE",OR(AY387="CUMPLE",AY387="DESPRECIABLE")),IF(OR(F387&lt;&gt;H387,G387&lt;&gt;I387),"CUMPLE - REANALIZAR SAP","CUMPLE"),"NO CUMPLE")</f>
        <v>CUMPLE</v>
      </c>
    </row>
    <row r="388">
      <c r="A388" s="26" t="inlineStr">
        <is>
          <t>VR2</t>
        </is>
      </c>
      <c r="B388" s="26" t="inlineStr">
        <is>
          <t>190</t>
        </is>
      </c>
      <c r="C388" s="10" t="n">
        <v>1</v>
      </c>
      <c r="D388" s="10" t="n">
        <v>1.5</v>
      </c>
      <c r="E388" s="10" t="n">
        <v>1.5</v>
      </c>
      <c r="F388" s="10" t="n">
        <v>350</v>
      </c>
      <c r="G388" s="10" t="n">
        <v>400</v>
      </c>
      <c r="H388" s="15" t="n">
        <v>350</v>
      </c>
      <c r="I388" s="15" t="n">
        <v>400</v>
      </c>
      <c r="J388" s="16" t="n">
        <v>50.4563</v>
      </c>
      <c r="K388" s="10" t="inlineStr">
        <is>
          <t>190</t>
        </is>
      </c>
      <c r="L388" s="16" t="n">
        <v>0</v>
      </c>
      <c r="M388" s="10" t="inlineStr">
        <is>
          <t>190</t>
        </is>
      </c>
      <c r="N388" s="16" t="n">
        <v>35.281</v>
      </c>
      <c r="O388" s="16" t="n">
        <v>40.701</v>
      </c>
      <c r="P388" s="10" t="inlineStr">
        <is>
          <t>190</t>
        </is>
      </c>
      <c r="Q388" s="16" t="n">
        <v>9.2875</v>
      </c>
      <c r="R388" s="10">
        <f>MAX(MAX(1.4/'Parametros'!$B$3,0.25*SQRT('Parametros'!$B$2)/'Parametros'!$B$3)*H388*U388,(0.85*'Parametros'!$B$2/'Parametros'!$B$3)*(1-SQRT(1-2*(J388*1000000/('Parametros'!$B$5*H388*U388^2))/(0.85*'Parametros'!$B$2)))*H388*U388)</f>
        <v>401.538387205695</v>
      </c>
      <c r="S388" s="17" t="n">
        <v>3</v>
      </c>
      <c r="T388" s="18" t="n">
        <v>1</v>
      </c>
      <c r="U388" s="10">
        <f>IF(T388=1,I388-('Parametros'!$B$7+'Parametros'!$B$9+'Parametros'!$B$12/2),I388-(ROUNDUP(S388/2,0)*('Parametros'!$B$7+'Parametros'!$B$9+'Parametros'!$B$12/2)+ROUNDDOWN(S388/2,0)*('Parametros'!$B$7+'Parametros'!$B$9+'Parametros'!$B$12/2+'Parametros'!$B$12+'Parametros'!$B$10))/S388)</f>
        <v>342.55</v>
      </c>
      <c r="V388" s="10">
        <f>S388*'Parametros'!$B$8</f>
        <v>597</v>
      </c>
      <c r="W388" s="10">
        <f>'Parametros'!$B$5*V388*'Parametros'!$B$3*(U388-(V388*'Parametros'!$B$3/(0.85*'Parametros'!$B$2*H388))/2)/1000000</f>
        <v>73.905520182353</v>
      </c>
      <c r="X388" s="10" t="str">
        <f>IF(W388&gt;=J388,"CUMPLE","NO CUMPLE")</f>
        <v>CUMPLE</v>
      </c>
      <c r="Y388" s="10">
        <f>MAX(MAX(1.4/'Parametros'!$B$3,0.25*SQRT('Parametros'!$B$2)/'Parametros'!$B$3)*H388*AB388,(0.85*'Parametros'!$B$2/'Parametros'!$B$3)*(1-SQRT(1-2*(L388*1000000/('Parametros'!$B$5*H388*AB388^2))/(0.85*'Parametros'!$B$2)))*H388*AB388)</f>
        <v>399.641666666667</v>
      </c>
      <c r="Z388" s="17" t="n">
        <v>3</v>
      </c>
      <c r="AA388" s="18" t="n">
        <v>1</v>
      </c>
      <c r="AB388" s="10">
        <f>IF(AA388=1,I388-('Parametros'!$B$7+'Parametros'!$B$9+'Parametros'!$B$12/2),I388-(ROUNDUP(Z388/2,0)*('Parametros'!$B$7+'Parametros'!$B$9+'Parametros'!$B$12/2)+ROUNDDOWN(Z388/2,0)*('Parametros'!$B$7+'Parametros'!$B$9+'Parametros'!$B$12/2+'Parametros'!$B$12+'Parametros'!$B$10))/Z388)</f>
        <v>342.55</v>
      </c>
      <c r="AC388" s="10">
        <f>Z388*'Parametros'!$B$8</f>
        <v>597</v>
      </c>
      <c r="AD388" s="10">
        <f>'Parametros'!$B$5*AC388*'Parametros'!$B$3*(AB388-(AC388*'Parametros'!$B$3/(0.85*'Parametros'!$B$2*H388))/2)/1000000</f>
        <v>73.905520182353</v>
      </c>
      <c r="AE388" s="10" t="str">
        <f>IF(AD388&gt;=L388,"CUMPLE","NO CUMPLE")</f>
        <v>CUMPLE</v>
      </c>
      <c r="AF388" s="10">
        <f>V388*1.25*'Parametros'!$B$3*(U388-(V388*1.25*'Parametros'!$B$3/(0.85*'Parametros'!$B$2*H388))/2)/1000000</f>
        <v>101.467261323529</v>
      </c>
      <c r="AG388" s="10">
        <f>AC388*1.25*'Parametros'!$B$3*(AB388-(AC388*1.25*'Parametros'!$B$3/(0.85*'Parametros'!$B$2*H388))/2)/1000000</f>
        <v>101.467261323529</v>
      </c>
      <c r="AH388" s="10">
        <f>N388+(AF388+AG388)/D388</f>
        <v>170.570681764706</v>
      </c>
      <c r="AI388" s="10">
        <f>MIN(O388,MAX(N388,AH388))</f>
        <v>40.701</v>
      </c>
      <c r="AJ388" s="10">
        <f>0.17*SQRT('Parametros'!$B$2)*H388*MIN(U388,AB388)/1000</f>
        <v>107.849951281016</v>
      </c>
      <c r="AK388" s="10">
        <f>MAX(AI388/'Parametros'!$B$6-AJ388,0)</f>
        <v>0</v>
      </c>
      <c r="AL388" s="10">
        <f>0.66*SQRT('Parametros'!$B$2)*H388*MIN(U388,AB388)/1000</f>
        <v>418.711575561591</v>
      </c>
      <c r="AM388" s="10" t="str">
        <f>IF(AK388&lt;=AL388,"CUMPLE","NO CUMPLE")</f>
        <v>CUMPLE</v>
      </c>
      <c r="AN388" s="15" t="inlineStr">
        <is>
          <t>Nº3 cerrado</t>
        </is>
      </c>
      <c r="AO388" s="17" t="n">
        <v>2</v>
      </c>
      <c r="AP388" s="10">
        <f>ROUNDDOWN(MIN(IF(AK388=0,1000000000,AO388*'Parametros'!$B$11*'Parametros'!$B$4*MIN(U388,AB388)/(AK388*1000)),IF(AV388=0,1000000000,'Parametros'!$B$11/AV388),MIN(U388,AB388)/4,8*'Parametros'!$B$12,24*'Parametros'!$B$9,300)/10,0)*10</f>
        <v>80</v>
      </c>
      <c r="AQ388" s="10">
        <f>ROUNDDOWN(MIN(IF(AK388=0,1000000000,AO388*'Parametros'!$B$11*'Parametros'!$B$4*MIN(U388,AB388)/(AK388*1000)),IF(AV388=0,1000000000,'Parametros'!$B$11/AV388),MIN(U388,AB388)/2,600)/10,0)*10</f>
        <v>170</v>
      </c>
      <c r="AR388" s="10">
        <f>'Parametros'!$B$6*(AJ388+AO388*'Parametros'!$B$11*'Parametros'!$B$4*MIN(U388,AB388)/AP388/1000)</f>
        <v>272.415732210762</v>
      </c>
      <c r="AS388" s="10" t="str">
        <f>IF(AND(AM388="CUMPLE",AR388&gt;=AI388),"CUMPLE","NO CUMPLE")</f>
        <v>CUMPLE</v>
      </c>
      <c r="AT388" s="10">
        <f>'Parametros'!$B$6*0.083*SQRT('Parametros'!$B$2)*(H388*I388)^2/(2*(H388+I388))/1000000</f>
        <v>4.30410823283988</v>
      </c>
      <c r="AU388" s="10" t="str">
        <f>IF(Q388&lt;=AT388,"DESPRECIABLE","DISEÑAR")</f>
        <v>DISEÑAR</v>
      </c>
      <c r="AV388" s="10">
        <f>IF(Q388&lt;=AT388,0,Q388*1000000/('Parametros'!$B$6*2*0.85*(H388-2*'Parametros'!$B$7)*(I388-2*'Parametros'!$B$7)*'Parametros'!$B$4))</f>
        <v>0.200736158660995</v>
      </c>
      <c r="AW388" s="10">
        <f>AV388*2*((H388-2*'Parametros'!$B$7)+(I388-2*'Parametros'!$B$7))*'Parametros'!$B$4/'Parametros'!$B$3</f>
        <v>236.868667219974</v>
      </c>
      <c r="AX388" s="17" t="n">
        <v>2</v>
      </c>
      <c r="AY388" s="10" t="str">
        <f>IF(AV388=0,"DESPRECIABLE",IF('Parametros'!$B$11/AP388&gt;=AV388,"CUMPLE","NO CUMPLE"))</f>
        <v>CUMPLE</v>
      </c>
      <c r="AZ388" s="10" t="str">
        <f>IF(AND(X388="CUMPLE",AE388="CUMPLE",AS388="CUMPLE",OR(AY388="CUMPLE",AY388="DESPRECIABLE")),IF(OR(F388&lt;&gt;H388,G388&lt;&gt;I388),"CUMPLE - REANALIZAR SAP","CUMPLE"),"NO CUMPLE")</f>
        <v>CUMPLE</v>
      </c>
    </row>
    <row r="389">
      <c r="A389" s="26" t="inlineStr">
        <is>
          <t>VR2</t>
        </is>
      </c>
      <c r="B389" s="26" t="inlineStr">
        <is>
          <t>192</t>
        </is>
      </c>
      <c r="C389" s="10" t="n">
        <v>1</v>
      </c>
      <c r="D389" s="10" t="n">
        <v>1.5</v>
      </c>
      <c r="E389" s="10" t="n">
        <v>1.5</v>
      </c>
      <c r="F389" s="10" t="n">
        <v>350</v>
      </c>
      <c r="G389" s="10" t="n">
        <v>400</v>
      </c>
      <c r="H389" s="15" t="n">
        <v>350</v>
      </c>
      <c r="I389" s="15" t="n">
        <v>400</v>
      </c>
      <c r="J389" s="16" t="n">
        <v>50.4514</v>
      </c>
      <c r="K389" s="10" t="inlineStr">
        <is>
          <t>192</t>
        </is>
      </c>
      <c r="L389" s="16" t="n">
        <v>0</v>
      </c>
      <c r="M389" s="10" t="inlineStr">
        <is>
          <t>192</t>
        </is>
      </c>
      <c r="N389" s="16" t="n">
        <v>35.278</v>
      </c>
      <c r="O389" s="16" t="n">
        <v>40.698</v>
      </c>
      <c r="P389" s="10" t="inlineStr">
        <is>
          <t>192</t>
        </is>
      </c>
      <c r="Q389" s="16" t="n">
        <v>9.2818</v>
      </c>
      <c r="R389" s="10">
        <f>MAX(MAX(1.4/'Parametros'!$B$3,0.25*SQRT('Parametros'!$B$2)/'Parametros'!$B$3)*H389*U389,(0.85*'Parametros'!$B$2/'Parametros'!$B$3)*(1-SQRT(1-2*(J389*1000000/('Parametros'!$B$5*H389*U389^2))/(0.85*'Parametros'!$B$2)))*H389*U389)</f>
        <v>401.498167700442</v>
      </c>
      <c r="S389" s="17" t="n">
        <v>3</v>
      </c>
      <c r="T389" s="18" t="n">
        <v>1</v>
      </c>
      <c r="U389" s="10">
        <f>IF(T389=1,I389-('Parametros'!$B$7+'Parametros'!$B$9+'Parametros'!$B$12/2),I389-(ROUNDUP(S389/2,0)*('Parametros'!$B$7+'Parametros'!$B$9+'Parametros'!$B$12/2)+ROUNDDOWN(S389/2,0)*('Parametros'!$B$7+'Parametros'!$B$9+'Parametros'!$B$12/2+'Parametros'!$B$12+'Parametros'!$B$10))/S389)</f>
        <v>342.55</v>
      </c>
      <c r="V389" s="10">
        <f>S389*'Parametros'!$B$8</f>
        <v>597</v>
      </c>
      <c r="W389" s="10">
        <f>'Parametros'!$B$5*V389*'Parametros'!$B$3*(U389-(V389*'Parametros'!$B$3/(0.85*'Parametros'!$B$2*H389))/2)/1000000</f>
        <v>73.905520182353</v>
      </c>
      <c r="X389" s="10" t="str">
        <f>IF(W389&gt;=J389,"CUMPLE","NO CUMPLE")</f>
        <v>CUMPLE</v>
      </c>
      <c r="Y389" s="10">
        <f>MAX(MAX(1.4/'Parametros'!$B$3,0.25*SQRT('Parametros'!$B$2)/'Parametros'!$B$3)*H389*AB389,(0.85*'Parametros'!$B$2/'Parametros'!$B$3)*(1-SQRT(1-2*(L389*1000000/('Parametros'!$B$5*H389*AB389^2))/(0.85*'Parametros'!$B$2)))*H389*AB389)</f>
        <v>399.641666666667</v>
      </c>
      <c r="Z389" s="17" t="n">
        <v>3</v>
      </c>
      <c r="AA389" s="18" t="n">
        <v>1</v>
      </c>
      <c r="AB389" s="10">
        <f>IF(AA389=1,I389-('Parametros'!$B$7+'Parametros'!$B$9+'Parametros'!$B$12/2),I389-(ROUNDUP(Z389/2,0)*('Parametros'!$B$7+'Parametros'!$B$9+'Parametros'!$B$12/2)+ROUNDDOWN(Z389/2,0)*('Parametros'!$B$7+'Parametros'!$B$9+'Parametros'!$B$12/2+'Parametros'!$B$12+'Parametros'!$B$10))/Z389)</f>
        <v>342.55</v>
      </c>
      <c r="AC389" s="10">
        <f>Z389*'Parametros'!$B$8</f>
        <v>597</v>
      </c>
      <c r="AD389" s="10">
        <f>'Parametros'!$B$5*AC389*'Parametros'!$B$3*(AB389-(AC389*'Parametros'!$B$3/(0.85*'Parametros'!$B$2*H389))/2)/1000000</f>
        <v>73.905520182353</v>
      </c>
      <c r="AE389" s="10" t="str">
        <f>IF(AD389&gt;=L389,"CUMPLE","NO CUMPLE")</f>
        <v>CUMPLE</v>
      </c>
      <c r="AF389" s="10">
        <f>V389*1.25*'Parametros'!$B$3*(U389-(V389*1.25*'Parametros'!$B$3/(0.85*'Parametros'!$B$2*H389))/2)/1000000</f>
        <v>101.467261323529</v>
      </c>
      <c r="AG389" s="10">
        <f>AC389*1.25*'Parametros'!$B$3*(AB389-(AC389*1.25*'Parametros'!$B$3/(0.85*'Parametros'!$B$2*H389))/2)/1000000</f>
        <v>101.467261323529</v>
      </c>
      <c r="AH389" s="10">
        <f>N389+(AF389+AG389)/D389</f>
        <v>170.567681764706</v>
      </c>
      <c r="AI389" s="10">
        <f>MIN(O389,MAX(N389,AH389))</f>
        <v>40.698</v>
      </c>
      <c r="AJ389" s="10">
        <f>0.17*SQRT('Parametros'!$B$2)*H389*MIN(U389,AB389)/1000</f>
        <v>107.849951281016</v>
      </c>
      <c r="AK389" s="10">
        <f>MAX(AI389/'Parametros'!$B$6-AJ389,0)</f>
        <v>0</v>
      </c>
      <c r="AL389" s="10">
        <f>0.66*SQRT('Parametros'!$B$2)*H389*MIN(U389,AB389)/1000</f>
        <v>418.711575561591</v>
      </c>
      <c r="AM389" s="10" t="str">
        <f>IF(AK389&lt;=AL389,"CUMPLE","NO CUMPLE")</f>
        <v>CUMPLE</v>
      </c>
      <c r="AN389" s="15" t="inlineStr">
        <is>
          <t>Nº3 cerrado</t>
        </is>
      </c>
      <c r="AO389" s="17" t="n">
        <v>2</v>
      </c>
      <c r="AP389" s="10">
        <f>ROUNDDOWN(MIN(IF(AK389=0,1000000000,AO389*'Parametros'!$B$11*'Parametros'!$B$4*MIN(U389,AB389)/(AK389*1000)),IF(AV389=0,1000000000,'Parametros'!$B$11/AV389),MIN(U389,AB389)/4,8*'Parametros'!$B$12,24*'Parametros'!$B$9,300)/10,0)*10</f>
        <v>80</v>
      </c>
      <c r="AQ389" s="10">
        <f>ROUNDDOWN(MIN(IF(AK389=0,1000000000,AO389*'Parametros'!$B$11*'Parametros'!$B$4*MIN(U389,AB389)/(AK389*1000)),IF(AV389=0,1000000000,'Parametros'!$B$11/AV389),MIN(U389,AB389)/2,600)/10,0)*10</f>
        <v>170</v>
      </c>
      <c r="AR389" s="10">
        <f>'Parametros'!$B$6*(AJ389+AO389*'Parametros'!$B$11*'Parametros'!$B$4*MIN(U389,AB389)/AP389/1000)</f>
        <v>272.415732210762</v>
      </c>
      <c r="AS389" s="10" t="str">
        <f>IF(AND(AM389="CUMPLE",AR389&gt;=AI389),"CUMPLE","NO CUMPLE")</f>
        <v>CUMPLE</v>
      </c>
      <c r="AT389" s="10">
        <f>'Parametros'!$B$6*0.083*SQRT('Parametros'!$B$2)*(H389*I389)^2/(2*(H389+I389))/1000000</f>
        <v>4.30410823283988</v>
      </c>
      <c r="AU389" s="10" t="str">
        <f>IF(Q389&lt;=AT389,"DESPRECIABLE","DISEÑAR")</f>
        <v>DISEÑAR</v>
      </c>
      <c r="AV389" s="10">
        <f>IF(Q389&lt;=AT389,0,Q389*1000000/('Parametros'!$B$6*2*0.85*(H389-2*'Parametros'!$B$7)*(I389-2*'Parametros'!$B$7)*'Parametros'!$B$4))</f>
        <v>0.200612961233876</v>
      </c>
      <c r="AW389" s="10">
        <f>AV389*2*((H389-2*'Parametros'!$B$7)+(I389-2*'Parametros'!$B$7))*'Parametros'!$B$4/'Parametros'!$B$3</f>
        <v>236.723294255974</v>
      </c>
      <c r="AX389" s="17" t="n">
        <v>2</v>
      </c>
      <c r="AY389" s="10" t="str">
        <f>IF(AV389=0,"DESPRECIABLE",IF('Parametros'!$B$11/AP389&gt;=AV389,"CUMPLE","NO CUMPLE"))</f>
        <v>CUMPLE</v>
      </c>
      <c r="AZ389" s="10" t="str">
        <f>IF(AND(X389="CUMPLE",AE389="CUMPLE",AS389="CUMPLE",OR(AY389="CUMPLE",AY389="DESPRECIABLE")),IF(OR(F389&lt;&gt;H389,G389&lt;&gt;I389),"CUMPLE - REANALIZAR SAP","CUMPLE"),"NO CUMPLE")</f>
        <v>CUMPLE</v>
      </c>
    </row>
    <row r="390">
      <c r="A390" s="26" t="inlineStr">
        <is>
          <t>VR2</t>
        </is>
      </c>
      <c r="B390" s="26" t="inlineStr">
        <is>
          <t>211</t>
        </is>
      </c>
      <c r="C390" s="10" t="n">
        <v>1</v>
      </c>
      <c r="D390" s="10" t="n">
        <v>2.6</v>
      </c>
      <c r="E390" s="10" t="n">
        <v>2.6</v>
      </c>
      <c r="F390" s="10" t="n">
        <v>350</v>
      </c>
      <c r="G390" s="10" t="n">
        <v>400</v>
      </c>
      <c r="H390" s="15" t="n">
        <v>350</v>
      </c>
      <c r="I390" s="15" t="n">
        <v>400</v>
      </c>
      <c r="J390" s="16" t="n">
        <v>121.1987</v>
      </c>
      <c r="K390" s="10" t="inlineStr">
        <is>
          <t>211</t>
        </is>
      </c>
      <c r="L390" s="16" t="n">
        <v>81.96080000000001</v>
      </c>
      <c r="M390" s="10" t="inlineStr">
        <is>
          <t>211</t>
        </is>
      </c>
      <c r="N390" s="16" t="n">
        <v>111.207</v>
      </c>
      <c r="O390" s="16" t="n">
        <v>393.493</v>
      </c>
      <c r="P390" s="10" t="inlineStr">
        <is>
          <t>211</t>
        </is>
      </c>
      <c r="Q390" s="16" t="n">
        <v>0.9044</v>
      </c>
      <c r="R390" s="10">
        <f>MAX(MAX(1.4/'Parametros'!$B$3,0.25*SQRT('Parametros'!$B$2)/'Parametros'!$B$3)*H390*U390,(0.85*'Parametros'!$B$2/'Parametros'!$B$3)*(1-SQRT(1-2*(J390*1000000/('Parametros'!$B$5*H390*U390^2))/(0.85*'Parametros'!$B$2)))*H390*U390)</f>
        <v>1011.2784521313</v>
      </c>
      <c r="S390" s="17" t="n">
        <v>6</v>
      </c>
      <c r="T390" s="18" t="n">
        <v>1</v>
      </c>
      <c r="U390" s="10">
        <f>IF(T390=1,I390-('Parametros'!$B$7+'Parametros'!$B$9+'Parametros'!$B$12/2),I390-(ROUNDUP(S390/2,0)*('Parametros'!$B$7+'Parametros'!$B$9+'Parametros'!$B$12/2)+ROUNDDOWN(S390/2,0)*('Parametros'!$B$7+'Parametros'!$B$9+'Parametros'!$B$12/2+'Parametros'!$B$12+'Parametros'!$B$10))/S390)</f>
        <v>342.55</v>
      </c>
      <c r="V390" s="10">
        <f>S390*'Parametros'!$B$8</f>
        <v>1194</v>
      </c>
      <c r="W390" s="10">
        <f>'Parametros'!$B$5*V390*'Parametros'!$B$3*(U390-(V390*'Parametros'!$B$3/(0.85*'Parametros'!$B$2*H390))/2)/1000000</f>
        <v>141.018304129412</v>
      </c>
      <c r="X390" s="10" t="str">
        <f>IF(W390&gt;=J390,"CUMPLE","NO CUMPLE")</f>
        <v>CUMPLE</v>
      </c>
      <c r="Y390" s="10">
        <f>MAX(MAX(1.4/'Parametros'!$B$3,0.25*SQRT('Parametros'!$B$2)/'Parametros'!$B$3)*H390*AB390,(0.85*'Parametros'!$B$2/'Parametros'!$B$3)*(1-SQRT(1-2*(L390*1000000/('Parametros'!$B$5*H390*AB390^2))/(0.85*'Parametros'!$B$2)))*H390*AB390)</f>
        <v>665.583460223383</v>
      </c>
      <c r="Z390" s="17" t="n">
        <v>4</v>
      </c>
      <c r="AA390" s="18" t="n">
        <v>1</v>
      </c>
      <c r="AB390" s="10">
        <f>IF(AA390=1,I390-('Parametros'!$B$7+'Parametros'!$B$9+'Parametros'!$B$12/2),I390-(ROUNDUP(Z390/2,0)*('Parametros'!$B$7+'Parametros'!$B$9+'Parametros'!$B$12/2)+ROUNDDOWN(Z390/2,0)*('Parametros'!$B$7+'Parametros'!$B$9+'Parametros'!$B$12/2+'Parametros'!$B$12+'Parametros'!$B$10))/Z390)</f>
        <v>342.55</v>
      </c>
      <c r="AC390" s="10">
        <f>Z390*'Parametros'!$B$8</f>
        <v>796</v>
      </c>
      <c r="AD390" s="10">
        <f>'Parametros'!$B$5*AC390*'Parametros'!$B$3*(AB390-(AC390*'Parametros'!$B$3/(0.85*'Parametros'!$B$2*H390))/2)/1000000</f>
        <v>97.0311966352941</v>
      </c>
      <c r="AE390" s="10" t="str">
        <f>IF(AD390&gt;=L390,"CUMPLE","NO CUMPLE")</f>
        <v>CUMPLE</v>
      </c>
      <c r="AF390" s="10">
        <f>V390*1.25*'Parametros'!$B$3*(U390-(V390*1.25*'Parametros'!$B$3/(0.85*'Parametros'!$B$2*H390))/2)/1000000</f>
        <v>191.141577794118</v>
      </c>
      <c r="AG390" s="10">
        <f>AC390*1.25*'Parametros'!$B$3*(AB390-(AC390*1.25*'Parametros'!$B$3/(0.85*'Parametros'!$B$2*H390))/2)/1000000</f>
        <v>132.669027352941</v>
      </c>
      <c r="AH390" s="10">
        <f>N390+(AF390+AG390)/D390</f>
        <v>235.749540441176</v>
      </c>
      <c r="AI390" s="10">
        <f>MIN(O390,MAX(N390,AH390))</f>
        <v>235.749540441176</v>
      </c>
      <c r="AJ390" s="10">
        <f>0.17*SQRT('Parametros'!$B$2)*H390*MIN(U390,AB390)/1000</f>
        <v>107.849951281016</v>
      </c>
      <c r="AK390" s="10">
        <f>MAX(AI390/'Parametros'!$B$6-AJ390,0)</f>
        <v>206.482769307219</v>
      </c>
      <c r="AL390" s="10">
        <f>0.66*SQRT('Parametros'!$B$2)*H390*MIN(U390,AB390)/1000</f>
        <v>418.711575561591</v>
      </c>
      <c r="AM390" s="10" t="str">
        <f>IF(AK390&lt;=AL390,"CUMPLE","NO CUMPLE")</f>
        <v>CUMPLE</v>
      </c>
      <c r="AN390" s="15" t="inlineStr">
        <is>
          <t>Nº3 cerrado</t>
        </is>
      </c>
      <c r="AO390" s="17" t="n">
        <v>2</v>
      </c>
      <c r="AP390" s="10">
        <f>ROUNDDOWN(MIN(IF(AK390=0,1000000000,AO390*'Parametros'!$B$11*'Parametros'!$B$4*MIN(U390,AB390)/(AK390*1000)),IF(AV390=0,1000000000,'Parametros'!$B$11/AV390),MIN(U390,AB390)/4,8*'Parametros'!$B$12,24*'Parametros'!$B$9,300)/10,0)*10</f>
        <v>80</v>
      </c>
      <c r="AQ390" s="10">
        <f>ROUNDDOWN(MIN(IF(AK390=0,1000000000,AO390*'Parametros'!$B$11*'Parametros'!$B$4*MIN(U390,AB390)/(AK390*1000)),IF(AV390=0,1000000000,'Parametros'!$B$11/AV390),MIN(U390,AB390)/2,600)/10,0)*10</f>
        <v>90</v>
      </c>
      <c r="AR390" s="10">
        <f>'Parametros'!$B$6*(AJ390+AO390*'Parametros'!$B$11*'Parametros'!$B$4*MIN(U390,AB390)/AP390/1000)</f>
        <v>272.415732210762</v>
      </c>
      <c r="AS390" s="10" t="str">
        <f>IF(AND(AM390="CUMPLE",AR390&gt;=AI390),"CUMPLE","NO CUMPLE")</f>
        <v>CUMPLE</v>
      </c>
      <c r="AT390" s="10">
        <f>'Parametros'!$B$6*0.083*SQRT('Parametros'!$B$2)*(H390*I390)^2/(2*(H390+I390))/1000000</f>
        <v>4.30410823283988</v>
      </c>
      <c r="AU390" s="10" t="str">
        <f>IF(Q390&lt;=AT390,"DESPRECIABLE","DISEÑAR")</f>
        <v>DESPRECIABLE</v>
      </c>
      <c r="AV390" s="10">
        <f>IF(Q390&lt;=AT390,0,Q390*1000000/('Parametros'!$B$6*2*0.85*(H390-2*'Parametros'!$B$7)*(I390-2*'Parametros'!$B$7)*'Parametros'!$B$4))</f>
        <v>0</v>
      </c>
      <c r="AW390" s="10">
        <f>AV390*2*((H390-2*'Parametros'!$B$7)+(I390-2*'Parametros'!$B$7))*'Parametros'!$B$4/'Parametros'!$B$3</f>
        <v>0</v>
      </c>
      <c r="AX390" s="17" t="n">
        <v>0</v>
      </c>
      <c r="AY390" s="10" t="str">
        <f>IF(AV390=0,"DESPRECIABLE",IF('Parametros'!$B$11/AP390&gt;=AV390,"CUMPLE","NO CUMPLE"))</f>
        <v>DESPRECIABLE</v>
      </c>
      <c r="AZ390" s="10" t="str">
        <f>IF(AND(X390="CUMPLE",AE390="CUMPLE",AS390="CUMPLE",OR(AY390="CUMPLE",AY390="DESPRECIABLE")),IF(OR(F390&lt;&gt;H390,G390&lt;&gt;I390),"CUMPLE - REANALIZAR SAP","CUMPLE"),"NO CUMPLE")</f>
        <v>CUMPLE</v>
      </c>
    </row>
    <row r="391">
      <c r="A391" s="26" t="inlineStr">
        <is>
          <t>VR2</t>
        </is>
      </c>
      <c r="B391" s="26" t="inlineStr">
        <is>
          <t>212</t>
        </is>
      </c>
      <c r="C391" s="10" t="n">
        <v>1</v>
      </c>
      <c r="D391" s="10" t="n">
        <v>3.65308</v>
      </c>
      <c r="E391" s="10" t="n">
        <v>3.65308</v>
      </c>
      <c r="F391" s="10" t="n">
        <v>350</v>
      </c>
      <c r="G391" s="10" t="n">
        <v>400</v>
      </c>
      <c r="H391" s="15" t="n">
        <v>350</v>
      </c>
      <c r="I391" s="15" t="n">
        <v>400</v>
      </c>
      <c r="J391" s="16" t="n">
        <v>107.6836</v>
      </c>
      <c r="K391" s="10" t="inlineStr">
        <is>
          <t>212</t>
        </is>
      </c>
      <c r="L391" s="16" t="n">
        <v>63.9993</v>
      </c>
      <c r="M391" s="10" t="inlineStr">
        <is>
          <t>212</t>
        </is>
      </c>
      <c r="N391" s="16" t="n">
        <v>82.36799999999999</v>
      </c>
      <c r="O391" s="16" t="n">
        <v>237.467</v>
      </c>
      <c r="P391" s="10" t="inlineStr">
        <is>
          <t>212</t>
        </is>
      </c>
      <c r="Q391" s="16" t="n">
        <v>7.8648</v>
      </c>
      <c r="R391" s="10">
        <f>MAX(MAX(1.4/'Parametros'!$B$3,0.25*SQRT('Parametros'!$B$2)/'Parametros'!$B$3)*H391*U391,(0.85*'Parametros'!$B$2/'Parametros'!$B$3)*(1-SQRT(1-2*(J391*1000000/('Parametros'!$B$5*H391*U391^2))/(0.85*'Parametros'!$B$2)))*H391*U391)</f>
        <v>889.921580507868</v>
      </c>
      <c r="S391" s="17" t="n">
        <v>5</v>
      </c>
      <c r="T391" s="18" t="n">
        <v>1</v>
      </c>
      <c r="U391" s="10">
        <f>IF(T391=1,I391-('Parametros'!$B$7+'Parametros'!$B$9+'Parametros'!$B$12/2),I391-(ROUNDUP(S391/2,0)*('Parametros'!$B$7+'Parametros'!$B$9+'Parametros'!$B$12/2)+ROUNDDOWN(S391/2,0)*('Parametros'!$B$7+'Parametros'!$B$9+'Parametros'!$B$12/2+'Parametros'!$B$12+'Parametros'!$B$10))/S391)</f>
        <v>342.55</v>
      </c>
      <c r="V391" s="10">
        <f>S391*'Parametros'!$B$8</f>
        <v>995</v>
      </c>
      <c r="W391" s="10">
        <f>'Parametros'!$B$5*V391*'Parametros'!$B$3*(U391-(V391*'Parametros'!$B$3/(0.85*'Parametros'!$B$2*H391))/2)/1000000</f>
        <v>119.402124617647</v>
      </c>
      <c r="X391" s="10" t="str">
        <f>IF(W391&gt;=J391,"CUMPLE","NO CUMPLE")</f>
        <v>CUMPLE</v>
      </c>
      <c r="Y391" s="10">
        <f>MAX(MAX(1.4/'Parametros'!$B$3,0.25*SQRT('Parametros'!$B$2)/'Parametros'!$B$3)*H391*AB391,(0.85*'Parametros'!$B$2/'Parametros'!$B$3)*(1-SQRT(1-2*(L391*1000000/('Parametros'!$B$5*H391*AB391^2))/(0.85*'Parametros'!$B$2)))*H391*AB391)</f>
        <v>513.684251677473</v>
      </c>
      <c r="Z391" s="17" t="n">
        <v>3</v>
      </c>
      <c r="AA391" s="18" t="n">
        <v>1</v>
      </c>
      <c r="AB391" s="10">
        <f>IF(AA391=1,I391-('Parametros'!$B$7+'Parametros'!$B$9+'Parametros'!$B$12/2),I391-(ROUNDUP(Z391/2,0)*('Parametros'!$B$7+'Parametros'!$B$9+'Parametros'!$B$12/2)+ROUNDDOWN(Z391/2,0)*('Parametros'!$B$7+'Parametros'!$B$9+'Parametros'!$B$12/2+'Parametros'!$B$12+'Parametros'!$B$10))/Z391)</f>
        <v>342.55</v>
      </c>
      <c r="AC391" s="10">
        <f>Z391*'Parametros'!$B$8</f>
        <v>597</v>
      </c>
      <c r="AD391" s="10">
        <f>'Parametros'!$B$5*AC391*'Parametros'!$B$3*(AB391-(AC391*'Parametros'!$B$3/(0.85*'Parametros'!$B$2*H391))/2)/1000000</f>
        <v>73.905520182353</v>
      </c>
      <c r="AE391" s="10" t="str">
        <f>IF(AD391&gt;=L391,"CUMPLE","NO CUMPLE")</f>
        <v>CUMPLE</v>
      </c>
      <c r="AF391" s="10">
        <f>V391*1.25*'Parametros'!$B$3*(U391-(V391*1.25*'Parametros'!$B$3/(0.85*'Parametros'!$B$2*H391))/2)/1000000</f>
        <v>162.560466176471</v>
      </c>
      <c r="AG391" s="10">
        <f>AC391*1.25*'Parametros'!$B$3*(AB391-(AC391*1.25*'Parametros'!$B$3/(0.85*'Parametros'!$B$2*H391))/2)/1000000</f>
        <v>101.467261323529</v>
      </c>
      <c r="AH391" s="10">
        <f>N391+(AF391+AG391)/D391</f>
        <v>154.643375162876</v>
      </c>
      <c r="AI391" s="10">
        <f>MIN(O391,MAX(N391,AH391))</f>
        <v>154.643375162876</v>
      </c>
      <c r="AJ391" s="10">
        <f>0.17*SQRT('Parametros'!$B$2)*H391*MIN(U391,AB391)/1000</f>
        <v>107.849951281016</v>
      </c>
      <c r="AK391" s="10">
        <f>MAX(AI391/'Parametros'!$B$6-AJ391,0)</f>
        <v>98.3412156028191</v>
      </c>
      <c r="AL391" s="10">
        <f>0.66*SQRT('Parametros'!$B$2)*H391*MIN(U391,AB391)/1000</f>
        <v>418.711575561591</v>
      </c>
      <c r="AM391" s="10" t="str">
        <f>IF(AK391&lt;=AL391,"CUMPLE","NO CUMPLE")</f>
        <v>CUMPLE</v>
      </c>
      <c r="AN391" s="15" t="inlineStr">
        <is>
          <t>Nº3 cerrado</t>
        </is>
      </c>
      <c r="AO391" s="17" t="n">
        <v>2</v>
      </c>
      <c r="AP391" s="10">
        <f>ROUNDDOWN(MIN(IF(AK391=0,1000000000,AO391*'Parametros'!$B$11*'Parametros'!$B$4*MIN(U391,AB391)/(AK391*1000)),IF(AV391=0,1000000000,'Parametros'!$B$11/AV391),MIN(U391,AB391)/4,8*'Parametros'!$B$12,24*'Parametros'!$B$9,300)/10,0)*10</f>
        <v>80</v>
      </c>
      <c r="AQ391" s="10">
        <f>ROUNDDOWN(MIN(IF(AK391=0,1000000000,AO391*'Parametros'!$B$11*'Parametros'!$B$4*MIN(U391,AB391)/(AK391*1000)),IF(AV391=0,1000000000,'Parametros'!$B$11/AV391),MIN(U391,AB391)/2,600)/10,0)*10</f>
        <v>170</v>
      </c>
      <c r="AR391" s="10">
        <f>'Parametros'!$B$6*(AJ391+AO391*'Parametros'!$B$11*'Parametros'!$B$4*MIN(U391,AB391)/AP391/1000)</f>
        <v>272.415732210762</v>
      </c>
      <c r="AS391" s="10" t="str">
        <f>IF(AND(AM391="CUMPLE",AR391&gt;=AI391),"CUMPLE","NO CUMPLE")</f>
        <v>CUMPLE</v>
      </c>
      <c r="AT391" s="10">
        <f>'Parametros'!$B$6*0.083*SQRT('Parametros'!$B$2)*(H391*I391)^2/(2*(H391+I391))/1000000</f>
        <v>4.30410823283988</v>
      </c>
      <c r="AU391" s="10" t="str">
        <f>IF(Q391&lt;=AT391,"DESPRECIABLE","DISEÑAR")</f>
        <v>DISEÑAR</v>
      </c>
      <c r="AV391" s="10">
        <f>IF(Q391&lt;=AT391,0,Q391*1000000/('Parametros'!$B$6*2*0.85*(H391-2*'Parametros'!$B$7)*(I391-2*'Parametros'!$B$7)*'Parametros'!$B$4))</f>
        <v>0.169986513123768</v>
      </c>
      <c r="AW391" s="10">
        <f>AV391*2*((H391-2*'Parametros'!$B$7)+(I391-2*'Parametros'!$B$7))*'Parametros'!$B$4/'Parametros'!$B$3</f>
        <v>200.584085486046</v>
      </c>
      <c r="AX391" s="17" t="n">
        <v>2</v>
      </c>
      <c r="AY391" s="10" t="str">
        <f>IF(AV391=0,"DESPRECIABLE",IF('Parametros'!$B$11/AP391&gt;=AV391,"CUMPLE","NO CUMPLE"))</f>
        <v>CUMPLE</v>
      </c>
      <c r="AZ391" s="10" t="str">
        <f>IF(AND(X391="CUMPLE",AE391="CUMPLE",AS391="CUMPLE",OR(AY391="CUMPLE",AY391="DESPRECIABLE")),IF(OR(F391&lt;&gt;H391,G391&lt;&gt;I391),"CUMPLE - REANALIZAR SAP","CUMPLE"),"NO CUMPLE")</f>
        <v>CUMPLE</v>
      </c>
    </row>
    <row r="392">
      <c r="A392" s="26" t="inlineStr">
        <is>
          <t>VR2</t>
        </is>
      </c>
      <c r="B392" s="26" t="inlineStr">
        <is>
          <t>213</t>
        </is>
      </c>
      <c r="C392" s="10" t="n">
        <v>1</v>
      </c>
      <c r="D392" s="10" t="n">
        <v>2.6</v>
      </c>
      <c r="E392" s="10" t="n">
        <v>2.6</v>
      </c>
      <c r="F392" s="10" t="n">
        <v>350</v>
      </c>
      <c r="G392" s="10" t="n">
        <v>400</v>
      </c>
      <c r="H392" s="15" t="n">
        <v>350</v>
      </c>
      <c r="I392" s="15" t="n">
        <v>400</v>
      </c>
      <c r="J392" s="16" t="n">
        <v>122.7343</v>
      </c>
      <c r="K392" s="10" t="inlineStr">
        <is>
          <t>213</t>
        </is>
      </c>
      <c r="L392" s="16" t="n">
        <v>86.94159999999999</v>
      </c>
      <c r="M392" s="10" t="inlineStr">
        <is>
          <t>213</t>
        </is>
      </c>
      <c r="N392" s="16" t="n">
        <v>121.868</v>
      </c>
      <c r="O392" s="16" t="n">
        <v>429.691</v>
      </c>
      <c r="P392" s="10" t="inlineStr">
        <is>
          <t>213</t>
        </is>
      </c>
      <c r="Q392" s="16" t="n">
        <v>7.7456</v>
      </c>
      <c r="R392" s="10">
        <f>MAX(MAX(1.4/'Parametros'!$B$3,0.25*SQRT('Parametros'!$B$2)/'Parametros'!$B$3)*H392*U392,(0.85*'Parametros'!$B$2/'Parametros'!$B$3)*(1-SQRT(1-2*(J392*1000000/('Parametros'!$B$5*H392*U392^2))/(0.85*'Parametros'!$B$2)))*H392*U392)</f>
        <v>1025.2286635047</v>
      </c>
      <c r="S392" s="17" t="n">
        <v>6</v>
      </c>
      <c r="T392" s="18" t="n">
        <v>1</v>
      </c>
      <c r="U392" s="10">
        <f>IF(T392=1,I392-('Parametros'!$B$7+'Parametros'!$B$9+'Parametros'!$B$12/2),I392-(ROUNDUP(S392/2,0)*('Parametros'!$B$7+'Parametros'!$B$9+'Parametros'!$B$12/2)+ROUNDDOWN(S392/2,0)*('Parametros'!$B$7+'Parametros'!$B$9+'Parametros'!$B$12/2+'Parametros'!$B$12+'Parametros'!$B$10))/S392)</f>
        <v>342.55</v>
      </c>
      <c r="V392" s="10">
        <f>S392*'Parametros'!$B$8</f>
        <v>1194</v>
      </c>
      <c r="W392" s="10">
        <f>'Parametros'!$B$5*V392*'Parametros'!$B$3*(U392-(V392*'Parametros'!$B$3/(0.85*'Parametros'!$B$2*H392))/2)/1000000</f>
        <v>141.018304129412</v>
      </c>
      <c r="X392" s="10" t="str">
        <f>IF(W392&gt;=J392,"CUMPLE","NO CUMPLE")</f>
        <v>CUMPLE</v>
      </c>
      <c r="Y392" s="10">
        <f>MAX(MAX(1.4/'Parametros'!$B$3,0.25*SQRT('Parametros'!$B$2)/'Parametros'!$B$3)*H392*AB392,(0.85*'Parametros'!$B$2/'Parametros'!$B$3)*(1-SQRT(1-2*(L392*1000000/('Parametros'!$B$5*H392*AB392^2))/(0.85*'Parametros'!$B$2)))*H392*AB392)</f>
        <v>708.377197338037</v>
      </c>
      <c r="Z392" s="17" t="n">
        <v>4</v>
      </c>
      <c r="AA392" s="18" t="n">
        <v>1</v>
      </c>
      <c r="AB392" s="10">
        <f>IF(AA392=1,I392-('Parametros'!$B$7+'Parametros'!$B$9+'Parametros'!$B$12/2),I392-(ROUNDUP(Z392/2,0)*('Parametros'!$B$7+'Parametros'!$B$9+'Parametros'!$B$12/2)+ROUNDDOWN(Z392/2,0)*('Parametros'!$B$7+'Parametros'!$B$9+'Parametros'!$B$12/2+'Parametros'!$B$12+'Parametros'!$B$10))/Z392)</f>
        <v>342.55</v>
      </c>
      <c r="AC392" s="10">
        <f>Z392*'Parametros'!$B$8</f>
        <v>796</v>
      </c>
      <c r="AD392" s="10">
        <f>'Parametros'!$B$5*AC392*'Parametros'!$B$3*(AB392-(AC392*'Parametros'!$B$3/(0.85*'Parametros'!$B$2*H392))/2)/1000000</f>
        <v>97.0311966352941</v>
      </c>
      <c r="AE392" s="10" t="str">
        <f>IF(AD392&gt;=L392,"CUMPLE","NO CUMPLE")</f>
        <v>CUMPLE</v>
      </c>
      <c r="AF392" s="10">
        <f>V392*1.25*'Parametros'!$B$3*(U392-(V392*1.25*'Parametros'!$B$3/(0.85*'Parametros'!$B$2*H392))/2)/1000000</f>
        <v>191.141577794118</v>
      </c>
      <c r="AG392" s="10">
        <f>AC392*1.25*'Parametros'!$B$3*(AB392-(AC392*1.25*'Parametros'!$B$3/(0.85*'Parametros'!$B$2*H392))/2)/1000000</f>
        <v>132.669027352941</v>
      </c>
      <c r="AH392" s="10">
        <f>N392+(AF392+AG392)/D392</f>
        <v>246.410540441176</v>
      </c>
      <c r="AI392" s="10">
        <f>MIN(O392,MAX(N392,AH392))</f>
        <v>246.410540441176</v>
      </c>
      <c r="AJ392" s="10">
        <f>0.17*SQRT('Parametros'!$B$2)*H392*MIN(U392,AB392)/1000</f>
        <v>107.849951281016</v>
      </c>
      <c r="AK392" s="10">
        <f>MAX(AI392/'Parametros'!$B$6-AJ392,0)</f>
        <v>220.697435973886</v>
      </c>
      <c r="AL392" s="10">
        <f>0.66*SQRT('Parametros'!$B$2)*H392*MIN(U392,AB392)/1000</f>
        <v>418.711575561591</v>
      </c>
      <c r="AM392" s="10" t="str">
        <f>IF(AK392&lt;=AL392,"CUMPLE","NO CUMPLE")</f>
        <v>CUMPLE</v>
      </c>
      <c r="AN392" s="15" t="inlineStr">
        <is>
          <t>Nº3 cerrado</t>
        </is>
      </c>
      <c r="AO392" s="17" t="n">
        <v>2</v>
      </c>
      <c r="AP392" s="10">
        <f>ROUNDDOWN(MIN(IF(AK392=0,1000000000,AO392*'Parametros'!$B$11*'Parametros'!$B$4*MIN(U392,AB392)/(AK392*1000)),IF(AV392=0,1000000000,'Parametros'!$B$11/AV392),MIN(U392,AB392)/4,8*'Parametros'!$B$12,24*'Parametros'!$B$9,300)/10,0)*10</f>
        <v>80</v>
      </c>
      <c r="AQ392" s="10">
        <f>ROUNDDOWN(MIN(IF(AK392=0,1000000000,AO392*'Parametros'!$B$11*'Parametros'!$B$4*MIN(U392,AB392)/(AK392*1000)),IF(AV392=0,1000000000,'Parametros'!$B$11/AV392),MIN(U392,AB392)/2,600)/10,0)*10</f>
        <v>90</v>
      </c>
      <c r="AR392" s="10">
        <f>'Parametros'!$B$6*(AJ392+AO392*'Parametros'!$B$11*'Parametros'!$B$4*MIN(U392,AB392)/AP392/1000)</f>
        <v>272.415732210762</v>
      </c>
      <c r="AS392" s="10" t="str">
        <f>IF(AND(AM392="CUMPLE",AR392&gt;=AI392),"CUMPLE","NO CUMPLE")</f>
        <v>CUMPLE</v>
      </c>
      <c r="AT392" s="10">
        <f>'Parametros'!$B$6*0.083*SQRT('Parametros'!$B$2)*(H392*I392)^2/(2*(H392+I392))/1000000</f>
        <v>4.30410823283988</v>
      </c>
      <c r="AU392" s="10" t="str">
        <f>IF(Q392&lt;=AT392,"DESPRECIABLE","DISEÑAR")</f>
        <v>DISEÑAR</v>
      </c>
      <c r="AV392" s="10">
        <f>IF(Q392&lt;=AT392,0,Q392*1000000/('Parametros'!$B$6*2*0.85*(H392-2*'Parametros'!$B$7)*(I392-2*'Parametros'!$B$7)*'Parametros'!$B$4))</f>
        <v>0.167410173946122</v>
      </c>
      <c r="AW392" s="10">
        <f>AV392*2*((H392-2*'Parametros'!$B$7)+(I392-2*'Parametros'!$B$7))*'Parametros'!$B$4/'Parametros'!$B$3</f>
        <v>197.544005256424</v>
      </c>
      <c r="AX392" s="17" t="n">
        <v>1</v>
      </c>
      <c r="AY392" s="10" t="str">
        <f>IF(AV392=0,"DESPRECIABLE",IF('Parametros'!$B$11/AP392&gt;=AV392,"CUMPLE","NO CUMPLE"))</f>
        <v>CUMPLE</v>
      </c>
      <c r="AZ392" s="10" t="str">
        <f>IF(AND(X392="CUMPLE",AE392="CUMPLE",AS392="CUMPLE",OR(AY392="CUMPLE",AY392="DESPRECIABLE")),IF(OR(F392&lt;&gt;H392,G392&lt;&gt;I392),"CUMPLE - REANALIZAR SAP","CUMPLE"),"NO CUMPLE")</f>
        <v>CUMPLE</v>
      </c>
    </row>
    <row r="393">
      <c r="A393" s="26" t="inlineStr">
        <is>
          <t>VR2</t>
        </is>
      </c>
      <c r="B393" s="26" t="inlineStr">
        <is>
          <t>214</t>
        </is>
      </c>
      <c r="C393" s="10" t="n">
        <v>1</v>
      </c>
      <c r="D393" s="10" t="n">
        <v>2.5</v>
      </c>
      <c r="E393" s="10" t="n">
        <v>2.5</v>
      </c>
      <c r="F393" s="10" t="n">
        <v>350</v>
      </c>
      <c r="G393" s="10" t="n">
        <v>400</v>
      </c>
      <c r="H393" s="15" t="n">
        <v>350</v>
      </c>
      <c r="I393" s="15" t="n">
        <v>400</v>
      </c>
      <c r="J393" s="16" t="n">
        <v>118.0517</v>
      </c>
      <c r="K393" s="10" t="inlineStr">
        <is>
          <t>214</t>
        </is>
      </c>
      <c r="L393" s="16" t="n">
        <v>92.8314</v>
      </c>
      <c r="M393" s="10" t="inlineStr">
        <is>
          <t>214</t>
        </is>
      </c>
      <c r="N393" s="16" t="n">
        <v>116.14</v>
      </c>
      <c r="O393" s="16" t="n">
        <v>428.323</v>
      </c>
      <c r="P393" s="10" t="inlineStr">
        <is>
          <t>214</t>
        </is>
      </c>
      <c r="Q393" s="16" t="n">
        <v>1.4345</v>
      </c>
      <c r="R393" s="10">
        <f>MAX(MAX(1.4/'Parametros'!$B$3,0.25*SQRT('Parametros'!$B$2)/'Parametros'!$B$3)*H393*U393,(0.85*'Parametros'!$B$2/'Parametros'!$B$3)*(1-SQRT(1-2*(J393*1000000/('Parametros'!$B$5*H393*U393^2))/(0.85*'Parametros'!$B$2)))*H393*U393)</f>
        <v>982.79406120691</v>
      </c>
      <c r="S393" s="17" t="n">
        <v>5</v>
      </c>
      <c r="T393" s="18" t="n">
        <v>1</v>
      </c>
      <c r="U393" s="10">
        <f>IF(T393=1,I393-('Parametros'!$B$7+'Parametros'!$B$9+'Parametros'!$B$12/2),I393-(ROUNDUP(S393/2,0)*('Parametros'!$B$7+'Parametros'!$B$9+'Parametros'!$B$12/2)+ROUNDDOWN(S393/2,0)*('Parametros'!$B$7+'Parametros'!$B$9+'Parametros'!$B$12/2+'Parametros'!$B$12+'Parametros'!$B$10))/S393)</f>
        <v>342.55</v>
      </c>
      <c r="V393" s="10">
        <f>S393*'Parametros'!$B$8</f>
        <v>995</v>
      </c>
      <c r="W393" s="10">
        <f>'Parametros'!$B$5*V393*'Parametros'!$B$3*(U393-(V393*'Parametros'!$B$3/(0.85*'Parametros'!$B$2*H393))/2)/1000000</f>
        <v>119.402124617647</v>
      </c>
      <c r="X393" s="10" t="str">
        <f>IF(W393&gt;=J393,"CUMPLE","NO CUMPLE")</f>
        <v>CUMPLE</v>
      </c>
      <c r="Y393" s="10">
        <f>MAX(MAX(1.4/'Parametros'!$B$3,0.25*SQRT('Parametros'!$B$2)/'Parametros'!$B$3)*H393*AB393,(0.85*'Parametros'!$B$2/'Parametros'!$B$3)*(1-SQRT(1-2*(L393*1000000/('Parametros'!$B$5*H393*AB393^2))/(0.85*'Parametros'!$B$2)))*H393*AB393)</f>
        <v>759.372412894261</v>
      </c>
      <c r="Z393" s="17" t="n">
        <v>4</v>
      </c>
      <c r="AA393" s="18" t="n">
        <v>1</v>
      </c>
      <c r="AB393" s="10">
        <f>IF(AA393=1,I393-('Parametros'!$B$7+'Parametros'!$B$9+'Parametros'!$B$12/2),I393-(ROUNDUP(Z393/2,0)*('Parametros'!$B$7+'Parametros'!$B$9+'Parametros'!$B$12/2)+ROUNDDOWN(Z393/2,0)*('Parametros'!$B$7+'Parametros'!$B$9+'Parametros'!$B$12/2+'Parametros'!$B$12+'Parametros'!$B$10))/Z393)</f>
        <v>342.55</v>
      </c>
      <c r="AC393" s="10">
        <f>Z393*'Parametros'!$B$8</f>
        <v>796</v>
      </c>
      <c r="AD393" s="10">
        <f>'Parametros'!$B$5*AC393*'Parametros'!$B$3*(AB393-(AC393*'Parametros'!$B$3/(0.85*'Parametros'!$B$2*H393))/2)/1000000</f>
        <v>97.0311966352941</v>
      </c>
      <c r="AE393" s="10" t="str">
        <f>IF(AD393&gt;=L393,"CUMPLE","NO CUMPLE")</f>
        <v>CUMPLE</v>
      </c>
      <c r="AF393" s="10">
        <f>V393*1.25*'Parametros'!$B$3*(U393-(V393*1.25*'Parametros'!$B$3/(0.85*'Parametros'!$B$2*H393))/2)/1000000</f>
        <v>162.560466176471</v>
      </c>
      <c r="AG393" s="10">
        <f>AC393*1.25*'Parametros'!$B$3*(AB393-(AC393*1.25*'Parametros'!$B$3/(0.85*'Parametros'!$B$2*H393))/2)/1000000</f>
        <v>132.669027352941</v>
      </c>
      <c r="AH393" s="10">
        <f>N393+(AF393+AG393)/D393</f>
        <v>234.231797411765</v>
      </c>
      <c r="AI393" s="10">
        <f>MIN(O393,MAX(N393,AH393))</f>
        <v>234.231797411765</v>
      </c>
      <c r="AJ393" s="10">
        <f>0.17*SQRT('Parametros'!$B$2)*H393*MIN(U393,AB393)/1000</f>
        <v>107.849951281016</v>
      </c>
      <c r="AK393" s="10">
        <f>MAX(AI393/'Parametros'!$B$6-AJ393,0)</f>
        <v>204.45911193467</v>
      </c>
      <c r="AL393" s="10">
        <f>0.66*SQRT('Parametros'!$B$2)*H393*MIN(U393,AB393)/1000</f>
        <v>418.711575561591</v>
      </c>
      <c r="AM393" s="10" t="str">
        <f>IF(AK393&lt;=AL393,"CUMPLE","NO CUMPLE")</f>
        <v>CUMPLE</v>
      </c>
      <c r="AN393" s="15" t="inlineStr">
        <is>
          <t>Nº3 cerrado</t>
        </is>
      </c>
      <c r="AO393" s="17" t="n">
        <v>2</v>
      </c>
      <c r="AP393" s="10">
        <f>ROUNDDOWN(MIN(IF(AK393=0,1000000000,AO393*'Parametros'!$B$11*'Parametros'!$B$4*MIN(U393,AB393)/(AK393*1000)),IF(AV393=0,1000000000,'Parametros'!$B$11/AV393),MIN(U393,AB393)/4,8*'Parametros'!$B$12,24*'Parametros'!$B$9,300)/10,0)*10</f>
        <v>80</v>
      </c>
      <c r="AQ393" s="10">
        <f>ROUNDDOWN(MIN(IF(AK393=0,1000000000,AO393*'Parametros'!$B$11*'Parametros'!$B$4*MIN(U393,AB393)/(AK393*1000)),IF(AV393=0,1000000000,'Parametros'!$B$11/AV393),MIN(U393,AB393)/2,600)/10,0)*10</f>
        <v>90</v>
      </c>
      <c r="AR393" s="10">
        <f>'Parametros'!$B$6*(AJ393+AO393*'Parametros'!$B$11*'Parametros'!$B$4*MIN(U393,AB393)/AP393/1000)</f>
        <v>272.415732210762</v>
      </c>
      <c r="AS393" s="10" t="str">
        <f>IF(AND(AM393="CUMPLE",AR393&gt;=AI393),"CUMPLE","NO CUMPLE")</f>
        <v>CUMPLE</v>
      </c>
      <c r="AT393" s="10">
        <f>'Parametros'!$B$6*0.083*SQRT('Parametros'!$B$2)*(H393*I393)^2/(2*(H393+I393))/1000000</f>
        <v>4.30410823283988</v>
      </c>
      <c r="AU393" s="10" t="str">
        <f>IF(Q393&lt;=AT393,"DESPRECIABLE","DISEÑAR")</f>
        <v>DESPRECIABLE</v>
      </c>
      <c r="AV393" s="10">
        <f>IF(Q393&lt;=AT393,0,Q393*1000000/('Parametros'!$B$6*2*0.85*(H393-2*'Parametros'!$B$7)*(I393-2*'Parametros'!$B$7)*'Parametros'!$B$4))</f>
        <v>0</v>
      </c>
      <c r="AW393" s="10">
        <f>AV393*2*((H393-2*'Parametros'!$B$7)+(I393-2*'Parametros'!$B$7))*'Parametros'!$B$4/'Parametros'!$B$3</f>
        <v>0</v>
      </c>
      <c r="AX393" s="17" t="n">
        <v>0</v>
      </c>
      <c r="AY393" s="10" t="str">
        <f>IF(AV393=0,"DESPRECIABLE",IF('Parametros'!$B$11/AP393&gt;=AV393,"CUMPLE","NO CUMPLE"))</f>
        <v>DESPRECIABLE</v>
      </c>
      <c r="AZ393" s="10" t="str">
        <f>IF(AND(X393="CUMPLE",AE393="CUMPLE",AS393="CUMPLE",OR(AY393="CUMPLE",AY393="DESPRECIABLE")),IF(OR(F393&lt;&gt;H393,G393&lt;&gt;I393),"CUMPLE - REANALIZAR SAP","CUMPLE"),"NO CUMPLE")</f>
        <v>CUMPLE</v>
      </c>
    </row>
    <row r="394">
      <c r="A394" s="26" t="inlineStr">
        <is>
          <t>VR2</t>
        </is>
      </c>
      <c r="B394" s="26" t="inlineStr">
        <is>
          <t>215</t>
        </is>
      </c>
      <c r="C394" s="10" t="n">
        <v>1</v>
      </c>
      <c r="D394" s="10" t="n">
        <v>4.17612</v>
      </c>
      <c r="E394" s="10" t="n">
        <v>4.17612</v>
      </c>
      <c r="F394" s="10" t="n">
        <v>350</v>
      </c>
      <c r="G394" s="10" t="n">
        <v>400</v>
      </c>
      <c r="H394" s="15" t="n">
        <v>350</v>
      </c>
      <c r="I394" s="15" t="n">
        <v>400</v>
      </c>
      <c r="J394" s="16" t="n">
        <v>115.7268</v>
      </c>
      <c r="K394" s="10" t="inlineStr">
        <is>
          <t>215</t>
        </is>
      </c>
      <c r="L394" s="16" t="n">
        <v>54.2394</v>
      </c>
      <c r="M394" s="10" t="inlineStr">
        <is>
          <t>215</t>
        </is>
      </c>
      <c r="N394" s="16" t="n">
        <v>92.596</v>
      </c>
      <c r="O394" s="16" t="n">
        <v>238.732</v>
      </c>
      <c r="P394" s="10" t="inlineStr">
        <is>
          <t>215</t>
        </is>
      </c>
      <c r="Q394" s="16" t="n">
        <v>0.1697</v>
      </c>
      <c r="R394" s="10">
        <f>MAX(MAX(1.4/'Parametros'!$B$3,0.25*SQRT('Parametros'!$B$2)/'Parametros'!$B$3)*H394*U394,(0.85*'Parametros'!$B$2/'Parametros'!$B$3)*(1-SQRT(1-2*(J394*1000000/('Parametros'!$B$5*H394*U394^2))/(0.85*'Parametros'!$B$2)))*H394*U394)</f>
        <v>961.840083444128</v>
      </c>
      <c r="S394" s="17" t="n">
        <v>5</v>
      </c>
      <c r="T394" s="18" t="n">
        <v>1</v>
      </c>
      <c r="U394" s="10">
        <f>IF(T394=1,I394-('Parametros'!$B$7+'Parametros'!$B$9+'Parametros'!$B$12/2),I394-(ROUNDUP(S394/2,0)*('Parametros'!$B$7+'Parametros'!$B$9+'Parametros'!$B$12/2)+ROUNDDOWN(S394/2,0)*('Parametros'!$B$7+'Parametros'!$B$9+'Parametros'!$B$12/2+'Parametros'!$B$12+'Parametros'!$B$10))/S394)</f>
        <v>342.55</v>
      </c>
      <c r="V394" s="10">
        <f>S394*'Parametros'!$B$8</f>
        <v>995</v>
      </c>
      <c r="W394" s="10">
        <f>'Parametros'!$B$5*V394*'Parametros'!$B$3*(U394-(V394*'Parametros'!$B$3/(0.85*'Parametros'!$B$2*H394))/2)/1000000</f>
        <v>119.402124617647</v>
      </c>
      <c r="X394" s="10" t="str">
        <f>IF(W394&gt;=J394,"CUMPLE","NO CUMPLE")</f>
        <v>CUMPLE</v>
      </c>
      <c r="Y394" s="10">
        <f>MAX(MAX(1.4/'Parametros'!$B$3,0.25*SQRT('Parametros'!$B$2)/'Parametros'!$B$3)*H394*AB394,(0.85*'Parametros'!$B$2/'Parametros'!$B$3)*(1-SQRT(1-2*(L394*1000000/('Parametros'!$B$5*H394*AB394^2))/(0.85*'Parametros'!$B$2)))*H394*AB394)</f>
        <v>432.666194187299</v>
      </c>
      <c r="Z394" s="17" t="n">
        <v>3</v>
      </c>
      <c r="AA394" s="18" t="n">
        <v>1</v>
      </c>
      <c r="AB394" s="10">
        <f>IF(AA394=1,I394-('Parametros'!$B$7+'Parametros'!$B$9+'Parametros'!$B$12/2),I394-(ROUNDUP(Z394/2,0)*('Parametros'!$B$7+'Parametros'!$B$9+'Parametros'!$B$12/2)+ROUNDDOWN(Z394/2,0)*('Parametros'!$B$7+'Parametros'!$B$9+'Parametros'!$B$12/2+'Parametros'!$B$12+'Parametros'!$B$10))/Z394)</f>
        <v>342.55</v>
      </c>
      <c r="AC394" s="10">
        <f>Z394*'Parametros'!$B$8</f>
        <v>597</v>
      </c>
      <c r="AD394" s="10">
        <f>'Parametros'!$B$5*AC394*'Parametros'!$B$3*(AB394-(AC394*'Parametros'!$B$3/(0.85*'Parametros'!$B$2*H394))/2)/1000000</f>
        <v>73.905520182353</v>
      </c>
      <c r="AE394" s="10" t="str">
        <f>IF(AD394&gt;=L394,"CUMPLE","NO CUMPLE")</f>
        <v>CUMPLE</v>
      </c>
      <c r="AF394" s="10">
        <f>V394*1.25*'Parametros'!$B$3*(U394-(V394*1.25*'Parametros'!$B$3/(0.85*'Parametros'!$B$2*H394))/2)/1000000</f>
        <v>162.560466176471</v>
      </c>
      <c r="AG394" s="10">
        <f>AC394*1.25*'Parametros'!$B$3*(AB394-(AC394*1.25*'Parametros'!$B$3/(0.85*'Parametros'!$B$2*H394))/2)/1000000</f>
        <v>101.467261323529</v>
      </c>
      <c r="AH394" s="10">
        <f>N394+(AF394+AG394)/D394</f>
        <v>155.819213772593</v>
      </c>
      <c r="AI394" s="10">
        <f>MIN(O394,MAX(N394,AH394))</f>
        <v>155.819213772593</v>
      </c>
      <c r="AJ394" s="10">
        <f>0.17*SQRT('Parametros'!$B$2)*H394*MIN(U394,AB394)/1000</f>
        <v>107.849951281016</v>
      </c>
      <c r="AK394" s="10">
        <f>MAX(AI394/'Parametros'!$B$6-AJ394,0)</f>
        <v>99.9090004157744</v>
      </c>
      <c r="AL394" s="10">
        <f>0.66*SQRT('Parametros'!$B$2)*H394*MIN(U394,AB394)/1000</f>
        <v>418.711575561591</v>
      </c>
      <c r="AM394" s="10" t="str">
        <f>IF(AK394&lt;=AL394,"CUMPLE","NO CUMPLE")</f>
        <v>CUMPLE</v>
      </c>
      <c r="AN394" s="15" t="inlineStr">
        <is>
          <t>Nº3 cerrado</t>
        </is>
      </c>
      <c r="AO394" s="17" t="n">
        <v>2</v>
      </c>
      <c r="AP394" s="10">
        <f>ROUNDDOWN(MIN(IF(AK394=0,1000000000,AO394*'Parametros'!$B$11*'Parametros'!$B$4*MIN(U394,AB394)/(AK394*1000)),IF(AV394=0,1000000000,'Parametros'!$B$11/AV394),MIN(U394,AB394)/4,8*'Parametros'!$B$12,24*'Parametros'!$B$9,300)/10,0)*10</f>
        <v>80</v>
      </c>
      <c r="AQ394" s="10">
        <f>ROUNDDOWN(MIN(IF(AK394=0,1000000000,AO394*'Parametros'!$B$11*'Parametros'!$B$4*MIN(U394,AB394)/(AK394*1000)),IF(AV394=0,1000000000,'Parametros'!$B$11/AV394),MIN(U394,AB394)/2,600)/10,0)*10</f>
        <v>170</v>
      </c>
      <c r="AR394" s="10">
        <f>'Parametros'!$B$6*(AJ394+AO394*'Parametros'!$B$11*'Parametros'!$B$4*MIN(U394,AB394)/AP394/1000)</f>
        <v>272.415732210762</v>
      </c>
      <c r="AS394" s="10" t="str">
        <f>IF(AND(AM394="CUMPLE",AR394&gt;=AI394),"CUMPLE","NO CUMPLE")</f>
        <v>CUMPLE</v>
      </c>
      <c r="AT394" s="10">
        <f>'Parametros'!$B$6*0.083*SQRT('Parametros'!$B$2)*(H394*I394)^2/(2*(H394+I394))/1000000</f>
        <v>4.30410823283988</v>
      </c>
      <c r="AU394" s="10" t="str">
        <f>IF(Q394&lt;=AT394,"DESPRECIABLE","DISEÑAR")</f>
        <v>DESPRECIABLE</v>
      </c>
      <c r="AV394" s="10">
        <f>IF(Q394&lt;=AT394,0,Q394*1000000/('Parametros'!$B$6*2*0.85*(H394-2*'Parametros'!$B$7)*(I394-2*'Parametros'!$B$7)*'Parametros'!$B$4))</f>
        <v>0</v>
      </c>
      <c r="AW394" s="10">
        <f>AV394*2*((H394-2*'Parametros'!$B$7)+(I394-2*'Parametros'!$B$7))*'Parametros'!$B$4/'Parametros'!$B$3</f>
        <v>0</v>
      </c>
      <c r="AX394" s="17" t="n">
        <v>0</v>
      </c>
      <c r="AY394" s="10" t="str">
        <f>IF(AV394=0,"DESPRECIABLE",IF('Parametros'!$B$11/AP394&gt;=AV394,"CUMPLE","NO CUMPLE"))</f>
        <v>DESPRECIABLE</v>
      </c>
      <c r="AZ394" s="10" t="str">
        <f>IF(AND(X394="CUMPLE",AE394="CUMPLE",AS394="CUMPLE",OR(AY394="CUMPLE",AY394="DESPRECIABLE")),IF(OR(F394&lt;&gt;H394,G394&lt;&gt;I394),"CUMPLE - REANALIZAR SAP","CUMPLE"),"NO CUMPLE")</f>
        <v>CUMPLE</v>
      </c>
    </row>
    <row r="395">
      <c r="A395" s="26" t="inlineStr">
        <is>
          <t>VR2</t>
        </is>
      </c>
      <c r="B395" s="26" t="inlineStr">
        <is>
          <t>216</t>
        </is>
      </c>
      <c r="C395" s="10" t="n">
        <v>1</v>
      </c>
      <c r="D395" s="10" t="n">
        <v>2.7</v>
      </c>
      <c r="E395" s="10" t="n">
        <v>2.7</v>
      </c>
      <c r="F395" s="10" t="n">
        <v>350</v>
      </c>
      <c r="G395" s="10" t="n">
        <v>400</v>
      </c>
      <c r="H395" s="15" t="n">
        <v>350</v>
      </c>
      <c r="I395" s="15" t="n">
        <v>400</v>
      </c>
      <c r="J395" s="16" t="n">
        <v>97.7349</v>
      </c>
      <c r="K395" s="10" t="inlineStr">
        <is>
          <t>216</t>
        </is>
      </c>
      <c r="L395" s="16" t="n">
        <v>81.435</v>
      </c>
      <c r="M395" s="10" t="inlineStr">
        <is>
          <t>216</t>
        </is>
      </c>
      <c r="N395" s="16" t="n">
        <v>102.692</v>
      </c>
      <c r="O395" s="16" t="n">
        <v>326.933</v>
      </c>
      <c r="P395" s="10" t="inlineStr">
        <is>
          <t>216</t>
        </is>
      </c>
      <c r="Q395" s="16" t="n">
        <v>2.4875</v>
      </c>
      <c r="R395" s="10">
        <f>MAX(MAX(1.4/'Parametros'!$B$3,0.25*SQRT('Parametros'!$B$2)/'Parametros'!$B$3)*H395*U395,(0.85*'Parametros'!$B$2/'Parametros'!$B$3)*(1-SQRT(1-2*(J395*1000000/('Parametros'!$B$5*H395*U395^2))/(0.85*'Parametros'!$B$2)))*H395*U395)</f>
        <v>802.15909289823</v>
      </c>
      <c r="S395" s="17" t="n">
        <v>5</v>
      </c>
      <c r="T395" s="18" t="n">
        <v>1</v>
      </c>
      <c r="U395" s="10">
        <f>IF(T395=1,I395-('Parametros'!$B$7+'Parametros'!$B$9+'Parametros'!$B$12/2),I395-(ROUNDUP(S395/2,0)*('Parametros'!$B$7+'Parametros'!$B$9+'Parametros'!$B$12/2)+ROUNDDOWN(S395/2,0)*('Parametros'!$B$7+'Parametros'!$B$9+'Parametros'!$B$12/2+'Parametros'!$B$12+'Parametros'!$B$10))/S395)</f>
        <v>342.55</v>
      </c>
      <c r="V395" s="10">
        <f>S395*'Parametros'!$B$8</f>
        <v>995</v>
      </c>
      <c r="W395" s="10">
        <f>'Parametros'!$B$5*V395*'Parametros'!$B$3*(U395-(V395*'Parametros'!$B$3/(0.85*'Parametros'!$B$2*H395))/2)/1000000</f>
        <v>119.402124617647</v>
      </c>
      <c r="X395" s="10" t="str">
        <f>IF(W395&gt;=J395,"CUMPLE","NO CUMPLE")</f>
        <v>CUMPLE</v>
      </c>
      <c r="Y395" s="10">
        <f>MAX(MAX(1.4/'Parametros'!$B$3,0.25*SQRT('Parametros'!$B$2)/'Parametros'!$B$3)*H395*AB395,(0.85*'Parametros'!$B$2/'Parametros'!$B$3)*(1-SQRT(1-2*(L395*1000000/('Parametros'!$B$5*H395*AB395^2))/(0.85*'Parametros'!$B$2)))*H395*AB395)</f>
        <v>661.083348582182</v>
      </c>
      <c r="Z395" s="17" t="n">
        <v>4</v>
      </c>
      <c r="AA395" s="18" t="n">
        <v>1</v>
      </c>
      <c r="AB395" s="10">
        <f>IF(AA395=1,I395-('Parametros'!$B$7+'Parametros'!$B$9+'Parametros'!$B$12/2),I395-(ROUNDUP(Z395/2,0)*('Parametros'!$B$7+'Parametros'!$B$9+'Parametros'!$B$12/2)+ROUNDDOWN(Z395/2,0)*('Parametros'!$B$7+'Parametros'!$B$9+'Parametros'!$B$12/2+'Parametros'!$B$12+'Parametros'!$B$10))/Z395)</f>
        <v>342.55</v>
      </c>
      <c r="AC395" s="10">
        <f>Z395*'Parametros'!$B$8</f>
        <v>796</v>
      </c>
      <c r="AD395" s="10">
        <f>'Parametros'!$B$5*AC395*'Parametros'!$B$3*(AB395-(AC395*'Parametros'!$B$3/(0.85*'Parametros'!$B$2*H395))/2)/1000000</f>
        <v>97.0311966352941</v>
      </c>
      <c r="AE395" s="10" t="str">
        <f>IF(AD395&gt;=L395,"CUMPLE","NO CUMPLE")</f>
        <v>CUMPLE</v>
      </c>
      <c r="AF395" s="10">
        <f>V395*1.25*'Parametros'!$B$3*(U395-(V395*1.25*'Parametros'!$B$3/(0.85*'Parametros'!$B$2*H395))/2)/1000000</f>
        <v>162.560466176471</v>
      </c>
      <c r="AG395" s="10">
        <f>AC395*1.25*'Parametros'!$B$3*(AB395-(AC395*1.25*'Parametros'!$B$3/(0.85*'Parametros'!$B$2*H395))/2)/1000000</f>
        <v>132.669027352941</v>
      </c>
      <c r="AH395" s="10">
        <f>N395+(AF395+AG395)/D395</f>
        <v>212.036256862745</v>
      </c>
      <c r="AI395" s="10">
        <f>MIN(O395,MAX(N395,AH395))</f>
        <v>212.036256862745</v>
      </c>
      <c r="AJ395" s="10">
        <f>0.17*SQRT('Parametros'!$B$2)*H395*MIN(U395,AB395)/1000</f>
        <v>107.849951281016</v>
      </c>
      <c r="AK395" s="10">
        <f>MAX(AI395/'Parametros'!$B$6-AJ395,0)</f>
        <v>174.865057869311</v>
      </c>
      <c r="AL395" s="10">
        <f>0.66*SQRT('Parametros'!$B$2)*H395*MIN(U395,AB395)/1000</f>
        <v>418.711575561591</v>
      </c>
      <c r="AM395" s="10" t="str">
        <f>IF(AK395&lt;=AL395,"CUMPLE","NO CUMPLE")</f>
        <v>CUMPLE</v>
      </c>
      <c r="AN395" s="15" t="inlineStr">
        <is>
          <t>Nº3 cerrado</t>
        </is>
      </c>
      <c r="AO395" s="17" t="n">
        <v>2</v>
      </c>
      <c r="AP395" s="10">
        <f>ROUNDDOWN(MIN(IF(AK395=0,1000000000,AO395*'Parametros'!$B$11*'Parametros'!$B$4*MIN(U395,AB395)/(AK395*1000)),IF(AV395=0,1000000000,'Parametros'!$B$11/AV395),MIN(U395,AB395)/4,8*'Parametros'!$B$12,24*'Parametros'!$B$9,300)/10,0)*10</f>
        <v>80</v>
      </c>
      <c r="AQ395" s="10">
        <f>ROUNDDOWN(MIN(IF(AK395=0,1000000000,AO395*'Parametros'!$B$11*'Parametros'!$B$4*MIN(U395,AB395)/(AK395*1000)),IF(AV395=0,1000000000,'Parametros'!$B$11/AV395),MIN(U395,AB395)/2,600)/10,0)*10</f>
        <v>110</v>
      </c>
      <c r="AR395" s="10">
        <f>'Parametros'!$B$6*(AJ395+AO395*'Parametros'!$B$11*'Parametros'!$B$4*MIN(U395,AB395)/AP395/1000)</f>
        <v>272.415732210762</v>
      </c>
      <c r="AS395" s="10" t="str">
        <f>IF(AND(AM395="CUMPLE",AR395&gt;=AI395),"CUMPLE","NO CUMPLE")</f>
        <v>CUMPLE</v>
      </c>
      <c r="AT395" s="10">
        <f>'Parametros'!$B$6*0.083*SQRT('Parametros'!$B$2)*(H395*I395)^2/(2*(H395+I395))/1000000</f>
        <v>4.30410823283988</v>
      </c>
      <c r="AU395" s="10" t="str">
        <f>IF(Q395&lt;=AT395,"DESPRECIABLE","DISEÑAR")</f>
        <v>DESPRECIABLE</v>
      </c>
      <c r="AV395" s="10">
        <f>IF(Q395&lt;=AT395,0,Q395*1000000/('Parametros'!$B$6*2*0.85*(H395-2*'Parametros'!$B$7)*(I395-2*'Parametros'!$B$7)*'Parametros'!$B$4))</f>
        <v>0</v>
      </c>
      <c r="AW395" s="10">
        <f>AV395*2*((H395-2*'Parametros'!$B$7)+(I395-2*'Parametros'!$B$7))*'Parametros'!$B$4/'Parametros'!$B$3</f>
        <v>0</v>
      </c>
      <c r="AX395" s="17" t="n">
        <v>0</v>
      </c>
      <c r="AY395" s="10" t="str">
        <f>IF(AV395=0,"DESPRECIABLE",IF('Parametros'!$B$11/AP395&gt;=AV395,"CUMPLE","NO CUMPLE"))</f>
        <v>DESPRECIABLE</v>
      </c>
      <c r="AZ395" s="10" t="str">
        <f>IF(AND(X395="CUMPLE",AE395="CUMPLE",AS395="CUMPLE",OR(AY395="CUMPLE",AY395="DESPRECIABLE")),IF(OR(F395&lt;&gt;H395,G395&lt;&gt;I395),"CUMPLE - REANALIZAR SAP","CUMPLE"),"NO CUMPLE")</f>
        <v>CUMPLE</v>
      </c>
    </row>
    <row r="396">
      <c r="A396" s="26" t="inlineStr">
        <is>
          <t>VR2</t>
        </is>
      </c>
      <c r="B396" s="26" t="inlineStr">
        <is>
          <t>217</t>
        </is>
      </c>
      <c r="C396" s="10" t="n">
        <v>1</v>
      </c>
      <c r="D396" s="10" t="n">
        <v>2.8</v>
      </c>
      <c r="E396" s="10" t="n">
        <v>2.8</v>
      </c>
      <c r="F396" s="10" t="n">
        <v>350</v>
      </c>
      <c r="G396" s="10" t="n">
        <v>400</v>
      </c>
      <c r="H396" s="15" t="n">
        <v>350</v>
      </c>
      <c r="I396" s="15" t="n">
        <v>400</v>
      </c>
      <c r="J396" s="16" t="n">
        <v>97.78579999999999</v>
      </c>
      <c r="K396" s="10" t="inlineStr">
        <is>
          <t>217</t>
        </is>
      </c>
      <c r="L396" s="16" t="n">
        <v>79.3137</v>
      </c>
      <c r="M396" s="10" t="inlineStr">
        <is>
          <t>217</t>
        </is>
      </c>
      <c r="N396" s="16" t="n">
        <v>100.722</v>
      </c>
      <c r="O396" s="16" t="n">
        <v>314.556</v>
      </c>
      <c r="P396" s="10" t="inlineStr">
        <is>
          <t>217</t>
        </is>
      </c>
      <c r="Q396" s="16" t="n">
        <v>2.4046</v>
      </c>
      <c r="R396" s="10">
        <f>MAX(MAX(1.4/'Parametros'!$B$3,0.25*SQRT('Parametros'!$B$2)/'Parametros'!$B$3)*H396*U396,(0.85*'Parametros'!$B$2/'Parametros'!$B$3)*(1-SQRT(1-2*(J396*1000000/('Parametros'!$B$5*H396*U396^2))/(0.85*'Parametros'!$B$2)))*H396*U396)</f>
        <v>802.604835576778</v>
      </c>
      <c r="S396" s="17" t="n">
        <v>5</v>
      </c>
      <c r="T396" s="18" t="n">
        <v>1</v>
      </c>
      <c r="U396" s="10">
        <f>IF(T396=1,I396-('Parametros'!$B$7+'Parametros'!$B$9+'Parametros'!$B$12/2),I396-(ROUNDUP(S396/2,0)*('Parametros'!$B$7+'Parametros'!$B$9+'Parametros'!$B$12/2)+ROUNDDOWN(S396/2,0)*('Parametros'!$B$7+'Parametros'!$B$9+'Parametros'!$B$12/2+'Parametros'!$B$12+'Parametros'!$B$10))/S396)</f>
        <v>342.55</v>
      </c>
      <c r="V396" s="10">
        <f>S396*'Parametros'!$B$8</f>
        <v>995</v>
      </c>
      <c r="W396" s="10">
        <f>'Parametros'!$B$5*V396*'Parametros'!$B$3*(U396-(V396*'Parametros'!$B$3/(0.85*'Parametros'!$B$2*H396))/2)/1000000</f>
        <v>119.402124617647</v>
      </c>
      <c r="X396" s="10" t="str">
        <f>IF(W396&gt;=J396,"CUMPLE","NO CUMPLE")</f>
        <v>CUMPLE</v>
      </c>
      <c r="Y396" s="10">
        <f>MAX(MAX(1.4/'Parametros'!$B$3,0.25*SQRT('Parametros'!$B$2)/'Parametros'!$B$3)*H396*AB396,(0.85*'Parametros'!$B$2/'Parametros'!$B$3)*(1-SQRT(1-2*(L396*1000000/('Parametros'!$B$5*H396*AB396^2))/(0.85*'Parametros'!$B$2)))*H396*AB396)</f>
        <v>642.961426625105</v>
      </c>
      <c r="Z396" s="17" t="n">
        <v>4</v>
      </c>
      <c r="AA396" s="18" t="n">
        <v>1</v>
      </c>
      <c r="AB396" s="10">
        <f>IF(AA396=1,I396-('Parametros'!$B$7+'Parametros'!$B$9+'Parametros'!$B$12/2),I396-(ROUNDUP(Z396/2,0)*('Parametros'!$B$7+'Parametros'!$B$9+'Parametros'!$B$12/2)+ROUNDDOWN(Z396/2,0)*('Parametros'!$B$7+'Parametros'!$B$9+'Parametros'!$B$12/2+'Parametros'!$B$12+'Parametros'!$B$10))/Z396)</f>
        <v>342.55</v>
      </c>
      <c r="AC396" s="10">
        <f>Z396*'Parametros'!$B$8</f>
        <v>796</v>
      </c>
      <c r="AD396" s="10">
        <f>'Parametros'!$B$5*AC396*'Parametros'!$B$3*(AB396-(AC396*'Parametros'!$B$3/(0.85*'Parametros'!$B$2*H396))/2)/1000000</f>
        <v>97.0311966352941</v>
      </c>
      <c r="AE396" s="10" t="str">
        <f>IF(AD396&gt;=L396,"CUMPLE","NO CUMPLE")</f>
        <v>CUMPLE</v>
      </c>
      <c r="AF396" s="10">
        <f>V396*1.25*'Parametros'!$B$3*(U396-(V396*1.25*'Parametros'!$B$3/(0.85*'Parametros'!$B$2*H396))/2)/1000000</f>
        <v>162.560466176471</v>
      </c>
      <c r="AG396" s="10">
        <f>AC396*1.25*'Parametros'!$B$3*(AB396-(AC396*1.25*'Parametros'!$B$3/(0.85*'Parametros'!$B$2*H396))/2)/1000000</f>
        <v>132.669027352941</v>
      </c>
      <c r="AH396" s="10">
        <f>N396+(AF396+AG396)/D396</f>
        <v>206.161104831933</v>
      </c>
      <c r="AI396" s="10">
        <f>MIN(O396,MAX(N396,AH396))</f>
        <v>206.161104831933</v>
      </c>
      <c r="AJ396" s="10">
        <f>0.17*SQRT('Parametros'!$B$2)*H396*MIN(U396,AB396)/1000</f>
        <v>107.849951281016</v>
      </c>
      <c r="AK396" s="10">
        <f>MAX(AI396/'Parametros'!$B$6-AJ396,0)</f>
        <v>167.031521828228</v>
      </c>
      <c r="AL396" s="10">
        <f>0.66*SQRT('Parametros'!$B$2)*H396*MIN(U396,AB396)/1000</f>
        <v>418.711575561591</v>
      </c>
      <c r="AM396" s="10" t="str">
        <f>IF(AK396&lt;=AL396,"CUMPLE","NO CUMPLE")</f>
        <v>CUMPLE</v>
      </c>
      <c r="AN396" s="15" t="inlineStr">
        <is>
          <t>Nº3 cerrado</t>
        </is>
      </c>
      <c r="AO396" s="17" t="n">
        <v>2</v>
      </c>
      <c r="AP396" s="10">
        <f>ROUNDDOWN(MIN(IF(AK396=0,1000000000,AO396*'Parametros'!$B$11*'Parametros'!$B$4*MIN(U396,AB396)/(AK396*1000)),IF(AV396=0,1000000000,'Parametros'!$B$11/AV396),MIN(U396,AB396)/4,8*'Parametros'!$B$12,24*'Parametros'!$B$9,300)/10,0)*10</f>
        <v>80</v>
      </c>
      <c r="AQ396" s="10">
        <f>ROUNDDOWN(MIN(IF(AK396=0,1000000000,AO396*'Parametros'!$B$11*'Parametros'!$B$4*MIN(U396,AB396)/(AK396*1000)),IF(AV396=0,1000000000,'Parametros'!$B$11/AV396),MIN(U396,AB396)/2,600)/10,0)*10</f>
        <v>120</v>
      </c>
      <c r="AR396" s="10">
        <f>'Parametros'!$B$6*(AJ396+AO396*'Parametros'!$B$11*'Parametros'!$B$4*MIN(U396,AB396)/AP396/1000)</f>
        <v>272.415732210762</v>
      </c>
      <c r="AS396" s="10" t="str">
        <f>IF(AND(AM396="CUMPLE",AR396&gt;=AI396),"CUMPLE","NO CUMPLE")</f>
        <v>CUMPLE</v>
      </c>
      <c r="AT396" s="10">
        <f>'Parametros'!$B$6*0.083*SQRT('Parametros'!$B$2)*(H396*I396)^2/(2*(H396+I396))/1000000</f>
        <v>4.30410823283988</v>
      </c>
      <c r="AU396" s="10" t="str">
        <f>IF(Q396&lt;=AT396,"DESPRECIABLE","DISEÑAR")</f>
        <v>DESPRECIABLE</v>
      </c>
      <c r="AV396" s="10">
        <f>IF(Q396&lt;=AT396,0,Q396*1000000/('Parametros'!$B$6*2*0.85*(H396-2*'Parametros'!$B$7)*(I396-2*'Parametros'!$B$7)*'Parametros'!$B$4))</f>
        <v>0</v>
      </c>
      <c r="AW396" s="10">
        <f>AV396*2*((H396-2*'Parametros'!$B$7)+(I396-2*'Parametros'!$B$7))*'Parametros'!$B$4/'Parametros'!$B$3</f>
        <v>0</v>
      </c>
      <c r="AX396" s="17" t="n">
        <v>0</v>
      </c>
      <c r="AY396" s="10" t="str">
        <f>IF(AV396=0,"DESPRECIABLE",IF('Parametros'!$B$11/AP396&gt;=AV396,"CUMPLE","NO CUMPLE"))</f>
        <v>DESPRECIABLE</v>
      </c>
      <c r="AZ396" s="10" t="str">
        <f>IF(AND(X396="CUMPLE",AE396="CUMPLE",AS396="CUMPLE",OR(AY396="CUMPLE",AY396="DESPRECIABLE")),IF(OR(F396&lt;&gt;H396,G396&lt;&gt;I396),"CUMPLE - REANALIZAR SAP","CUMPLE"),"NO CUMPLE")</f>
        <v>CUMPLE</v>
      </c>
    </row>
    <row r="397">
      <c r="A397" s="26" t="inlineStr">
        <is>
          <t>VR2</t>
        </is>
      </c>
      <c r="B397" s="26" t="inlineStr">
        <is>
          <t>218</t>
        </is>
      </c>
      <c r="C397" s="10" t="n">
        <v>1</v>
      </c>
      <c r="D397" s="10" t="n">
        <v>4.17612</v>
      </c>
      <c r="E397" s="10" t="n">
        <v>4.17612</v>
      </c>
      <c r="F397" s="10" t="n">
        <v>350</v>
      </c>
      <c r="G397" s="10" t="n">
        <v>400</v>
      </c>
      <c r="H397" s="15" t="n">
        <v>350</v>
      </c>
      <c r="I397" s="15" t="n">
        <v>400</v>
      </c>
      <c r="J397" s="16" t="n">
        <v>115.6861</v>
      </c>
      <c r="K397" s="10" t="inlineStr">
        <is>
          <t>218</t>
        </is>
      </c>
      <c r="L397" s="16" t="n">
        <v>54.2012</v>
      </c>
      <c r="M397" s="10" t="inlineStr">
        <is>
          <t>218</t>
        </is>
      </c>
      <c r="N397" s="16" t="n">
        <v>92.572</v>
      </c>
      <c r="O397" s="16" t="n">
        <v>238.644</v>
      </c>
      <c r="P397" s="10" t="inlineStr">
        <is>
          <t>218</t>
        </is>
      </c>
      <c r="Q397" s="16" t="n">
        <v>0.1594</v>
      </c>
      <c r="R397" s="10">
        <f>MAX(MAX(1.4/'Parametros'!$B$3,0.25*SQRT('Parametros'!$B$2)/'Parametros'!$B$3)*H397*U397,(0.85*'Parametros'!$B$2/'Parametros'!$B$3)*(1-SQRT(1-2*(J397*1000000/('Parametros'!$B$5*H397*U397^2))/(0.85*'Parametros'!$B$2)))*H397*U397)</f>
        <v>961.473930871522</v>
      </c>
      <c r="S397" s="17" t="n">
        <v>5</v>
      </c>
      <c r="T397" s="18" t="n">
        <v>1</v>
      </c>
      <c r="U397" s="10">
        <f>IF(T397=1,I397-('Parametros'!$B$7+'Parametros'!$B$9+'Parametros'!$B$12/2),I397-(ROUNDUP(S397/2,0)*('Parametros'!$B$7+'Parametros'!$B$9+'Parametros'!$B$12/2)+ROUNDDOWN(S397/2,0)*('Parametros'!$B$7+'Parametros'!$B$9+'Parametros'!$B$12/2+'Parametros'!$B$12+'Parametros'!$B$10))/S397)</f>
        <v>342.55</v>
      </c>
      <c r="V397" s="10">
        <f>S397*'Parametros'!$B$8</f>
        <v>995</v>
      </c>
      <c r="W397" s="10">
        <f>'Parametros'!$B$5*V397*'Parametros'!$B$3*(U397-(V397*'Parametros'!$B$3/(0.85*'Parametros'!$B$2*H397))/2)/1000000</f>
        <v>119.402124617647</v>
      </c>
      <c r="X397" s="10" t="str">
        <f>IF(W397&gt;=J397,"CUMPLE","NO CUMPLE")</f>
        <v>CUMPLE</v>
      </c>
      <c r="Y397" s="10">
        <f>MAX(MAX(1.4/'Parametros'!$B$3,0.25*SQRT('Parametros'!$B$2)/'Parametros'!$B$3)*H397*AB397,(0.85*'Parametros'!$B$2/'Parametros'!$B$3)*(1-SQRT(1-2*(L397*1000000/('Parametros'!$B$5*H397*AB397^2))/(0.85*'Parametros'!$B$2)))*H397*AB397)</f>
        <v>432.351118718146</v>
      </c>
      <c r="Z397" s="17" t="n">
        <v>3</v>
      </c>
      <c r="AA397" s="18" t="n">
        <v>1</v>
      </c>
      <c r="AB397" s="10">
        <f>IF(AA397=1,I397-('Parametros'!$B$7+'Parametros'!$B$9+'Parametros'!$B$12/2),I397-(ROUNDUP(Z397/2,0)*('Parametros'!$B$7+'Parametros'!$B$9+'Parametros'!$B$12/2)+ROUNDDOWN(Z397/2,0)*('Parametros'!$B$7+'Parametros'!$B$9+'Parametros'!$B$12/2+'Parametros'!$B$12+'Parametros'!$B$10))/Z397)</f>
        <v>342.55</v>
      </c>
      <c r="AC397" s="10">
        <f>Z397*'Parametros'!$B$8</f>
        <v>597</v>
      </c>
      <c r="AD397" s="10">
        <f>'Parametros'!$B$5*AC397*'Parametros'!$B$3*(AB397-(AC397*'Parametros'!$B$3/(0.85*'Parametros'!$B$2*H397))/2)/1000000</f>
        <v>73.905520182353</v>
      </c>
      <c r="AE397" s="10" t="str">
        <f>IF(AD397&gt;=L397,"CUMPLE","NO CUMPLE")</f>
        <v>CUMPLE</v>
      </c>
      <c r="AF397" s="10">
        <f>V397*1.25*'Parametros'!$B$3*(U397-(V397*1.25*'Parametros'!$B$3/(0.85*'Parametros'!$B$2*H397))/2)/1000000</f>
        <v>162.560466176471</v>
      </c>
      <c r="AG397" s="10">
        <f>AC397*1.25*'Parametros'!$B$3*(AB397-(AC397*1.25*'Parametros'!$B$3/(0.85*'Parametros'!$B$2*H397))/2)/1000000</f>
        <v>101.467261323529</v>
      </c>
      <c r="AH397" s="10">
        <f>N397+(AF397+AG397)/D397</f>
        <v>155.795213772593</v>
      </c>
      <c r="AI397" s="10">
        <f>MIN(O397,MAX(N397,AH397))</f>
        <v>155.795213772593</v>
      </c>
      <c r="AJ397" s="10">
        <f>0.17*SQRT('Parametros'!$B$2)*H397*MIN(U397,AB397)/1000</f>
        <v>107.849951281016</v>
      </c>
      <c r="AK397" s="10">
        <f>MAX(AI397/'Parametros'!$B$6-AJ397,0)</f>
        <v>99.8770004157744</v>
      </c>
      <c r="AL397" s="10">
        <f>0.66*SQRT('Parametros'!$B$2)*H397*MIN(U397,AB397)/1000</f>
        <v>418.711575561591</v>
      </c>
      <c r="AM397" s="10" t="str">
        <f>IF(AK397&lt;=AL397,"CUMPLE","NO CUMPLE")</f>
        <v>CUMPLE</v>
      </c>
      <c r="AN397" s="15" t="inlineStr">
        <is>
          <t>Nº3 cerrado</t>
        </is>
      </c>
      <c r="AO397" s="17" t="n">
        <v>2</v>
      </c>
      <c r="AP397" s="10">
        <f>ROUNDDOWN(MIN(IF(AK397=0,1000000000,AO397*'Parametros'!$B$11*'Parametros'!$B$4*MIN(U397,AB397)/(AK397*1000)),IF(AV397=0,1000000000,'Parametros'!$B$11/AV397),MIN(U397,AB397)/4,8*'Parametros'!$B$12,24*'Parametros'!$B$9,300)/10,0)*10</f>
        <v>80</v>
      </c>
      <c r="AQ397" s="10">
        <f>ROUNDDOWN(MIN(IF(AK397=0,1000000000,AO397*'Parametros'!$B$11*'Parametros'!$B$4*MIN(U397,AB397)/(AK397*1000)),IF(AV397=0,1000000000,'Parametros'!$B$11/AV397),MIN(U397,AB397)/2,600)/10,0)*10</f>
        <v>170</v>
      </c>
      <c r="AR397" s="10">
        <f>'Parametros'!$B$6*(AJ397+AO397*'Parametros'!$B$11*'Parametros'!$B$4*MIN(U397,AB397)/AP397/1000)</f>
        <v>272.415732210762</v>
      </c>
      <c r="AS397" s="10" t="str">
        <f>IF(AND(AM397="CUMPLE",AR397&gt;=AI397),"CUMPLE","NO CUMPLE")</f>
        <v>CUMPLE</v>
      </c>
      <c r="AT397" s="10">
        <f>'Parametros'!$B$6*0.083*SQRT('Parametros'!$B$2)*(H397*I397)^2/(2*(H397+I397))/1000000</f>
        <v>4.30410823283988</v>
      </c>
      <c r="AU397" s="10" t="str">
        <f>IF(Q397&lt;=AT397,"DESPRECIABLE","DISEÑAR")</f>
        <v>DESPRECIABLE</v>
      </c>
      <c r="AV397" s="10">
        <f>IF(Q397&lt;=AT397,0,Q397*1000000/('Parametros'!$B$6*2*0.85*(H397-2*'Parametros'!$B$7)*(I397-2*'Parametros'!$B$7)*'Parametros'!$B$4))</f>
        <v>0</v>
      </c>
      <c r="AW397" s="10">
        <f>AV397*2*((H397-2*'Parametros'!$B$7)+(I397-2*'Parametros'!$B$7))*'Parametros'!$B$4/'Parametros'!$B$3</f>
        <v>0</v>
      </c>
      <c r="AX397" s="17" t="n">
        <v>0</v>
      </c>
      <c r="AY397" s="10" t="str">
        <f>IF(AV397=0,"DESPRECIABLE",IF('Parametros'!$B$11/AP397&gt;=AV397,"CUMPLE","NO CUMPLE"))</f>
        <v>DESPRECIABLE</v>
      </c>
      <c r="AZ397" s="10" t="str">
        <f>IF(AND(X397="CUMPLE",AE397="CUMPLE",AS397="CUMPLE",OR(AY397="CUMPLE",AY397="DESPRECIABLE")),IF(OR(F397&lt;&gt;H397,G397&lt;&gt;I397),"CUMPLE - REANALIZAR SAP","CUMPLE"),"NO CUMPLE")</f>
        <v>CUMPLE</v>
      </c>
    </row>
    <row r="398">
      <c r="A398" s="26" t="inlineStr">
        <is>
          <t>VR2</t>
        </is>
      </c>
      <c r="B398" s="26" t="inlineStr">
        <is>
          <t>219</t>
        </is>
      </c>
      <c r="C398" s="10" t="n">
        <v>1</v>
      </c>
      <c r="D398" s="10" t="n">
        <v>2.5</v>
      </c>
      <c r="E398" s="10" t="n">
        <v>2.5</v>
      </c>
      <c r="F398" s="10" t="n">
        <v>350</v>
      </c>
      <c r="G398" s="10" t="n">
        <v>400</v>
      </c>
      <c r="H398" s="15" t="n">
        <v>350</v>
      </c>
      <c r="I398" s="15" t="n">
        <v>400</v>
      </c>
      <c r="J398" s="16" t="n">
        <v>117.9868</v>
      </c>
      <c r="K398" s="10" t="inlineStr">
        <is>
          <t>219</t>
        </is>
      </c>
      <c r="L398" s="16" t="n">
        <v>92.7927</v>
      </c>
      <c r="M398" s="10" t="inlineStr">
        <is>
          <t>219</t>
        </is>
      </c>
      <c r="N398" s="16" t="n">
        <v>116.087</v>
      </c>
      <c r="O398" s="16" t="n">
        <v>428.272</v>
      </c>
      <c r="P398" s="10" t="inlineStr">
        <is>
          <t>219</t>
        </is>
      </c>
      <c r="Q398" s="16" t="n">
        <v>1.4338</v>
      </c>
      <c r="R398" s="10">
        <f>MAX(MAX(1.4/'Parametros'!$B$3,0.25*SQRT('Parametros'!$B$2)/'Parametros'!$B$3)*H398*U398,(0.85*'Parametros'!$B$2/'Parametros'!$B$3)*(1-SQRT(1-2*(J398*1000000/('Parametros'!$B$5*H398*U398^2))/(0.85*'Parametros'!$B$2)))*H398*U398)</f>
        <v>982.2081021154</v>
      </c>
      <c r="S398" s="17" t="n">
        <v>5</v>
      </c>
      <c r="T398" s="18" t="n">
        <v>1</v>
      </c>
      <c r="U398" s="10">
        <f>IF(T398=1,I398-('Parametros'!$B$7+'Parametros'!$B$9+'Parametros'!$B$12/2),I398-(ROUNDUP(S398/2,0)*('Parametros'!$B$7+'Parametros'!$B$9+'Parametros'!$B$12/2)+ROUNDDOWN(S398/2,0)*('Parametros'!$B$7+'Parametros'!$B$9+'Parametros'!$B$12/2+'Parametros'!$B$12+'Parametros'!$B$10))/S398)</f>
        <v>342.55</v>
      </c>
      <c r="V398" s="10">
        <f>S398*'Parametros'!$B$8</f>
        <v>995</v>
      </c>
      <c r="W398" s="10">
        <f>'Parametros'!$B$5*V398*'Parametros'!$B$3*(U398-(V398*'Parametros'!$B$3/(0.85*'Parametros'!$B$2*H398))/2)/1000000</f>
        <v>119.402124617647</v>
      </c>
      <c r="X398" s="10" t="str">
        <f>IF(W398&gt;=J398,"CUMPLE","NO CUMPLE")</f>
        <v>CUMPLE</v>
      </c>
      <c r="Y398" s="10">
        <f>MAX(MAX(1.4/'Parametros'!$B$3,0.25*SQRT('Parametros'!$B$2)/'Parametros'!$B$3)*H398*AB398,(0.85*'Parametros'!$B$2/'Parametros'!$B$3)*(1-SQRT(1-2*(L398*1000000/('Parametros'!$B$5*H398*AB398^2))/(0.85*'Parametros'!$B$2)))*H398*AB398)</f>
        <v>759.035933176015</v>
      </c>
      <c r="Z398" s="17" t="n">
        <v>4</v>
      </c>
      <c r="AA398" s="18" t="n">
        <v>1</v>
      </c>
      <c r="AB398" s="10">
        <f>IF(AA398=1,I398-('Parametros'!$B$7+'Parametros'!$B$9+'Parametros'!$B$12/2),I398-(ROUNDUP(Z398/2,0)*('Parametros'!$B$7+'Parametros'!$B$9+'Parametros'!$B$12/2)+ROUNDDOWN(Z398/2,0)*('Parametros'!$B$7+'Parametros'!$B$9+'Parametros'!$B$12/2+'Parametros'!$B$12+'Parametros'!$B$10))/Z398)</f>
        <v>342.55</v>
      </c>
      <c r="AC398" s="10">
        <f>Z398*'Parametros'!$B$8</f>
        <v>796</v>
      </c>
      <c r="AD398" s="10">
        <f>'Parametros'!$B$5*AC398*'Parametros'!$B$3*(AB398-(AC398*'Parametros'!$B$3/(0.85*'Parametros'!$B$2*H398))/2)/1000000</f>
        <v>97.0311966352941</v>
      </c>
      <c r="AE398" s="10" t="str">
        <f>IF(AD398&gt;=L398,"CUMPLE","NO CUMPLE")</f>
        <v>CUMPLE</v>
      </c>
      <c r="AF398" s="10">
        <f>V398*1.25*'Parametros'!$B$3*(U398-(V398*1.25*'Parametros'!$B$3/(0.85*'Parametros'!$B$2*H398))/2)/1000000</f>
        <v>162.560466176471</v>
      </c>
      <c r="AG398" s="10">
        <f>AC398*1.25*'Parametros'!$B$3*(AB398-(AC398*1.25*'Parametros'!$B$3/(0.85*'Parametros'!$B$2*H398))/2)/1000000</f>
        <v>132.669027352941</v>
      </c>
      <c r="AH398" s="10">
        <f>N398+(AF398+AG398)/D398</f>
        <v>234.178797411765</v>
      </c>
      <c r="AI398" s="10">
        <f>MIN(O398,MAX(N398,AH398))</f>
        <v>234.178797411765</v>
      </c>
      <c r="AJ398" s="10">
        <f>0.17*SQRT('Parametros'!$B$2)*H398*MIN(U398,AB398)/1000</f>
        <v>107.849951281016</v>
      </c>
      <c r="AK398" s="10">
        <f>MAX(AI398/'Parametros'!$B$6-AJ398,0)</f>
        <v>204.388445268004</v>
      </c>
      <c r="AL398" s="10">
        <f>0.66*SQRT('Parametros'!$B$2)*H398*MIN(U398,AB398)/1000</f>
        <v>418.711575561591</v>
      </c>
      <c r="AM398" s="10" t="str">
        <f>IF(AK398&lt;=AL398,"CUMPLE","NO CUMPLE")</f>
        <v>CUMPLE</v>
      </c>
      <c r="AN398" s="15" t="inlineStr">
        <is>
          <t>Nº3 cerrado</t>
        </is>
      </c>
      <c r="AO398" s="17" t="n">
        <v>2</v>
      </c>
      <c r="AP398" s="10">
        <f>ROUNDDOWN(MIN(IF(AK398=0,1000000000,AO398*'Parametros'!$B$11*'Parametros'!$B$4*MIN(U398,AB398)/(AK398*1000)),IF(AV398=0,1000000000,'Parametros'!$B$11/AV398),MIN(U398,AB398)/4,8*'Parametros'!$B$12,24*'Parametros'!$B$9,300)/10,0)*10</f>
        <v>80</v>
      </c>
      <c r="AQ398" s="10">
        <f>ROUNDDOWN(MIN(IF(AK398=0,1000000000,AO398*'Parametros'!$B$11*'Parametros'!$B$4*MIN(U398,AB398)/(AK398*1000)),IF(AV398=0,1000000000,'Parametros'!$B$11/AV398),MIN(U398,AB398)/2,600)/10,0)*10</f>
        <v>90</v>
      </c>
      <c r="AR398" s="10">
        <f>'Parametros'!$B$6*(AJ398+AO398*'Parametros'!$B$11*'Parametros'!$B$4*MIN(U398,AB398)/AP398/1000)</f>
        <v>272.415732210762</v>
      </c>
      <c r="AS398" s="10" t="str">
        <f>IF(AND(AM398="CUMPLE",AR398&gt;=AI398),"CUMPLE","NO CUMPLE")</f>
        <v>CUMPLE</v>
      </c>
      <c r="AT398" s="10">
        <f>'Parametros'!$B$6*0.083*SQRT('Parametros'!$B$2)*(H398*I398)^2/(2*(H398+I398))/1000000</f>
        <v>4.30410823283988</v>
      </c>
      <c r="AU398" s="10" t="str">
        <f>IF(Q398&lt;=AT398,"DESPRECIABLE","DISEÑAR")</f>
        <v>DESPRECIABLE</v>
      </c>
      <c r="AV398" s="10">
        <f>IF(Q398&lt;=AT398,0,Q398*1000000/('Parametros'!$B$6*2*0.85*(H398-2*'Parametros'!$B$7)*(I398-2*'Parametros'!$B$7)*'Parametros'!$B$4))</f>
        <v>0</v>
      </c>
      <c r="AW398" s="10">
        <f>AV398*2*((H398-2*'Parametros'!$B$7)+(I398-2*'Parametros'!$B$7))*'Parametros'!$B$4/'Parametros'!$B$3</f>
        <v>0</v>
      </c>
      <c r="AX398" s="17" t="n">
        <v>0</v>
      </c>
      <c r="AY398" s="10" t="str">
        <f>IF(AV398=0,"DESPRECIABLE",IF('Parametros'!$B$11/AP398&gt;=AV398,"CUMPLE","NO CUMPLE"))</f>
        <v>DESPRECIABLE</v>
      </c>
      <c r="AZ398" s="10" t="str">
        <f>IF(AND(X398="CUMPLE",AE398="CUMPLE",AS398="CUMPLE",OR(AY398="CUMPLE",AY398="DESPRECIABLE")),IF(OR(F398&lt;&gt;H398,G398&lt;&gt;I398),"CUMPLE - REANALIZAR SAP","CUMPLE"),"NO CUMPLE")</f>
        <v>CUMPLE</v>
      </c>
    </row>
    <row r="399">
      <c r="A399" s="26" t="inlineStr">
        <is>
          <t>VR2</t>
        </is>
      </c>
      <c r="B399" s="26" t="inlineStr">
        <is>
          <t>220</t>
        </is>
      </c>
      <c r="C399" s="10" t="n">
        <v>1</v>
      </c>
      <c r="D399" s="10" t="n">
        <v>2.6</v>
      </c>
      <c r="E399" s="10" t="n">
        <v>2.6</v>
      </c>
      <c r="F399" s="10" t="n">
        <v>350</v>
      </c>
      <c r="G399" s="10" t="n">
        <v>400</v>
      </c>
      <c r="H399" s="15" t="n">
        <v>350</v>
      </c>
      <c r="I399" s="15" t="n">
        <v>400</v>
      </c>
      <c r="J399" s="16" t="n">
        <v>122.7249</v>
      </c>
      <c r="K399" s="10" t="inlineStr">
        <is>
          <t>220</t>
        </is>
      </c>
      <c r="L399" s="16" t="n">
        <v>86.967</v>
      </c>
      <c r="M399" s="10" t="inlineStr">
        <is>
          <t>220</t>
        </is>
      </c>
      <c r="N399" s="16" t="n">
        <v>122.004</v>
      </c>
      <c r="O399" s="16" t="n">
        <v>429.883</v>
      </c>
      <c r="P399" s="10" t="inlineStr">
        <is>
          <t>220</t>
        </is>
      </c>
      <c r="Q399" s="16" t="n">
        <v>7.7992</v>
      </c>
      <c r="R399" s="10">
        <f>MAX(MAX(1.4/'Parametros'!$B$3,0.25*SQRT('Parametros'!$B$2)/'Parametros'!$B$3)*H399*U399,(0.85*'Parametros'!$B$2/'Parametros'!$B$3)*(1-SQRT(1-2*(J399*1000000/('Parametros'!$B$5*H399*U399^2))/(0.85*'Parametros'!$B$2)))*H399*U399)</f>
        <v>1025.14316625925</v>
      </c>
      <c r="S399" s="17" t="n">
        <v>6</v>
      </c>
      <c r="T399" s="18" t="n">
        <v>1</v>
      </c>
      <c r="U399" s="10">
        <f>IF(T399=1,I399-('Parametros'!$B$7+'Parametros'!$B$9+'Parametros'!$B$12/2),I399-(ROUNDUP(S399/2,0)*('Parametros'!$B$7+'Parametros'!$B$9+'Parametros'!$B$12/2)+ROUNDDOWN(S399/2,0)*('Parametros'!$B$7+'Parametros'!$B$9+'Parametros'!$B$12/2+'Parametros'!$B$12+'Parametros'!$B$10))/S399)</f>
        <v>342.55</v>
      </c>
      <c r="V399" s="10">
        <f>S399*'Parametros'!$B$8</f>
        <v>1194</v>
      </c>
      <c r="W399" s="10">
        <f>'Parametros'!$B$5*V399*'Parametros'!$B$3*(U399-(V399*'Parametros'!$B$3/(0.85*'Parametros'!$B$2*H399))/2)/1000000</f>
        <v>141.018304129412</v>
      </c>
      <c r="X399" s="10" t="str">
        <f>IF(W399&gt;=J399,"CUMPLE","NO CUMPLE")</f>
        <v>CUMPLE</v>
      </c>
      <c r="Y399" s="10">
        <f>MAX(MAX(1.4/'Parametros'!$B$3,0.25*SQRT('Parametros'!$B$2)/'Parametros'!$B$3)*H399*AB399,(0.85*'Parametros'!$B$2/'Parametros'!$B$3)*(1-SQRT(1-2*(L399*1000000/('Parametros'!$B$5*H399*AB399^2))/(0.85*'Parametros'!$B$2)))*H399*AB399)</f>
        <v>708.596198769533</v>
      </c>
      <c r="Z399" s="17" t="n">
        <v>4</v>
      </c>
      <c r="AA399" s="18" t="n">
        <v>1</v>
      </c>
      <c r="AB399" s="10">
        <f>IF(AA399=1,I399-('Parametros'!$B$7+'Parametros'!$B$9+'Parametros'!$B$12/2),I399-(ROUNDUP(Z399/2,0)*('Parametros'!$B$7+'Parametros'!$B$9+'Parametros'!$B$12/2)+ROUNDDOWN(Z399/2,0)*('Parametros'!$B$7+'Parametros'!$B$9+'Parametros'!$B$12/2+'Parametros'!$B$12+'Parametros'!$B$10))/Z399)</f>
        <v>342.55</v>
      </c>
      <c r="AC399" s="10">
        <f>Z399*'Parametros'!$B$8</f>
        <v>796</v>
      </c>
      <c r="AD399" s="10">
        <f>'Parametros'!$B$5*AC399*'Parametros'!$B$3*(AB399-(AC399*'Parametros'!$B$3/(0.85*'Parametros'!$B$2*H399))/2)/1000000</f>
        <v>97.0311966352941</v>
      </c>
      <c r="AE399" s="10" t="str">
        <f>IF(AD399&gt;=L399,"CUMPLE","NO CUMPLE")</f>
        <v>CUMPLE</v>
      </c>
      <c r="AF399" s="10">
        <f>V399*1.25*'Parametros'!$B$3*(U399-(V399*1.25*'Parametros'!$B$3/(0.85*'Parametros'!$B$2*H399))/2)/1000000</f>
        <v>191.141577794118</v>
      </c>
      <c r="AG399" s="10">
        <f>AC399*1.25*'Parametros'!$B$3*(AB399-(AC399*1.25*'Parametros'!$B$3/(0.85*'Parametros'!$B$2*H399))/2)/1000000</f>
        <v>132.669027352941</v>
      </c>
      <c r="AH399" s="10">
        <f>N399+(AF399+AG399)/D399</f>
        <v>246.546540441176</v>
      </c>
      <c r="AI399" s="10">
        <f>MIN(O399,MAX(N399,AH399))</f>
        <v>246.546540441176</v>
      </c>
      <c r="AJ399" s="10">
        <f>0.17*SQRT('Parametros'!$B$2)*H399*MIN(U399,AB399)/1000</f>
        <v>107.849951281016</v>
      </c>
      <c r="AK399" s="10">
        <f>MAX(AI399/'Parametros'!$B$6-AJ399,0)</f>
        <v>220.878769307219</v>
      </c>
      <c r="AL399" s="10">
        <f>0.66*SQRT('Parametros'!$B$2)*H399*MIN(U399,AB399)/1000</f>
        <v>418.711575561591</v>
      </c>
      <c r="AM399" s="10" t="str">
        <f>IF(AK399&lt;=AL399,"CUMPLE","NO CUMPLE")</f>
        <v>CUMPLE</v>
      </c>
      <c r="AN399" s="15" t="inlineStr">
        <is>
          <t>Nº3 cerrado</t>
        </is>
      </c>
      <c r="AO399" s="17" t="n">
        <v>2</v>
      </c>
      <c r="AP399" s="10">
        <f>ROUNDDOWN(MIN(IF(AK399=0,1000000000,AO399*'Parametros'!$B$11*'Parametros'!$B$4*MIN(U399,AB399)/(AK399*1000)),IF(AV399=0,1000000000,'Parametros'!$B$11/AV399),MIN(U399,AB399)/4,8*'Parametros'!$B$12,24*'Parametros'!$B$9,300)/10,0)*10</f>
        <v>80</v>
      </c>
      <c r="AQ399" s="10">
        <f>ROUNDDOWN(MIN(IF(AK399=0,1000000000,AO399*'Parametros'!$B$11*'Parametros'!$B$4*MIN(U399,AB399)/(AK399*1000)),IF(AV399=0,1000000000,'Parametros'!$B$11/AV399),MIN(U399,AB399)/2,600)/10,0)*10</f>
        <v>90</v>
      </c>
      <c r="AR399" s="10">
        <f>'Parametros'!$B$6*(AJ399+AO399*'Parametros'!$B$11*'Parametros'!$B$4*MIN(U399,AB399)/AP399/1000)</f>
        <v>272.415732210762</v>
      </c>
      <c r="AS399" s="10" t="str">
        <f>IF(AND(AM399="CUMPLE",AR399&gt;=AI399),"CUMPLE","NO CUMPLE")</f>
        <v>CUMPLE</v>
      </c>
      <c r="AT399" s="10">
        <f>'Parametros'!$B$6*0.083*SQRT('Parametros'!$B$2)*(H399*I399)^2/(2*(H399+I399))/1000000</f>
        <v>4.30410823283988</v>
      </c>
      <c r="AU399" s="10" t="str">
        <f>IF(Q399&lt;=AT399,"DESPRECIABLE","DISEÑAR")</f>
        <v>DISEÑAR</v>
      </c>
      <c r="AV399" s="10">
        <f>IF(Q399&lt;=AT399,0,Q399*1000000/('Parametros'!$B$6*2*0.85*(H399-2*'Parametros'!$B$7)*(I399-2*'Parametros'!$B$7)*'Parametros'!$B$4))</f>
        <v>0.168568662032714</v>
      </c>
      <c r="AW399" s="10">
        <f>AV399*2*((H399-2*'Parametros'!$B$7)+(I399-2*'Parametros'!$B$7))*'Parametros'!$B$4/'Parametros'!$B$3</f>
        <v>198.911021198603</v>
      </c>
      <c r="AX399" s="17" t="n">
        <v>1</v>
      </c>
      <c r="AY399" s="10" t="str">
        <f>IF(AV399=0,"DESPRECIABLE",IF('Parametros'!$B$11/AP399&gt;=AV399,"CUMPLE","NO CUMPLE"))</f>
        <v>CUMPLE</v>
      </c>
      <c r="AZ399" s="10" t="str">
        <f>IF(AND(X399="CUMPLE",AE399="CUMPLE",AS399="CUMPLE",OR(AY399="CUMPLE",AY399="DESPRECIABLE")),IF(OR(F399&lt;&gt;H399,G399&lt;&gt;I399),"CUMPLE - REANALIZAR SAP","CUMPLE"),"NO CUMPLE")</f>
        <v>CUMPLE</v>
      </c>
    </row>
    <row r="400">
      <c r="A400" s="26" t="inlineStr">
        <is>
          <t>VR2</t>
        </is>
      </c>
      <c r="B400" s="26" t="inlineStr">
        <is>
          <t>221</t>
        </is>
      </c>
      <c r="C400" s="10" t="n">
        <v>1</v>
      </c>
      <c r="D400" s="10" t="n">
        <v>3.65308</v>
      </c>
      <c r="E400" s="10" t="n">
        <v>3.65308</v>
      </c>
      <c r="F400" s="10" t="n">
        <v>350</v>
      </c>
      <c r="G400" s="10" t="n">
        <v>400</v>
      </c>
      <c r="H400" s="15" t="n">
        <v>350</v>
      </c>
      <c r="I400" s="15" t="n">
        <v>400</v>
      </c>
      <c r="J400" s="16" t="n">
        <v>107.683</v>
      </c>
      <c r="K400" s="10" t="inlineStr">
        <is>
          <t>221</t>
        </is>
      </c>
      <c r="L400" s="16" t="n">
        <v>64.0147</v>
      </c>
      <c r="M400" s="10" t="inlineStr">
        <is>
          <t>221</t>
        </is>
      </c>
      <c r="N400" s="16" t="n">
        <v>82.197</v>
      </c>
      <c r="O400" s="16" t="n">
        <v>237.29</v>
      </c>
      <c r="P400" s="10" t="inlineStr">
        <is>
          <t>221</t>
        </is>
      </c>
      <c r="Q400" s="16" t="n">
        <v>7.8623</v>
      </c>
      <c r="R400" s="10">
        <f>MAX(MAX(1.4/'Parametros'!$B$3,0.25*SQRT('Parametros'!$B$2)/'Parametros'!$B$3)*H400*U400,(0.85*'Parametros'!$B$2/'Parametros'!$B$3)*(1-SQRT(1-2*(J400*1000000/('Parametros'!$B$5*H400*U400^2))/(0.85*'Parametros'!$B$2)))*H400*U400)</f>
        <v>889.916248269064</v>
      </c>
      <c r="S400" s="17" t="n">
        <v>5</v>
      </c>
      <c r="T400" s="18" t="n">
        <v>1</v>
      </c>
      <c r="U400" s="10">
        <f>IF(T400=1,I400-('Parametros'!$B$7+'Parametros'!$B$9+'Parametros'!$B$12/2),I400-(ROUNDUP(S400/2,0)*('Parametros'!$B$7+'Parametros'!$B$9+'Parametros'!$B$12/2)+ROUNDDOWN(S400/2,0)*('Parametros'!$B$7+'Parametros'!$B$9+'Parametros'!$B$12/2+'Parametros'!$B$12+'Parametros'!$B$10))/S400)</f>
        <v>342.55</v>
      </c>
      <c r="V400" s="10">
        <f>S400*'Parametros'!$B$8</f>
        <v>995</v>
      </c>
      <c r="W400" s="10">
        <f>'Parametros'!$B$5*V400*'Parametros'!$B$3*(U400-(V400*'Parametros'!$B$3/(0.85*'Parametros'!$B$2*H400))/2)/1000000</f>
        <v>119.402124617647</v>
      </c>
      <c r="X400" s="10" t="str">
        <f>IF(W400&gt;=J400,"CUMPLE","NO CUMPLE")</f>
        <v>CUMPLE</v>
      </c>
      <c r="Y400" s="10">
        <f>MAX(MAX(1.4/'Parametros'!$B$3,0.25*SQRT('Parametros'!$B$2)/'Parametros'!$B$3)*H400*AB400,(0.85*'Parametros'!$B$2/'Parametros'!$B$3)*(1-SQRT(1-2*(L400*1000000/('Parametros'!$B$5*H400*AB400^2))/(0.85*'Parametros'!$B$2)))*H400*AB400)</f>
        <v>513.81291475668</v>
      </c>
      <c r="Z400" s="17" t="n">
        <v>3</v>
      </c>
      <c r="AA400" s="18" t="n">
        <v>1</v>
      </c>
      <c r="AB400" s="10">
        <f>IF(AA400=1,I400-('Parametros'!$B$7+'Parametros'!$B$9+'Parametros'!$B$12/2),I400-(ROUNDUP(Z400/2,0)*('Parametros'!$B$7+'Parametros'!$B$9+'Parametros'!$B$12/2)+ROUNDDOWN(Z400/2,0)*('Parametros'!$B$7+'Parametros'!$B$9+'Parametros'!$B$12/2+'Parametros'!$B$12+'Parametros'!$B$10))/Z400)</f>
        <v>342.55</v>
      </c>
      <c r="AC400" s="10">
        <f>Z400*'Parametros'!$B$8</f>
        <v>597</v>
      </c>
      <c r="AD400" s="10">
        <f>'Parametros'!$B$5*AC400*'Parametros'!$B$3*(AB400-(AC400*'Parametros'!$B$3/(0.85*'Parametros'!$B$2*H400))/2)/1000000</f>
        <v>73.905520182353</v>
      </c>
      <c r="AE400" s="10" t="str">
        <f>IF(AD400&gt;=L400,"CUMPLE","NO CUMPLE")</f>
        <v>CUMPLE</v>
      </c>
      <c r="AF400" s="10">
        <f>V400*1.25*'Parametros'!$B$3*(U400-(V400*1.25*'Parametros'!$B$3/(0.85*'Parametros'!$B$2*H400))/2)/1000000</f>
        <v>162.560466176471</v>
      </c>
      <c r="AG400" s="10">
        <f>AC400*1.25*'Parametros'!$B$3*(AB400-(AC400*1.25*'Parametros'!$B$3/(0.85*'Parametros'!$B$2*H400))/2)/1000000</f>
        <v>101.467261323529</v>
      </c>
      <c r="AH400" s="10">
        <f>N400+(AF400+AG400)/D400</f>
        <v>154.472375162876</v>
      </c>
      <c r="AI400" s="10">
        <f>MIN(O400,MAX(N400,AH400))</f>
        <v>154.472375162876</v>
      </c>
      <c r="AJ400" s="10">
        <f>0.17*SQRT('Parametros'!$B$2)*H400*MIN(U400,AB400)/1000</f>
        <v>107.849951281016</v>
      </c>
      <c r="AK400" s="10">
        <f>MAX(AI400/'Parametros'!$B$6-AJ400,0)</f>
        <v>98.1132156028191</v>
      </c>
      <c r="AL400" s="10">
        <f>0.66*SQRT('Parametros'!$B$2)*H400*MIN(U400,AB400)/1000</f>
        <v>418.711575561591</v>
      </c>
      <c r="AM400" s="10" t="str">
        <f>IF(AK400&lt;=AL400,"CUMPLE","NO CUMPLE")</f>
        <v>CUMPLE</v>
      </c>
      <c r="AN400" s="15" t="inlineStr">
        <is>
          <t>Nº3 cerrado</t>
        </is>
      </c>
      <c r="AO400" s="17" t="n">
        <v>2</v>
      </c>
      <c r="AP400" s="10">
        <f>ROUNDDOWN(MIN(IF(AK400=0,1000000000,AO400*'Parametros'!$B$11*'Parametros'!$B$4*MIN(U400,AB400)/(AK400*1000)),IF(AV400=0,1000000000,'Parametros'!$B$11/AV400),MIN(U400,AB400)/4,8*'Parametros'!$B$12,24*'Parametros'!$B$9,300)/10,0)*10</f>
        <v>80</v>
      </c>
      <c r="AQ400" s="10">
        <f>ROUNDDOWN(MIN(IF(AK400=0,1000000000,AO400*'Parametros'!$B$11*'Parametros'!$B$4*MIN(U400,AB400)/(AK400*1000)),IF(AV400=0,1000000000,'Parametros'!$B$11/AV400),MIN(U400,AB400)/2,600)/10,0)*10</f>
        <v>170</v>
      </c>
      <c r="AR400" s="10">
        <f>'Parametros'!$B$6*(AJ400+AO400*'Parametros'!$B$11*'Parametros'!$B$4*MIN(U400,AB400)/AP400/1000)</f>
        <v>272.415732210762</v>
      </c>
      <c r="AS400" s="10" t="str">
        <f>IF(AND(AM400="CUMPLE",AR400&gt;=AI400),"CUMPLE","NO CUMPLE")</f>
        <v>CUMPLE</v>
      </c>
      <c r="AT400" s="10">
        <f>'Parametros'!$B$6*0.083*SQRT('Parametros'!$B$2)*(H400*I400)^2/(2*(H400+I400))/1000000</f>
        <v>4.30410823283988</v>
      </c>
      <c r="AU400" s="10" t="str">
        <f>IF(Q400&lt;=AT400,"DESPRECIABLE","DISEÑAR")</f>
        <v>DISEÑAR</v>
      </c>
      <c r="AV400" s="10">
        <f>IF(Q400&lt;=AT400,0,Q400*1000000/('Parametros'!$B$6*2*0.85*(H400-2*'Parametros'!$B$7)*(I400-2*'Parametros'!$B$7)*'Parametros'!$B$4))</f>
        <v>0.169932479164505</v>
      </c>
      <c r="AW400" s="10">
        <f>AV400*2*((H400-2*'Parametros'!$B$7)+(I400-2*'Parametros'!$B$7))*'Parametros'!$B$4/'Parametros'!$B$3</f>
        <v>200.520325414116</v>
      </c>
      <c r="AX400" s="17" t="n">
        <v>2</v>
      </c>
      <c r="AY400" s="10" t="str">
        <f>IF(AV400=0,"DESPRECIABLE",IF('Parametros'!$B$11/AP400&gt;=AV400,"CUMPLE","NO CUMPLE"))</f>
        <v>CUMPLE</v>
      </c>
      <c r="AZ400" s="10" t="str">
        <f>IF(AND(X400="CUMPLE",AE400="CUMPLE",AS400="CUMPLE",OR(AY400="CUMPLE",AY400="DESPRECIABLE")),IF(OR(F400&lt;&gt;H400,G400&lt;&gt;I400),"CUMPLE - REANALIZAR SAP","CUMPLE"),"NO CUMPLE")</f>
        <v>CUMPLE</v>
      </c>
    </row>
    <row r="401">
      <c r="A401" s="26" t="inlineStr">
        <is>
          <t>VR2</t>
        </is>
      </c>
      <c r="B401" s="26" t="inlineStr">
        <is>
          <t>222</t>
        </is>
      </c>
      <c r="C401" s="10" t="n">
        <v>1</v>
      </c>
      <c r="D401" s="10" t="n">
        <v>2.6</v>
      </c>
      <c r="E401" s="10" t="n">
        <v>2.6</v>
      </c>
      <c r="F401" s="10" t="n">
        <v>350</v>
      </c>
      <c r="G401" s="10" t="n">
        <v>400</v>
      </c>
      <c r="H401" s="15" t="n">
        <v>350</v>
      </c>
      <c r="I401" s="15" t="n">
        <v>400</v>
      </c>
      <c r="J401" s="16" t="n">
        <v>121.119</v>
      </c>
      <c r="K401" s="10" t="inlineStr">
        <is>
          <t>222</t>
        </is>
      </c>
      <c r="L401" s="16" t="n">
        <v>81.91540000000001</v>
      </c>
      <c r="M401" s="10" t="inlineStr">
        <is>
          <t>222</t>
        </is>
      </c>
      <c r="N401" s="16" t="n">
        <v>111.147</v>
      </c>
      <c r="O401" s="16" t="n">
        <v>393.431</v>
      </c>
      <c r="P401" s="10" t="inlineStr">
        <is>
          <t>222</t>
        </is>
      </c>
      <c r="Q401" s="16" t="n">
        <v>0.9052</v>
      </c>
      <c r="R401" s="10">
        <f>MAX(MAX(1.4/'Parametros'!$B$3,0.25*SQRT('Parametros'!$B$2)/'Parametros'!$B$3)*H401*U401,(0.85*'Parametros'!$B$2/'Parametros'!$B$3)*(1-SQRT(1-2*(J401*1000000/('Parametros'!$B$5*H401*U401^2))/(0.85*'Parametros'!$B$2)))*H401*U401)</f>
        <v>1010.55533328072</v>
      </c>
      <c r="S401" s="17" t="n">
        <v>6</v>
      </c>
      <c r="T401" s="18" t="n">
        <v>1</v>
      </c>
      <c r="U401" s="10">
        <f>IF(T401=1,I401-('Parametros'!$B$7+'Parametros'!$B$9+'Parametros'!$B$12/2),I401-(ROUNDUP(S401/2,0)*('Parametros'!$B$7+'Parametros'!$B$9+'Parametros'!$B$12/2)+ROUNDDOWN(S401/2,0)*('Parametros'!$B$7+'Parametros'!$B$9+'Parametros'!$B$12/2+'Parametros'!$B$12+'Parametros'!$B$10))/S401)</f>
        <v>342.55</v>
      </c>
      <c r="V401" s="10">
        <f>S401*'Parametros'!$B$8</f>
        <v>1194</v>
      </c>
      <c r="W401" s="10">
        <f>'Parametros'!$B$5*V401*'Parametros'!$B$3*(U401-(V401*'Parametros'!$B$3/(0.85*'Parametros'!$B$2*H401))/2)/1000000</f>
        <v>141.018304129412</v>
      </c>
      <c r="X401" s="10" t="str">
        <f>IF(W401&gt;=J401,"CUMPLE","NO CUMPLE")</f>
        <v>CUMPLE</v>
      </c>
      <c r="Y401" s="10">
        <f>MAX(MAX(1.4/'Parametros'!$B$3,0.25*SQRT('Parametros'!$B$2)/'Parametros'!$B$3)*H401*AB401,(0.85*'Parametros'!$B$2/'Parametros'!$B$3)*(1-SQRT(1-2*(L401*1000000/('Parametros'!$B$5*H401*AB401^2))/(0.85*'Parametros'!$B$2)))*H401*AB401)</f>
        <v>665.194769467834</v>
      </c>
      <c r="Z401" s="17" t="n">
        <v>4</v>
      </c>
      <c r="AA401" s="18" t="n">
        <v>1</v>
      </c>
      <c r="AB401" s="10">
        <f>IF(AA401=1,I401-('Parametros'!$B$7+'Parametros'!$B$9+'Parametros'!$B$12/2),I401-(ROUNDUP(Z401/2,0)*('Parametros'!$B$7+'Parametros'!$B$9+'Parametros'!$B$12/2)+ROUNDDOWN(Z401/2,0)*('Parametros'!$B$7+'Parametros'!$B$9+'Parametros'!$B$12/2+'Parametros'!$B$12+'Parametros'!$B$10))/Z401)</f>
        <v>342.55</v>
      </c>
      <c r="AC401" s="10">
        <f>Z401*'Parametros'!$B$8</f>
        <v>796</v>
      </c>
      <c r="AD401" s="10">
        <f>'Parametros'!$B$5*AC401*'Parametros'!$B$3*(AB401-(AC401*'Parametros'!$B$3/(0.85*'Parametros'!$B$2*H401))/2)/1000000</f>
        <v>97.0311966352941</v>
      </c>
      <c r="AE401" s="10" t="str">
        <f>IF(AD401&gt;=L401,"CUMPLE","NO CUMPLE")</f>
        <v>CUMPLE</v>
      </c>
      <c r="AF401" s="10">
        <f>V401*1.25*'Parametros'!$B$3*(U401-(V401*1.25*'Parametros'!$B$3/(0.85*'Parametros'!$B$2*H401))/2)/1000000</f>
        <v>191.141577794118</v>
      </c>
      <c r="AG401" s="10">
        <f>AC401*1.25*'Parametros'!$B$3*(AB401-(AC401*1.25*'Parametros'!$B$3/(0.85*'Parametros'!$B$2*H401))/2)/1000000</f>
        <v>132.669027352941</v>
      </c>
      <c r="AH401" s="10">
        <f>N401+(AF401+AG401)/D401</f>
        <v>235.689540441176</v>
      </c>
      <c r="AI401" s="10">
        <f>MIN(O401,MAX(N401,AH401))</f>
        <v>235.689540441176</v>
      </c>
      <c r="AJ401" s="10">
        <f>0.17*SQRT('Parametros'!$B$2)*H401*MIN(U401,AB401)/1000</f>
        <v>107.849951281016</v>
      </c>
      <c r="AK401" s="10">
        <f>MAX(AI401/'Parametros'!$B$6-AJ401,0)</f>
        <v>206.402769307219</v>
      </c>
      <c r="AL401" s="10">
        <f>0.66*SQRT('Parametros'!$B$2)*H401*MIN(U401,AB401)/1000</f>
        <v>418.711575561591</v>
      </c>
      <c r="AM401" s="10" t="str">
        <f>IF(AK401&lt;=AL401,"CUMPLE","NO CUMPLE")</f>
        <v>CUMPLE</v>
      </c>
      <c r="AN401" s="15" t="inlineStr">
        <is>
          <t>Nº3 cerrado</t>
        </is>
      </c>
      <c r="AO401" s="17" t="n">
        <v>2</v>
      </c>
      <c r="AP401" s="10">
        <f>ROUNDDOWN(MIN(IF(AK401=0,1000000000,AO401*'Parametros'!$B$11*'Parametros'!$B$4*MIN(U401,AB401)/(AK401*1000)),IF(AV401=0,1000000000,'Parametros'!$B$11/AV401),MIN(U401,AB401)/4,8*'Parametros'!$B$12,24*'Parametros'!$B$9,300)/10,0)*10</f>
        <v>80</v>
      </c>
      <c r="AQ401" s="10">
        <f>ROUNDDOWN(MIN(IF(AK401=0,1000000000,AO401*'Parametros'!$B$11*'Parametros'!$B$4*MIN(U401,AB401)/(AK401*1000)),IF(AV401=0,1000000000,'Parametros'!$B$11/AV401),MIN(U401,AB401)/2,600)/10,0)*10</f>
        <v>90</v>
      </c>
      <c r="AR401" s="10">
        <f>'Parametros'!$B$6*(AJ401+AO401*'Parametros'!$B$11*'Parametros'!$B$4*MIN(U401,AB401)/AP401/1000)</f>
        <v>272.415732210762</v>
      </c>
      <c r="AS401" s="10" t="str">
        <f>IF(AND(AM401="CUMPLE",AR401&gt;=AI401),"CUMPLE","NO CUMPLE")</f>
        <v>CUMPLE</v>
      </c>
      <c r="AT401" s="10">
        <f>'Parametros'!$B$6*0.083*SQRT('Parametros'!$B$2)*(H401*I401)^2/(2*(H401+I401))/1000000</f>
        <v>4.30410823283988</v>
      </c>
      <c r="AU401" s="10" t="str">
        <f>IF(Q401&lt;=AT401,"DESPRECIABLE","DISEÑAR")</f>
        <v>DESPRECIABLE</v>
      </c>
      <c r="AV401" s="10">
        <f>IF(Q401&lt;=AT401,0,Q401*1000000/('Parametros'!$B$6*2*0.85*(H401-2*'Parametros'!$B$7)*(I401-2*'Parametros'!$B$7)*'Parametros'!$B$4))</f>
        <v>0</v>
      </c>
      <c r="AW401" s="10">
        <f>AV401*2*((H401-2*'Parametros'!$B$7)+(I401-2*'Parametros'!$B$7))*'Parametros'!$B$4/'Parametros'!$B$3</f>
        <v>0</v>
      </c>
      <c r="AX401" s="17" t="n">
        <v>0</v>
      </c>
      <c r="AY401" s="10" t="str">
        <f>IF(AV401=0,"DESPRECIABLE",IF('Parametros'!$B$11/AP401&gt;=AV401,"CUMPLE","NO CUMPLE"))</f>
        <v>DESPRECIABLE</v>
      </c>
      <c r="AZ401" s="10" t="str">
        <f>IF(AND(X401="CUMPLE",AE401="CUMPLE",AS401="CUMPLE",OR(AY401="CUMPLE",AY401="DESPRECIABLE")),IF(OR(F401&lt;&gt;H401,G401&lt;&gt;I401),"CUMPLE - REANALIZAR SAP","CUMPLE"),"NO CUMPLE")</f>
        <v>CUMPLE</v>
      </c>
    </row>
    <row r="402">
      <c r="A402" s="26" t="inlineStr">
        <is>
          <t>VR2</t>
        </is>
      </c>
      <c r="B402" s="26" t="inlineStr">
        <is>
          <t>233</t>
        </is>
      </c>
      <c r="C402" s="10" t="n">
        <v>1</v>
      </c>
      <c r="D402" s="10" t="n">
        <v>2.6</v>
      </c>
      <c r="E402" s="10" t="n">
        <v>2.6</v>
      </c>
      <c r="F402" s="10" t="n">
        <v>350</v>
      </c>
      <c r="G402" s="10" t="n">
        <v>400</v>
      </c>
      <c r="H402" s="15" t="n">
        <v>350</v>
      </c>
      <c r="I402" s="15" t="n">
        <v>400</v>
      </c>
      <c r="J402" s="16" t="n">
        <v>121.2043</v>
      </c>
      <c r="K402" s="10" t="inlineStr">
        <is>
          <t>233</t>
        </is>
      </c>
      <c r="L402" s="16" t="n">
        <v>81.9619</v>
      </c>
      <c r="M402" s="10" t="inlineStr">
        <is>
          <t>233</t>
        </is>
      </c>
      <c r="N402" s="16" t="n">
        <v>111.21</v>
      </c>
      <c r="O402" s="16" t="n">
        <v>393.496</v>
      </c>
      <c r="P402" s="10" t="inlineStr">
        <is>
          <t>233</t>
        </is>
      </c>
      <c r="Q402" s="16" t="n">
        <v>0.9044</v>
      </c>
      <c r="R402" s="10">
        <f>MAX(MAX(1.4/'Parametros'!$B$3,0.25*SQRT('Parametros'!$B$2)/'Parametros'!$B$3)*H402*U402,(0.85*'Parametros'!$B$2/'Parametros'!$B$3)*(1-SQRT(1-2*(J402*1000000/('Parametros'!$B$5*H402*U402^2))/(0.85*'Parametros'!$B$2)))*H402*U402)</f>
        <v>1011.32926438411</v>
      </c>
      <c r="S402" s="17" t="n">
        <v>6</v>
      </c>
      <c r="T402" s="18" t="n">
        <v>1</v>
      </c>
      <c r="U402" s="10">
        <f>IF(T402=1,I402-('Parametros'!$B$7+'Parametros'!$B$9+'Parametros'!$B$12/2),I402-(ROUNDUP(S402/2,0)*('Parametros'!$B$7+'Parametros'!$B$9+'Parametros'!$B$12/2)+ROUNDDOWN(S402/2,0)*('Parametros'!$B$7+'Parametros'!$B$9+'Parametros'!$B$12/2+'Parametros'!$B$12+'Parametros'!$B$10))/S402)</f>
        <v>342.55</v>
      </c>
      <c r="V402" s="10">
        <f>S402*'Parametros'!$B$8</f>
        <v>1194</v>
      </c>
      <c r="W402" s="10">
        <f>'Parametros'!$B$5*V402*'Parametros'!$B$3*(U402-(V402*'Parametros'!$B$3/(0.85*'Parametros'!$B$2*H402))/2)/1000000</f>
        <v>141.018304129412</v>
      </c>
      <c r="X402" s="10" t="str">
        <f>IF(W402&gt;=J402,"CUMPLE","NO CUMPLE")</f>
        <v>CUMPLE</v>
      </c>
      <c r="Y402" s="10">
        <f>MAX(MAX(1.4/'Parametros'!$B$3,0.25*SQRT('Parametros'!$B$2)/'Parametros'!$B$3)*H402*AB402,(0.85*'Parametros'!$B$2/'Parametros'!$B$3)*(1-SQRT(1-2*(L402*1000000/('Parametros'!$B$5*H402*AB402^2))/(0.85*'Parametros'!$B$2)))*H402*AB402)</f>
        <v>665.592878146703</v>
      </c>
      <c r="Z402" s="17" t="n">
        <v>4</v>
      </c>
      <c r="AA402" s="18" t="n">
        <v>1</v>
      </c>
      <c r="AB402" s="10">
        <f>IF(AA402=1,I402-('Parametros'!$B$7+'Parametros'!$B$9+'Parametros'!$B$12/2),I402-(ROUNDUP(Z402/2,0)*('Parametros'!$B$7+'Parametros'!$B$9+'Parametros'!$B$12/2)+ROUNDDOWN(Z402/2,0)*('Parametros'!$B$7+'Parametros'!$B$9+'Parametros'!$B$12/2+'Parametros'!$B$12+'Parametros'!$B$10))/Z402)</f>
        <v>342.55</v>
      </c>
      <c r="AC402" s="10">
        <f>Z402*'Parametros'!$B$8</f>
        <v>796</v>
      </c>
      <c r="AD402" s="10">
        <f>'Parametros'!$B$5*AC402*'Parametros'!$B$3*(AB402-(AC402*'Parametros'!$B$3/(0.85*'Parametros'!$B$2*H402))/2)/1000000</f>
        <v>97.0311966352941</v>
      </c>
      <c r="AE402" s="10" t="str">
        <f>IF(AD402&gt;=L402,"CUMPLE","NO CUMPLE")</f>
        <v>CUMPLE</v>
      </c>
      <c r="AF402" s="10">
        <f>V402*1.25*'Parametros'!$B$3*(U402-(V402*1.25*'Parametros'!$B$3/(0.85*'Parametros'!$B$2*H402))/2)/1000000</f>
        <v>191.141577794118</v>
      </c>
      <c r="AG402" s="10">
        <f>AC402*1.25*'Parametros'!$B$3*(AB402-(AC402*1.25*'Parametros'!$B$3/(0.85*'Parametros'!$B$2*H402))/2)/1000000</f>
        <v>132.669027352941</v>
      </c>
      <c r="AH402" s="10">
        <f>N402+(AF402+AG402)/D402</f>
        <v>235.752540441176</v>
      </c>
      <c r="AI402" s="10">
        <f>MIN(O402,MAX(N402,AH402))</f>
        <v>235.752540441176</v>
      </c>
      <c r="AJ402" s="10">
        <f>0.17*SQRT('Parametros'!$B$2)*H402*MIN(U402,AB402)/1000</f>
        <v>107.849951281016</v>
      </c>
      <c r="AK402" s="10">
        <f>MAX(AI402/'Parametros'!$B$6-AJ402,0)</f>
        <v>206.486769307219</v>
      </c>
      <c r="AL402" s="10">
        <f>0.66*SQRT('Parametros'!$B$2)*H402*MIN(U402,AB402)/1000</f>
        <v>418.711575561591</v>
      </c>
      <c r="AM402" s="10" t="str">
        <f>IF(AK402&lt;=AL402,"CUMPLE","NO CUMPLE")</f>
        <v>CUMPLE</v>
      </c>
      <c r="AN402" s="15" t="inlineStr">
        <is>
          <t>Nº3 cerrado</t>
        </is>
      </c>
      <c r="AO402" s="17" t="n">
        <v>2</v>
      </c>
      <c r="AP402" s="10">
        <f>ROUNDDOWN(MIN(IF(AK402=0,1000000000,AO402*'Parametros'!$B$11*'Parametros'!$B$4*MIN(U402,AB402)/(AK402*1000)),IF(AV402=0,1000000000,'Parametros'!$B$11/AV402),MIN(U402,AB402)/4,8*'Parametros'!$B$12,24*'Parametros'!$B$9,300)/10,0)*10</f>
        <v>80</v>
      </c>
      <c r="AQ402" s="10">
        <f>ROUNDDOWN(MIN(IF(AK402=0,1000000000,AO402*'Parametros'!$B$11*'Parametros'!$B$4*MIN(U402,AB402)/(AK402*1000)),IF(AV402=0,1000000000,'Parametros'!$B$11/AV402),MIN(U402,AB402)/2,600)/10,0)*10</f>
        <v>90</v>
      </c>
      <c r="AR402" s="10">
        <f>'Parametros'!$B$6*(AJ402+AO402*'Parametros'!$B$11*'Parametros'!$B$4*MIN(U402,AB402)/AP402/1000)</f>
        <v>272.415732210762</v>
      </c>
      <c r="AS402" s="10" t="str">
        <f>IF(AND(AM402="CUMPLE",AR402&gt;=AI402),"CUMPLE","NO CUMPLE")</f>
        <v>CUMPLE</v>
      </c>
      <c r="AT402" s="10">
        <f>'Parametros'!$B$6*0.083*SQRT('Parametros'!$B$2)*(H402*I402)^2/(2*(H402+I402))/1000000</f>
        <v>4.30410823283988</v>
      </c>
      <c r="AU402" s="10" t="str">
        <f>IF(Q402&lt;=AT402,"DESPRECIABLE","DISEÑAR")</f>
        <v>DESPRECIABLE</v>
      </c>
      <c r="AV402" s="10">
        <f>IF(Q402&lt;=AT402,0,Q402*1000000/('Parametros'!$B$6*2*0.85*(H402-2*'Parametros'!$B$7)*(I402-2*'Parametros'!$B$7)*'Parametros'!$B$4))</f>
        <v>0</v>
      </c>
      <c r="AW402" s="10">
        <f>AV402*2*((H402-2*'Parametros'!$B$7)+(I402-2*'Parametros'!$B$7))*'Parametros'!$B$4/'Parametros'!$B$3</f>
        <v>0</v>
      </c>
      <c r="AX402" s="17" t="n">
        <v>0</v>
      </c>
      <c r="AY402" s="10" t="str">
        <f>IF(AV402=0,"DESPRECIABLE",IF('Parametros'!$B$11/AP402&gt;=AV402,"CUMPLE","NO CUMPLE"))</f>
        <v>DESPRECIABLE</v>
      </c>
      <c r="AZ402" s="10" t="str">
        <f>IF(AND(X402="CUMPLE",AE402="CUMPLE",AS402="CUMPLE",OR(AY402="CUMPLE",AY402="DESPRECIABLE")),IF(OR(F402&lt;&gt;H402,G402&lt;&gt;I402),"CUMPLE - REANALIZAR SAP","CUMPLE"),"NO CUMPLE")</f>
        <v>CUMPLE</v>
      </c>
    </row>
    <row r="403">
      <c r="A403" s="26" t="inlineStr">
        <is>
          <t>VR2</t>
        </is>
      </c>
      <c r="B403" s="26" t="inlineStr">
        <is>
          <t>234</t>
        </is>
      </c>
      <c r="C403" s="10" t="n">
        <v>1</v>
      </c>
      <c r="D403" s="10" t="n">
        <v>3.65308</v>
      </c>
      <c r="E403" s="10" t="n">
        <v>3.65308</v>
      </c>
      <c r="F403" s="10" t="n">
        <v>350</v>
      </c>
      <c r="G403" s="10" t="n">
        <v>400</v>
      </c>
      <c r="H403" s="15" t="n">
        <v>350</v>
      </c>
      <c r="I403" s="15" t="n">
        <v>400</v>
      </c>
      <c r="J403" s="16" t="n">
        <v>107.6106</v>
      </c>
      <c r="K403" s="10" t="inlineStr">
        <is>
          <t>234</t>
        </is>
      </c>
      <c r="L403" s="16" t="n">
        <v>63.9742</v>
      </c>
      <c r="M403" s="10" t="inlineStr">
        <is>
          <t>234</t>
        </is>
      </c>
      <c r="N403" s="16" t="n">
        <v>82.164</v>
      </c>
      <c r="O403" s="16" t="n">
        <v>237.253</v>
      </c>
      <c r="P403" s="10" t="inlineStr">
        <is>
          <t>234</t>
        </is>
      </c>
      <c r="Q403" s="16" t="n">
        <v>7.8613</v>
      </c>
      <c r="R403" s="10">
        <f>MAX(MAX(1.4/'Parametros'!$B$3,0.25*SQRT('Parametros'!$B$2)/'Parametros'!$B$3)*H403*U403,(0.85*'Parametros'!$B$2/'Parametros'!$B$3)*(1-SQRT(1-2*(J403*1000000/('Parametros'!$B$5*H403*U403^2))/(0.85*'Parametros'!$B$2)))*H403*U403)</f>
        <v>889.272860133845</v>
      </c>
      <c r="S403" s="17" t="n">
        <v>5</v>
      </c>
      <c r="T403" s="18" t="n">
        <v>1</v>
      </c>
      <c r="U403" s="10">
        <f>IF(T403=1,I403-('Parametros'!$B$7+'Parametros'!$B$9+'Parametros'!$B$12/2),I403-(ROUNDUP(S403/2,0)*('Parametros'!$B$7+'Parametros'!$B$9+'Parametros'!$B$12/2)+ROUNDDOWN(S403/2,0)*('Parametros'!$B$7+'Parametros'!$B$9+'Parametros'!$B$12/2+'Parametros'!$B$12+'Parametros'!$B$10))/S403)</f>
        <v>342.55</v>
      </c>
      <c r="V403" s="10">
        <f>S403*'Parametros'!$B$8</f>
        <v>995</v>
      </c>
      <c r="W403" s="10">
        <f>'Parametros'!$B$5*V403*'Parametros'!$B$3*(U403-(V403*'Parametros'!$B$3/(0.85*'Parametros'!$B$2*H403))/2)/1000000</f>
        <v>119.402124617647</v>
      </c>
      <c r="X403" s="10" t="str">
        <f>IF(W403&gt;=J403,"CUMPLE","NO CUMPLE")</f>
        <v>CUMPLE</v>
      </c>
      <c r="Y403" s="10">
        <f>MAX(MAX(1.4/'Parametros'!$B$3,0.25*SQRT('Parametros'!$B$2)/'Parametros'!$B$3)*H403*AB403,(0.85*'Parametros'!$B$2/'Parametros'!$B$3)*(1-SQRT(1-2*(L403*1000000/('Parametros'!$B$5*H403*AB403^2))/(0.85*'Parametros'!$B$2)))*H403*AB403)</f>
        <v>513.474553216909</v>
      </c>
      <c r="Z403" s="17" t="n">
        <v>3</v>
      </c>
      <c r="AA403" s="18" t="n">
        <v>1</v>
      </c>
      <c r="AB403" s="10">
        <f>IF(AA403=1,I403-('Parametros'!$B$7+'Parametros'!$B$9+'Parametros'!$B$12/2),I403-(ROUNDUP(Z403/2,0)*('Parametros'!$B$7+'Parametros'!$B$9+'Parametros'!$B$12/2)+ROUNDDOWN(Z403/2,0)*('Parametros'!$B$7+'Parametros'!$B$9+'Parametros'!$B$12/2+'Parametros'!$B$12+'Parametros'!$B$10))/Z403)</f>
        <v>342.55</v>
      </c>
      <c r="AC403" s="10">
        <f>Z403*'Parametros'!$B$8</f>
        <v>597</v>
      </c>
      <c r="AD403" s="10">
        <f>'Parametros'!$B$5*AC403*'Parametros'!$B$3*(AB403-(AC403*'Parametros'!$B$3/(0.85*'Parametros'!$B$2*H403))/2)/1000000</f>
        <v>73.905520182353</v>
      </c>
      <c r="AE403" s="10" t="str">
        <f>IF(AD403&gt;=L403,"CUMPLE","NO CUMPLE")</f>
        <v>CUMPLE</v>
      </c>
      <c r="AF403" s="10">
        <f>V403*1.25*'Parametros'!$B$3*(U403-(V403*1.25*'Parametros'!$B$3/(0.85*'Parametros'!$B$2*H403))/2)/1000000</f>
        <v>162.560466176471</v>
      </c>
      <c r="AG403" s="10">
        <f>AC403*1.25*'Parametros'!$B$3*(AB403-(AC403*1.25*'Parametros'!$B$3/(0.85*'Parametros'!$B$2*H403))/2)/1000000</f>
        <v>101.467261323529</v>
      </c>
      <c r="AH403" s="10">
        <f>N403+(AF403+AG403)/D403</f>
        <v>154.439375162876</v>
      </c>
      <c r="AI403" s="10">
        <f>MIN(O403,MAX(N403,AH403))</f>
        <v>154.439375162876</v>
      </c>
      <c r="AJ403" s="10">
        <f>0.17*SQRT('Parametros'!$B$2)*H403*MIN(U403,AB403)/1000</f>
        <v>107.849951281016</v>
      </c>
      <c r="AK403" s="10">
        <f>MAX(AI403/'Parametros'!$B$6-AJ403,0)</f>
        <v>98.0692156028191</v>
      </c>
      <c r="AL403" s="10">
        <f>0.66*SQRT('Parametros'!$B$2)*H403*MIN(U403,AB403)/1000</f>
        <v>418.711575561591</v>
      </c>
      <c r="AM403" s="10" t="str">
        <f>IF(AK403&lt;=AL403,"CUMPLE","NO CUMPLE")</f>
        <v>CUMPLE</v>
      </c>
      <c r="AN403" s="15" t="inlineStr">
        <is>
          <t>Nº3 cerrado</t>
        </is>
      </c>
      <c r="AO403" s="17" t="n">
        <v>2</v>
      </c>
      <c r="AP403" s="10">
        <f>ROUNDDOWN(MIN(IF(AK403=0,1000000000,AO403*'Parametros'!$B$11*'Parametros'!$B$4*MIN(U403,AB403)/(AK403*1000)),IF(AV403=0,1000000000,'Parametros'!$B$11/AV403),MIN(U403,AB403)/4,8*'Parametros'!$B$12,24*'Parametros'!$B$9,300)/10,0)*10</f>
        <v>80</v>
      </c>
      <c r="AQ403" s="10">
        <f>ROUNDDOWN(MIN(IF(AK403=0,1000000000,AO403*'Parametros'!$B$11*'Parametros'!$B$4*MIN(U403,AB403)/(AK403*1000)),IF(AV403=0,1000000000,'Parametros'!$B$11/AV403),MIN(U403,AB403)/2,600)/10,0)*10</f>
        <v>170</v>
      </c>
      <c r="AR403" s="10">
        <f>'Parametros'!$B$6*(AJ403+AO403*'Parametros'!$B$11*'Parametros'!$B$4*MIN(U403,AB403)/AP403/1000)</f>
        <v>272.415732210762</v>
      </c>
      <c r="AS403" s="10" t="str">
        <f>IF(AND(AM403="CUMPLE",AR403&gt;=AI403),"CUMPLE","NO CUMPLE")</f>
        <v>CUMPLE</v>
      </c>
      <c r="AT403" s="10">
        <f>'Parametros'!$B$6*0.083*SQRT('Parametros'!$B$2)*(H403*I403)^2/(2*(H403+I403))/1000000</f>
        <v>4.30410823283988</v>
      </c>
      <c r="AU403" s="10" t="str">
        <f>IF(Q403&lt;=AT403,"DESPRECIABLE","DISEÑAR")</f>
        <v>DISEÑAR</v>
      </c>
      <c r="AV403" s="10">
        <f>IF(Q403&lt;=AT403,0,Q403*1000000/('Parametros'!$B$6*2*0.85*(H403-2*'Parametros'!$B$7)*(I403-2*'Parametros'!$B$7)*'Parametros'!$B$4))</f>
        <v>0.1699108655808</v>
      </c>
      <c r="AW403" s="10">
        <f>AV403*2*((H403-2*'Parametros'!$B$7)+(I403-2*'Parametros'!$B$7))*'Parametros'!$B$4/'Parametros'!$B$3</f>
        <v>200.494821385344</v>
      </c>
      <c r="AX403" s="17" t="n">
        <v>2</v>
      </c>
      <c r="AY403" s="10" t="str">
        <f>IF(AV403=0,"DESPRECIABLE",IF('Parametros'!$B$11/AP403&gt;=AV403,"CUMPLE","NO CUMPLE"))</f>
        <v>CUMPLE</v>
      </c>
      <c r="AZ403" s="10" t="str">
        <f>IF(AND(X403="CUMPLE",AE403="CUMPLE",AS403="CUMPLE",OR(AY403="CUMPLE",AY403="DESPRECIABLE")),IF(OR(F403&lt;&gt;H403,G403&lt;&gt;I403),"CUMPLE - REANALIZAR SAP","CUMPLE"),"NO CUMPLE")</f>
        <v>CUMPLE</v>
      </c>
    </row>
    <row r="404">
      <c r="A404" s="26" t="inlineStr">
        <is>
          <t>VR2</t>
        </is>
      </c>
      <c r="B404" s="26" t="inlineStr">
        <is>
          <t>235</t>
        </is>
      </c>
      <c r="C404" s="10" t="n">
        <v>1</v>
      </c>
      <c r="D404" s="10" t="n">
        <v>2.6</v>
      </c>
      <c r="E404" s="10" t="n">
        <v>2.6</v>
      </c>
      <c r="F404" s="10" t="n">
        <v>350</v>
      </c>
      <c r="G404" s="10" t="n">
        <v>400</v>
      </c>
      <c r="H404" s="15" t="n">
        <v>350</v>
      </c>
      <c r="I404" s="15" t="n">
        <v>400</v>
      </c>
      <c r="J404" s="16" t="n">
        <v>122.8164</v>
      </c>
      <c r="K404" s="10" t="inlineStr">
        <is>
          <t>235</t>
        </is>
      </c>
      <c r="L404" s="16" t="n">
        <v>86.9122</v>
      </c>
      <c r="M404" s="10" t="inlineStr">
        <is>
          <t>235</t>
        </is>
      </c>
      <c r="N404" s="16" t="n">
        <v>121.933</v>
      </c>
      <c r="O404" s="16" t="n">
        <v>429.951</v>
      </c>
      <c r="P404" s="10" t="inlineStr">
        <is>
          <t>235</t>
        </is>
      </c>
      <c r="Q404" s="16" t="n">
        <v>7.7993</v>
      </c>
      <c r="R404" s="10">
        <f>MAX(MAX(1.4/'Parametros'!$B$3,0.25*SQRT('Parametros'!$B$2)/'Parametros'!$B$3)*H404*U404,(0.85*'Parametros'!$B$2/'Parametros'!$B$3)*(1-SQRT(1-2*(J404*1000000/('Parametros'!$B$5*H404*U404^2))/(0.85*'Parametros'!$B$2)))*H404*U404)</f>
        <v>1025.97545395658</v>
      </c>
      <c r="S404" s="17" t="n">
        <v>6</v>
      </c>
      <c r="T404" s="18" t="n">
        <v>1</v>
      </c>
      <c r="U404" s="10">
        <f>IF(T404=1,I404-('Parametros'!$B$7+'Parametros'!$B$9+'Parametros'!$B$12/2),I404-(ROUNDUP(S404/2,0)*('Parametros'!$B$7+'Parametros'!$B$9+'Parametros'!$B$12/2)+ROUNDDOWN(S404/2,0)*('Parametros'!$B$7+'Parametros'!$B$9+'Parametros'!$B$12/2+'Parametros'!$B$12+'Parametros'!$B$10))/S404)</f>
        <v>342.55</v>
      </c>
      <c r="V404" s="10">
        <f>S404*'Parametros'!$B$8</f>
        <v>1194</v>
      </c>
      <c r="W404" s="10">
        <f>'Parametros'!$B$5*V404*'Parametros'!$B$3*(U404-(V404*'Parametros'!$B$3/(0.85*'Parametros'!$B$2*H404))/2)/1000000</f>
        <v>141.018304129412</v>
      </c>
      <c r="X404" s="10" t="str">
        <f>IF(W404&gt;=J404,"CUMPLE","NO CUMPLE")</f>
        <v>CUMPLE</v>
      </c>
      <c r="Y404" s="10">
        <f>MAX(MAX(1.4/'Parametros'!$B$3,0.25*SQRT('Parametros'!$B$2)/'Parametros'!$B$3)*H404*AB404,(0.85*'Parametros'!$B$2/'Parametros'!$B$3)*(1-SQRT(1-2*(L404*1000000/('Parametros'!$B$5*H404*AB404^2))/(0.85*'Parametros'!$B$2)))*H404*AB404)</f>
        <v>708.123717332419</v>
      </c>
      <c r="Z404" s="17" t="n">
        <v>4</v>
      </c>
      <c r="AA404" s="18" t="n">
        <v>1</v>
      </c>
      <c r="AB404" s="10">
        <f>IF(AA404=1,I404-('Parametros'!$B$7+'Parametros'!$B$9+'Parametros'!$B$12/2),I404-(ROUNDUP(Z404/2,0)*('Parametros'!$B$7+'Parametros'!$B$9+'Parametros'!$B$12/2)+ROUNDDOWN(Z404/2,0)*('Parametros'!$B$7+'Parametros'!$B$9+'Parametros'!$B$12/2+'Parametros'!$B$12+'Parametros'!$B$10))/Z404)</f>
        <v>342.55</v>
      </c>
      <c r="AC404" s="10">
        <f>Z404*'Parametros'!$B$8</f>
        <v>796</v>
      </c>
      <c r="AD404" s="10">
        <f>'Parametros'!$B$5*AC404*'Parametros'!$B$3*(AB404-(AC404*'Parametros'!$B$3/(0.85*'Parametros'!$B$2*H404))/2)/1000000</f>
        <v>97.0311966352941</v>
      </c>
      <c r="AE404" s="10" t="str">
        <f>IF(AD404&gt;=L404,"CUMPLE","NO CUMPLE")</f>
        <v>CUMPLE</v>
      </c>
      <c r="AF404" s="10">
        <f>V404*1.25*'Parametros'!$B$3*(U404-(V404*1.25*'Parametros'!$B$3/(0.85*'Parametros'!$B$2*H404))/2)/1000000</f>
        <v>191.141577794118</v>
      </c>
      <c r="AG404" s="10">
        <f>AC404*1.25*'Parametros'!$B$3*(AB404-(AC404*1.25*'Parametros'!$B$3/(0.85*'Parametros'!$B$2*H404))/2)/1000000</f>
        <v>132.669027352941</v>
      </c>
      <c r="AH404" s="10">
        <f>N404+(AF404+AG404)/D404</f>
        <v>246.475540441176</v>
      </c>
      <c r="AI404" s="10">
        <f>MIN(O404,MAX(N404,AH404))</f>
        <v>246.475540441176</v>
      </c>
      <c r="AJ404" s="10">
        <f>0.17*SQRT('Parametros'!$B$2)*H404*MIN(U404,AB404)/1000</f>
        <v>107.849951281016</v>
      </c>
      <c r="AK404" s="10">
        <f>MAX(AI404/'Parametros'!$B$6-AJ404,0)</f>
        <v>220.784102640553</v>
      </c>
      <c r="AL404" s="10">
        <f>0.66*SQRT('Parametros'!$B$2)*H404*MIN(U404,AB404)/1000</f>
        <v>418.711575561591</v>
      </c>
      <c r="AM404" s="10" t="str">
        <f>IF(AK404&lt;=AL404,"CUMPLE","NO CUMPLE")</f>
        <v>CUMPLE</v>
      </c>
      <c r="AN404" s="15" t="inlineStr">
        <is>
          <t>Nº3 cerrado</t>
        </is>
      </c>
      <c r="AO404" s="17" t="n">
        <v>2</v>
      </c>
      <c r="AP404" s="10">
        <f>ROUNDDOWN(MIN(IF(AK404=0,1000000000,AO404*'Parametros'!$B$11*'Parametros'!$B$4*MIN(U404,AB404)/(AK404*1000)),IF(AV404=0,1000000000,'Parametros'!$B$11/AV404),MIN(U404,AB404)/4,8*'Parametros'!$B$12,24*'Parametros'!$B$9,300)/10,0)*10</f>
        <v>80</v>
      </c>
      <c r="AQ404" s="10">
        <f>ROUNDDOWN(MIN(IF(AK404=0,1000000000,AO404*'Parametros'!$B$11*'Parametros'!$B$4*MIN(U404,AB404)/(AK404*1000)),IF(AV404=0,1000000000,'Parametros'!$B$11/AV404),MIN(U404,AB404)/2,600)/10,0)*10</f>
        <v>90</v>
      </c>
      <c r="AR404" s="10">
        <f>'Parametros'!$B$6*(AJ404+AO404*'Parametros'!$B$11*'Parametros'!$B$4*MIN(U404,AB404)/AP404/1000)</f>
        <v>272.415732210762</v>
      </c>
      <c r="AS404" s="10" t="str">
        <f>IF(AND(AM404="CUMPLE",AR404&gt;=AI404),"CUMPLE","NO CUMPLE")</f>
        <v>CUMPLE</v>
      </c>
      <c r="AT404" s="10">
        <f>'Parametros'!$B$6*0.083*SQRT('Parametros'!$B$2)*(H404*I404)^2/(2*(H404+I404))/1000000</f>
        <v>4.30410823283988</v>
      </c>
      <c r="AU404" s="10" t="str">
        <f>IF(Q404&lt;=AT404,"DESPRECIABLE","DISEÑAR")</f>
        <v>DISEÑAR</v>
      </c>
      <c r="AV404" s="10">
        <f>IF(Q404&lt;=AT404,0,Q404*1000000/('Parametros'!$B$6*2*0.85*(H404-2*'Parametros'!$B$7)*(I404-2*'Parametros'!$B$7)*'Parametros'!$B$4))</f>
        <v>0.168570823391085</v>
      </c>
      <c r="AW404" s="10">
        <f>AV404*2*((H404-2*'Parametros'!$B$7)+(I404-2*'Parametros'!$B$7))*'Parametros'!$B$4/'Parametros'!$B$3</f>
        <v>198.91357160148</v>
      </c>
      <c r="AX404" s="17" t="n">
        <v>1</v>
      </c>
      <c r="AY404" s="10" t="str">
        <f>IF(AV404=0,"DESPRECIABLE",IF('Parametros'!$B$11/AP404&gt;=AV404,"CUMPLE","NO CUMPLE"))</f>
        <v>CUMPLE</v>
      </c>
      <c r="AZ404" s="10" t="str">
        <f>IF(AND(X404="CUMPLE",AE404="CUMPLE",AS404="CUMPLE",OR(AY404="CUMPLE",AY404="DESPRECIABLE")),IF(OR(F404&lt;&gt;H404,G404&lt;&gt;I404),"CUMPLE - REANALIZAR SAP","CUMPLE"),"NO CUMPLE")</f>
        <v>CUMPLE</v>
      </c>
    </row>
    <row r="405">
      <c r="A405" s="26" t="inlineStr">
        <is>
          <t>VR2</t>
        </is>
      </c>
      <c r="B405" s="26" t="inlineStr">
        <is>
          <t>236</t>
        </is>
      </c>
      <c r="C405" s="10" t="n">
        <v>1</v>
      </c>
      <c r="D405" s="10" t="n">
        <v>2.5</v>
      </c>
      <c r="E405" s="10" t="n">
        <v>2.5</v>
      </c>
      <c r="F405" s="10" t="n">
        <v>350</v>
      </c>
      <c r="G405" s="10" t="n">
        <v>400</v>
      </c>
      <c r="H405" s="15" t="n">
        <v>350</v>
      </c>
      <c r="I405" s="15" t="n">
        <v>400</v>
      </c>
      <c r="J405" s="16" t="n">
        <v>118.0766</v>
      </c>
      <c r="K405" s="10" t="inlineStr">
        <is>
          <t>236</t>
        </is>
      </c>
      <c r="L405" s="16" t="n">
        <v>92.84480000000001</v>
      </c>
      <c r="M405" s="10" t="inlineStr">
        <is>
          <t>236</t>
        </is>
      </c>
      <c r="N405" s="16" t="n">
        <v>116.159</v>
      </c>
      <c r="O405" s="16" t="n">
        <v>428.344</v>
      </c>
      <c r="P405" s="10" t="inlineStr">
        <is>
          <t>236</t>
        </is>
      </c>
      <c r="Q405" s="16" t="n">
        <v>1.4343</v>
      </c>
      <c r="R405" s="10">
        <f>MAX(MAX(1.4/'Parametros'!$B$3,0.25*SQRT('Parametros'!$B$2)/'Parametros'!$B$3)*H405*U405,(0.85*'Parametros'!$B$2/'Parametros'!$B$3)*(1-SQRT(1-2*(J405*1000000/('Parametros'!$B$5*H405*U405^2))/(0.85*'Parametros'!$B$2)))*H405*U405)</f>
        <v>983.018890162997</v>
      </c>
      <c r="S405" s="17" t="n">
        <v>5</v>
      </c>
      <c r="T405" s="18" t="n">
        <v>1</v>
      </c>
      <c r="U405" s="10">
        <f>IF(T405=1,I405-('Parametros'!$B$7+'Parametros'!$B$9+'Parametros'!$B$12/2),I405-(ROUNDUP(S405/2,0)*('Parametros'!$B$7+'Parametros'!$B$9+'Parametros'!$B$12/2)+ROUNDDOWN(S405/2,0)*('Parametros'!$B$7+'Parametros'!$B$9+'Parametros'!$B$12/2+'Parametros'!$B$12+'Parametros'!$B$10))/S405)</f>
        <v>342.55</v>
      </c>
      <c r="V405" s="10">
        <f>S405*'Parametros'!$B$8</f>
        <v>995</v>
      </c>
      <c r="W405" s="10">
        <f>'Parametros'!$B$5*V405*'Parametros'!$B$3*(U405-(V405*'Parametros'!$B$3/(0.85*'Parametros'!$B$2*H405))/2)/1000000</f>
        <v>119.402124617647</v>
      </c>
      <c r="X405" s="10" t="str">
        <f>IF(W405&gt;=J405,"CUMPLE","NO CUMPLE")</f>
        <v>CUMPLE</v>
      </c>
      <c r="Y405" s="10">
        <f>MAX(MAX(1.4/'Parametros'!$B$3,0.25*SQRT('Parametros'!$B$2)/'Parametros'!$B$3)*H405*AB405,(0.85*'Parametros'!$B$2/'Parametros'!$B$3)*(1-SQRT(1-2*(L405*1000000/('Parametros'!$B$5*H405*AB405^2))/(0.85*'Parametros'!$B$2)))*H405*AB405)</f>
        <v>759.488924456458</v>
      </c>
      <c r="Z405" s="17" t="n">
        <v>4</v>
      </c>
      <c r="AA405" s="18" t="n">
        <v>1</v>
      </c>
      <c r="AB405" s="10">
        <f>IF(AA405=1,I405-('Parametros'!$B$7+'Parametros'!$B$9+'Parametros'!$B$12/2),I405-(ROUNDUP(Z405/2,0)*('Parametros'!$B$7+'Parametros'!$B$9+'Parametros'!$B$12/2)+ROUNDDOWN(Z405/2,0)*('Parametros'!$B$7+'Parametros'!$B$9+'Parametros'!$B$12/2+'Parametros'!$B$12+'Parametros'!$B$10))/Z405)</f>
        <v>342.55</v>
      </c>
      <c r="AC405" s="10">
        <f>Z405*'Parametros'!$B$8</f>
        <v>796</v>
      </c>
      <c r="AD405" s="10">
        <f>'Parametros'!$B$5*AC405*'Parametros'!$B$3*(AB405-(AC405*'Parametros'!$B$3/(0.85*'Parametros'!$B$2*H405))/2)/1000000</f>
        <v>97.0311966352941</v>
      </c>
      <c r="AE405" s="10" t="str">
        <f>IF(AD405&gt;=L405,"CUMPLE","NO CUMPLE")</f>
        <v>CUMPLE</v>
      </c>
      <c r="AF405" s="10">
        <f>V405*1.25*'Parametros'!$B$3*(U405-(V405*1.25*'Parametros'!$B$3/(0.85*'Parametros'!$B$2*H405))/2)/1000000</f>
        <v>162.560466176471</v>
      </c>
      <c r="AG405" s="10">
        <f>AC405*1.25*'Parametros'!$B$3*(AB405-(AC405*1.25*'Parametros'!$B$3/(0.85*'Parametros'!$B$2*H405))/2)/1000000</f>
        <v>132.669027352941</v>
      </c>
      <c r="AH405" s="10">
        <f>N405+(AF405+AG405)/D405</f>
        <v>234.250797411765</v>
      </c>
      <c r="AI405" s="10">
        <f>MIN(O405,MAX(N405,AH405))</f>
        <v>234.250797411765</v>
      </c>
      <c r="AJ405" s="10">
        <f>0.17*SQRT('Parametros'!$B$2)*H405*MIN(U405,AB405)/1000</f>
        <v>107.849951281016</v>
      </c>
      <c r="AK405" s="10">
        <f>MAX(AI405/'Parametros'!$B$6-AJ405,0)</f>
        <v>204.484445268004</v>
      </c>
      <c r="AL405" s="10">
        <f>0.66*SQRT('Parametros'!$B$2)*H405*MIN(U405,AB405)/1000</f>
        <v>418.711575561591</v>
      </c>
      <c r="AM405" s="10" t="str">
        <f>IF(AK405&lt;=AL405,"CUMPLE","NO CUMPLE")</f>
        <v>CUMPLE</v>
      </c>
      <c r="AN405" s="15" t="inlineStr">
        <is>
          <t>Nº3 cerrado</t>
        </is>
      </c>
      <c r="AO405" s="17" t="n">
        <v>2</v>
      </c>
      <c r="AP405" s="10">
        <f>ROUNDDOWN(MIN(IF(AK405=0,1000000000,AO405*'Parametros'!$B$11*'Parametros'!$B$4*MIN(U405,AB405)/(AK405*1000)),IF(AV405=0,1000000000,'Parametros'!$B$11/AV405),MIN(U405,AB405)/4,8*'Parametros'!$B$12,24*'Parametros'!$B$9,300)/10,0)*10</f>
        <v>80</v>
      </c>
      <c r="AQ405" s="10">
        <f>ROUNDDOWN(MIN(IF(AK405=0,1000000000,AO405*'Parametros'!$B$11*'Parametros'!$B$4*MIN(U405,AB405)/(AK405*1000)),IF(AV405=0,1000000000,'Parametros'!$B$11/AV405),MIN(U405,AB405)/2,600)/10,0)*10</f>
        <v>90</v>
      </c>
      <c r="AR405" s="10">
        <f>'Parametros'!$B$6*(AJ405+AO405*'Parametros'!$B$11*'Parametros'!$B$4*MIN(U405,AB405)/AP405/1000)</f>
        <v>272.415732210762</v>
      </c>
      <c r="AS405" s="10" t="str">
        <f>IF(AND(AM405="CUMPLE",AR405&gt;=AI405),"CUMPLE","NO CUMPLE")</f>
        <v>CUMPLE</v>
      </c>
      <c r="AT405" s="10">
        <f>'Parametros'!$B$6*0.083*SQRT('Parametros'!$B$2)*(H405*I405)^2/(2*(H405+I405))/1000000</f>
        <v>4.30410823283988</v>
      </c>
      <c r="AU405" s="10" t="str">
        <f>IF(Q405&lt;=AT405,"DESPRECIABLE","DISEÑAR")</f>
        <v>DESPRECIABLE</v>
      </c>
      <c r="AV405" s="10">
        <f>IF(Q405&lt;=AT405,0,Q405*1000000/('Parametros'!$B$6*2*0.85*(H405-2*'Parametros'!$B$7)*(I405-2*'Parametros'!$B$7)*'Parametros'!$B$4))</f>
        <v>0</v>
      </c>
      <c r="AW405" s="10">
        <f>AV405*2*((H405-2*'Parametros'!$B$7)+(I405-2*'Parametros'!$B$7))*'Parametros'!$B$4/'Parametros'!$B$3</f>
        <v>0</v>
      </c>
      <c r="AX405" s="17" t="n">
        <v>0</v>
      </c>
      <c r="AY405" s="10" t="str">
        <f>IF(AV405=0,"DESPRECIABLE",IF('Parametros'!$B$11/AP405&gt;=AV405,"CUMPLE","NO CUMPLE"))</f>
        <v>DESPRECIABLE</v>
      </c>
      <c r="AZ405" s="10" t="str">
        <f>IF(AND(X405="CUMPLE",AE405="CUMPLE",AS405="CUMPLE",OR(AY405="CUMPLE",AY405="DESPRECIABLE")),IF(OR(F405&lt;&gt;H405,G405&lt;&gt;I405),"CUMPLE - REANALIZAR SAP","CUMPLE"),"NO CUMPLE")</f>
        <v>CUMPLE</v>
      </c>
    </row>
    <row r="406">
      <c r="A406" s="26" t="inlineStr">
        <is>
          <t>VR2</t>
        </is>
      </c>
      <c r="B406" s="26" t="inlineStr">
        <is>
          <t>237</t>
        </is>
      </c>
      <c r="C406" s="10" t="n">
        <v>1</v>
      </c>
      <c r="D406" s="10" t="n">
        <v>4.17612</v>
      </c>
      <c r="E406" s="10" t="n">
        <v>4.17612</v>
      </c>
      <c r="F406" s="10" t="n">
        <v>350</v>
      </c>
      <c r="G406" s="10" t="n">
        <v>400</v>
      </c>
      <c r="H406" s="15" t="n">
        <v>350</v>
      </c>
      <c r="I406" s="15" t="n">
        <v>400</v>
      </c>
      <c r="J406" s="16" t="n">
        <v>115.7354</v>
      </c>
      <c r="K406" s="10" t="inlineStr">
        <is>
          <t>237</t>
        </is>
      </c>
      <c r="L406" s="16" t="n">
        <v>54.2445</v>
      </c>
      <c r="M406" s="10" t="inlineStr">
        <is>
          <t>237</t>
        </is>
      </c>
      <c r="N406" s="16" t="n">
        <v>92.59999999999999</v>
      </c>
      <c r="O406" s="16" t="n">
        <v>238.736</v>
      </c>
      <c r="P406" s="10" t="inlineStr">
        <is>
          <t>237</t>
        </is>
      </c>
      <c r="Q406" s="16" t="n">
        <v>0.1707</v>
      </c>
      <c r="R406" s="10">
        <f>MAX(MAX(1.4/'Parametros'!$B$3,0.25*SQRT('Parametros'!$B$2)/'Parametros'!$B$3)*H406*U406,(0.85*'Parametros'!$B$2/'Parametros'!$B$3)*(1-SQRT(1-2*(J406*1000000/('Parametros'!$B$5*H406*U406^2))/(0.85*'Parametros'!$B$2)))*H406*U406)</f>
        <v>961.917455234333</v>
      </c>
      <c r="S406" s="17" t="n">
        <v>5</v>
      </c>
      <c r="T406" s="18" t="n">
        <v>1</v>
      </c>
      <c r="U406" s="10">
        <f>IF(T406=1,I406-('Parametros'!$B$7+'Parametros'!$B$9+'Parametros'!$B$12/2),I406-(ROUNDUP(S406/2,0)*('Parametros'!$B$7+'Parametros'!$B$9+'Parametros'!$B$12/2)+ROUNDDOWN(S406/2,0)*('Parametros'!$B$7+'Parametros'!$B$9+'Parametros'!$B$12/2+'Parametros'!$B$12+'Parametros'!$B$10))/S406)</f>
        <v>342.55</v>
      </c>
      <c r="V406" s="10">
        <f>S406*'Parametros'!$B$8</f>
        <v>995</v>
      </c>
      <c r="W406" s="10">
        <f>'Parametros'!$B$5*V406*'Parametros'!$B$3*(U406-(V406*'Parametros'!$B$3/(0.85*'Parametros'!$B$2*H406))/2)/1000000</f>
        <v>119.402124617647</v>
      </c>
      <c r="X406" s="10" t="str">
        <f>IF(W406&gt;=J406,"CUMPLE","NO CUMPLE")</f>
        <v>CUMPLE</v>
      </c>
      <c r="Y406" s="10">
        <f>MAX(MAX(1.4/'Parametros'!$B$3,0.25*SQRT('Parametros'!$B$2)/'Parametros'!$B$3)*H406*AB406,(0.85*'Parametros'!$B$2/'Parametros'!$B$3)*(1-SQRT(1-2*(L406*1000000/('Parametros'!$B$5*H406*AB406^2))/(0.85*'Parametros'!$B$2)))*H406*AB406)</f>
        <v>432.708260417686</v>
      </c>
      <c r="Z406" s="17" t="n">
        <v>3</v>
      </c>
      <c r="AA406" s="18" t="n">
        <v>1</v>
      </c>
      <c r="AB406" s="10">
        <f>IF(AA406=1,I406-('Parametros'!$B$7+'Parametros'!$B$9+'Parametros'!$B$12/2),I406-(ROUNDUP(Z406/2,0)*('Parametros'!$B$7+'Parametros'!$B$9+'Parametros'!$B$12/2)+ROUNDDOWN(Z406/2,0)*('Parametros'!$B$7+'Parametros'!$B$9+'Parametros'!$B$12/2+'Parametros'!$B$12+'Parametros'!$B$10))/Z406)</f>
        <v>342.55</v>
      </c>
      <c r="AC406" s="10">
        <f>Z406*'Parametros'!$B$8</f>
        <v>597</v>
      </c>
      <c r="AD406" s="10">
        <f>'Parametros'!$B$5*AC406*'Parametros'!$B$3*(AB406-(AC406*'Parametros'!$B$3/(0.85*'Parametros'!$B$2*H406))/2)/1000000</f>
        <v>73.905520182353</v>
      </c>
      <c r="AE406" s="10" t="str">
        <f>IF(AD406&gt;=L406,"CUMPLE","NO CUMPLE")</f>
        <v>CUMPLE</v>
      </c>
      <c r="AF406" s="10">
        <f>V406*1.25*'Parametros'!$B$3*(U406-(V406*1.25*'Parametros'!$B$3/(0.85*'Parametros'!$B$2*H406))/2)/1000000</f>
        <v>162.560466176471</v>
      </c>
      <c r="AG406" s="10">
        <f>AC406*1.25*'Parametros'!$B$3*(AB406-(AC406*1.25*'Parametros'!$B$3/(0.85*'Parametros'!$B$2*H406))/2)/1000000</f>
        <v>101.467261323529</v>
      </c>
      <c r="AH406" s="10">
        <f>N406+(AF406+AG406)/D406</f>
        <v>155.823213772593</v>
      </c>
      <c r="AI406" s="10">
        <f>MIN(O406,MAX(N406,AH406))</f>
        <v>155.823213772593</v>
      </c>
      <c r="AJ406" s="10">
        <f>0.17*SQRT('Parametros'!$B$2)*H406*MIN(U406,AB406)/1000</f>
        <v>107.849951281016</v>
      </c>
      <c r="AK406" s="10">
        <f>MAX(AI406/'Parametros'!$B$6-AJ406,0)</f>
        <v>99.9143337491078</v>
      </c>
      <c r="AL406" s="10">
        <f>0.66*SQRT('Parametros'!$B$2)*H406*MIN(U406,AB406)/1000</f>
        <v>418.711575561591</v>
      </c>
      <c r="AM406" s="10" t="str">
        <f>IF(AK406&lt;=AL406,"CUMPLE","NO CUMPLE")</f>
        <v>CUMPLE</v>
      </c>
      <c r="AN406" s="15" t="inlineStr">
        <is>
          <t>Nº3 cerrado</t>
        </is>
      </c>
      <c r="AO406" s="17" t="n">
        <v>2</v>
      </c>
      <c r="AP406" s="10">
        <f>ROUNDDOWN(MIN(IF(AK406=0,1000000000,AO406*'Parametros'!$B$11*'Parametros'!$B$4*MIN(U406,AB406)/(AK406*1000)),IF(AV406=0,1000000000,'Parametros'!$B$11/AV406),MIN(U406,AB406)/4,8*'Parametros'!$B$12,24*'Parametros'!$B$9,300)/10,0)*10</f>
        <v>80</v>
      </c>
      <c r="AQ406" s="10">
        <f>ROUNDDOWN(MIN(IF(AK406=0,1000000000,AO406*'Parametros'!$B$11*'Parametros'!$B$4*MIN(U406,AB406)/(AK406*1000)),IF(AV406=0,1000000000,'Parametros'!$B$11/AV406),MIN(U406,AB406)/2,600)/10,0)*10</f>
        <v>170</v>
      </c>
      <c r="AR406" s="10">
        <f>'Parametros'!$B$6*(AJ406+AO406*'Parametros'!$B$11*'Parametros'!$B$4*MIN(U406,AB406)/AP406/1000)</f>
        <v>272.415732210762</v>
      </c>
      <c r="AS406" s="10" t="str">
        <f>IF(AND(AM406="CUMPLE",AR406&gt;=AI406),"CUMPLE","NO CUMPLE")</f>
        <v>CUMPLE</v>
      </c>
      <c r="AT406" s="10">
        <f>'Parametros'!$B$6*0.083*SQRT('Parametros'!$B$2)*(H406*I406)^2/(2*(H406+I406))/1000000</f>
        <v>4.30410823283988</v>
      </c>
      <c r="AU406" s="10" t="str">
        <f>IF(Q406&lt;=AT406,"DESPRECIABLE","DISEÑAR")</f>
        <v>DESPRECIABLE</v>
      </c>
      <c r="AV406" s="10">
        <f>IF(Q406&lt;=AT406,0,Q406*1000000/('Parametros'!$B$6*2*0.85*(H406-2*'Parametros'!$B$7)*(I406-2*'Parametros'!$B$7)*'Parametros'!$B$4))</f>
        <v>0</v>
      </c>
      <c r="AW406" s="10">
        <f>AV406*2*((H406-2*'Parametros'!$B$7)+(I406-2*'Parametros'!$B$7))*'Parametros'!$B$4/'Parametros'!$B$3</f>
        <v>0</v>
      </c>
      <c r="AX406" s="17" t="n">
        <v>0</v>
      </c>
      <c r="AY406" s="10" t="str">
        <f>IF(AV406=0,"DESPRECIABLE",IF('Parametros'!$B$11/AP406&gt;=AV406,"CUMPLE","NO CUMPLE"))</f>
        <v>DESPRECIABLE</v>
      </c>
      <c r="AZ406" s="10" t="str">
        <f>IF(AND(X406="CUMPLE",AE406="CUMPLE",AS406="CUMPLE",OR(AY406="CUMPLE",AY406="DESPRECIABLE")),IF(OR(F406&lt;&gt;H406,G406&lt;&gt;I406),"CUMPLE - REANALIZAR SAP","CUMPLE"),"NO CUMPLE")</f>
        <v>CUMPLE</v>
      </c>
    </row>
    <row r="407">
      <c r="A407" s="26" t="inlineStr">
        <is>
          <t>VR2</t>
        </is>
      </c>
      <c r="B407" s="26" t="inlineStr">
        <is>
          <t>238</t>
        </is>
      </c>
      <c r="C407" s="10" t="n">
        <v>1</v>
      </c>
      <c r="D407" s="10" t="n">
        <v>2.7</v>
      </c>
      <c r="E407" s="10" t="n">
        <v>2.7</v>
      </c>
      <c r="F407" s="10" t="n">
        <v>350</v>
      </c>
      <c r="G407" s="10" t="n">
        <v>400</v>
      </c>
      <c r="H407" s="15" t="n">
        <v>350</v>
      </c>
      <c r="I407" s="15" t="n">
        <v>400</v>
      </c>
      <c r="J407" s="16" t="n">
        <v>97.7278</v>
      </c>
      <c r="K407" s="10" t="inlineStr">
        <is>
          <t>238</t>
        </is>
      </c>
      <c r="L407" s="16" t="n">
        <v>81.42959999999999</v>
      </c>
      <c r="M407" s="10" t="inlineStr">
        <is>
          <t>238</t>
        </is>
      </c>
      <c r="N407" s="16" t="n">
        <v>102.686</v>
      </c>
      <c r="O407" s="16" t="n">
        <v>326.927</v>
      </c>
      <c r="P407" s="10" t="inlineStr">
        <is>
          <t>238</t>
        </is>
      </c>
      <c r="Q407" s="16" t="n">
        <v>2.4881</v>
      </c>
      <c r="R407" s="10">
        <f>MAX(MAX(1.4/'Parametros'!$B$3,0.25*SQRT('Parametros'!$B$2)/'Parametros'!$B$3)*H407*U407,(0.85*'Parametros'!$B$2/'Parametros'!$B$3)*(1-SQRT(1-2*(J407*1000000/('Parametros'!$B$5*H407*U407^2))/(0.85*'Parametros'!$B$2)))*H407*U407)</f>
        <v>802.096919246353</v>
      </c>
      <c r="S407" s="17" t="n">
        <v>5</v>
      </c>
      <c r="T407" s="18" t="n">
        <v>1</v>
      </c>
      <c r="U407" s="10">
        <f>IF(T407=1,I407-('Parametros'!$B$7+'Parametros'!$B$9+'Parametros'!$B$12/2),I407-(ROUNDUP(S407/2,0)*('Parametros'!$B$7+'Parametros'!$B$9+'Parametros'!$B$12/2)+ROUNDDOWN(S407/2,0)*('Parametros'!$B$7+'Parametros'!$B$9+'Parametros'!$B$12/2+'Parametros'!$B$12+'Parametros'!$B$10))/S407)</f>
        <v>342.55</v>
      </c>
      <c r="V407" s="10">
        <f>S407*'Parametros'!$B$8</f>
        <v>995</v>
      </c>
      <c r="W407" s="10">
        <f>'Parametros'!$B$5*V407*'Parametros'!$B$3*(U407-(V407*'Parametros'!$B$3/(0.85*'Parametros'!$B$2*H407))/2)/1000000</f>
        <v>119.402124617647</v>
      </c>
      <c r="X407" s="10" t="str">
        <f>IF(W407&gt;=J407,"CUMPLE","NO CUMPLE")</f>
        <v>CUMPLE</v>
      </c>
      <c r="Y407" s="10">
        <f>MAX(MAX(1.4/'Parametros'!$B$3,0.25*SQRT('Parametros'!$B$2)/'Parametros'!$B$3)*H407*AB407,(0.85*'Parametros'!$B$2/'Parametros'!$B$3)*(1-SQRT(1-2*(L407*1000000/('Parametros'!$B$5*H407*AB407^2))/(0.85*'Parametros'!$B$2)))*H407*AB407)</f>
        <v>661.037149274872</v>
      </c>
      <c r="Z407" s="17" t="n">
        <v>4</v>
      </c>
      <c r="AA407" s="18" t="n">
        <v>1</v>
      </c>
      <c r="AB407" s="10">
        <f>IF(AA407=1,I407-('Parametros'!$B$7+'Parametros'!$B$9+'Parametros'!$B$12/2),I407-(ROUNDUP(Z407/2,0)*('Parametros'!$B$7+'Parametros'!$B$9+'Parametros'!$B$12/2)+ROUNDDOWN(Z407/2,0)*('Parametros'!$B$7+'Parametros'!$B$9+'Parametros'!$B$12/2+'Parametros'!$B$12+'Parametros'!$B$10))/Z407)</f>
        <v>342.55</v>
      </c>
      <c r="AC407" s="10">
        <f>Z407*'Parametros'!$B$8</f>
        <v>796</v>
      </c>
      <c r="AD407" s="10">
        <f>'Parametros'!$B$5*AC407*'Parametros'!$B$3*(AB407-(AC407*'Parametros'!$B$3/(0.85*'Parametros'!$B$2*H407))/2)/1000000</f>
        <v>97.0311966352941</v>
      </c>
      <c r="AE407" s="10" t="str">
        <f>IF(AD407&gt;=L407,"CUMPLE","NO CUMPLE")</f>
        <v>CUMPLE</v>
      </c>
      <c r="AF407" s="10">
        <f>V407*1.25*'Parametros'!$B$3*(U407-(V407*1.25*'Parametros'!$B$3/(0.85*'Parametros'!$B$2*H407))/2)/1000000</f>
        <v>162.560466176471</v>
      </c>
      <c r="AG407" s="10">
        <f>AC407*1.25*'Parametros'!$B$3*(AB407-(AC407*1.25*'Parametros'!$B$3/(0.85*'Parametros'!$B$2*H407))/2)/1000000</f>
        <v>132.669027352941</v>
      </c>
      <c r="AH407" s="10">
        <f>N407+(AF407+AG407)/D407</f>
        <v>212.030256862745</v>
      </c>
      <c r="AI407" s="10">
        <f>MIN(O407,MAX(N407,AH407))</f>
        <v>212.030256862745</v>
      </c>
      <c r="AJ407" s="10">
        <f>0.17*SQRT('Parametros'!$B$2)*H407*MIN(U407,AB407)/1000</f>
        <v>107.849951281016</v>
      </c>
      <c r="AK407" s="10">
        <f>MAX(AI407/'Parametros'!$B$6-AJ407,0)</f>
        <v>174.857057869311</v>
      </c>
      <c r="AL407" s="10">
        <f>0.66*SQRT('Parametros'!$B$2)*H407*MIN(U407,AB407)/1000</f>
        <v>418.711575561591</v>
      </c>
      <c r="AM407" s="10" t="str">
        <f>IF(AK407&lt;=AL407,"CUMPLE","NO CUMPLE")</f>
        <v>CUMPLE</v>
      </c>
      <c r="AN407" s="15" t="inlineStr">
        <is>
          <t>Nº3 cerrado</t>
        </is>
      </c>
      <c r="AO407" s="17" t="n">
        <v>2</v>
      </c>
      <c r="AP407" s="10">
        <f>ROUNDDOWN(MIN(IF(AK407=0,1000000000,AO407*'Parametros'!$B$11*'Parametros'!$B$4*MIN(U407,AB407)/(AK407*1000)),IF(AV407=0,1000000000,'Parametros'!$B$11/AV407),MIN(U407,AB407)/4,8*'Parametros'!$B$12,24*'Parametros'!$B$9,300)/10,0)*10</f>
        <v>80</v>
      </c>
      <c r="AQ407" s="10">
        <f>ROUNDDOWN(MIN(IF(AK407=0,1000000000,AO407*'Parametros'!$B$11*'Parametros'!$B$4*MIN(U407,AB407)/(AK407*1000)),IF(AV407=0,1000000000,'Parametros'!$B$11/AV407),MIN(U407,AB407)/2,600)/10,0)*10</f>
        <v>110</v>
      </c>
      <c r="AR407" s="10">
        <f>'Parametros'!$B$6*(AJ407+AO407*'Parametros'!$B$11*'Parametros'!$B$4*MIN(U407,AB407)/AP407/1000)</f>
        <v>272.415732210762</v>
      </c>
      <c r="AS407" s="10" t="str">
        <f>IF(AND(AM407="CUMPLE",AR407&gt;=AI407),"CUMPLE","NO CUMPLE")</f>
        <v>CUMPLE</v>
      </c>
      <c r="AT407" s="10">
        <f>'Parametros'!$B$6*0.083*SQRT('Parametros'!$B$2)*(H407*I407)^2/(2*(H407+I407))/1000000</f>
        <v>4.30410823283988</v>
      </c>
      <c r="AU407" s="10" t="str">
        <f>IF(Q407&lt;=AT407,"DESPRECIABLE","DISEÑAR")</f>
        <v>DESPRECIABLE</v>
      </c>
      <c r="AV407" s="10">
        <f>IF(Q407&lt;=AT407,0,Q407*1000000/('Parametros'!$B$6*2*0.85*(H407-2*'Parametros'!$B$7)*(I407-2*'Parametros'!$B$7)*'Parametros'!$B$4))</f>
        <v>0</v>
      </c>
      <c r="AW407" s="10">
        <f>AV407*2*((H407-2*'Parametros'!$B$7)+(I407-2*'Parametros'!$B$7))*'Parametros'!$B$4/'Parametros'!$B$3</f>
        <v>0</v>
      </c>
      <c r="AX407" s="17" t="n">
        <v>0</v>
      </c>
      <c r="AY407" s="10" t="str">
        <f>IF(AV407=0,"DESPRECIABLE",IF('Parametros'!$B$11/AP407&gt;=AV407,"CUMPLE","NO CUMPLE"))</f>
        <v>DESPRECIABLE</v>
      </c>
      <c r="AZ407" s="10" t="str">
        <f>IF(AND(X407="CUMPLE",AE407="CUMPLE",AS407="CUMPLE",OR(AY407="CUMPLE",AY407="DESPRECIABLE")),IF(OR(F407&lt;&gt;H407,G407&lt;&gt;I407),"CUMPLE - REANALIZAR SAP","CUMPLE"),"NO CUMPLE")</f>
        <v>CUMPLE</v>
      </c>
    </row>
    <row r="408">
      <c r="A408" s="26" t="inlineStr">
        <is>
          <t>VR2</t>
        </is>
      </c>
      <c r="B408" s="26" t="inlineStr">
        <is>
          <t>239</t>
        </is>
      </c>
      <c r="C408" s="10" t="n">
        <v>1</v>
      </c>
      <c r="D408" s="10" t="n">
        <v>2.8</v>
      </c>
      <c r="E408" s="10" t="n">
        <v>2.8</v>
      </c>
      <c r="F408" s="10" t="n">
        <v>350</v>
      </c>
      <c r="G408" s="10" t="n">
        <v>400</v>
      </c>
      <c r="H408" s="15" t="n">
        <v>350</v>
      </c>
      <c r="I408" s="15" t="n">
        <v>400</v>
      </c>
      <c r="J408" s="16" t="n">
        <v>97.79300000000001</v>
      </c>
      <c r="K408" s="10" t="inlineStr">
        <is>
          <t>239</t>
        </is>
      </c>
      <c r="L408" s="16" t="n">
        <v>79.31910000000001</v>
      </c>
      <c r="M408" s="10" t="inlineStr">
        <is>
          <t>239</t>
        </is>
      </c>
      <c r="N408" s="16" t="n">
        <v>100.728</v>
      </c>
      <c r="O408" s="16" t="n">
        <v>314.562</v>
      </c>
      <c r="P408" s="10" t="inlineStr">
        <is>
          <t>239</t>
        </is>
      </c>
      <c r="Q408" s="16" t="n">
        <v>2.4037</v>
      </c>
      <c r="R408" s="10">
        <f>MAX(MAX(1.4/'Parametros'!$B$3,0.25*SQRT('Parametros'!$B$2)/'Parametros'!$B$3)*H408*U408,(0.85*'Parametros'!$B$2/'Parametros'!$B$3)*(1-SQRT(1-2*(J408*1000000/('Parametros'!$B$5*H408*U408^2))/(0.85*'Parametros'!$B$2)))*H408*U408)</f>
        <v>802.667890263603</v>
      </c>
      <c r="S408" s="17" t="n">
        <v>5</v>
      </c>
      <c r="T408" s="18" t="n">
        <v>1</v>
      </c>
      <c r="U408" s="10">
        <f>IF(T408=1,I408-('Parametros'!$B$7+'Parametros'!$B$9+'Parametros'!$B$12/2),I408-(ROUNDUP(S408/2,0)*('Parametros'!$B$7+'Parametros'!$B$9+'Parametros'!$B$12/2)+ROUNDDOWN(S408/2,0)*('Parametros'!$B$7+'Parametros'!$B$9+'Parametros'!$B$12/2+'Parametros'!$B$12+'Parametros'!$B$10))/S408)</f>
        <v>342.55</v>
      </c>
      <c r="V408" s="10">
        <f>S408*'Parametros'!$B$8</f>
        <v>995</v>
      </c>
      <c r="W408" s="10">
        <f>'Parametros'!$B$5*V408*'Parametros'!$B$3*(U408-(V408*'Parametros'!$B$3/(0.85*'Parametros'!$B$2*H408))/2)/1000000</f>
        <v>119.402124617647</v>
      </c>
      <c r="X408" s="10" t="str">
        <f>IF(W408&gt;=J408,"CUMPLE","NO CUMPLE")</f>
        <v>CUMPLE</v>
      </c>
      <c r="Y408" s="10">
        <f>MAX(MAX(1.4/'Parametros'!$B$3,0.25*SQRT('Parametros'!$B$2)/'Parametros'!$B$3)*H408*AB408,(0.85*'Parametros'!$B$2/'Parametros'!$B$3)*(1-SQRT(1-2*(L408*1000000/('Parametros'!$B$5*H408*AB408^2))/(0.85*'Parametros'!$B$2)))*H408*AB408)</f>
        <v>643.007490165981</v>
      </c>
      <c r="Z408" s="17" t="n">
        <v>4</v>
      </c>
      <c r="AA408" s="18" t="n">
        <v>1</v>
      </c>
      <c r="AB408" s="10">
        <f>IF(AA408=1,I408-('Parametros'!$B$7+'Parametros'!$B$9+'Parametros'!$B$12/2),I408-(ROUNDUP(Z408/2,0)*('Parametros'!$B$7+'Parametros'!$B$9+'Parametros'!$B$12/2)+ROUNDDOWN(Z408/2,0)*('Parametros'!$B$7+'Parametros'!$B$9+'Parametros'!$B$12/2+'Parametros'!$B$12+'Parametros'!$B$10))/Z408)</f>
        <v>342.55</v>
      </c>
      <c r="AC408" s="10">
        <f>Z408*'Parametros'!$B$8</f>
        <v>796</v>
      </c>
      <c r="AD408" s="10">
        <f>'Parametros'!$B$5*AC408*'Parametros'!$B$3*(AB408-(AC408*'Parametros'!$B$3/(0.85*'Parametros'!$B$2*H408))/2)/1000000</f>
        <v>97.0311966352941</v>
      </c>
      <c r="AE408" s="10" t="str">
        <f>IF(AD408&gt;=L408,"CUMPLE","NO CUMPLE")</f>
        <v>CUMPLE</v>
      </c>
      <c r="AF408" s="10">
        <f>V408*1.25*'Parametros'!$B$3*(U408-(V408*1.25*'Parametros'!$B$3/(0.85*'Parametros'!$B$2*H408))/2)/1000000</f>
        <v>162.560466176471</v>
      </c>
      <c r="AG408" s="10">
        <f>AC408*1.25*'Parametros'!$B$3*(AB408-(AC408*1.25*'Parametros'!$B$3/(0.85*'Parametros'!$B$2*H408))/2)/1000000</f>
        <v>132.669027352941</v>
      </c>
      <c r="AH408" s="10">
        <f>N408+(AF408+AG408)/D408</f>
        <v>206.167104831933</v>
      </c>
      <c r="AI408" s="10">
        <f>MIN(O408,MAX(N408,AH408))</f>
        <v>206.167104831933</v>
      </c>
      <c r="AJ408" s="10">
        <f>0.17*SQRT('Parametros'!$B$2)*H408*MIN(U408,AB408)/1000</f>
        <v>107.849951281016</v>
      </c>
      <c r="AK408" s="10">
        <f>MAX(AI408/'Parametros'!$B$6-AJ408,0)</f>
        <v>167.039521828228</v>
      </c>
      <c r="AL408" s="10">
        <f>0.66*SQRT('Parametros'!$B$2)*H408*MIN(U408,AB408)/1000</f>
        <v>418.711575561591</v>
      </c>
      <c r="AM408" s="10" t="str">
        <f>IF(AK408&lt;=AL408,"CUMPLE","NO CUMPLE")</f>
        <v>CUMPLE</v>
      </c>
      <c r="AN408" s="15" t="inlineStr">
        <is>
          <t>Nº3 cerrado</t>
        </is>
      </c>
      <c r="AO408" s="17" t="n">
        <v>2</v>
      </c>
      <c r="AP408" s="10">
        <f>ROUNDDOWN(MIN(IF(AK408=0,1000000000,AO408*'Parametros'!$B$11*'Parametros'!$B$4*MIN(U408,AB408)/(AK408*1000)),IF(AV408=0,1000000000,'Parametros'!$B$11/AV408),MIN(U408,AB408)/4,8*'Parametros'!$B$12,24*'Parametros'!$B$9,300)/10,0)*10</f>
        <v>80</v>
      </c>
      <c r="AQ408" s="10">
        <f>ROUNDDOWN(MIN(IF(AK408=0,1000000000,AO408*'Parametros'!$B$11*'Parametros'!$B$4*MIN(U408,AB408)/(AK408*1000)),IF(AV408=0,1000000000,'Parametros'!$B$11/AV408),MIN(U408,AB408)/2,600)/10,0)*10</f>
        <v>120</v>
      </c>
      <c r="AR408" s="10">
        <f>'Parametros'!$B$6*(AJ408+AO408*'Parametros'!$B$11*'Parametros'!$B$4*MIN(U408,AB408)/AP408/1000)</f>
        <v>272.415732210762</v>
      </c>
      <c r="AS408" s="10" t="str">
        <f>IF(AND(AM408="CUMPLE",AR408&gt;=AI408),"CUMPLE","NO CUMPLE")</f>
        <v>CUMPLE</v>
      </c>
      <c r="AT408" s="10">
        <f>'Parametros'!$B$6*0.083*SQRT('Parametros'!$B$2)*(H408*I408)^2/(2*(H408+I408))/1000000</f>
        <v>4.30410823283988</v>
      </c>
      <c r="AU408" s="10" t="str">
        <f>IF(Q408&lt;=AT408,"DESPRECIABLE","DISEÑAR")</f>
        <v>DESPRECIABLE</v>
      </c>
      <c r="AV408" s="10">
        <f>IF(Q408&lt;=AT408,0,Q408*1000000/('Parametros'!$B$6*2*0.85*(H408-2*'Parametros'!$B$7)*(I408-2*'Parametros'!$B$7)*'Parametros'!$B$4))</f>
        <v>0</v>
      </c>
      <c r="AW408" s="10">
        <f>AV408*2*((H408-2*'Parametros'!$B$7)+(I408-2*'Parametros'!$B$7))*'Parametros'!$B$4/'Parametros'!$B$3</f>
        <v>0</v>
      </c>
      <c r="AX408" s="17" t="n">
        <v>0</v>
      </c>
      <c r="AY408" s="10" t="str">
        <f>IF(AV408=0,"DESPRECIABLE",IF('Parametros'!$B$11/AP408&gt;=AV408,"CUMPLE","NO CUMPLE"))</f>
        <v>DESPRECIABLE</v>
      </c>
      <c r="AZ408" s="10" t="str">
        <f>IF(AND(X408="CUMPLE",AE408="CUMPLE",AS408="CUMPLE",OR(AY408="CUMPLE",AY408="DESPRECIABLE")),IF(OR(F408&lt;&gt;H408,G408&lt;&gt;I408),"CUMPLE - REANALIZAR SAP","CUMPLE"),"NO CUMPLE")</f>
        <v>CUMPLE</v>
      </c>
    </row>
    <row r="409">
      <c r="A409" s="26" t="inlineStr">
        <is>
          <t>VR2</t>
        </is>
      </c>
      <c r="B409" s="26" t="inlineStr">
        <is>
          <t>240</t>
        </is>
      </c>
      <c r="C409" s="10" t="n">
        <v>1</v>
      </c>
      <c r="D409" s="10" t="n">
        <v>4.17612</v>
      </c>
      <c r="E409" s="10" t="n">
        <v>4.17612</v>
      </c>
      <c r="F409" s="10" t="n">
        <v>350</v>
      </c>
      <c r="G409" s="10" t="n">
        <v>400</v>
      </c>
      <c r="H409" s="15" t="n">
        <v>350</v>
      </c>
      <c r="I409" s="15" t="n">
        <v>400</v>
      </c>
      <c r="J409" s="16" t="n">
        <v>115.6789</v>
      </c>
      <c r="K409" s="10" t="inlineStr">
        <is>
          <t>240</t>
        </is>
      </c>
      <c r="L409" s="16" t="n">
        <v>54.1965</v>
      </c>
      <c r="M409" s="10" t="inlineStr">
        <is>
          <t>240</t>
        </is>
      </c>
      <c r="N409" s="16" t="n">
        <v>92.569</v>
      </c>
      <c r="O409" s="16" t="n">
        <v>238.64</v>
      </c>
      <c r="P409" s="10" t="inlineStr">
        <is>
          <t>240</t>
        </is>
      </c>
      <c r="Q409" s="16" t="n">
        <v>0.1587</v>
      </c>
      <c r="R409" s="10">
        <f>MAX(MAX(1.4/'Parametros'!$B$3,0.25*SQRT('Parametros'!$B$2)/'Parametros'!$B$3)*H409*U409,(0.85*'Parametros'!$B$2/'Parametros'!$B$3)*(1-SQRT(1-2*(J409*1000000/('Parametros'!$B$5*H409*U409^2))/(0.85*'Parametros'!$B$2)))*H409*U409)</f>
        <v>961.409159344912</v>
      </c>
      <c r="S409" s="17" t="n">
        <v>5</v>
      </c>
      <c r="T409" s="18" t="n">
        <v>1</v>
      </c>
      <c r="U409" s="10">
        <f>IF(T409=1,I409-('Parametros'!$B$7+'Parametros'!$B$9+'Parametros'!$B$12/2),I409-(ROUNDUP(S409/2,0)*('Parametros'!$B$7+'Parametros'!$B$9+'Parametros'!$B$12/2)+ROUNDDOWN(S409/2,0)*('Parametros'!$B$7+'Parametros'!$B$9+'Parametros'!$B$12/2+'Parametros'!$B$12+'Parametros'!$B$10))/S409)</f>
        <v>342.55</v>
      </c>
      <c r="V409" s="10">
        <f>S409*'Parametros'!$B$8</f>
        <v>995</v>
      </c>
      <c r="W409" s="10">
        <f>'Parametros'!$B$5*V409*'Parametros'!$B$3*(U409-(V409*'Parametros'!$B$3/(0.85*'Parametros'!$B$2*H409))/2)/1000000</f>
        <v>119.402124617647</v>
      </c>
      <c r="X409" s="10" t="str">
        <f>IF(W409&gt;=J409,"CUMPLE","NO CUMPLE")</f>
        <v>CUMPLE</v>
      </c>
      <c r="Y409" s="10">
        <f>MAX(MAX(1.4/'Parametros'!$B$3,0.25*SQRT('Parametros'!$B$2)/'Parametros'!$B$3)*H409*AB409,(0.85*'Parametros'!$B$2/'Parametros'!$B$3)*(1-SQRT(1-2*(L409*1000000/('Parametros'!$B$5*H409*AB409^2))/(0.85*'Parametros'!$B$2)))*H409*AB409)</f>
        <v>432.312353966279</v>
      </c>
      <c r="Z409" s="17" t="n">
        <v>3</v>
      </c>
      <c r="AA409" s="18" t="n">
        <v>1</v>
      </c>
      <c r="AB409" s="10">
        <f>IF(AA409=1,I409-('Parametros'!$B$7+'Parametros'!$B$9+'Parametros'!$B$12/2),I409-(ROUNDUP(Z409/2,0)*('Parametros'!$B$7+'Parametros'!$B$9+'Parametros'!$B$12/2)+ROUNDDOWN(Z409/2,0)*('Parametros'!$B$7+'Parametros'!$B$9+'Parametros'!$B$12/2+'Parametros'!$B$12+'Parametros'!$B$10))/Z409)</f>
        <v>342.55</v>
      </c>
      <c r="AC409" s="10">
        <f>Z409*'Parametros'!$B$8</f>
        <v>597</v>
      </c>
      <c r="AD409" s="10">
        <f>'Parametros'!$B$5*AC409*'Parametros'!$B$3*(AB409-(AC409*'Parametros'!$B$3/(0.85*'Parametros'!$B$2*H409))/2)/1000000</f>
        <v>73.905520182353</v>
      </c>
      <c r="AE409" s="10" t="str">
        <f>IF(AD409&gt;=L409,"CUMPLE","NO CUMPLE")</f>
        <v>CUMPLE</v>
      </c>
      <c r="AF409" s="10">
        <f>V409*1.25*'Parametros'!$B$3*(U409-(V409*1.25*'Parametros'!$B$3/(0.85*'Parametros'!$B$2*H409))/2)/1000000</f>
        <v>162.560466176471</v>
      </c>
      <c r="AG409" s="10">
        <f>AC409*1.25*'Parametros'!$B$3*(AB409-(AC409*1.25*'Parametros'!$B$3/(0.85*'Parametros'!$B$2*H409))/2)/1000000</f>
        <v>101.467261323529</v>
      </c>
      <c r="AH409" s="10">
        <f>N409+(AF409+AG409)/D409</f>
        <v>155.792213772593</v>
      </c>
      <c r="AI409" s="10">
        <f>MIN(O409,MAX(N409,AH409))</f>
        <v>155.792213772593</v>
      </c>
      <c r="AJ409" s="10">
        <f>0.17*SQRT('Parametros'!$B$2)*H409*MIN(U409,AB409)/1000</f>
        <v>107.849951281016</v>
      </c>
      <c r="AK409" s="10">
        <f>MAX(AI409/'Parametros'!$B$6-AJ409,0)</f>
        <v>99.8730004157744</v>
      </c>
      <c r="AL409" s="10">
        <f>0.66*SQRT('Parametros'!$B$2)*H409*MIN(U409,AB409)/1000</f>
        <v>418.711575561591</v>
      </c>
      <c r="AM409" s="10" t="str">
        <f>IF(AK409&lt;=AL409,"CUMPLE","NO CUMPLE")</f>
        <v>CUMPLE</v>
      </c>
      <c r="AN409" s="15" t="inlineStr">
        <is>
          <t>Nº3 cerrado</t>
        </is>
      </c>
      <c r="AO409" s="17" t="n">
        <v>2</v>
      </c>
      <c r="AP409" s="10">
        <f>ROUNDDOWN(MIN(IF(AK409=0,1000000000,AO409*'Parametros'!$B$11*'Parametros'!$B$4*MIN(U409,AB409)/(AK409*1000)),IF(AV409=0,1000000000,'Parametros'!$B$11/AV409),MIN(U409,AB409)/4,8*'Parametros'!$B$12,24*'Parametros'!$B$9,300)/10,0)*10</f>
        <v>80</v>
      </c>
      <c r="AQ409" s="10">
        <f>ROUNDDOWN(MIN(IF(AK409=0,1000000000,AO409*'Parametros'!$B$11*'Parametros'!$B$4*MIN(U409,AB409)/(AK409*1000)),IF(AV409=0,1000000000,'Parametros'!$B$11/AV409),MIN(U409,AB409)/2,600)/10,0)*10</f>
        <v>170</v>
      </c>
      <c r="AR409" s="10">
        <f>'Parametros'!$B$6*(AJ409+AO409*'Parametros'!$B$11*'Parametros'!$B$4*MIN(U409,AB409)/AP409/1000)</f>
        <v>272.415732210762</v>
      </c>
      <c r="AS409" s="10" t="str">
        <f>IF(AND(AM409="CUMPLE",AR409&gt;=AI409),"CUMPLE","NO CUMPLE")</f>
        <v>CUMPLE</v>
      </c>
      <c r="AT409" s="10">
        <f>'Parametros'!$B$6*0.083*SQRT('Parametros'!$B$2)*(H409*I409)^2/(2*(H409+I409))/1000000</f>
        <v>4.30410823283988</v>
      </c>
      <c r="AU409" s="10" t="str">
        <f>IF(Q409&lt;=AT409,"DESPRECIABLE","DISEÑAR")</f>
        <v>DESPRECIABLE</v>
      </c>
      <c r="AV409" s="10">
        <f>IF(Q409&lt;=AT409,0,Q409*1000000/('Parametros'!$B$6*2*0.85*(H409-2*'Parametros'!$B$7)*(I409-2*'Parametros'!$B$7)*'Parametros'!$B$4))</f>
        <v>0</v>
      </c>
      <c r="AW409" s="10">
        <f>AV409*2*((H409-2*'Parametros'!$B$7)+(I409-2*'Parametros'!$B$7))*'Parametros'!$B$4/'Parametros'!$B$3</f>
        <v>0</v>
      </c>
      <c r="AX409" s="17" t="n">
        <v>0</v>
      </c>
      <c r="AY409" s="10" t="str">
        <f>IF(AV409=0,"DESPRECIABLE",IF('Parametros'!$B$11/AP409&gt;=AV409,"CUMPLE","NO CUMPLE"))</f>
        <v>DESPRECIABLE</v>
      </c>
      <c r="AZ409" s="10" t="str">
        <f>IF(AND(X409="CUMPLE",AE409="CUMPLE",AS409="CUMPLE",OR(AY409="CUMPLE",AY409="DESPRECIABLE")),IF(OR(F409&lt;&gt;H409,G409&lt;&gt;I409),"CUMPLE - REANALIZAR SAP","CUMPLE"),"NO CUMPLE")</f>
        <v>CUMPLE</v>
      </c>
    </row>
    <row r="410">
      <c r="A410" s="26" t="inlineStr">
        <is>
          <t>VR2</t>
        </is>
      </c>
      <c r="B410" s="26" t="inlineStr">
        <is>
          <t>241</t>
        </is>
      </c>
      <c r="C410" s="10" t="n">
        <v>1</v>
      </c>
      <c r="D410" s="10" t="n">
        <v>2.5</v>
      </c>
      <c r="E410" s="10" t="n">
        <v>2.5</v>
      </c>
      <c r="F410" s="10" t="n">
        <v>350</v>
      </c>
      <c r="G410" s="10" t="n">
        <v>400</v>
      </c>
      <c r="H410" s="15" t="n">
        <v>350</v>
      </c>
      <c r="I410" s="15" t="n">
        <v>400</v>
      </c>
      <c r="J410" s="16" t="n">
        <v>117.9643</v>
      </c>
      <c r="K410" s="10" t="inlineStr">
        <is>
          <t>241</t>
        </is>
      </c>
      <c r="L410" s="16" t="n">
        <v>92.7816</v>
      </c>
      <c r="M410" s="10" t="inlineStr">
        <is>
          <t>241</t>
        </is>
      </c>
      <c r="N410" s="16" t="n">
        <v>116.07</v>
      </c>
      <c r="O410" s="16" t="n">
        <v>428.256</v>
      </c>
      <c r="P410" s="10" t="inlineStr">
        <is>
          <t>241</t>
        </is>
      </c>
      <c r="Q410" s="16" t="n">
        <v>1.4325</v>
      </c>
      <c r="R410" s="10">
        <f>MAX(MAX(1.4/'Parametros'!$B$3,0.25*SQRT('Parametros'!$B$2)/'Parametros'!$B$3)*H410*U410,(0.85*'Parametros'!$B$2/'Parametros'!$B$3)*(1-SQRT(1-2*(J410*1000000/('Parametros'!$B$5*H410*U410^2))/(0.85*'Parametros'!$B$2)))*H410*U410)</f>
        <v>982.004971382991</v>
      </c>
      <c r="S410" s="17" t="n">
        <v>5</v>
      </c>
      <c r="T410" s="18" t="n">
        <v>1</v>
      </c>
      <c r="U410" s="10">
        <f>IF(T410=1,I410-('Parametros'!$B$7+'Parametros'!$B$9+'Parametros'!$B$12/2),I410-(ROUNDUP(S410/2,0)*('Parametros'!$B$7+'Parametros'!$B$9+'Parametros'!$B$12/2)+ROUNDDOWN(S410/2,0)*('Parametros'!$B$7+'Parametros'!$B$9+'Parametros'!$B$12/2+'Parametros'!$B$12+'Parametros'!$B$10))/S410)</f>
        <v>342.55</v>
      </c>
      <c r="V410" s="10">
        <f>S410*'Parametros'!$B$8</f>
        <v>995</v>
      </c>
      <c r="W410" s="10">
        <f>'Parametros'!$B$5*V410*'Parametros'!$B$3*(U410-(V410*'Parametros'!$B$3/(0.85*'Parametros'!$B$2*H410))/2)/1000000</f>
        <v>119.402124617647</v>
      </c>
      <c r="X410" s="10" t="str">
        <f>IF(W410&gt;=J410,"CUMPLE","NO CUMPLE")</f>
        <v>CUMPLE</v>
      </c>
      <c r="Y410" s="10">
        <f>MAX(MAX(1.4/'Parametros'!$B$3,0.25*SQRT('Parametros'!$B$2)/'Parametros'!$B$3)*H410*AB410,(0.85*'Parametros'!$B$2/'Parametros'!$B$3)*(1-SQRT(1-2*(L410*1000000/('Parametros'!$B$5*H410*AB410^2))/(0.85*'Parametros'!$B$2)))*H410*AB410)</f>
        <v>758.939426951514</v>
      </c>
      <c r="Z410" s="17" t="n">
        <v>4</v>
      </c>
      <c r="AA410" s="18" t="n">
        <v>1</v>
      </c>
      <c r="AB410" s="10">
        <f>IF(AA410=1,I410-('Parametros'!$B$7+'Parametros'!$B$9+'Parametros'!$B$12/2),I410-(ROUNDUP(Z410/2,0)*('Parametros'!$B$7+'Parametros'!$B$9+'Parametros'!$B$12/2)+ROUNDDOWN(Z410/2,0)*('Parametros'!$B$7+'Parametros'!$B$9+'Parametros'!$B$12/2+'Parametros'!$B$12+'Parametros'!$B$10))/Z410)</f>
        <v>342.55</v>
      </c>
      <c r="AC410" s="10">
        <f>Z410*'Parametros'!$B$8</f>
        <v>796</v>
      </c>
      <c r="AD410" s="10">
        <f>'Parametros'!$B$5*AC410*'Parametros'!$B$3*(AB410-(AC410*'Parametros'!$B$3/(0.85*'Parametros'!$B$2*H410))/2)/1000000</f>
        <v>97.0311966352941</v>
      </c>
      <c r="AE410" s="10" t="str">
        <f>IF(AD410&gt;=L410,"CUMPLE","NO CUMPLE")</f>
        <v>CUMPLE</v>
      </c>
      <c r="AF410" s="10">
        <f>V410*1.25*'Parametros'!$B$3*(U410-(V410*1.25*'Parametros'!$B$3/(0.85*'Parametros'!$B$2*H410))/2)/1000000</f>
        <v>162.560466176471</v>
      </c>
      <c r="AG410" s="10">
        <f>AC410*1.25*'Parametros'!$B$3*(AB410-(AC410*1.25*'Parametros'!$B$3/(0.85*'Parametros'!$B$2*H410))/2)/1000000</f>
        <v>132.669027352941</v>
      </c>
      <c r="AH410" s="10">
        <f>N410+(AF410+AG410)/D410</f>
        <v>234.161797411765</v>
      </c>
      <c r="AI410" s="10">
        <f>MIN(O410,MAX(N410,AH410))</f>
        <v>234.161797411765</v>
      </c>
      <c r="AJ410" s="10">
        <f>0.17*SQRT('Parametros'!$B$2)*H410*MIN(U410,AB410)/1000</f>
        <v>107.849951281016</v>
      </c>
      <c r="AK410" s="10">
        <f>MAX(AI410/'Parametros'!$B$6-AJ410,0)</f>
        <v>204.365778601337</v>
      </c>
      <c r="AL410" s="10">
        <f>0.66*SQRT('Parametros'!$B$2)*H410*MIN(U410,AB410)/1000</f>
        <v>418.711575561591</v>
      </c>
      <c r="AM410" s="10" t="str">
        <f>IF(AK410&lt;=AL410,"CUMPLE","NO CUMPLE")</f>
        <v>CUMPLE</v>
      </c>
      <c r="AN410" s="15" t="inlineStr">
        <is>
          <t>Nº3 cerrado</t>
        </is>
      </c>
      <c r="AO410" s="17" t="n">
        <v>2</v>
      </c>
      <c r="AP410" s="10">
        <f>ROUNDDOWN(MIN(IF(AK410=0,1000000000,AO410*'Parametros'!$B$11*'Parametros'!$B$4*MIN(U410,AB410)/(AK410*1000)),IF(AV410=0,1000000000,'Parametros'!$B$11/AV410),MIN(U410,AB410)/4,8*'Parametros'!$B$12,24*'Parametros'!$B$9,300)/10,0)*10</f>
        <v>80</v>
      </c>
      <c r="AQ410" s="10">
        <f>ROUNDDOWN(MIN(IF(AK410=0,1000000000,AO410*'Parametros'!$B$11*'Parametros'!$B$4*MIN(U410,AB410)/(AK410*1000)),IF(AV410=0,1000000000,'Parametros'!$B$11/AV410),MIN(U410,AB410)/2,600)/10,0)*10</f>
        <v>90</v>
      </c>
      <c r="AR410" s="10">
        <f>'Parametros'!$B$6*(AJ410+AO410*'Parametros'!$B$11*'Parametros'!$B$4*MIN(U410,AB410)/AP410/1000)</f>
        <v>272.415732210762</v>
      </c>
      <c r="AS410" s="10" t="str">
        <f>IF(AND(AM410="CUMPLE",AR410&gt;=AI410),"CUMPLE","NO CUMPLE")</f>
        <v>CUMPLE</v>
      </c>
      <c r="AT410" s="10">
        <f>'Parametros'!$B$6*0.083*SQRT('Parametros'!$B$2)*(H410*I410)^2/(2*(H410+I410))/1000000</f>
        <v>4.30410823283988</v>
      </c>
      <c r="AU410" s="10" t="str">
        <f>IF(Q410&lt;=AT410,"DESPRECIABLE","DISEÑAR")</f>
        <v>DESPRECIABLE</v>
      </c>
      <c r="AV410" s="10">
        <f>IF(Q410&lt;=AT410,0,Q410*1000000/('Parametros'!$B$6*2*0.85*(H410-2*'Parametros'!$B$7)*(I410-2*'Parametros'!$B$7)*'Parametros'!$B$4))</f>
        <v>0</v>
      </c>
      <c r="AW410" s="10">
        <f>AV410*2*((H410-2*'Parametros'!$B$7)+(I410-2*'Parametros'!$B$7))*'Parametros'!$B$4/'Parametros'!$B$3</f>
        <v>0</v>
      </c>
      <c r="AX410" s="17" t="n">
        <v>0</v>
      </c>
      <c r="AY410" s="10" t="str">
        <f>IF(AV410=0,"DESPRECIABLE",IF('Parametros'!$B$11/AP410&gt;=AV410,"CUMPLE","NO CUMPLE"))</f>
        <v>DESPRECIABLE</v>
      </c>
      <c r="AZ410" s="10" t="str">
        <f>IF(AND(X410="CUMPLE",AE410="CUMPLE",AS410="CUMPLE",OR(AY410="CUMPLE",AY410="DESPRECIABLE")),IF(OR(F410&lt;&gt;H410,G410&lt;&gt;I410),"CUMPLE - REANALIZAR SAP","CUMPLE"),"NO CUMPLE")</f>
        <v>CUMPLE</v>
      </c>
    </row>
    <row r="411">
      <c r="A411" s="26" t="inlineStr">
        <is>
          <t>VR2</t>
        </is>
      </c>
      <c r="B411" s="26" t="inlineStr">
        <is>
          <t>242</t>
        </is>
      </c>
      <c r="C411" s="10" t="n">
        <v>1</v>
      </c>
      <c r="D411" s="10" t="n">
        <v>2.6</v>
      </c>
      <c r="E411" s="10" t="n">
        <v>2.6</v>
      </c>
      <c r="F411" s="10" t="n">
        <v>350</v>
      </c>
      <c r="G411" s="10" t="n">
        <v>400</v>
      </c>
      <c r="H411" s="15" t="n">
        <v>350</v>
      </c>
      <c r="I411" s="15" t="n">
        <v>400</v>
      </c>
      <c r="J411" s="16" t="n">
        <v>122.7624</v>
      </c>
      <c r="K411" s="10" t="inlineStr">
        <is>
          <t>242</t>
        </is>
      </c>
      <c r="L411" s="16" t="n">
        <v>86.9474</v>
      </c>
      <c r="M411" s="10" t="inlineStr">
        <is>
          <t>242</t>
        </is>
      </c>
      <c r="N411" s="16" t="n">
        <v>121.976</v>
      </c>
      <c r="O411" s="16" t="n">
        <v>429.913</v>
      </c>
      <c r="P411" s="10" t="inlineStr">
        <is>
          <t>242</t>
        </is>
      </c>
      <c r="Q411" s="16" t="n">
        <v>7.7964</v>
      </c>
      <c r="R411" s="10">
        <f>MAX(MAX(1.4/'Parametros'!$B$3,0.25*SQRT('Parametros'!$B$2)/'Parametros'!$B$3)*H411*U411,(0.85*'Parametros'!$B$2/'Parametros'!$B$3)*(1-SQRT(1-2*(J411*1000000/('Parametros'!$B$5*H411*U411^2))/(0.85*'Parametros'!$B$2)))*H411*U411)</f>
        <v>1025.48425325201</v>
      </c>
      <c r="S411" s="17" t="n">
        <v>6</v>
      </c>
      <c r="T411" s="18" t="n">
        <v>1</v>
      </c>
      <c r="U411" s="10">
        <f>IF(T411=1,I411-('Parametros'!$B$7+'Parametros'!$B$9+'Parametros'!$B$12/2),I411-(ROUNDUP(S411/2,0)*('Parametros'!$B$7+'Parametros'!$B$9+'Parametros'!$B$12/2)+ROUNDDOWN(S411/2,0)*('Parametros'!$B$7+'Parametros'!$B$9+'Parametros'!$B$12/2+'Parametros'!$B$12+'Parametros'!$B$10))/S411)</f>
        <v>342.55</v>
      </c>
      <c r="V411" s="10">
        <f>S411*'Parametros'!$B$8</f>
        <v>1194</v>
      </c>
      <c r="W411" s="10">
        <f>'Parametros'!$B$5*V411*'Parametros'!$B$3*(U411-(V411*'Parametros'!$B$3/(0.85*'Parametros'!$B$2*H411))/2)/1000000</f>
        <v>141.018304129412</v>
      </c>
      <c r="X411" s="10" t="str">
        <f>IF(W411&gt;=J411,"CUMPLE","NO CUMPLE")</f>
        <v>CUMPLE</v>
      </c>
      <c r="Y411" s="10">
        <f>MAX(MAX(1.4/'Parametros'!$B$3,0.25*SQRT('Parametros'!$B$2)/'Parametros'!$B$3)*H411*AB411,(0.85*'Parametros'!$B$2/'Parametros'!$B$3)*(1-SQRT(1-2*(L411*1000000/('Parametros'!$B$5*H411*AB411^2))/(0.85*'Parametros'!$B$2)))*H411*AB411)</f>
        <v>708.427204844568</v>
      </c>
      <c r="Z411" s="17" t="n">
        <v>4</v>
      </c>
      <c r="AA411" s="18" t="n">
        <v>1</v>
      </c>
      <c r="AB411" s="10">
        <f>IF(AA411=1,I411-('Parametros'!$B$7+'Parametros'!$B$9+'Parametros'!$B$12/2),I411-(ROUNDUP(Z411/2,0)*('Parametros'!$B$7+'Parametros'!$B$9+'Parametros'!$B$12/2)+ROUNDDOWN(Z411/2,0)*('Parametros'!$B$7+'Parametros'!$B$9+'Parametros'!$B$12/2+'Parametros'!$B$12+'Parametros'!$B$10))/Z411)</f>
        <v>342.55</v>
      </c>
      <c r="AC411" s="10">
        <f>Z411*'Parametros'!$B$8</f>
        <v>796</v>
      </c>
      <c r="AD411" s="10">
        <f>'Parametros'!$B$5*AC411*'Parametros'!$B$3*(AB411-(AC411*'Parametros'!$B$3/(0.85*'Parametros'!$B$2*H411))/2)/1000000</f>
        <v>97.0311966352941</v>
      </c>
      <c r="AE411" s="10" t="str">
        <f>IF(AD411&gt;=L411,"CUMPLE","NO CUMPLE")</f>
        <v>CUMPLE</v>
      </c>
      <c r="AF411" s="10">
        <f>V411*1.25*'Parametros'!$B$3*(U411-(V411*1.25*'Parametros'!$B$3/(0.85*'Parametros'!$B$2*H411))/2)/1000000</f>
        <v>191.141577794118</v>
      </c>
      <c r="AG411" s="10">
        <f>AC411*1.25*'Parametros'!$B$3*(AB411-(AC411*1.25*'Parametros'!$B$3/(0.85*'Parametros'!$B$2*H411))/2)/1000000</f>
        <v>132.669027352941</v>
      </c>
      <c r="AH411" s="10">
        <f>N411+(AF411+AG411)/D411</f>
        <v>246.518540441176</v>
      </c>
      <c r="AI411" s="10">
        <f>MIN(O411,MAX(N411,AH411))</f>
        <v>246.518540441176</v>
      </c>
      <c r="AJ411" s="10">
        <f>0.17*SQRT('Parametros'!$B$2)*H411*MIN(U411,AB411)/1000</f>
        <v>107.849951281016</v>
      </c>
      <c r="AK411" s="10">
        <f>MAX(AI411/'Parametros'!$B$6-AJ411,0)</f>
        <v>220.841435973886</v>
      </c>
      <c r="AL411" s="10">
        <f>0.66*SQRT('Parametros'!$B$2)*H411*MIN(U411,AB411)/1000</f>
        <v>418.711575561591</v>
      </c>
      <c r="AM411" s="10" t="str">
        <f>IF(AK411&lt;=AL411,"CUMPLE","NO CUMPLE")</f>
        <v>CUMPLE</v>
      </c>
      <c r="AN411" s="15" t="inlineStr">
        <is>
          <t>Nº3 cerrado</t>
        </is>
      </c>
      <c r="AO411" s="17" t="n">
        <v>2</v>
      </c>
      <c r="AP411" s="10">
        <f>ROUNDDOWN(MIN(IF(AK411=0,1000000000,AO411*'Parametros'!$B$11*'Parametros'!$B$4*MIN(U411,AB411)/(AK411*1000)),IF(AV411=0,1000000000,'Parametros'!$B$11/AV411),MIN(U411,AB411)/4,8*'Parametros'!$B$12,24*'Parametros'!$B$9,300)/10,0)*10</f>
        <v>80</v>
      </c>
      <c r="AQ411" s="10">
        <f>ROUNDDOWN(MIN(IF(AK411=0,1000000000,AO411*'Parametros'!$B$11*'Parametros'!$B$4*MIN(U411,AB411)/(AK411*1000)),IF(AV411=0,1000000000,'Parametros'!$B$11/AV411),MIN(U411,AB411)/2,600)/10,0)*10</f>
        <v>90</v>
      </c>
      <c r="AR411" s="10">
        <f>'Parametros'!$B$6*(AJ411+AO411*'Parametros'!$B$11*'Parametros'!$B$4*MIN(U411,AB411)/AP411/1000)</f>
        <v>272.415732210762</v>
      </c>
      <c r="AS411" s="10" t="str">
        <f>IF(AND(AM411="CUMPLE",AR411&gt;=AI411),"CUMPLE","NO CUMPLE")</f>
        <v>CUMPLE</v>
      </c>
      <c r="AT411" s="10">
        <f>'Parametros'!$B$6*0.083*SQRT('Parametros'!$B$2)*(H411*I411)^2/(2*(H411+I411))/1000000</f>
        <v>4.30410823283988</v>
      </c>
      <c r="AU411" s="10" t="str">
        <f>IF(Q411&lt;=AT411,"DESPRECIABLE","DISEÑAR")</f>
        <v>DISEÑAR</v>
      </c>
      <c r="AV411" s="10">
        <f>IF(Q411&lt;=AT411,0,Q411*1000000/('Parametros'!$B$6*2*0.85*(H411-2*'Parametros'!$B$7)*(I411-2*'Parametros'!$B$7)*'Parametros'!$B$4))</f>
        <v>0.16850814399834</v>
      </c>
      <c r="AW411" s="10">
        <f>AV411*2*((H411-2*'Parametros'!$B$7)+(I411-2*'Parametros'!$B$7))*'Parametros'!$B$4/'Parametros'!$B$3</f>
        <v>198.839609918041</v>
      </c>
      <c r="AX411" s="17" t="n">
        <v>1</v>
      </c>
      <c r="AY411" s="10" t="str">
        <f>IF(AV411=0,"DESPRECIABLE",IF('Parametros'!$B$11/AP411&gt;=AV411,"CUMPLE","NO CUMPLE"))</f>
        <v>CUMPLE</v>
      </c>
      <c r="AZ411" s="10" t="str">
        <f>IF(AND(X411="CUMPLE",AE411="CUMPLE",AS411="CUMPLE",OR(AY411="CUMPLE",AY411="DESPRECIABLE")),IF(OR(F411&lt;&gt;H411,G411&lt;&gt;I411),"CUMPLE - REANALIZAR SAP","CUMPLE"),"NO CUMPLE")</f>
        <v>CUMPLE</v>
      </c>
    </row>
    <row r="412">
      <c r="A412" s="26" t="inlineStr">
        <is>
          <t>VR2</t>
        </is>
      </c>
      <c r="B412" s="26" t="inlineStr">
        <is>
          <t>243</t>
        </is>
      </c>
      <c r="C412" s="10" t="n">
        <v>1</v>
      </c>
      <c r="D412" s="10" t="n">
        <v>3.65308</v>
      </c>
      <c r="E412" s="10" t="n">
        <v>3.65308</v>
      </c>
      <c r="F412" s="10" t="n">
        <v>350</v>
      </c>
      <c r="G412" s="10" t="n">
        <v>400</v>
      </c>
      <c r="H412" s="15" t="n">
        <v>350</v>
      </c>
      <c r="I412" s="15" t="n">
        <v>400</v>
      </c>
      <c r="J412" s="16" t="n">
        <v>107.7129</v>
      </c>
      <c r="K412" s="10" t="inlineStr">
        <is>
          <t>243</t>
        </is>
      </c>
      <c r="L412" s="16" t="n">
        <v>64.0309</v>
      </c>
      <c r="M412" s="10" t="inlineStr">
        <is>
          <t>243</t>
        </is>
      </c>
      <c r="N412" s="16" t="n">
        <v>82.211</v>
      </c>
      <c r="O412" s="16" t="n">
        <v>237.307</v>
      </c>
      <c r="P412" s="10" t="inlineStr">
        <is>
          <t>243</t>
        </is>
      </c>
      <c r="Q412" s="16" t="n">
        <v>7.8595</v>
      </c>
      <c r="R412" s="10">
        <f>MAX(MAX(1.4/'Parametros'!$B$3,0.25*SQRT('Parametros'!$B$2)/'Parametros'!$B$3)*H412*U412,(0.85*'Parametros'!$B$2/'Parametros'!$B$3)*(1-SQRT(1-2*(J412*1000000/('Parametros'!$B$5*H412*U412^2))/(0.85*'Parametros'!$B$2)))*H412*U412)</f>
        <v>890.181977362847</v>
      </c>
      <c r="S412" s="17" t="n">
        <v>5</v>
      </c>
      <c r="T412" s="18" t="n">
        <v>1</v>
      </c>
      <c r="U412" s="10">
        <f>IF(T412=1,I412-('Parametros'!$B$7+'Parametros'!$B$9+'Parametros'!$B$12/2),I412-(ROUNDUP(S412/2,0)*('Parametros'!$B$7+'Parametros'!$B$9+'Parametros'!$B$12/2)+ROUNDDOWN(S412/2,0)*('Parametros'!$B$7+'Parametros'!$B$9+'Parametros'!$B$12/2+'Parametros'!$B$12+'Parametros'!$B$10))/S412)</f>
        <v>342.55</v>
      </c>
      <c r="V412" s="10">
        <f>S412*'Parametros'!$B$8</f>
        <v>995</v>
      </c>
      <c r="W412" s="10">
        <f>'Parametros'!$B$5*V412*'Parametros'!$B$3*(U412-(V412*'Parametros'!$B$3/(0.85*'Parametros'!$B$2*H412))/2)/1000000</f>
        <v>119.402124617647</v>
      </c>
      <c r="X412" s="10" t="str">
        <f>IF(W412&gt;=J412,"CUMPLE","NO CUMPLE")</f>
        <v>CUMPLE</v>
      </c>
      <c r="Y412" s="10">
        <f>MAX(MAX(1.4/'Parametros'!$B$3,0.25*SQRT('Parametros'!$B$2)/'Parametros'!$B$3)*H412*AB412,(0.85*'Parametros'!$B$2/'Parametros'!$B$3)*(1-SQRT(1-2*(L412*1000000/('Parametros'!$B$5*H412*AB412^2))/(0.85*'Parametros'!$B$2)))*H412*AB412)</f>
        <v>513.948264477205</v>
      </c>
      <c r="Z412" s="17" t="n">
        <v>3</v>
      </c>
      <c r="AA412" s="18" t="n">
        <v>1</v>
      </c>
      <c r="AB412" s="10">
        <f>IF(AA412=1,I412-('Parametros'!$B$7+'Parametros'!$B$9+'Parametros'!$B$12/2),I412-(ROUNDUP(Z412/2,0)*('Parametros'!$B$7+'Parametros'!$B$9+'Parametros'!$B$12/2)+ROUNDDOWN(Z412/2,0)*('Parametros'!$B$7+'Parametros'!$B$9+'Parametros'!$B$12/2+'Parametros'!$B$12+'Parametros'!$B$10))/Z412)</f>
        <v>342.55</v>
      </c>
      <c r="AC412" s="10">
        <f>Z412*'Parametros'!$B$8</f>
        <v>597</v>
      </c>
      <c r="AD412" s="10">
        <f>'Parametros'!$B$5*AC412*'Parametros'!$B$3*(AB412-(AC412*'Parametros'!$B$3/(0.85*'Parametros'!$B$2*H412))/2)/1000000</f>
        <v>73.905520182353</v>
      </c>
      <c r="AE412" s="10" t="str">
        <f>IF(AD412&gt;=L412,"CUMPLE","NO CUMPLE")</f>
        <v>CUMPLE</v>
      </c>
      <c r="AF412" s="10">
        <f>V412*1.25*'Parametros'!$B$3*(U412-(V412*1.25*'Parametros'!$B$3/(0.85*'Parametros'!$B$2*H412))/2)/1000000</f>
        <v>162.560466176471</v>
      </c>
      <c r="AG412" s="10">
        <f>AC412*1.25*'Parametros'!$B$3*(AB412-(AC412*1.25*'Parametros'!$B$3/(0.85*'Parametros'!$B$2*H412))/2)/1000000</f>
        <v>101.467261323529</v>
      </c>
      <c r="AH412" s="10">
        <f>N412+(AF412+AG412)/D412</f>
        <v>154.486375162876</v>
      </c>
      <c r="AI412" s="10">
        <f>MIN(O412,MAX(N412,AH412))</f>
        <v>154.486375162876</v>
      </c>
      <c r="AJ412" s="10">
        <f>0.17*SQRT('Parametros'!$B$2)*H412*MIN(U412,AB412)/1000</f>
        <v>107.849951281016</v>
      </c>
      <c r="AK412" s="10">
        <f>MAX(AI412/'Parametros'!$B$6-AJ412,0)</f>
        <v>98.1318822694857</v>
      </c>
      <c r="AL412" s="10">
        <f>0.66*SQRT('Parametros'!$B$2)*H412*MIN(U412,AB412)/1000</f>
        <v>418.711575561591</v>
      </c>
      <c r="AM412" s="10" t="str">
        <f>IF(AK412&lt;=AL412,"CUMPLE","NO CUMPLE")</f>
        <v>CUMPLE</v>
      </c>
      <c r="AN412" s="15" t="inlineStr">
        <is>
          <t>Nº3 cerrado</t>
        </is>
      </c>
      <c r="AO412" s="17" t="n">
        <v>2</v>
      </c>
      <c r="AP412" s="10">
        <f>ROUNDDOWN(MIN(IF(AK412=0,1000000000,AO412*'Parametros'!$B$11*'Parametros'!$B$4*MIN(U412,AB412)/(AK412*1000)),IF(AV412=0,1000000000,'Parametros'!$B$11/AV412),MIN(U412,AB412)/4,8*'Parametros'!$B$12,24*'Parametros'!$B$9,300)/10,0)*10</f>
        <v>80</v>
      </c>
      <c r="AQ412" s="10">
        <f>ROUNDDOWN(MIN(IF(AK412=0,1000000000,AO412*'Parametros'!$B$11*'Parametros'!$B$4*MIN(U412,AB412)/(AK412*1000)),IF(AV412=0,1000000000,'Parametros'!$B$11/AV412),MIN(U412,AB412)/2,600)/10,0)*10</f>
        <v>170</v>
      </c>
      <c r="AR412" s="10">
        <f>'Parametros'!$B$6*(AJ412+AO412*'Parametros'!$B$11*'Parametros'!$B$4*MIN(U412,AB412)/AP412/1000)</f>
        <v>272.415732210762</v>
      </c>
      <c r="AS412" s="10" t="str">
        <f>IF(AND(AM412="CUMPLE",AR412&gt;=AI412),"CUMPLE","NO CUMPLE")</f>
        <v>CUMPLE</v>
      </c>
      <c r="AT412" s="10">
        <f>'Parametros'!$B$6*0.083*SQRT('Parametros'!$B$2)*(H412*I412)^2/(2*(H412+I412))/1000000</f>
        <v>4.30410823283988</v>
      </c>
      <c r="AU412" s="10" t="str">
        <f>IF(Q412&lt;=AT412,"DESPRECIABLE","DISEÑAR")</f>
        <v>DISEÑAR</v>
      </c>
      <c r="AV412" s="10">
        <f>IF(Q412&lt;=AT412,0,Q412*1000000/('Parametros'!$B$6*2*0.85*(H412-2*'Parametros'!$B$7)*(I412-2*'Parametros'!$B$7)*'Parametros'!$B$4))</f>
        <v>0.169871961130131</v>
      </c>
      <c r="AW412" s="10">
        <f>AV412*2*((H412-2*'Parametros'!$B$7)+(I412-2*'Parametros'!$B$7))*'Parametros'!$B$4/'Parametros'!$B$3</f>
        <v>200.448914133555</v>
      </c>
      <c r="AX412" s="17" t="n">
        <v>2</v>
      </c>
      <c r="AY412" s="10" t="str">
        <f>IF(AV412=0,"DESPRECIABLE",IF('Parametros'!$B$11/AP412&gt;=AV412,"CUMPLE","NO CUMPLE"))</f>
        <v>CUMPLE</v>
      </c>
      <c r="AZ412" s="10" t="str">
        <f>IF(AND(X412="CUMPLE",AE412="CUMPLE",AS412="CUMPLE",OR(AY412="CUMPLE",AY412="DESPRECIABLE")),IF(OR(F412&lt;&gt;H412,G412&lt;&gt;I412),"CUMPLE - REANALIZAR SAP","CUMPLE"),"NO CUMPLE")</f>
        <v>CUMPLE</v>
      </c>
    </row>
    <row r="413">
      <c r="A413" s="26" t="inlineStr">
        <is>
          <t>VR2</t>
        </is>
      </c>
      <c r="B413" s="26" t="inlineStr">
        <is>
          <t>244</t>
        </is>
      </c>
      <c r="C413" s="10" t="n">
        <v>1</v>
      </c>
      <c r="D413" s="10" t="n">
        <v>2.6</v>
      </c>
      <c r="E413" s="10" t="n">
        <v>2.6</v>
      </c>
      <c r="F413" s="10" t="n">
        <v>350</v>
      </c>
      <c r="G413" s="10" t="n">
        <v>400</v>
      </c>
      <c r="H413" s="15" t="n">
        <v>350</v>
      </c>
      <c r="I413" s="15" t="n">
        <v>400</v>
      </c>
      <c r="J413" s="16" t="n">
        <v>121.1122</v>
      </c>
      <c r="K413" s="10" t="inlineStr">
        <is>
          <t>244</t>
        </is>
      </c>
      <c r="L413" s="16" t="n">
        <v>81.9119</v>
      </c>
      <c r="M413" s="10" t="inlineStr">
        <is>
          <t>244</t>
        </is>
      </c>
      <c r="N413" s="16" t="n">
        <v>111.142</v>
      </c>
      <c r="O413" s="16" t="n">
        <v>393.427</v>
      </c>
      <c r="P413" s="10" t="inlineStr">
        <is>
          <t>244</t>
        </is>
      </c>
      <c r="Q413" s="16" t="n">
        <v>0.9058</v>
      </c>
      <c r="R413" s="10">
        <f>MAX(MAX(1.4/'Parametros'!$B$3,0.25*SQRT('Parametros'!$B$2)/'Parametros'!$B$3)*H413*U413,(0.85*'Parametros'!$B$2/'Parametros'!$B$3)*(1-SQRT(1-2*(J413*1000000/('Parametros'!$B$5*H413*U413^2))/(0.85*'Parametros'!$B$2)))*H413*U413)</f>
        <v>1010.49364100282</v>
      </c>
      <c r="S413" s="17" t="n">
        <v>6</v>
      </c>
      <c r="T413" s="18" t="n">
        <v>1</v>
      </c>
      <c r="U413" s="10">
        <f>IF(T413=1,I413-('Parametros'!$B$7+'Parametros'!$B$9+'Parametros'!$B$12/2),I413-(ROUNDUP(S413/2,0)*('Parametros'!$B$7+'Parametros'!$B$9+'Parametros'!$B$12/2)+ROUNDDOWN(S413/2,0)*('Parametros'!$B$7+'Parametros'!$B$9+'Parametros'!$B$12/2+'Parametros'!$B$12+'Parametros'!$B$10))/S413)</f>
        <v>342.55</v>
      </c>
      <c r="V413" s="10">
        <f>S413*'Parametros'!$B$8</f>
        <v>1194</v>
      </c>
      <c r="W413" s="10">
        <f>'Parametros'!$B$5*V413*'Parametros'!$B$3*(U413-(V413*'Parametros'!$B$3/(0.85*'Parametros'!$B$2*H413))/2)/1000000</f>
        <v>141.018304129412</v>
      </c>
      <c r="X413" s="10" t="str">
        <f>IF(W413&gt;=J413,"CUMPLE","NO CUMPLE")</f>
        <v>CUMPLE</v>
      </c>
      <c r="Y413" s="10">
        <f>MAX(MAX(1.4/'Parametros'!$B$3,0.25*SQRT('Parametros'!$B$2)/'Parametros'!$B$3)*H413*AB413,(0.85*'Parametros'!$B$2/'Parametros'!$B$3)*(1-SQRT(1-2*(L413*1000000/('Parametros'!$B$5*H413*AB413^2))/(0.85*'Parametros'!$B$2)))*H413*AB413)</f>
        <v>665.164805344945</v>
      </c>
      <c r="Z413" s="17" t="n">
        <v>4</v>
      </c>
      <c r="AA413" s="18" t="n">
        <v>1</v>
      </c>
      <c r="AB413" s="10">
        <f>IF(AA413=1,I413-('Parametros'!$B$7+'Parametros'!$B$9+'Parametros'!$B$12/2),I413-(ROUNDUP(Z413/2,0)*('Parametros'!$B$7+'Parametros'!$B$9+'Parametros'!$B$12/2)+ROUNDDOWN(Z413/2,0)*('Parametros'!$B$7+'Parametros'!$B$9+'Parametros'!$B$12/2+'Parametros'!$B$12+'Parametros'!$B$10))/Z413)</f>
        <v>342.55</v>
      </c>
      <c r="AC413" s="10">
        <f>Z413*'Parametros'!$B$8</f>
        <v>796</v>
      </c>
      <c r="AD413" s="10">
        <f>'Parametros'!$B$5*AC413*'Parametros'!$B$3*(AB413-(AC413*'Parametros'!$B$3/(0.85*'Parametros'!$B$2*H413))/2)/1000000</f>
        <v>97.0311966352941</v>
      </c>
      <c r="AE413" s="10" t="str">
        <f>IF(AD413&gt;=L413,"CUMPLE","NO CUMPLE")</f>
        <v>CUMPLE</v>
      </c>
      <c r="AF413" s="10">
        <f>V413*1.25*'Parametros'!$B$3*(U413-(V413*1.25*'Parametros'!$B$3/(0.85*'Parametros'!$B$2*H413))/2)/1000000</f>
        <v>191.141577794118</v>
      </c>
      <c r="AG413" s="10">
        <f>AC413*1.25*'Parametros'!$B$3*(AB413-(AC413*1.25*'Parametros'!$B$3/(0.85*'Parametros'!$B$2*H413))/2)/1000000</f>
        <v>132.669027352941</v>
      </c>
      <c r="AH413" s="10">
        <f>N413+(AF413+AG413)/D413</f>
        <v>235.684540441176</v>
      </c>
      <c r="AI413" s="10">
        <f>MIN(O413,MAX(N413,AH413))</f>
        <v>235.684540441176</v>
      </c>
      <c r="AJ413" s="10">
        <f>0.17*SQRT('Parametros'!$B$2)*H413*MIN(U413,AB413)/1000</f>
        <v>107.849951281016</v>
      </c>
      <c r="AK413" s="10">
        <f>MAX(AI413/'Parametros'!$B$6-AJ413,0)</f>
        <v>206.396102640553</v>
      </c>
      <c r="AL413" s="10">
        <f>0.66*SQRT('Parametros'!$B$2)*H413*MIN(U413,AB413)/1000</f>
        <v>418.711575561591</v>
      </c>
      <c r="AM413" s="10" t="str">
        <f>IF(AK413&lt;=AL413,"CUMPLE","NO CUMPLE")</f>
        <v>CUMPLE</v>
      </c>
      <c r="AN413" s="15" t="inlineStr">
        <is>
          <t>Nº3 cerrado</t>
        </is>
      </c>
      <c r="AO413" s="17" t="n">
        <v>2</v>
      </c>
      <c r="AP413" s="10">
        <f>ROUNDDOWN(MIN(IF(AK413=0,1000000000,AO413*'Parametros'!$B$11*'Parametros'!$B$4*MIN(U413,AB413)/(AK413*1000)),IF(AV413=0,1000000000,'Parametros'!$B$11/AV413),MIN(U413,AB413)/4,8*'Parametros'!$B$12,24*'Parametros'!$B$9,300)/10,0)*10</f>
        <v>80</v>
      </c>
      <c r="AQ413" s="10">
        <f>ROUNDDOWN(MIN(IF(AK413=0,1000000000,AO413*'Parametros'!$B$11*'Parametros'!$B$4*MIN(U413,AB413)/(AK413*1000)),IF(AV413=0,1000000000,'Parametros'!$B$11/AV413),MIN(U413,AB413)/2,600)/10,0)*10</f>
        <v>90</v>
      </c>
      <c r="AR413" s="10">
        <f>'Parametros'!$B$6*(AJ413+AO413*'Parametros'!$B$11*'Parametros'!$B$4*MIN(U413,AB413)/AP413/1000)</f>
        <v>272.415732210762</v>
      </c>
      <c r="AS413" s="10" t="str">
        <f>IF(AND(AM413="CUMPLE",AR413&gt;=AI413),"CUMPLE","NO CUMPLE")</f>
        <v>CUMPLE</v>
      </c>
      <c r="AT413" s="10">
        <f>'Parametros'!$B$6*0.083*SQRT('Parametros'!$B$2)*(H413*I413)^2/(2*(H413+I413))/1000000</f>
        <v>4.30410823283988</v>
      </c>
      <c r="AU413" s="10" t="str">
        <f>IF(Q413&lt;=AT413,"DESPRECIABLE","DISEÑAR")</f>
        <v>DESPRECIABLE</v>
      </c>
      <c r="AV413" s="10">
        <f>IF(Q413&lt;=AT413,0,Q413*1000000/('Parametros'!$B$6*2*0.85*(H413-2*'Parametros'!$B$7)*(I413-2*'Parametros'!$B$7)*'Parametros'!$B$4))</f>
        <v>0</v>
      </c>
      <c r="AW413" s="10">
        <f>AV413*2*((H413-2*'Parametros'!$B$7)+(I413-2*'Parametros'!$B$7))*'Parametros'!$B$4/'Parametros'!$B$3</f>
        <v>0</v>
      </c>
      <c r="AX413" s="17" t="n">
        <v>0</v>
      </c>
      <c r="AY413" s="10" t="str">
        <f>IF(AV413=0,"DESPRECIABLE",IF('Parametros'!$B$11/AP413&gt;=AV413,"CUMPLE","NO CUMPLE"))</f>
        <v>DESPRECIABLE</v>
      </c>
      <c r="AZ413" s="10" t="str">
        <f>IF(AND(X413="CUMPLE",AE413="CUMPLE",AS413="CUMPLE",OR(AY413="CUMPLE",AY413="DESPRECIABLE")),IF(OR(F413&lt;&gt;H413,G413&lt;&gt;I413),"CUMPLE - REANALIZAR SAP","CUMPLE"),"NO CUMPLE")</f>
        <v>CUMPLE</v>
      </c>
    </row>
    <row r="414">
      <c r="A414" s="26" t="inlineStr">
        <is>
          <t>VR2</t>
        </is>
      </c>
      <c r="B414" s="26" t="inlineStr">
        <is>
          <t>769</t>
        </is>
      </c>
      <c r="C414" s="10" t="n">
        <v>1</v>
      </c>
      <c r="D414" s="10" t="n">
        <v>2.6</v>
      </c>
      <c r="E414" s="10" t="n">
        <v>2.6</v>
      </c>
      <c r="F414" s="10" t="n">
        <v>350</v>
      </c>
      <c r="G414" s="10" t="n">
        <v>400</v>
      </c>
      <c r="H414" s="15" t="n">
        <v>350</v>
      </c>
      <c r="I414" s="15" t="n">
        <v>400</v>
      </c>
      <c r="J414" s="16" t="n">
        <v>100.72</v>
      </c>
      <c r="K414" s="10" t="inlineStr">
        <is>
          <t>769</t>
        </is>
      </c>
      <c r="L414" s="16" t="n">
        <v>60.9902</v>
      </c>
      <c r="M414" s="10" t="inlineStr">
        <is>
          <t>769</t>
        </is>
      </c>
      <c r="N414" s="16" t="n">
        <v>95.688</v>
      </c>
      <c r="O414" s="16" t="n">
        <v>307.885</v>
      </c>
      <c r="P414" s="10" t="inlineStr">
        <is>
          <t>769</t>
        </is>
      </c>
      <c r="Q414" s="16" t="n">
        <v>0.9312</v>
      </c>
      <c r="R414" s="10">
        <f>MAX(MAX(1.4/'Parametros'!$B$3,0.25*SQRT('Parametros'!$B$2)/'Parametros'!$B$3)*H414*U414,(0.85*'Parametros'!$B$2/'Parametros'!$B$3)*(1-SQRT(1-2*(J414*1000000/('Parametros'!$B$5*H414*U414^2))/(0.85*'Parametros'!$B$2)))*H414*U414)</f>
        <v>828.35657966572</v>
      </c>
      <c r="S414" s="17" t="n">
        <v>5</v>
      </c>
      <c r="T414" s="18" t="n">
        <v>1</v>
      </c>
      <c r="U414" s="10">
        <f>IF(T414=1,I414-('Parametros'!$B$7+'Parametros'!$B$9+'Parametros'!$B$12/2),I414-(ROUNDUP(S414/2,0)*('Parametros'!$B$7+'Parametros'!$B$9+'Parametros'!$B$12/2)+ROUNDDOWN(S414/2,0)*('Parametros'!$B$7+'Parametros'!$B$9+'Parametros'!$B$12/2+'Parametros'!$B$12+'Parametros'!$B$10))/S414)</f>
        <v>342.55</v>
      </c>
      <c r="V414" s="10">
        <f>S414*'Parametros'!$B$8</f>
        <v>995</v>
      </c>
      <c r="W414" s="10">
        <f>'Parametros'!$B$5*V414*'Parametros'!$B$3*(U414-(V414*'Parametros'!$B$3/(0.85*'Parametros'!$B$2*H414))/2)/1000000</f>
        <v>119.402124617647</v>
      </c>
      <c r="X414" s="10" t="str">
        <f>IF(W414&gt;=J414,"CUMPLE","NO CUMPLE")</f>
        <v>CUMPLE</v>
      </c>
      <c r="Y414" s="10">
        <f>MAX(MAX(1.4/'Parametros'!$B$3,0.25*SQRT('Parametros'!$B$2)/'Parametros'!$B$3)*H414*AB414,(0.85*'Parametros'!$B$2/'Parametros'!$B$3)*(1-SQRT(1-2*(L414*1000000/('Parametros'!$B$5*H414*AB414^2))/(0.85*'Parametros'!$B$2)))*H414*AB414)</f>
        <v>488.594362649827</v>
      </c>
      <c r="Z414" s="17" t="n">
        <v>3</v>
      </c>
      <c r="AA414" s="18" t="n">
        <v>1</v>
      </c>
      <c r="AB414" s="10">
        <f>IF(AA414=1,I414-('Parametros'!$B$7+'Parametros'!$B$9+'Parametros'!$B$12/2),I414-(ROUNDUP(Z414/2,0)*('Parametros'!$B$7+'Parametros'!$B$9+'Parametros'!$B$12/2)+ROUNDDOWN(Z414/2,0)*('Parametros'!$B$7+'Parametros'!$B$9+'Parametros'!$B$12/2+'Parametros'!$B$12+'Parametros'!$B$10))/Z414)</f>
        <v>342.55</v>
      </c>
      <c r="AC414" s="10">
        <f>Z414*'Parametros'!$B$8</f>
        <v>597</v>
      </c>
      <c r="AD414" s="10">
        <f>'Parametros'!$B$5*AC414*'Parametros'!$B$3*(AB414-(AC414*'Parametros'!$B$3/(0.85*'Parametros'!$B$2*H414))/2)/1000000</f>
        <v>73.905520182353</v>
      </c>
      <c r="AE414" s="10" t="str">
        <f>IF(AD414&gt;=L414,"CUMPLE","NO CUMPLE")</f>
        <v>CUMPLE</v>
      </c>
      <c r="AF414" s="10">
        <f>V414*1.25*'Parametros'!$B$3*(U414-(V414*1.25*'Parametros'!$B$3/(0.85*'Parametros'!$B$2*H414))/2)/1000000</f>
        <v>162.560466176471</v>
      </c>
      <c r="AG414" s="10">
        <f>AC414*1.25*'Parametros'!$B$3*(AB414-(AC414*1.25*'Parametros'!$B$3/(0.85*'Parametros'!$B$2*H414))/2)/1000000</f>
        <v>101.467261323529</v>
      </c>
      <c r="AH414" s="10">
        <f>N414+(AF414+AG414)/D414</f>
        <v>197.237125961538</v>
      </c>
      <c r="AI414" s="10">
        <f>MIN(O414,MAX(N414,AH414))</f>
        <v>197.237125961538</v>
      </c>
      <c r="AJ414" s="10">
        <f>0.17*SQRT('Parametros'!$B$2)*H414*MIN(U414,AB414)/1000</f>
        <v>107.849951281016</v>
      </c>
      <c r="AK414" s="10">
        <f>MAX(AI414/'Parametros'!$B$6-AJ414,0)</f>
        <v>155.132883334369</v>
      </c>
      <c r="AL414" s="10">
        <f>0.66*SQRT('Parametros'!$B$2)*H414*MIN(U414,AB414)/1000</f>
        <v>418.711575561591</v>
      </c>
      <c r="AM414" s="10" t="str">
        <f>IF(AK414&lt;=AL414,"CUMPLE","NO CUMPLE")</f>
        <v>CUMPLE</v>
      </c>
      <c r="AN414" s="15" t="inlineStr">
        <is>
          <t>Nº3 cerrado</t>
        </is>
      </c>
      <c r="AO414" s="17" t="n">
        <v>2</v>
      </c>
      <c r="AP414" s="10">
        <f>ROUNDDOWN(MIN(IF(AK414=0,1000000000,AO414*'Parametros'!$B$11*'Parametros'!$B$4*MIN(U414,AB414)/(AK414*1000)),IF(AV414=0,1000000000,'Parametros'!$B$11/AV414),MIN(U414,AB414)/4,8*'Parametros'!$B$12,24*'Parametros'!$B$9,300)/10,0)*10</f>
        <v>80</v>
      </c>
      <c r="AQ414" s="10">
        <f>ROUNDDOWN(MIN(IF(AK414=0,1000000000,AO414*'Parametros'!$B$11*'Parametros'!$B$4*MIN(U414,AB414)/(AK414*1000)),IF(AV414=0,1000000000,'Parametros'!$B$11/AV414),MIN(U414,AB414)/2,600)/10,0)*10</f>
        <v>130</v>
      </c>
      <c r="AR414" s="10">
        <f>'Parametros'!$B$6*(AJ414+AO414*'Parametros'!$B$11*'Parametros'!$B$4*MIN(U414,AB414)/AP414/1000)</f>
        <v>272.415732210762</v>
      </c>
      <c r="AS414" s="10" t="str">
        <f>IF(AND(AM414="CUMPLE",AR414&gt;=AI414),"CUMPLE","NO CUMPLE")</f>
        <v>CUMPLE</v>
      </c>
      <c r="AT414" s="10">
        <f>'Parametros'!$B$6*0.083*SQRT('Parametros'!$B$2)*(H414*I414)^2/(2*(H414+I414))/1000000</f>
        <v>4.30410823283988</v>
      </c>
      <c r="AU414" s="10" t="str">
        <f>IF(Q414&lt;=AT414,"DESPRECIABLE","DISEÑAR")</f>
        <v>DESPRECIABLE</v>
      </c>
      <c r="AV414" s="10">
        <f>IF(Q414&lt;=AT414,0,Q414*1000000/('Parametros'!$B$6*2*0.85*(H414-2*'Parametros'!$B$7)*(I414-2*'Parametros'!$B$7)*'Parametros'!$B$4))</f>
        <v>0</v>
      </c>
      <c r="AW414" s="10">
        <f>AV414*2*((H414-2*'Parametros'!$B$7)+(I414-2*'Parametros'!$B$7))*'Parametros'!$B$4/'Parametros'!$B$3</f>
        <v>0</v>
      </c>
      <c r="AX414" s="17" t="n">
        <v>0</v>
      </c>
      <c r="AY414" s="10" t="str">
        <f>IF(AV414=0,"DESPRECIABLE",IF('Parametros'!$B$11/AP414&gt;=AV414,"CUMPLE","NO CUMPLE"))</f>
        <v>DESPRECIABLE</v>
      </c>
      <c r="AZ414" s="10" t="str">
        <f>IF(AND(X414="CUMPLE",AE414="CUMPLE",AS414="CUMPLE",OR(AY414="CUMPLE",AY414="DESPRECIABLE")),IF(OR(F414&lt;&gt;H414,G414&lt;&gt;I414),"CUMPLE - REANALIZAR SAP","CUMPLE"),"NO CUMPLE")</f>
        <v>CUMPLE</v>
      </c>
    </row>
    <row r="415">
      <c r="A415" s="26" t="inlineStr">
        <is>
          <t>VR2</t>
        </is>
      </c>
      <c r="B415" s="26" t="inlineStr">
        <is>
          <t>770</t>
        </is>
      </c>
      <c r="C415" s="10" t="n">
        <v>1</v>
      </c>
      <c r="D415" s="10" t="n">
        <v>3.65308</v>
      </c>
      <c r="E415" s="10" t="n">
        <v>3.65308</v>
      </c>
      <c r="F415" s="10" t="n">
        <v>350</v>
      </c>
      <c r="G415" s="10" t="n">
        <v>400</v>
      </c>
      <c r="H415" s="15" t="n">
        <v>350</v>
      </c>
      <c r="I415" s="15" t="n">
        <v>400</v>
      </c>
      <c r="J415" s="16" t="n">
        <v>94.5078</v>
      </c>
      <c r="K415" s="10" t="inlineStr">
        <is>
          <t>770</t>
        </is>
      </c>
      <c r="L415" s="16" t="n">
        <v>51.1784</v>
      </c>
      <c r="M415" s="10" t="inlineStr">
        <is>
          <t>770</t>
        </is>
      </c>
      <c r="N415" s="16" t="n">
        <v>76.53700000000001</v>
      </c>
      <c r="O415" s="16" t="n">
        <v>200.448</v>
      </c>
      <c r="P415" s="10" t="inlineStr">
        <is>
          <t>770</t>
        </is>
      </c>
      <c r="Q415" s="16" t="n">
        <v>7.6798</v>
      </c>
      <c r="R415" s="10">
        <f>MAX(MAX(1.4/'Parametros'!$B$3,0.25*SQRT('Parametros'!$B$2)/'Parametros'!$B$3)*H415*U415,(0.85*'Parametros'!$B$2/'Parametros'!$B$3)*(1-SQRT(1-2*(J415*1000000/('Parametros'!$B$5*H415*U415^2))/(0.85*'Parametros'!$B$2)))*H415*U415)</f>
        <v>773.966036554159</v>
      </c>
      <c r="S415" s="17" t="n">
        <v>4</v>
      </c>
      <c r="T415" s="18" t="n">
        <v>1</v>
      </c>
      <c r="U415" s="10">
        <f>IF(T415=1,I415-('Parametros'!$B$7+'Parametros'!$B$9+'Parametros'!$B$12/2),I415-(ROUNDUP(S415/2,0)*('Parametros'!$B$7+'Parametros'!$B$9+'Parametros'!$B$12/2)+ROUNDDOWN(S415/2,0)*('Parametros'!$B$7+'Parametros'!$B$9+'Parametros'!$B$12/2+'Parametros'!$B$12+'Parametros'!$B$10))/S415)</f>
        <v>342.55</v>
      </c>
      <c r="V415" s="10">
        <f>S415*'Parametros'!$B$8</f>
        <v>796</v>
      </c>
      <c r="W415" s="10">
        <f>'Parametros'!$B$5*V415*'Parametros'!$B$3*(U415-(V415*'Parametros'!$B$3/(0.85*'Parametros'!$B$2*H415))/2)/1000000</f>
        <v>97.0311966352941</v>
      </c>
      <c r="X415" s="10" t="str">
        <f>IF(W415&gt;=J415,"CUMPLE","NO CUMPLE")</f>
        <v>CUMPLE</v>
      </c>
      <c r="Y415" s="10">
        <f>MAX(MAX(1.4/'Parametros'!$B$3,0.25*SQRT('Parametros'!$B$2)/'Parametros'!$B$3)*H415*AB415,(0.85*'Parametros'!$B$2/'Parametros'!$B$3)*(1-SQRT(1-2*(L415*1000000/('Parametros'!$B$5*H415*AB415^2))/(0.85*'Parametros'!$B$2)))*H415*AB415)</f>
        <v>407.468197997378</v>
      </c>
      <c r="Z415" s="17" t="n">
        <v>3</v>
      </c>
      <c r="AA415" s="18" t="n">
        <v>1</v>
      </c>
      <c r="AB415" s="10">
        <f>IF(AA415=1,I415-('Parametros'!$B$7+'Parametros'!$B$9+'Parametros'!$B$12/2),I415-(ROUNDUP(Z415/2,0)*('Parametros'!$B$7+'Parametros'!$B$9+'Parametros'!$B$12/2)+ROUNDDOWN(Z415/2,0)*('Parametros'!$B$7+'Parametros'!$B$9+'Parametros'!$B$12/2+'Parametros'!$B$12+'Parametros'!$B$10))/Z415)</f>
        <v>342.55</v>
      </c>
      <c r="AC415" s="10">
        <f>Z415*'Parametros'!$B$8</f>
        <v>597</v>
      </c>
      <c r="AD415" s="10">
        <f>'Parametros'!$B$5*AC415*'Parametros'!$B$3*(AB415-(AC415*'Parametros'!$B$3/(0.85*'Parametros'!$B$2*H415))/2)/1000000</f>
        <v>73.905520182353</v>
      </c>
      <c r="AE415" s="10" t="str">
        <f>IF(AD415&gt;=L415,"CUMPLE","NO CUMPLE")</f>
        <v>CUMPLE</v>
      </c>
      <c r="AF415" s="10">
        <f>V415*1.25*'Parametros'!$B$3*(U415-(V415*1.25*'Parametros'!$B$3/(0.85*'Parametros'!$B$2*H415))/2)/1000000</f>
        <v>132.669027352941</v>
      </c>
      <c r="AG415" s="10">
        <f>AC415*1.25*'Parametros'!$B$3*(AB415-(AC415*1.25*'Parametros'!$B$3/(0.85*'Parametros'!$B$2*H415))/2)/1000000</f>
        <v>101.467261323529</v>
      </c>
      <c r="AH415" s="10">
        <f>N415+(AF415+AG415)/D415</f>
        <v>140.629844579497</v>
      </c>
      <c r="AI415" s="10">
        <f>MIN(O415,MAX(N415,AH415))</f>
        <v>140.629844579497</v>
      </c>
      <c r="AJ415" s="10">
        <f>0.17*SQRT('Parametros'!$B$2)*H415*MIN(U415,AB415)/1000</f>
        <v>107.849951281016</v>
      </c>
      <c r="AK415" s="10">
        <f>MAX(AI415/'Parametros'!$B$6-AJ415,0)</f>
        <v>79.656508158314</v>
      </c>
      <c r="AL415" s="10">
        <f>0.66*SQRT('Parametros'!$B$2)*H415*MIN(U415,AB415)/1000</f>
        <v>418.711575561591</v>
      </c>
      <c r="AM415" s="10" t="str">
        <f>IF(AK415&lt;=AL415,"CUMPLE","NO CUMPLE")</f>
        <v>CUMPLE</v>
      </c>
      <c r="AN415" s="15" t="inlineStr">
        <is>
          <t>Nº3 cerrado</t>
        </is>
      </c>
      <c r="AO415" s="17" t="n">
        <v>2</v>
      </c>
      <c r="AP415" s="10">
        <f>ROUNDDOWN(MIN(IF(AK415=0,1000000000,AO415*'Parametros'!$B$11*'Parametros'!$B$4*MIN(U415,AB415)/(AK415*1000)),IF(AV415=0,1000000000,'Parametros'!$B$11/AV415),MIN(U415,AB415)/4,8*'Parametros'!$B$12,24*'Parametros'!$B$9,300)/10,0)*10</f>
        <v>80</v>
      </c>
      <c r="AQ415" s="10">
        <f>ROUNDDOWN(MIN(IF(AK415=0,1000000000,AO415*'Parametros'!$B$11*'Parametros'!$B$4*MIN(U415,AB415)/(AK415*1000)),IF(AV415=0,1000000000,'Parametros'!$B$11/AV415),MIN(U415,AB415)/2,600)/10,0)*10</f>
        <v>170</v>
      </c>
      <c r="AR415" s="10">
        <f>'Parametros'!$B$6*(AJ415+AO415*'Parametros'!$B$11*'Parametros'!$B$4*MIN(U415,AB415)/AP415/1000)</f>
        <v>272.415732210762</v>
      </c>
      <c r="AS415" s="10" t="str">
        <f>IF(AND(AM415="CUMPLE",AR415&gt;=AI415),"CUMPLE","NO CUMPLE")</f>
        <v>CUMPLE</v>
      </c>
      <c r="AT415" s="10">
        <f>'Parametros'!$B$6*0.083*SQRT('Parametros'!$B$2)*(H415*I415)^2/(2*(H415+I415))/1000000</f>
        <v>4.30410823283988</v>
      </c>
      <c r="AU415" s="10" t="str">
        <f>IF(Q415&lt;=AT415,"DESPRECIABLE","DISEÑAR")</f>
        <v>DISEÑAR</v>
      </c>
      <c r="AV415" s="10">
        <f>IF(Q415&lt;=AT415,0,Q415*1000000/('Parametros'!$B$6*2*0.85*(H415-2*'Parametros'!$B$7)*(I415-2*'Parametros'!$B$7)*'Parametros'!$B$4))</f>
        <v>0.165988000138327</v>
      </c>
      <c r="AW415" s="10">
        <f>AV415*2*((H415-2*'Parametros'!$B$7)+(I415-2*'Parametros'!$B$7))*'Parametros'!$B$4/'Parametros'!$B$3</f>
        <v>195.865840163226</v>
      </c>
      <c r="AX415" s="17" t="n">
        <v>1</v>
      </c>
      <c r="AY415" s="10" t="str">
        <f>IF(AV415=0,"DESPRECIABLE",IF('Parametros'!$B$11/AP415&gt;=AV415,"CUMPLE","NO CUMPLE"))</f>
        <v>CUMPLE</v>
      </c>
      <c r="AZ415" s="10" t="str">
        <f>IF(AND(X415="CUMPLE",AE415="CUMPLE",AS415="CUMPLE",OR(AY415="CUMPLE",AY415="DESPRECIABLE")),IF(OR(F415&lt;&gt;H415,G415&lt;&gt;I415),"CUMPLE - REANALIZAR SAP","CUMPLE"),"NO CUMPLE")</f>
        <v>CUMPLE</v>
      </c>
    </row>
    <row r="416">
      <c r="A416" s="26" t="inlineStr">
        <is>
          <t>VR2</t>
        </is>
      </c>
      <c r="B416" s="26" t="inlineStr">
        <is>
          <t>771</t>
        </is>
      </c>
      <c r="C416" s="10" t="n">
        <v>1</v>
      </c>
      <c r="D416" s="10" t="n">
        <v>2.6</v>
      </c>
      <c r="E416" s="10" t="n">
        <v>2.6</v>
      </c>
      <c r="F416" s="10" t="n">
        <v>350</v>
      </c>
      <c r="G416" s="10" t="n">
        <v>400</v>
      </c>
      <c r="H416" s="15" t="n">
        <v>350</v>
      </c>
      <c r="I416" s="15" t="n">
        <v>400</v>
      </c>
      <c r="J416" s="16" t="n">
        <v>102.0794</v>
      </c>
      <c r="K416" s="10" t="inlineStr">
        <is>
          <t>771</t>
        </is>
      </c>
      <c r="L416" s="16" t="n">
        <v>65.5372</v>
      </c>
      <c r="M416" s="10" t="inlineStr">
        <is>
          <t>771</t>
        </is>
      </c>
      <c r="N416" s="16" t="n">
        <v>106.136</v>
      </c>
      <c r="O416" s="16" t="n">
        <v>346.513</v>
      </c>
      <c r="P416" s="10" t="inlineStr">
        <is>
          <t>771</t>
        </is>
      </c>
      <c r="Q416" s="16" t="n">
        <v>7.4864</v>
      </c>
      <c r="R416" s="10">
        <f>MAX(MAX(1.4/'Parametros'!$B$3,0.25*SQRT('Parametros'!$B$2)/'Parametros'!$B$3)*H416*U416,(0.85*'Parametros'!$B$2/'Parametros'!$B$3)*(1-SQRT(1-2*(J416*1000000/('Parametros'!$B$5*H416*U416^2))/(0.85*'Parametros'!$B$2)))*H416*U416)</f>
        <v>840.324988887152</v>
      </c>
      <c r="S416" s="17" t="n">
        <v>5</v>
      </c>
      <c r="T416" s="18" t="n">
        <v>1</v>
      </c>
      <c r="U416" s="10">
        <f>IF(T416=1,I416-('Parametros'!$B$7+'Parametros'!$B$9+'Parametros'!$B$12/2),I416-(ROUNDUP(S416/2,0)*('Parametros'!$B$7+'Parametros'!$B$9+'Parametros'!$B$12/2)+ROUNDDOWN(S416/2,0)*('Parametros'!$B$7+'Parametros'!$B$9+'Parametros'!$B$12/2+'Parametros'!$B$12+'Parametros'!$B$10))/S416)</f>
        <v>342.55</v>
      </c>
      <c r="V416" s="10">
        <f>S416*'Parametros'!$B$8</f>
        <v>995</v>
      </c>
      <c r="W416" s="10">
        <f>'Parametros'!$B$5*V416*'Parametros'!$B$3*(U416-(V416*'Parametros'!$B$3/(0.85*'Parametros'!$B$2*H416))/2)/1000000</f>
        <v>119.402124617647</v>
      </c>
      <c r="X416" s="10" t="str">
        <f>IF(W416&gt;=J416,"CUMPLE","NO CUMPLE")</f>
        <v>CUMPLE</v>
      </c>
      <c r="Y416" s="10">
        <f>MAX(MAX(1.4/'Parametros'!$B$3,0.25*SQRT('Parametros'!$B$2)/'Parametros'!$B$3)*H416*AB416,(0.85*'Parametros'!$B$2/'Parametros'!$B$3)*(1-SQRT(1-2*(L416*1000000/('Parametros'!$B$5*H416*AB416^2))/(0.85*'Parametros'!$B$2)))*H416*AB416)</f>
        <v>526.546053401771</v>
      </c>
      <c r="Z416" s="17" t="n">
        <v>3</v>
      </c>
      <c r="AA416" s="18" t="n">
        <v>1</v>
      </c>
      <c r="AB416" s="10">
        <f>IF(AA416=1,I416-('Parametros'!$B$7+'Parametros'!$B$9+'Parametros'!$B$12/2),I416-(ROUNDUP(Z416/2,0)*('Parametros'!$B$7+'Parametros'!$B$9+'Parametros'!$B$12/2)+ROUNDDOWN(Z416/2,0)*('Parametros'!$B$7+'Parametros'!$B$9+'Parametros'!$B$12/2+'Parametros'!$B$12+'Parametros'!$B$10))/Z416)</f>
        <v>342.55</v>
      </c>
      <c r="AC416" s="10">
        <f>Z416*'Parametros'!$B$8</f>
        <v>597</v>
      </c>
      <c r="AD416" s="10">
        <f>'Parametros'!$B$5*AC416*'Parametros'!$B$3*(AB416-(AC416*'Parametros'!$B$3/(0.85*'Parametros'!$B$2*H416))/2)/1000000</f>
        <v>73.905520182353</v>
      </c>
      <c r="AE416" s="10" t="str">
        <f>IF(AD416&gt;=L416,"CUMPLE","NO CUMPLE")</f>
        <v>CUMPLE</v>
      </c>
      <c r="AF416" s="10">
        <f>V416*1.25*'Parametros'!$B$3*(U416-(V416*1.25*'Parametros'!$B$3/(0.85*'Parametros'!$B$2*H416))/2)/1000000</f>
        <v>162.560466176471</v>
      </c>
      <c r="AG416" s="10">
        <f>AC416*1.25*'Parametros'!$B$3*(AB416-(AC416*1.25*'Parametros'!$B$3/(0.85*'Parametros'!$B$2*H416))/2)/1000000</f>
        <v>101.467261323529</v>
      </c>
      <c r="AH416" s="10">
        <f>N416+(AF416+AG416)/D416</f>
        <v>207.685125961538</v>
      </c>
      <c r="AI416" s="10">
        <f>MIN(O416,MAX(N416,AH416))</f>
        <v>207.685125961538</v>
      </c>
      <c r="AJ416" s="10">
        <f>0.17*SQRT('Parametros'!$B$2)*H416*MIN(U416,AB416)/1000</f>
        <v>107.849951281016</v>
      </c>
      <c r="AK416" s="10">
        <f>MAX(AI416/'Parametros'!$B$6-AJ416,0)</f>
        <v>169.063550001035</v>
      </c>
      <c r="AL416" s="10">
        <f>0.66*SQRT('Parametros'!$B$2)*H416*MIN(U416,AB416)/1000</f>
        <v>418.711575561591</v>
      </c>
      <c r="AM416" s="10" t="str">
        <f>IF(AK416&lt;=AL416,"CUMPLE","NO CUMPLE")</f>
        <v>CUMPLE</v>
      </c>
      <c r="AN416" s="15" t="inlineStr">
        <is>
          <t>Nº3 cerrado</t>
        </is>
      </c>
      <c r="AO416" s="17" t="n">
        <v>2</v>
      </c>
      <c r="AP416" s="10">
        <f>ROUNDDOWN(MIN(IF(AK416=0,1000000000,AO416*'Parametros'!$B$11*'Parametros'!$B$4*MIN(U416,AB416)/(AK416*1000)),IF(AV416=0,1000000000,'Parametros'!$B$11/AV416),MIN(U416,AB416)/4,8*'Parametros'!$B$12,24*'Parametros'!$B$9,300)/10,0)*10</f>
        <v>80</v>
      </c>
      <c r="AQ416" s="10">
        <f>ROUNDDOWN(MIN(IF(AK416=0,1000000000,AO416*'Parametros'!$B$11*'Parametros'!$B$4*MIN(U416,AB416)/(AK416*1000)),IF(AV416=0,1000000000,'Parametros'!$B$11/AV416),MIN(U416,AB416)/2,600)/10,0)*10</f>
        <v>120</v>
      </c>
      <c r="AR416" s="10">
        <f>'Parametros'!$B$6*(AJ416+AO416*'Parametros'!$B$11*'Parametros'!$B$4*MIN(U416,AB416)/AP416/1000)</f>
        <v>272.415732210762</v>
      </c>
      <c r="AS416" s="10" t="str">
        <f>IF(AND(AM416="CUMPLE",AR416&gt;=AI416),"CUMPLE","NO CUMPLE")</f>
        <v>CUMPLE</v>
      </c>
      <c r="AT416" s="10">
        <f>'Parametros'!$B$6*0.083*SQRT('Parametros'!$B$2)*(H416*I416)^2/(2*(H416+I416))/1000000</f>
        <v>4.30410823283988</v>
      </c>
      <c r="AU416" s="10" t="str">
        <f>IF(Q416&lt;=AT416,"DESPRECIABLE","DISEÑAR")</f>
        <v>DISEÑAR</v>
      </c>
      <c r="AV416" s="10">
        <f>IF(Q416&lt;=AT416,0,Q416*1000000/('Parametros'!$B$6*2*0.85*(H416-2*'Parametros'!$B$7)*(I416-2*'Parametros'!$B$7)*'Parametros'!$B$4))</f>
        <v>0.161807933049763</v>
      </c>
      <c r="AW416" s="10">
        <f>AV416*2*((H416-2*'Parametros'!$B$7)+(I416-2*'Parametros'!$B$7))*'Parametros'!$B$4/'Parametros'!$B$3</f>
        <v>190.93336099872</v>
      </c>
      <c r="AX416" s="17" t="n">
        <v>1</v>
      </c>
      <c r="AY416" s="10" t="str">
        <f>IF(AV416=0,"DESPRECIABLE",IF('Parametros'!$B$11/AP416&gt;=AV416,"CUMPLE","NO CUMPLE"))</f>
        <v>CUMPLE</v>
      </c>
      <c r="AZ416" s="10" t="str">
        <f>IF(AND(X416="CUMPLE",AE416="CUMPLE",AS416="CUMPLE",OR(AY416="CUMPLE",AY416="DESPRECIABLE")),IF(OR(F416&lt;&gt;H416,G416&lt;&gt;I416),"CUMPLE - REANALIZAR SAP","CUMPLE"),"NO CUMPLE")</f>
        <v>CUMPLE</v>
      </c>
    </row>
    <row r="417">
      <c r="A417" s="26" t="inlineStr">
        <is>
          <t>VR2</t>
        </is>
      </c>
      <c r="B417" s="26" t="inlineStr">
        <is>
          <t>772</t>
        </is>
      </c>
      <c r="C417" s="10" t="n">
        <v>1</v>
      </c>
      <c r="D417" s="10" t="n">
        <v>2.5</v>
      </c>
      <c r="E417" s="10" t="n">
        <v>2.5</v>
      </c>
      <c r="F417" s="10" t="n">
        <v>350</v>
      </c>
      <c r="G417" s="10" t="n">
        <v>400</v>
      </c>
      <c r="H417" s="15" t="n">
        <v>350</v>
      </c>
      <c r="I417" s="15" t="n">
        <v>400</v>
      </c>
      <c r="J417" s="16" t="n">
        <v>97.499</v>
      </c>
      <c r="K417" s="10" t="inlineStr">
        <is>
          <t>772</t>
        </is>
      </c>
      <c r="L417" s="16" t="n">
        <v>70.4469</v>
      </c>
      <c r="M417" s="10" t="inlineStr">
        <is>
          <t>772</t>
        </is>
      </c>
      <c r="N417" s="16" t="n">
        <v>99.199</v>
      </c>
      <c r="O417" s="16" t="n">
        <v>337.325</v>
      </c>
      <c r="P417" s="10" t="inlineStr">
        <is>
          <t>772</t>
        </is>
      </c>
      <c r="Q417" s="16" t="n">
        <v>1.388</v>
      </c>
      <c r="R417" s="10">
        <f>MAX(MAX(1.4/'Parametros'!$B$3,0.25*SQRT('Parametros'!$B$2)/'Parametros'!$B$3)*H417*U417,(0.85*'Parametros'!$B$2/'Parametros'!$B$3)*(1-SQRT(1-2*(J417*1000000/('Parametros'!$B$5*H417*U417^2))/(0.85*'Parametros'!$B$2)))*H417*U417)</f>
        <v>800.093696682794</v>
      </c>
      <c r="S417" s="17" t="n">
        <v>5</v>
      </c>
      <c r="T417" s="18" t="n">
        <v>1</v>
      </c>
      <c r="U417" s="10">
        <f>IF(T417=1,I417-('Parametros'!$B$7+'Parametros'!$B$9+'Parametros'!$B$12/2),I417-(ROUNDUP(S417/2,0)*('Parametros'!$B$7+'Parametros'!$B$9+'Parametros'!$B$12/2)+ROUNDDOWN(S417/2,0)*('Parametros'!$B$7+'Parametros'!$B$9+'Parametros'!$B$12/2+'Parametros'!$B$12+'Parametros'!$B$10))/S417)</f>
        <v>342.55</v>
      </c>
      <c r="V417" s="10">
        <f>S417*'Parametros'!$B$8</f>
        <v>995</v>
      </c>
      <c r="W417" s="10">
        <f>'Parametros'!$B$5*V417*'Parametros'!$B$3*(U417-(V417*'Parametros'!$B$3/(0.85*'Parametros'!$B$2*H417))/2)/1000000</f>
        <v>119.402124617647</v>
      </c>
      <c r="X417" s="10" t="str">
        <f>IF(W417&gt;=J417,"CUMPLE","NO CUMPLE")</f>
        <v>CUMPLE</v>
      </c>
      <c r="Y417" s="10">
        <f>MAX(MAX(1.4/'Parametros'!$B$3,0.25*SQRT('Parametros'!$B$2)/'Parametros'!$B$3)*H417*AB417,(0.85*'Parametros'!$B$2/'Parametros'!$B$3)*(1-SQRT(1-2*(L417*1000000/('Parametros'!$B$5*H417*AB417^2))/(0.85*'Parametros'!$B$2)))*H417*AB417)</f>
        <v>567.784778840523</v>
      </c>
      <c r="Z417" s="17" t="n">
        <v>3</v>
      </c>
      <c r="AA417" s="18" t="n">
        <v>1</v>
      </c>
      <c r="AB417" s="10">
        <f>IF(AA417=1,I417-('Parametros'!$B$7+'Parametros'!$B$9+'Parametros'!$B$12/2),I417-(ROUNDUP(Z417/2,0)*('Parametros'!$B$7+'Parametros'!$B$9+'Parametros'!$B$12/2)+ROUNDDOWN(Z417/2,0)*('Parametros'!$B$7+'Parametros'!$B$9+'Parametros'!$B$12/2+'Parametros'!$B$12+'Parametros'!$B$10))/Z417)</f>
        <v>342.55</v>
      </c>
      <c r="AC417" s="10">
        <f>Z417*'Parametros'!$B$8</f>
        <v>597</v>
      </c>
      <c r="AD417" s="10">
        <f>'Parametros'!$B$5*AC417*'Parametros'!$B$3*(AB417-(AC417*'Parametros'!$B$3/(0.85*'Parametros'!$B$2*H417))/2)/1000000</f>
        <v>73.905520182353</v>
      </c>
      <c r="AE417" s="10" t="str">
        <f>IF(AD417&gt;=L417,"CUMPLE","NO CUMPLE")</f>
        <v>CUMPLE</v>
      </c>
      <c r="AF417" s="10">
        <f>V417*1.25*'Parametros'!$B$3*(U417-(V417*1.25*'Parametros'!$B$3/(0.85*'Parametros'!$B$2*H417))/2)/1000000</f>
        <v>162.560466176471</v>
      </c>
      <c r="AG417" s="10">
        <f>AC417*1.25*'Parametros'!$B$3*(AB417-(AC417*1.25*'Parametros'!$B$3/(0.85*'Parametros'!$B$2*H417))/2)/1000000</f>
        <v>101.467261323529</v>
      </c>
      <c r="AH417" s="10">
        <f>N417+(AF417+AG417)/D417</f>
        <v>204.810091</v>
      </c>
      <c r="AI417" s="10">
        <f>MIN(O417,MAX(N417,AH417))</f>
        <v>204.810091</v>
      </c>
      <c r="AJ417" s="10">
        <f>0.17*SQRT('Parametros'!$B$2)*H417*MIN(U417,AB417)/1000</f>
        <v>107.849951281016</v>
      </c>
      <c r="AK417" s="10">
        <f>MAX(AI417/'Parametros'!$B$6-AJ417,0)</f>
        <v>165.230170052317</v>
      </c>
      <c r="AL417" s="10">
        <f>0.66*SQRT('Parametros'!$B$2)*H417*MIN(U417,AB417)/1000</f>
        <v>418.711575561591</v>
      </c>
      <c r="AM417" s="10" t="str">
        <f>IF(AK417&lt;=AL417,"CUMPLE","NO CUMPLE")</f>
        <v>CUMPLE</v>
      </c>
      <c r="AN417" s="15" t="inlineStr">
        <is>
          <t>Nº3 cerrado</t>
        </is>
      </c>
      <c r="AO417" s="17" t="n">
        <v>2</v>
      </c>
      <c r="AP417" s="10">
        <f>ROUNDDOWN(MIN(IF(AK417=0,1000000000,AO417*'Parametros'!$B$11*'Parametros'!$B$4*MIN(U417,AB417)/(AK417*1000)),IF(AV417=0,1000000000,'Parametros'!$B$11/AV417),MIN(U417,AB417)/4,8*'Parametros'!$B$12,24*'Parametros'!$B$9,300)/10,0)*10</f>
        <v>80</v>
      </c>
      <c r="AQ417" s="10">
        <f>ROUNDDOWN(MIN(IF(AK417=0,1000000000,AO417*'Parametros'!$B$11*'Parametros'!$B$4*MIN(U417,AB417)/(AK417*1000)),IF(AV417=0,1000000000,'Parametros'!$B$11/AV417),MIN(U417,AB417)/2,600)/10,0)*10</f>
        <v>120</v>
      </c>
      <c r="AR417" s="10">
        <f>'Parametros'!$B$6*(AJ417+AO417*'Parametros'!$B$11*'Parametros'!$B$4*MIN(U417,AB417)/AP417/1000)</f>
        <v>272.415732210762</v>
      </c>
      <c r="AS417" s="10" t="str">
        <f>IF(AND(AM417="CUMPLE",AR417&gt;=AI417),"CUMPLE","NO CUMPLE")</f>
        <v>CUMPLE</v>
      </c>
      <c r="AT417" s="10">
        <f>'Parametros'!$B$6*0.083*SQRT('Parametros'!$B$2)*(H417*I417)^2/(2*(H417+I417))/1000000</f>
        <v>4.30410823283988</v>
      </c>
      <c r="AU417" s="10" t="str">
        <f>IF(Q417&lt;=AT417,"DESPRECIABLE","DISEÑAR")</f>
        <v>DESPRECIABLE</v>
      </c>
      <c r="AV417" s="10">
        <f>IF(Q417&lt;=AT417,0,Q417*1000000/('Parametros'!$B$6*2*0.85*(H417-2*'Parametros'!$B$7)*(I417-2*'Parametros'!$B$7)*'Parametros'!$B$4))</f>
        <v>0</v>
      </c>
      <c r="AW417" s="10">
        <f>AV417*2*((H417-2*'Parametros'!$B$7)+(I417-2*'Parametros'!$B$7))*'Parametros'!$B$4/'Parametros'!$B$3</f>
        <v>0</v>
      </c>
      <c r="AX417" s="17" t="n">
        <v>0</v>
      </c>
      <c r="AY417" s="10" t="str">
        <f>IF(AV417=0,"DESPRECIABLE",IF('Parametros'!$B$11/AP417&gt;=AV417,"CUMPLE","NO CUMPLE"))</f>
        <v>DESPRECIABLE</v>
      </c>
      <c r="AZ417" s="10" t="str">
        <f>IF(AND(X417="CUMPLE",AE417="CUMPLE",AS417="CUMPLE",OR(AY417="CUMPLE",AY417="DESPRECIABLE")),IF(OR(F417&lt;&gt;H417,G417&lt;&gt;I417),"CUMPLE - REANALIZAR SAP","CUMPLE"),"NO CUMPLE")</f>
        <v>CUMPLE</v>
      </c>
    </row>
    <row r="418">
      <c r="A418" s="26" t="inlineStr">
        <is>
          <t>VR2</t>
        </is>
      </c>
      <c r="B418" s="26" t="inlineStr">
        <is>
          <t>773</t>
        </is>
      </c>
      <c r="C418" s="10" t="n">
        <v>1</v>
      </c>
      <c r="D418" s="10" t="n">
        <v>4.17612</v>
      </c>
      <c r="E418" s="10" t="n">
        <v>4.17612</v>
      </c>
      <c r="F418" s="10" t="n">
        <v>350</v>
      </c>
      <c r="G418" s="10" t="n">
        <v>400</v>
      </c>
      <c r="H418" s="15" t="n">
        <v>350</v>
      </c>
      <c r="I418" s="15" t="n">
        <v>400</v>
      </c>
      <c r="J418" s="16" t="n">
        <v>102.548</v>
      </c>
      <c r="K418" s="10" t="inlineStr">
        <is>
          <t>773</t>
        </is>
      </c>
      <c r="L418" s="16" t="n">
        <v>41.4497</v>
      </c>
      <c r="M418" s="10" t="inlineStr">
        <is>
          <t>773</t>
        </is>
      </c>
      <c r="N418" s="16" t="n">
        <v>86.361</v>
      </c>
      <c r="O418" s="16" t="n">
        <v>205.964</v>
      </c>
      <c r="P418" s="10" t="inlineStr">
        <is>
          <t>773</t>
        </is>
      </c>
      <c r="Q418" s="16" t="n">
        <v>0.2044</v>
      </c>
      <c r="R418" s="10">
        <f>MAX(MAX(1.4/'Parametros'!$B$3,0.25*SQRT('Parametros'!$B$2)/'Parametros'!$B$3)*H418*U418,(0.85*'Parametros'!$B$2/'Parametros'!$B$3)*(1-SQRT(1-2*(J418*1000000/('Parametros'!$B$5*H418*U418^2))/(0.85*'Parametros'!$B$2)))*H418*U418)</f>
        <v>844.456210222088</v>
      </c>
      <c r="S418" s="17" t="n">
        <v>5</v>
      </c>
      <c r="T418" s="18" t="n">
        <v>1</v>
      </c>
      <c r="U418" s="10">
        <f>IF(T418=1,I418-('Parametros'!$B$7+'Parametros'!$B$9+'Parametros'!$B$12/2),I418-(ROUNDUP(S418/2,0)*('Parametros'!$B$7+'Parametros'!$B$9+'Parametros'!$B$12/2)+ROUNDDOWN(S418/2,0)*('Parametros'!$B$7+'Parametros'!$B$9+'Parametros'!$B$12/2+'Parametros'!$B$12+'Parametros'!$B$10))/S418)</f>
        <v>342.55</v>
      </c>
      <c r="V418" s="10">
        <f>S418*'Parametros'!$B$8</f>
        <v>995</v>
      </c>
      <c r="W418" s="10">
        <f>'Parametros'!$B$5*V418*'Parametros'!$B$3*(U418-(V418*'Parametros'!$B$3/(0.85*'Parametros'!$B$2*H418))/2)/1000000</f>
        <v>119.402124617647</v>
      </c>
      <c r="X418" s="10" t="str">
        <f>IF(W418&gt;=J418,"CUMPLE","NO CUMPLE")</f>
        <v>CUMPLE</v>
      </c>
      <c r="Y418" s="10">
        <f>MAX(MAX(1.4/'Parametros'!$B$3,0.25*SQRT('Parametros'!$B$2)/'Parametros'!$B$3)*H418*AB418,(0.85*'Parametros'!$B$2/'Parametros'!$B$3)*(1-SQRT(1-2*(L418*1000000/('Parametros'!$B$5*H418*AB418^2))/(0.85*'Parametros'!$B$2)))*H418*AB418)</f>
        <v>399.641666666667</v>
      </c>
      <c r="Z418" s="17" t="n">
        <v>3</v>
      </c>
      <c r="AA418" s="18" t="n">
        <v>1</v>
      </c>
      <c r="AB418" s="10">
        <f>IF(AA418=1,I418-('Parametros'!$B$7+'Parametros'!$B$9+'Parametros'!$B$12/2),I418-(ROUNDUP(Z418/2,0)*('Parametros'!$B$7+'Parametros'!$B$9+'Parametros'!$B$12/2)+ROUNDDOWN(Z418/2,0)*('Parametros'!$B$7+'Parametros'!$B$9+'Parametros'!$B$12/2+'Parametros'!$B$12+'Parametros'!$B$10))/Z418)</f>
        <v>342.55</v>
      </c>
      <c r="AC418" s="10">
        <f>Z418*'Parametros'!$B$8</f>
        <v>597</v>
      </c>
      <c r="AD418" s="10">
        <f>'Parametros'!$B$5*AC418*'Parametros'!$B$3*(AB418-(AC418*'Parametros'!$B$3/(0.85*'Parametros'!$B$2*H418))/2)/1000000</f>
        <v>73.905520182353</v>
      </c>
      <c r="AE418" s="10" t="str">
        <f>IF(AD418&gt;=L418,"CUMPLE","NO CUMPLE")</f>
        <v>CUMPLE</v>
      </c>
      <c r="AF418" s="10">
        <f>V418*1.25*'Parametros'!$B$3*(U418-(V418*1.25*'Parametros'!$B$3/(0.85*'Parametros'!$B$2*H418))/2)/1000000</f>
        <v>162.560466176471</v>
      </c>
      <c r="AG418" s="10">
        <f>AC418*1.25*'Parametros'!$B$3*(AB418-(AC418*1.25*'Parametros'!$B$3/(0.85*'Parametros'!$B$2*H418))/2)/1000000</f>
        <v>101.467261323529</v>
      </c>
      <c r="AH418" s="10">
        <f>N418+(AF418+AG418)/D418</f>
        <v>149.584213772593</v>
      </c>
      <c r="AI418" s="10">
        <f>MIN(O418,MAX(N418,AH418))</f>
        <v>149.584213772593</v>
      </c>
      <c r="AJ418" s="10">
        <f>0.17*SQRT('Parametros'!$B$2)*H418*MIN(U418,AB418)/1000</f>
        <v>107.849951281016</v>
      </c>
      <c r="AK418" s="10">
        <f>MAX(AI418/'Parametros'!$B$6-AJ418,0)</f>
        <v>91.5956670824411</v>
      </c>
      <c r="AL418" s="10">
        <f>0.66*SQRT('Parametros'!$B$2)*H418*MIN(U418,AB418)/1000</f>
        <v>418.711575561591</v>
      </c>
      <c r="AM418" s="10" t="str">
        <f>IF(AK418&lt;=AL418,"CUMPLE","NO CUMPLE")</f>
        <v>CUMPLE</v>
      </c>
      <c r="AN418" s="15" t="inlineStr">
        <is>
          <t>Nº3 cerrado</t>
        </is>
      </c>
      <c r="AO418" s="17" t="n">
        <v>2</v>
      </c>
      <c r="AP418" s="10">
        <f>ROUNDDOWN(MIN(IF(AK418=0,1000000000,AO418*'Parametros'!$B$11*'Parametros'!$B$4*MIN(U418,AB418)/(AK418*1000)),IF(AV418=0,1000000000,'Parametros'!$B$11/AV418),MIN(U418,AB418)/4,8*'Parametros'!$B$12,24*'Parametros'!$B$9,300)/10,0)*10</f>
        <v>80</v>
      </c>
      <c r="AQ418" s="10">
        <f>ROUNDDOWN(MIN(IF(AK418=0,1000000000,AO418*'Parametros'!$B$11*'Parametros'!$B$4*MIN(U418,AB418)/(AK418*1000)),IF(AV418=0,1000000000,'Parametros'!$B$11/AV418),MIN(U418,AB418)/2,600)/10,0)*10</f>
        <v>170</v>
      </c>
      <c r="AR418" s="10">
        <f>'Parametros'!$B$6*(AJ418+AO418*'Parametros'!$B$11*'Parametros'!$B$4*MIN(U418,AB418)/AP418/1000)</f>
        <v>272.415732210762</v>
      </c>
      <c r="AS418" s="10" t="str">
        <f>IF(AND(AM418="CUMPLE",AR418&gt;=AI418),"CUMPLE","NO CUMPLE")</f>
        <v>CUMPLE</v>
      </c>
      <c r="AT418" s="10">
        <f>'Parametros'!$B$6*0.083*SQRT('Parametros'!$B$2)*(H418*I418)^2/(2*(H418+I418))/1000000</f>
        <v>4.30410823283988</v>
      </c>
      <c r="AU418" s="10" t="str">
        <f>IF(Q418&lt;=AT418,"DESPRECIABLE","DISEÑAR")</f>
        <v>DESPRECIABLE</v>
      </c>
      <c r="AV418" s="10">
        <f>IF(Q418&lt;=AT418,0,Q418*1000000/('Parametros'!$B$6*2*0.85*(H418-2*'Parametros'!$B$7)*(I418-2*'Parametros'!$B$7)*'Parametros'!$B$4))</f>
        <v>0</v>
      </c>
      <c r="AW418" s="10">
        <f>AV418*2*((H418-2*'Parametros'!$B$7)+(I418-2*'Parametros'!$B$7))*'Parametros'!$B$4/'Parametros'!$B$3</f>
        <v>0</v>
      </c>
      <c r="AX418" s="17" t="n">
        <v>0</v>
      </c>
      <c r="AY418" s="10" t="str">
        <f>IF(AV418=0,"DESPRECIABLE",IF('Parametros'!$B$11/AP418&gt;=AV418,"CUMPLE","NO CUMPLE"))</f>
        <v>DESPRECIABLE</v>
      </c>
      <c r="AZ418" s="10" t="str">
        <f>IF(AND(X418="CUMPLE",AE418="CUMPLE",AS418="CUMPLE",OR(AY418="CUMPLE",AY418="DESPRECIABLE")),IF(OR(F418&lt;&gt;H418,G418&lt;&gt;I418),"CUMPLE - REANALIZAR SAP","CUMPLE"),"NO CUMPLE")</f>
        <v>CUMPLE</v>
      </c>
    </row>
    <row r="419">
      <c r="A419" s="26" t="inlineStr">
        <is>
          <t>VR2</t>
        </is>
      </c>
      <c r="B419" s="26" t="inlineStr">
        <is>
          <t>774</t>
        </is>
      </c>
      <c r="C419" s="10" t="n">
        <v>1</v>
      </c>
      <c r="D419" s="10" t="n">
        <v>2.7</v>
      </c>
      <c r="E419" s="10" t="n">
        <v>2.7</v>
      </c>
      <c r="F419" s="10" t="n">
        <v>350</v>
      </c>
      <c r="G419" s="10" t="n">
        <v>400</v>
      </c>
      <c r="H419" s="15" t="n">
        <v>350</v>
      </c>
      <c r="I419" s="15" t="n">
        <v>400</v>
      </c>
      <c r="J419" s="16" t="n">
        <v>85.7342</v>
      </c>
      <c r="K419" s="10" t="inlineStr">
        <is>
          <t>774</t>
        </is>
      </c>
      <c r="L419" s="16" t="n">
        <v>65.54389999999999</v>
      </c>
      <c r="M419" s="10" t="inlineStr">
        <is>
          <t>774</t>
        </is>
      </c>
      <c r="N419" s="16" t="n">
        <v>92.453</v>
      </c>
      <c r="O419" s="16" t="n">
        <v>264.187</v>
      </c>
      <c r="P419" s="10" t="inlineStr">
        <is>
          <t>774</t>
        </is>
      </c>
      <c r="Q419" s="16" t="n">
        <v>2.0469</v>
      </c>
      <c r="R419" s="10">
        <f>MAX(MAX(1.4/'Parametros'!$B$3,0.25*SQRT('Parametros'!$B$2)/'Parametros'!$B$3)*H419*U419,(0.85*'Parametros'!$B$2/'Parametros'!$B$3)*(1-SQRT(1-2*(J419*1000000/('Parametros'!$B$5*H419*U419^2))/(0.85*'Parametros'!$B$2)))*H419*U419)</f>
        <v>697.97594555999</v>
      </c>
      <c r="S419" s="17" t="n">
        <v>4</v>
      </c>
      <c r="T419" s="18" t="n">
        <v>1</v>
      </c>
      <c r="U419" s="10">
        <f>IF(T419=1,I419-('Parametros'!$B$7+'Parametros'!$B$9+'Parametros'!$B$12/2),I419-(ROUNDUP(S419/2,0)*('Parametros'!$B$7+'Parametros'!$B$9+'Parametros'!$B$12/2)+ROUNDDOWN(S419/2,0)*('Parametros'!$B$7+'Parametros'!$B$9+'Parametros'!$B$12/2+'Parametros'!$B$12+'Parametros'!$B$10))/S419)</f>
        <v>342.55</v>
      </c>
      <c r="V419" s="10">
        <f>S419*'Parametros'!$B$8</f>
        <v>796</v>
      </c>
      <c r="W419" s="10">
        <f>'Parametros'!$B$5*V419*'Parametros'!$B$3*(U419-(V419*'Parametros'!$B$3/(0.85*'Parametros'!$B$2*H419))/2)/1000000</f>
        <v>97.0311966352941</v>
      </c>
      <c r="X419" s="10" t="str">
        <f>IF(W419&gt;=J419,"CUMPLE","NO CUMPLE")</f>
        <v>CUMPLE</v>
      </c>
      <c r="Y419" s="10">
        <f>MAX(MAX(1.4/'Parametros'!$B$3,0.25*SQRT('Parametros'!$B$2)/'Parametros'!$B$3)*H419*AB419,(0.85*'Parametros'!$B$2/'Parametros'!$B$3)*(1-SQRT(1-2*(L419*1000000/('Parametros'!$B$5*H419*AB419^2))/(0.85*'Parametros'!$B$2)))*H419*AB419)</f>
        <v>526.602144747267</v>
      </c>
      <c r="Z419" s="17" t="n">
        <v>3</v>
      </c>
      <c r="AA419" s="18" t="n">
        <v>1</v>
      </c>
      <c r="AB419" s="10">
        <f>IF(AA419=1,I419-('Parametros'!$B$7+'Parametros'!$B$9+'Parametros'!$B$12/2),I419-(ROUNDUP(Z419/2,0)*('Parametros'!$B$7+'Parametros'!$B$9+'Parametros'!$B$12/2)+ROUNDDOWN(Z419/2,0)*('Parametros'!$B$7+'Parametros'!$B$9+'Parametros'!$B$12/2+'Parametros'!$B$12+'Parametros'!$B$10))/Z419)</f>
        <v>342.55</v>
      </c>
      <c r="AC419" s="10">
        <f>Z419*'Parametros'!$B$8</f>
        <v>597</v>
      </c>
      <c r="AD419" s="10">
        <f>'Parametros'!$B$5*AC419*'Parametros'!$B$3*(AB419-(AC419*'Parametros'!$B$3/(0.85*'Parametros'!$B$2*H419))/2)/1000000</f>
        <v>73.905520182353</v>
      </c>
      <c r="AE419" s="10" t="str">
        <f>IF(AD419&gt;=L419,"CUMPLE","NO CUMPLE")</f>
        <v>CUMPLE</v>
      </c>
      <c r="AF419" s="10">
        <f>V419*1.25*'Parametros'!$B$3*(U419-(V419*1.25*'Parametros'!$B$3/(0.85*'Parametros'!$B$2*H419))/2)/1000000</f>
        <v>132.669027352941</v>
      </c>
      <c r="AG419" s="10">
        <f>AC419*1.25*'Parametros'!$B$3*(AB419-(AC419*1.25*'Parametros'!$B$3/(0.85*'Parametros'!$B$2*H419))/2)/1000000</f>
        <v>101.467261323529</v>
      </c>
      <c r="AH419" s="10">
        <f>N419+(AF419+AG419)/D419</f>
        <v>179.170143954248</v>
      </c>
      <c r="AI419" s="10">
        <f>MIN(O419,MAX(N419,AH419))</f>
        <v>179.170143954248</v>
      </c>
      <c r="AJ419" s="10">
        <f>0.17*SQRT('Parametros'!$B$2)*H419*MIN(U419,AB419)/1000</f>
        <v>107.849951281016</v>
      </c>
      <c r="AK419" s="10">
        <f>MAX(AI419/'Parametros'!$B$6-AJ419,0)</f>
        <v>131.043573991315</v>
      </c>
      <c r="AL419" s="10">
        <f>0.66*SQRT('Parametros'!$B$2)*H419*MIN(U419,AB419)/1000</f>
        <v>418.711575561591</v>
      </c>
      <c r="AM419" s="10" t="str">
        <f>IF(AK419&lt;=AL419,"CUMPLE","NO CUMPLE")</f>
        <v>CUMPLE</v>
      </c>
      <c r="AN419" s="15" t="inlineStr">
        <is>
          <t>Nº3 cerrado</t>
        </is>
      </c>
      <c r="AO419" s="17" t="n">
        <v>2</v>
      </c>
      <c r="AP419" s="10">
        <f>ROUNDDOWN(MIN(IF(AK419=0,1000000000,AO419*'Parametros'!$B$11*'Parametros'!$B$4*MIN(U419,AB419)/(AK419*1000)),IF(AV419=0,1000000000,'Parametros'!$B$11/AV419),MIN(U419,AB419)/4,8*'Parametros'!$B$12,24*'Parametros'!$B$9,300)/10,0)*10</f>
        <v>80</v>
      </c>
      <c r="AQ419" s="10">
        <f>ROUNDDOWN(MIN(IF(AK419=0,1000000000,AO419*'Parametros'!$B$11*'Parametros'!$B$4*MIN(U419,AB419)/(AK419*1000)),IF(AV419=0,1000000000,'Parametros'!$B$11/AV419),MIN(U419,AB419)/2,600)/10,0)*10</f>
        <v>150</v>
      </c>
      <c r="AR419" s="10">
        <f>'Parametros'!$B$6*(AJ419+AO419*'Parametros'!$B$11*'Parametros'!$B$4*MIN(U419,AB419)/AP419/1000)</f>
        <v>272.415732210762</v>
      </c>
      <c r="AS419" s="10" t="str">
        <f>IF(AND(AM419="CUMPLE",AR419&gt;=AI419),"CUMPLE","NO CUMPLE")</f>
        <v>CUMPLE</v>
      </c>
      <c r="AT419" s="10">
        <f>'Parametros'!$B$6*0.083*SQRT('Parametros'!$B$2)*(H419*I419)^2/(2*(H419+I419))/1000000</f>
        <v>4.30410823283988</v>
      </c>
      <c r="AU419" s="10" t="str">
        <f>IF(Q419&lt;=AT419,"DESPRECIABLE","DISEÑAR")</f>
        <v>DESPRECIABLE</v>
      </c>
      <c r="AV419" s="10">
        <f>IF(Q419&lt;=AT419,0,Q419*1000000/('Parametros'!$B$6*2*0.85*(H419-2*'Parametros'!$B$7)*(I419-2*'Parametros'!$B$7)*'Parametros'!$B$4))</f>
        <v>0</v>
      </c>
      <c r="AW419" s="10">
        <f>AV419*2*((H419-2*'Parametros'!$B$7)+(I419-2*'Parametros'!$B$7))*'Parametros'!$B$4/'Parametros'!$B$3</f>
        <v>0</v>
      </c>
      <c r="AX419" s="17" t="n">
        <v>0</v>
      </c>
      <c r="AY419" s="10" t="str">
        <f>IF(AV419=0,"DESPRECIABLE",IF('Parametros'!$B$11/AP419&gt;=AV419,"CUMPLE","NO CUMPLE"))</f>
        <v>DESPRECIABLE</v>
      </c>
      <c r="AZ419" s="10" t="str">
        <f>IF(AND(X419="CUMPLE",AE419="CUMPLE",AS419="CUMPLE",OR(AY419="CUMPLE",AY419="DESPRECIABLE")),IF(OR(F419&lt;&gt;H419,G419&lt;&gt;I419),"CUMPLE - REANALIZAR SAP","CUMPLE"),"NO CUMPLE")</f>
        <v>CUMPLE</v>
      </c>
    </row>
    <row r="420">
      <c r="A420" s="26" t="inlineStr">
        <is>
          <t>VR2</t>
        </is>
      </c>
      <c r="B420" s="26" t="inlineStr">
        <is>
          <t>775</t>
        </is>
      </c>
      <c r="C420" s="10" t="n">
        <v>1</v>
      </c>
      <c r="D420" s="10" t="n">
        <v>2.8</v>
      </c>
      <c r="E420" s="10" t="n">
        <v>2.8</v>
      </c>
      <c r="F420" s="10" t="n">
        <v>350</v>
      </c>
      <c r="G420" s="10" t="n">
        <v>400</v>
      </c>
      <c r="H420" s="15" t="n">
        <v>350</v>
      </c>
      <c r="I420" s="15" t="n">
        <v>400</v>
      </c>
      <c r="J420" s="16" t="n">
        <v>86.3702</v>
      </c>
      <c r="K420" s="10" t="inlineStr">
        <is>
          <t>775</t>
        </is>
      </c>
      <c r="L420" s="16" t="n">
        <v>63.4757</v>
      </c>
      <c r="M420" s="10" t="inlineStr">
        <is>
          <t>775</t>
        </is>
      </c>
      <c r="N420" s="16" t="n">
        <v>91.289</v>
      </c>
      <c r="O420" s="16" t="n">
        <v>256.454</v>
      </c>
      <c r="P420" s="10" t="inlineStr">
        <is>
          <t>775</t>
        </is>
      </c>
      <c r="Q420" s="16" t="n">
        <v>1.9811</v>
      </c>
      <c r="R420" s="10">
        <f>MAX(MAX(1.4/'Parametros'!$B$3,0.25*SQRT('Parametros'!$B$2)/'Parametros'!$B$3)*H420*U420,(0.85*'Parametros'!$B$2/'Parametros'!$B$3)*(1-SQRT(1-2*(J420*1000000/('Parametros'!$B$5*H420*U420^2))/(0.85*'Parametros'!$B$2)))*H420*U420)</f>
        <v>703.452608548589</v>
      </c>
      <c r="S420" s="17" t="n">
        <v>4</v>
      </c>
      <c r="T420" s="18" t="n">
        <v>1</v>
      </c>
      <c r="U420" s="10">
        <f>IF(T420=1,I420-('Parametros'!$B$7+'Parametros'!$B$9+'Parametros'!$B$12/2),I420-(ROUNDUP(S420/2,0)*('Parametros'!$B$7+'Parametros'!$B$9+'Parametros'!$B$12/2)+ROUNDDOWN(S420/2,0)*('Parametros'!$B$7+'Parametros'!$B$9+'Parametros'!$B$12/2+'Parametros'!$B$12+'Parametros'!$B$10))/S420)</f>
        <v>342.55</v>
      </c>
      <c r="V420" s="10">
        <f>S420*'Parametros'!$B$8</f>
        <v>796</v>
      </c>
      <c r="W420" s="10">
        <f>'Parametros'!$B$5*V420*'Parametros'!$B$3*(U420-(V420*'Parametros'!$B$3/(0.85*'Parametros'!$B$2*H420))/2)/1000000</f>
        <v>97.0311966352941</v>
      </c>
      <c r="X420" s="10" t="str">
        <f>IF(W420&gt;=J420,"CUMPLE","NO CUMPLE")</f>
        <v>CUMPLE</v>
      </c>
      <c r="Y420" s="10">
        <f>MAX(MAX(1.4/'Parametros'!$B$3,0.25*SQRT('Parametros'!$B$2)/'Parametros'!$B$3)*H420*AB420,(0.85*'Parametros'!$B$2/'Parametros'!$B$3)*(1-SQRT(1-2*(L420*1000000/('Parametros'!$B$5*H420*AB420^2))/(0.85*'Parametros'!$B$2)))*H420*AB420)</f>
        <v>509.311274267213</v>
      </c>
      <c r="Z420" s="17" t="n">
        <v>3</v>
      </c>
      <c r="AA420" s="18" t="n">
        <v>1</v>
      </c>
      <c r="AB420" s="10">
        <f>IF(AA420=1,I420-('Parametros'!$B$7+'Parametros'!$B$9+'Parametros'!$B$12/2),I420-(ROUNDUP(Z420/2,0)*('Parametros'!$B$7+'Parametros'!$B$9+'Parametros'!$B$12/2)+ROUNDDOWN(Z420/2,0)*('Parametros'!$B$7+'Parametros'!$B$9+'Parametros'!$B$12/2+'Parametros'!$B$12+'Parametros'!$B$10))/Z420)</f>
        <v>342.55</v>
      </c>
      <c r="AC420" s="10">
        <f>Z420*'Parametros'!$B$8</f>
        <v>597</v>
      </c>
      <c r="AD420" s="10">
        <f>'Parametros'!$B$5*AC420*'Parametros'!$B$3*(AB420-(AC420*'Parametros'!$B$3/(0.85*'Parametros'!$B$2*H420))/2)/1000000</f>
        <v>73.905520182353</v>
      </c>
      <c r="AE420" s="10" t="str">
        <f>IF(AD420&gt;=L420,"CUMPLE","NO CUMPLE")</f>
        <v>CUMPLE</v>
      </c>
      <c r="AF420" s="10">
        <f>V420*1.25*'Parametros'!$B$3*(U420-(V420*1.25*'Parametros'!$B$3/(0.85*'Parametros'!$B$2*H420))/2)/1000000</f>
        <v>132.669027352941</v>
      </c>
      <c r="AG420" s="10">
        <f>AC420*1.25*'Parametros'!$B$3*(AB420-(AC420*1.25*'Parametros'!$B$3/(0.85*'Parametros'!$B$2*H420))/2)/1000000</f>
        <v>101.467261323529</v>
      </c>
      <c r="AH420" s="10">
        <f>N420+(AF420+AG420)/D420</f>
        <v>174.909103098739</v>
      </c>
      <c r="AI420" s="10">
        <f>MIN(O420,MAX(N420,AH420))</f>
        <v>174.909103098739</v>
      </c>
      <c r="AJ420" s="10">
        <f>0.17*SQRT('Parametros'!$B$2)*H420*MIN(U420,AB420)/1000</f>
        <v>107.849951281016</v>
      </c>
      <c r="AK420" s="10">
        <f>MAX(AI420/'Parametros'!$B$6-AJ420,0)</f>
        <v>125.36218618397</v>
      </c>
      <c r="AL420" s="10">
        <f>0.66*SQRT('Parametros'!$B$2)*H420*MIN(U420,AB420)/1000</f>
        <v>418.711575561591</v>
      </c>
      <c r="AM420" s="10" t="str">
        <f>IF(AK420&lt;=AL420,"CUMPLE","NO CUMPLE")</f>
        <v>CUMPLE</v>
      </c>
      <c r="AN420" s="15" t="inlineStr">
        <is>
          <t>Nº3 cerrado</t>
        </is>
      </c>
      <c r="AO420" s="17" t="n">
        <v>2</v>
      </c>
      <c r="AP420" s="10">
        <f>ROUNDDOWN(MIN(IF(AK420=0,1000000000,AO420*'Parametros'!$B$11*'Parametros'!$B$4*MIN(U420,AB420)/(AK420*1000)),IF(AV420=0,1000000000,'Parametros'!$B$11/AV420),MIN(U420,AB420)/4,8*'Parametros'!$B$12,24*'Parametros'!$B$9,300)/10,0)*10</f>
        <v>80</v>
      </c>
      <c r="AQ420" s="10">
        <f>ROUNDDOWN(MIN(IF(AK420=0,1000000000,AO420*'Parametros'!$B$11*'Parametros'!$B$4*MIN(U420,AB420)/(AK420*1000)),IF(AV420=0,1000000000,'Parametros'!$B$11/AV420),MIN(U420,AB420)/2,600)/10,0)*10</f>
        <v>160</v>
      </c>
      <c r="AR420" s="10">
        <f>'Parametros'!$B$6*(AJ420+AO420*'Parametros'!$B$11*'Parametros'!$B$4*MIN(U420,AB420)/AP420/1000)</f>
        <v>272.415732210762</v>
      </c>
      <c r="AS420" s="10" t="str">
        <f>IF(AND(AM420="CUMPLE",AR420&gt;=AI420),"CUMPLE","NO CUMPLE")</f>
        <v>CUMPLE</v>
      </c>
      <c r="AT420" s="10">
        <f>'Parametros'!$B$6*0.083*SQRT('Parametros'!$B$2)*(H420*I420)^2/(2*(H420+I420))/1000000</f>
        <v>4.30410823283988</v>
      </c>
      <c r="AU420" s="10" t="str">
        <f>IF(Q420&lt;=AT420,"DESPRECIABLE","DISEÑAR")</f>
        <v>DESPRECIABLE</v>
      </c>
      <c r="AV420" s="10">
        <f>IF(Q420&lt;=AT420,0,Q420*1000000/('Parametros'!$B$6*2*0.85*(H420-2*'Parametros'!$B$7)*(I420-2*'Parametros'!$B$7)*'Parametros'!$B$4))</f>
        <v>0</v>
      </c>
      <c r="AW420" s="10">
        <f>AV420*2*((H420-2*'Parametros'!$B$7)+(I420-2*'Parametros'!$B$7))*'Parametros'!$B$4/'Parametros'!$B$3</f>
        <v>0</v>
      </c>
      <c r="AX420" s="17" t="n">
        <v>0</v>
      </c>
      <c r="AY420" s="10" t="str">
        <f>IF(AV420=0,"DESPRECIABLE",IF('Parametros'!$B$11/AP420&gt;=AV420,"CUMPLE","NO CUMPLE"))</f>
        <v>DESPRECIABLE</v>
      </c>
      <c r="AZ420" s="10" t="str">
        <f>IF(AND(X420="CUMPLE",AE420="CUMPLE",AS420="CUMPLE",OR(AY420="CUMPLE",AY420="DESPRECIABLE")),IF(OR(F420&lt;&gt;H420,G420&lt;&gt;I420),"CUMPLE - REANALIZAR SAP","CUMPLE"),"NO CUMPLE")</f>
        <v>CUMPLE</v>
      </c>
    </row>
    <row r="421">
      <c r="A421" s="26" t="inlineStr">
        <is>
          <t>VR2</t>
        </is>
      </c>
      <c r="B421" s="26" t="inlineStr">
        <is>
          <t>776</t>
        </is>
      </c>
      <c r="C421" s="10" t="n">
        <v>1</v>
      </c>
      <c r="D421" s="10" t="n">
        <v>4.17612</v>
      </c>
      <c r="E421" s="10" t="n">
        <v>4.17612</v>
      </c>
      <c r="F421" s="10" t="n">
        <v>350</v>
      </c>
      <c r="G421" s="10" t="n">
        <v>400</v>
      </c>
      <c r="H421" s="15" t="n">
        <v>350</v>
      </c>
      <c r="I421" s="15" t="n">
        <v>400</v>
      </c>
      <c r="J421" s="16" t="n">
        <v>102.4882</v>
      </c>
      <c r="K421" s="10" t="inlineStr">
        <is>
          <t>776</t>
        </is>
      </c>
      <c r="L421" s="16" t="n">
        <v>41.3618</v>
      </c>
      <c r="M421" s="10" t="inlineStr">
        <is>
          <t>776</t>
        </is>
      </c>
      <c r="N421" s="16" t="n">
        <v>86.316</v>
      </c>
      <c r="O421" s="16" t="n">
        <v>205.738</v>
      </c>
      <c r="P421" s="10" t="inlineStr">
        <is>
          <t>776</t>
        </is>
      </c>
      <c r="Q421" s="16" t="n">
        <v>0.1931</v>
      </c>
      <c r="R421" s="10">
        <f>MAX(MAX(1.4/'Parametros'!$B$3,0.25*SQRT('Parametros'!$B$2)/'Parametros'!$B$3)*H421*U421,(0.85*'Parametros'!$B$2/'Parametros'!$B$3)*(1-SQRT(1-2*(J421*1000000/('Parametros'!$B$5*H421*U421^2))/(0.85*'Parametros'!$B$2)))*H421*U421)</f>
        <v>843.928848172492</v>
      </c>
      <c r="S421" s="17" t="n">
        <v>5</v>
      </c>
      <c r="T421" s="18" t="n">
        <v>1</v>
      </c>
      <c r="U421" s="10">
        <f>IF(T421=1,I421-('Parametros'!$B$7+'Parametros'!$B$9+'Parametros'!$B$12/2),I421-(ROUNDUP(S421/2,0)*('Parametros'!$B$7+'Parametros'!$B$9+'Parametros'!$B$12/2)+ROUNDDOWN(S421/2,0)*('Parametros'!$B$7+'Parametros'!$B$9+'Parametros'!$B$12/2+'Parametros'!$B$12+'Parametros'!$B$10))/S421)</f>
        <v>342.55</v>
      </c>
      <c r="V421" s="10">
        <f>S421*'Parametros'!$B$8</f>
        <v>995</v>
      </c>
      <c r="W421" s="10">
        <f>'Parametros'!$B$5*V421*'Parametros'!$B$3*(U421-(V421*'Parametros'!$B$3/(0.85*'Parametros'!$B$2*H421))/2)/1000000</f>
        <v>119.402124617647</v>
      </c>
      <c r="X421" s="10" t="str">
        <f>IF(W421&gt;=J421,"CUMPLE","NO CUMPLE")</f>
        <v>CUMPLE</v>
      </c>
      <c r="Y421" s="10">
        <f>MAX(MAX(1.4/'Parametros'!$B$3,0.25*SQRT('Parametros'!$B$2)/'Parametros'!$B$3)*H421*AB421,(0.85*'Parametros'!$B$2/'Parametros'!$B$3)*(1-SQRT(1-2*(L421*1000000/('Parametros'!$B$5*H421*AB421^2))/(0.85*'Parametros'!$B$2)))*H421*AB421)</f>
        <v>399.641666666667</v>
      </c>
      <c r="Z421" s="17" t="n">
        <v>3</v>
      </c>
      <c r="AA421" s="18" t="n">
        <v>1</v>
      </c>
      <c r="AB421" s="10">
        <f>IF(AA421=1,I421-('Parametros'!$B$7+'Parametros'!$B$9+'Parametros'!$B$12/2),I421-(ROUNDUP(Z421/2,0)*('Parametros'!$B$7+'Parametros'!$B$9+'Parametros'!$B$12/2)+ROUNDDOWN(Z421/2,0)*('Parametros'!$B$7+'Parametros'!$B$9+'Parametros'!$B$12/2+'Parametros'!$B$12+'Parametros'!$B$10))/Z421)</f>
        <v>342.55</v>
      </c>
      <c r="AC421" s="10">
        <f>Z421*'Parametros'!$B$8</f>
        <v>597</v>
      </c>
      <c r="AD421" s="10">
        <f>'Parametros'!$B$5*AC421*'Parametros'!$B$3*(AB421-(AC421*'Parametros'!$B$3/(0.85*'Parametros'!$B$2*H421))/2)/1000000</f>
        <v>73.905520182353</v>
      </c>
      <c r="AE421" s="10" t="str">
        <f>IF(AD421&gt;=L421,"CUMPLE","NO CUMPLE")</f>
        <v>CUMPLE</v>
      </c>
      <c r="AF421" s="10">
        <f>V421*1.25*'Parametros'!$B$3*(U421-(V421*1.25*'Parametros'!$B$3/(0.85*'Parametros'!$B$2*H421))/2)/1000000</f>
        <v>162.560466176471</v>
      </c>
      <c r="AG421" s="10">
        <f>AC421*1.25*'Parametros'!$B$3*(AB421-(AC421*1.25*'Parametros'!$B$3/(0.85*'Parametros'!$B$2*H421))/2)/1000000</f>
        <v>101.467261323529</v>
      </c>
      <c r="AH421" s="10">
        <f>N421+(AF421+AG421)/D421</f>
        <v>149.539213772593</v>
      </c>
      <c r="AI421" s="10">
        <f>MIN(O421,MAX(N421,AH421))</f>
        <v>149.539213772593</v>
      </c>
      <c r="AJ421" s="10">
        <f>0.17*SQRT('Parametros'!$B$2)*H421*MIN(U421,AB421)/1000</f>
        <v>107.849951281016</v>
      </c>
      <c r="AK421" s="10">
        <f>MAX(AI421/'Parametros'!$B$6-AJ421,0)</f>
        <v>91.5356670824411</v>
      </c>
      <c r="AL421" s="10">
        <f>0.66*SQRT('Parametros'!$B$2)*H421*MIN(U421,AB421)/1000</f>
        <v>418.711575561591</v>
      </c>
      <c r="AM421" s="10" t="str">
        <f>IF(AK421&lt;=AL421,"CUMPLE","NO CUMPLE")</f>
        <v>CUMPLE</v>
      </c>
      <c r="AN421" s="15" t="inlineStr">
        <is>
          <t>Nº3 cerrado</t>
        </is>
      </c>
      <c r="AO421" s="17" t="n">
        <v>2</v>
      </c>
      <c r="AP421" s="10">
        <f>ROUNDDOWN(MIN(IF(AK421=0,1000000000,AO421*'Parametros'!$B$11*'Parametros'!$B$4*MIN(U421,AB421)/(AK421*1000)),IF(AV421=0,1000000000,'Parametros'!$B$11/AV421),MIN(U421,AB421)/4,8*'Parametros'!$B$12,24*'Parametros'!$B$9,300)/10,0)*10</f>
        <v>80</v>
      </c>
      <c r="AQ421" s="10">
        <f>ROUNDDOWN(MIN(IF(AK421=0,1000000000,AO421*'Parametros'!$B$11*'Parametros'!$B$4*MIN(U421,AB421)/(AK421*1000)),IF(AV421=0,1000000000,'Parametros'!$B$11/AV421),MIN(U421,AB421)/2,600)/10,0)*10</f>
        <v>170</v>
      </c>
      <c r="AR421" s="10">
        <f>'Parametros'!$B$6*(AJ421+AO421*'Parametros'!$B$11*'Parametros'!$B$4*MIN(U421,AB421)/AP421/1000)</f>
        <v>272.415732210762</v>
      </c>
      <c r="AS421" s="10" t="str">
        <f>IF(AND(AM421="CUMPLE",AR421&gt;=AI421),"CUMPLE","NO CUMPLE")</f>
        <v>CUMPLE</v>
      </c>
      <c r="AT421" s="10">
        <f>'Parametros'!$B$6*0.083*SQRT('Parametros'!$B$2)*(H421*I421)^2/(2*(H421+I421))/1000000</f>
        <v>4.30410823283988</v>
      </c>
      <c r="AU421" s="10" t="str">
        <f>IF(Q421&lt;=AT421,"DESPRECIABLE","DISEÑAR")</f>
        <v>DESPRECIABLE</v>
      </c>
      <c r="AV421" s="10">
        <f>IF(Q421&lt;=AT421,0,Q421*1000000/('Parametros'!$B$6*2*0.85*(H421-2*'Parametros'!$B$7)*(I421-2*'Parametros'!$B$7)*'Parametros'!$B$4))</f>
        <v>0</v>
      </c>
      <c r="AW421" s="10">
        <f>AV421*2*((H421-2*'Parametros'!$B$7)+(I421-2*'Parametros'!$B$7))*'Parametros'!$B$4/'Parametros'!$B$3</f>
        <v>0</v>
      </c>
      <c r="AX421" s="17" t="n">
        <v>0</v>
      </c>
      <c r="AY421" s="10" t="str">
        <f>IF(AV421=0,"DESPRECIABLE",IF('Parametros'!$B$11/AP421&gt;=AV421,"CUMPLE","NO CUMPLE"))</f>
        <v>DESPRECIABLE</v>
      </c>
      <c r="AZ421" s="10" t="str">
        <f>IF(AND(X421="CUMPLE",AE421="CUMPLE",AS421="CUMPLE",OR(AY421="CUMPLE",AY421="DESPRECIABLE")),IF(OR(F421&lt;&gt;H421,G421&lt;&gt;I421),"CUMPLE - REANALIZAR SAP","CUMPLE"),"NO CUMPLE")</f>
        <v>CUMPLE</v>
      </c>
    </row>
    <row r="422">
      <c r="A422" s="26" t="inlineStr">
        <is>
          <t>VR2</t>
        </is>
      </c>
      <c r="B422" s="26" t="inlineStr">
        <is>
          <t>777</t>
        </is>
      </c>
      <c r="C422" s="10" t="n">
        <v>1</v>
      </c>
      <c r="D422" s="10" t="n">
        <v>2.5</v>
      </c>
      <c r="E422" s="10" t="n">
        <v>2.5</v>
      </c>
      <c r="F422" s="10" t="n">
        <v>350</v>
      </c>
      <c r="G422" s="10" t="n">
        <v>400</v>
      </c>
      <c r="H422" s="15" t="n">
        <v>350</v>
      </c>
      <c r="I422" s="15" t="n">
        <v>400</v>
      </c>
      <c r="J422" s="16" t="n">
        <v>97.4248</v>
      </c>
      <c r="K422" s="10" t="inlineStr">
        <is>
          <t>777</t>
        </is>
      </c>
      <c r="L422" s="16" t="n">
        <v>70.40309999999999</v>
      </c>
      <c r="M422" s="10" t="inlineStr">
        <is>
          <t>777</t>
        </is>
      </c>
      <c r="N422" s="16" t="n">
        <v>99.139</v>
      </c>
      <c r="O422" s="16" t="n">
        <v>337.261</v>
      </c>
      <c r="P422" s="10" t="inlineStr">
        <is>
          <t>777</t>
        </is>
      </c>
      <c r="Q422" s="16" t="n">
        <v>1.3867</v>
      </c>
      <c r="R422" s="10">
        <f>MAX(MAX(1.4/'Parametros'!$B$3,0.25*SQRT('Parametros'!$B$2)/'Parametros'!$B$3)*H422*U422,(0.85*'Parametros'!$B$2/'Parametros'!$B$3)*(1-SQRT(1-2*(J422*1000000/('Parametros'!$B$5*H422*U422^2))/(0.85*'Parametros'!$B$2)))*H422*U422)</f>
        <v>799.444193956126</v>
      </c>
      <c r="S422" s="17" t="n">
        <v>5</v>
      </c>
      <c r="T422" s="18" t="n">
        <v>1</v>
      </c>
      <c r="U422" s="10">
        <f>IF(T422=1,I422-('Parametros'!$B$7+'Parametros'!$B$9+'Parametros'!$B$12/2),I422-(ROUNDUP(S422/2,0)*('Parametros'!$B$7+'Parametros'!$B$9+'Parametros'!$B$12/2)+ROUNDDOWN(S422/2,0)*('Parametros'!$B$7+'Parametros'!$B$9+'Parametros'!$B$12/2+'Parametros'!$B$12+'Parametros'!$B$10))/S422)</f>
        <v>342.55</v>
      </c>
      <c r="V422" s="10">
        <f>S422*'Parametros'!$B$8</f>
        <v>995</v>
      </c>
      <c r="W422" s="10">
        <f>'Parametros'!$B$5*V422*'Parametros'!$B$3*(U422-(V422*'Parametros'!$B$3/(0.85*'Parametros'!$B$2*H422))/2)/1000000</f>
        <v>119.402124617647</v>
      </c>
      <c r="X422" s="10" t="str">
        <f>IF(W422&gt;=J422,"CUMPLE","NO CUMPLE")</f>
        <v>CUMPLE</v>
      </c>
      <c r="Y422" s="10">
        <f>MAX(MAX(1.4/'Parametros'!$B$3,0.25*SQRT('Parametros'!$B$2)/'Parametros'!$B$3)*H422*AB422,(0.85*'Parametros'!$B$2/'Parametros'!$B$3)*(1-SQRT(1-2*(L422*1000000/('Parametros'!$B$5*H422*AB422^2))/(0.85*'Parametros'!$B$2)))*H422*AB422)</f>
        <v>567.41567597747</v>
      </c>
      <c r="Z422" s="17" t="n">
        <v>3</v>
      </c>
      <c r="AA422" s="18" t="n">
        <v>1</v>
      </c>
      <c r="AB422" s="10">
        <f>IF(AA422=1,I422-('Parametros'!$B$7+'Parametros'!$B$9+'Parametros'!$B$12/2),I422-(ROUNDUP(Z422/2,0)*('Parametros'!$B$7+'Parametros'!$B$9+'Parametros'!$B$12/2)+ROUNDDOWN(Z422/2,0)*('Parametros'!$B$7+'Parametros'!$B$9+'Parametros'!$B$12/2+'Parametros'!$B$12+'Parametros'!$B$10))/Z422)</f>
        <v>342.55</v>
      </c>
      <c r="AC422" s="10">
        <f>Z422*'Parametros'!$B$8</f>
        <v>597</v>
      </c>
      <c r="AD422" s="10">
        <f>'Parametros'!$B$5*AC422*'Parametros'!$B$3*(AB422-(AC422*'Parametros'!$B$3/(0.85*'Parametros'!$B$2*H422))/2)/1000000</f>
        <v>73.905520182353</v>
      </c>
      <c r="AE422" s="10" t="str">
        <f>IF(AD422&gt;=L422,"CUMPLE","NO CUMPLE")</f>
        <v>CUMPLE</v>
      </c>
      <c r="AF422" s="10">
        <f>V422*1.25*'Parametros'!$B$3*(U422-(V422*1.25*'Parametros'!$B$3/(0.85*'Parametros'!$B$2*H422))/2)/1000000</f>
        <v>162.560466176471</v>
      </c>
      <c r="AG422" s="10">
        <f>AC422*1.25*'Parametros'!$B$3*(AB422-(AC422*1.25*'Parametros'!$B$3/(0.85*'Parametros'!$B$2*H422))/2)/1000000</f>
        <v>101.467261323529</v>
      </c>
      <c r="AH422" s="10">
        <f>N422+(AF422+AG422)/D422</f>
        <v>204.750091</v>
      </c>
      <c r="AI422" s="10">
        <f>MIN(O422,MAX(N422,AH422))</f>
        <v>204.750091</v>
      </c>
      <c r="AJ422" s="10">
        <f>0.17*SQRT('Parametros'!$B$2)*H422*MIN(U422,AB422)/1000</f>
        <v>107.849951281016</v>
      </c>
      <c r="AK422" s="10">
        <f>MAX(AI422/'Parametros'!$B$6-AJ422,0)</f>
        <v>165.150170052317</v>
      </c>
      <c r="AL422" s="10">
        <f>0.66*SQRT('Parametros'!$B$2)*H422*MIN(U422,AB422)/1000</f>
        <v>418.711575561591</v>
      </c>
      <c r="AM422" s="10" t="str">
        <f>IF(AK422&lt;=AL422,"CUMPLE","NO CUMPLE")</f>
        <v>CUMPLE</v>
      </c>
      <c r="AN422" s="15" t="inlineStr">
        <is>
          <t>Nº3 cerrado</t>
        </is>
      </c>
      <c r="AO422" s="17" t="n">
        <v>2</v>
      </c>
      <c r="AP422" s="10">
        <f>ROUNDDOWN(MIN(IF(AK422=0,1000000000,AO422*'Parametros'!$B$11*'Parametros'!$B$4*MIN(U422,AB422)/(AK422*1000)),IF(AV422=0,1000000000,'Parametros'!$B$11/AV422),MIN(U422,AB422)/4,8*'Parametros'!$B$12,24*'Parametros'!$B$9,300)/10,0)*10</f>
        <v>80</v>
      </c>
      <c r="AQ422" s="10">
        <f>ROUNDDOWN(MIN(IF(AK422=0,1000000000,AO422*'Parametros'!$B$11*'Parametros'!$B$4*MIN(U422,AB422)/(AK422*1000)),IF(AV422=0,1000000000,'Parametros'!$B$11/AV422),MIN(U422,AB422)/2,600)/10,0)*10</f>
        <v>120</v>
      </c>
      <c r="AR422" s="10">
        <f>'Parametros'!$B$6*(AJ422+AO422*'Parametros'!$B$11*'Parametros'!$B$4*MIN(U422,AB422)/AP422/1000)</f>
        <v>272.415732210762</v>
      </c>
      <c r="AS422" s="10" t="str">
        <f>IF(AND(AM422="CUMPLE",AR422&gt;=AI422),"CUMPLE","NO CUMPLE")</f>
        <v>CUMPLE</v>
      </c>
      <c r="AT422" s="10">
        <f>'Parametros'!$B$6*0.083*SQRT('Parametros'!$B$2)*(H422*I422)^2/(2*(H422+I422))/1000000</f>
        <v>4.30410823283988</v>
      </c>
      <c r="AU422" s="10" t="str">
        <f>IF(Q422&lt;=AT422,"DESPRECIABLE","DISEÑAR")</f>
        <v>DESPRECIABLE</v>
      </c>
      <c r="AV422" s="10">
        <f>IF(Q422&lt;=AT422,0,Q422*1000000/('Parametros'!$B$6*2*0.85*(H422-2*'Parametros'!$B$7)*(I422-2*'Parametros'!$B$7)*'Parametros'!$B$4))</f>
        <v>0</v>
      </c>
      <c r="AW422" s="10">
        <f>AV422*2*((H422-2*'Parametros'!$B$7)+(I422-2*'Parametros'!$B$7))*'Parametros'!$B$4/'Parametros'!$B$3</f>
        <v>0</v>
      </c>
      <c r="AX422" s="17" t="n">
        <v>0</v>
      </c>
      <c r="AY422" s="10" t="str">
        <f>IF(AV422=0,"DESPRECIABLE",IF('Parametros'!$B$11/AP422&gt;=AV422,"CUMPLE","NO CUMPLE"))</f>
        <v>DESPRECIABLE</v>
      </c>
      <c r="AZ422" s="10" t="str">
        <f>IF(AND(X422="CUMPLE",AE422="CUMPLE",AS422="CUMPLE",OR(AY422="CUMPLE",AY422="DESPRECIABLE")),IF(OR(F422&lt;&gt;H422,G422&lt;&gt;I422),"CUMPLE - REANALIZAR SAP","CUMPLE"),"NO CUMPLE")</f>
        <v>CUMPLE</v>
      </c>
    </row>
    <row r="423">
      <c r="A423" s="26" t="inlineStr">
        <is>
          <t>VR2</t>
        </is>
      </c>
      <c r="B423" s="26" t="inlineStr">
        <is>
          <t>778</t>
        </is>
      </c>
      <c r="C423" s="10" t="n">
        <v>1</v>
      </c>
      <c r="D423" s="10" t="n">
        <v>2.6</v>
      </c>
      <c r="E423" s="10" t="n">
        <v>2.6</v>
      </c>
      <c r="F423" s="10" t="n">
        <v>350</v>
      </c>
      <c r="G423" s="10" t="n">
        <v>400</v>
      </c>
      <c r="H423" s="15" t="n">
        <v>350</v>
      </c>
      <c r="I423" s="15" t="n">
        <v>400</v>
      </c>
      <c r="J423" s="16" t="n">
        <v>102.2756</v>
      </c>
      <c r="K423" s="10" t="inlineStr">
        <is>
          <t>778</t>
        </is>
      </c>
      <c r="L423" s="16" t="n">
        <v>65.574</v>
      </c>
      <c r="M423" s="10" t="inlineStr">
        <is>
          <t>778</t>
        </is>
      </c>
      <c r="N423" s="16" t="n">
        <v>106.291</v>
      </c>
      <c r="O423" s="16" t="n">
        <v>346.672</v>
      </c>
      <c r="P423" s="10" t="inlineStr">
        <is>
          <t>778</t>
        </is>
      </c>
      <c r="Q423" s="16" t="n">
        <v>7.5376</v>
      </c>
      <c r="R423" s="10">
        <f>MAX(MAX(1.4/'Parametros'!$B$3,0.25*SQRT('Parametros'!$B$2)/'Parametros'!$B$3)*H423*U423,(0.85*'Parametros'!$B$2/'Parametros'!$B$3)*(1-SQRT(1-2*(J423*1000000/('Parametros'!$B$5*H423*U423^2))/(0.85*'Parametros'!$B$2)))*H423*U423)</f>
        <v>842.054357438252</v>
      </c>
      <c r="S423" s="17" t="n">
        <v>5</v>
      </c>
      <c r="T423" s="18" t="n">
        <v>1</v>
      </c>
      <c r="U423" s="10">
        <f>IF(T423=1,I423-('Parametros'!$B$7+'Parametros'!$B$9+'Parametros'!$B$12/2),I423-(ROUNDUP(S423/2,0)*('Parametros'!$B$7+'Parametros'!$B$9+'Parametros'!$B$12/2)+ROUNDDOWN(S423/2,0)*('Parametros'!$B$7+'Parametros'!$B$9+'Parametros'!$B$12/2+'Parametros'!$B$12+'Parametros'!$B$10))/S423)</f>
        <v>342.55</v>
      </c>
      <c r="V423" s="10">
        <f>S423*'Parametros'!$B$8</f>
        <v>995</v>
      </c>
      <c r="W423" s="10">
        <f>'Parametros'!$B$5*V423*'Parametros'!$B$3*(U423-(V423*'Parametros'!$B$3/(0.85*'Parametros'!$B$2*H423))/2)/1000000</f>
        <v>119.402124617647</v>
      </c>
      <c r="X423" s="10" t="str">
        <f>IF(W423&gt;=J423,"CUMPLE","NO CUMPLE")</f>
        <v>CUMPLE</v>
      </c>
      <c r="Y423" s="10">
        <f>MAX(MAX(1.4/'Parametros'!$B$3,0.25*SQRT('Parametros'!$B$2)/'Parametros'!$B$3)*H423*AB423,(0.85*'Parametros'!$B$2/'Parametros'!$B$3)*(1-SQRT(1-2*(L423*1000000/('Parametros'!$B$5*H423*AB423^2))/(0.85*'Parametros'!$B$2)))*H423*AB423)</f>
        <v>526.854143403755</v>
      </c>
      <c r="Z423" s="17" t="n">
        <v>3</v>
      </c>
      <c r="AA423" s="18" t="n">
        <v>1</v>
      </c>
      <c r="AB423" s="10">
        <f>IF(AA423=1,I423-('Parametros'!$B$7+'Parametros'!$B$9+'Parametros'!$B$12/2),I423-(ROUNDUP(Z423/2,0)*('Parametros'!$B$7+'Parametros'!$B$9+'Parametros'!$B$12/2)+ROUNDDOWN(Z423/2,0)*('Parametros'!$B$7+'Parametros'!$B$9+'Parametros'!$B$12/2+'Parametros'!$B$12+'Parametros'!$B$10))/Z423)</f>
        <v>342.55</v>
      </c>
      <c r="AC423" s="10">
        <f>Z423*'Parametros'!$B$8</f>
        <v>597</v>
      </c>
      <c r="AD423" s="10">
        <f>'Parametros'!$B$5*AC423*'Parametros'!$B$3*(AB423-(AC423*'Parametros'!$B$3/(0.85*'Parametros'!$B$2*H423))/2)/1000000</f>
        <v>73.905520182353</v>
      </c>
      <c r="AE423" s="10" t="str">
        <f>IF(AD423&gt;=L423,"CUMPLE","NO CUMPLE")</f>
        <v>CUMPLE</v>
      </c>
      <c r="AF423" s="10">
        <f>V423*1.25*'Parametros'!$B$3*(U423-(V423*1.25*'Parametros'!$B$3/(0.85*'Parametros'!$B$2*H423))/2)/1000000</f>
        <v>162.560466176471</v>
      </c>
      <c r="AG423" s="10">
        <f>AC423*1.25*'Parametros'!$B$3*(AB423-(AC423*1.25*'Parametros'!$B$3/(0.85*'Parametros'!$B$2*H423))/2)/1000000</f>
        <v>101.467261323529</v>
      </c>
      <c r="AH423" s="10">
        <f>N423+(AF423+AG423)/D423</f>
        <v>207.840125961538</v>
      </c>
      <c r="AI423" s="10">
        <f>MIN(O423,MAX(N423,AH423))</f>
        <v>207.840125961538</v>
      </c>
      <c r="AJ423" s="10">
        <f>0.17*SQRT('Parametros'!$B$2)*H423*MIN(U423,AB423)/1000</f>
        <v>107.849951281016</v>
      </c>
      <c r="AK423" s="10">
        <f>MAX(AI423/'Parametros'!$B$6-AJ423,0)</f>
        <v>169.270216667702</v>
      </c>
      <c r="AL423" s="10">
        <f>0.66*SQRT('Parametros'!$B$2)*H423*MIN(U423,AB423)/1000</f>
        <v>418.711575561591</v>
      </c>
      <c r="AM423" s="10" t="str">
        <f>IF(AK423&lt;=AL423,"CUMPLE","NO CUMPLE")</f>
        <v>CUMPLE</v>
      </c>
      <c r="AN423" s="15" t="inlineStr">
        <is>
          <t>Nº3 cerrado</t>
        </is>
      </c>
      <c r="AO423" s="17" t="n">
        <v>2</v>
      </c>
      <c r="AP423" s="10">
        <f>ROUNDDOWN(MIN(IF(AK423=0,1000000000,AO423*'Parametros'!$B$11*'Parametros'!$B$4*MIN(U423,AB423)/(AK423*1000)),IF(AV423=0,1000000000,'Parametros'!$B$11/AV423),MIN(U423,AB423)/4,8*'Parametros'!$B$12,24*'Parametros'!$B$9,300)/10,0)*10</f>
        <v>80</v>
      </c>
      <c r="AQ423" s="10">
        <f>ROUNDDOWN(MIN(IF(AK423=0,1000000000,AO423*'Parametros'!$B$11*'Parametros'!$B$4*MIN(U423,AB423)/(AK423*1000)),IF(AV423=0,1000000000,'Parametros'!$B$11/AV423),MIN(U423,AB423)/2,600)/10,0)*10</f>
        <v>120</v>
      </c>
      <c r="AR423" s="10">
        <f>'Parametros'!$B$6*(AJ423+AO423*'Parametros'!$B$11*'Parametros'!$B$4*MIN(U423,AB423)/AP423/1000)</f>
        <v>272.415732210762</v>
      </c>
      <c r="AS423" s="10" t="str">
        <f>IF(AND(AM423="CUMPLE",AR423&gt;=AI423),"CUMPLE","NO CUMPLE")</f>
        <v>CUMPLE</v>
      </c>
      <c r="AT423" s="10">
        <f>'Parametros'!$B$6*0.083*SQRT('Parametros'!$B$2)*(H423*I423)^2/(2*(H423+I423))/1000000</f>
        <v>4.30410823283988</v>
      </c>
      <c r="AU423" s="10" t="str">
        <f>IF(Q423&lt;=AT423,"DESPRECIABLE","DISEÑAR")</f>
        <v>DISEÑAR</v>
      </c>
      <c r="AV423" s="10">
        <f>IF(Q423&lt;=AT423,0,Q423*1000000/('Parametros'!$B$6*2*0.85*(H423-2*'Parametros'!$B$7)*(I423-2*'Parametros'!$B$7)*'Parametros'!$B$4))</f>
        <v>0.162914548535464</v>
      </c>
      <c r="AW423" s="10">
        <f>AV423*2*((H423-2*'Parametros'!$B$7)+(I423-2*'Parametros'!$B$7))*'Parametros'!$B$4/'Parametros'!$B$3</f>
        <v>192.239167271847</v>
      </c>
      <c r="AX423" s="17" t="n">
        <v>1</v>
      </c>
      <c r="AY423" s="10" t="str">
        <f>IF(AV423=0,"DESPRECIABLE",IF('Parametros'!$B$11/AP423&gt;=AV423,"CUMPLE","NO CUMPLE"))</f>
        <v>CUMPLE</v>
      </c>
      <c r="AZ423" s="10" t="str">
        <f>IF(AND(X423="CUMPLE",AE423="CUMPLE",AS423="CUMPLE",OR(AY423="CUMPLE",AY423="DESPRECIABLE")),IF(OR(F423&lt;&gt;H423,G423&lt;&gt;I423),"CUMPLE - REANALIZAR SAP","CUMPLE"),"NO CUMPLE")</f>
        <v>CUMPLE</v>
      </c>
    </row>
    <row r="424">
      <c r="A424" s="26" t="inlineStr">
        <is>
          <t>VR2</t>
        </is>
      </c>
      <c r="B424" s="26" t="inlineStr">
        <is>
          <t>779</t>
        </is>
      </c>
      <c r="C424" s="10" t="n">
        <v>1</v>
      </c>
      <c r="D424" s="10" t="n">
        <v>3.65308</v>
      </c>
      <c r="E424" s="10" t="n">
        <v>3.65308</v>
      </c>
      <c r="F424" s="10" t="n">
        <v>350</v>
      </c>
      <c r="G424" s="10" t="n">
        <v>400</v>
      </c>
      <c r="H424" s="15" t="n">
        <v>350</v>
      </c>
      <c r="I424" s="15" t="n">
        <v>400</v>
      </c>
      <c r="J424" s="16" t="n">
        <v>94.5098</v>
      </c>
      <c r="K424" s="10" t="inlineStr">
        <is>
          <t>779</t>
        </is>
      </c>
      <c r="L424" s="16" t="n">
        <v>51.1974</v>
      </c>
      <c r="M424" s="10" t="inlineStr">
        <is>
          <t>779</t>
        </is>
      </c>
      <c r="N424" s="16" t="n">
        <v>76.366</v>
      </c>
      <c r="O424" s="16" t="n">
        <v>200.285</v>
      </c>
      <c r="P424" s="10" t="inlineStr">
        <is>
          <t>779</t>
        </is>
      </c>
      <c r="Q424" s="16" t="n">
        <v>7.6755</v>
      </c>
      <c r="R424" s="10">
        <f>MAX(MAX(1.4/'Parametros'!$B$3,0.25*SQRT('Parametros'!$B$2)/'Parametros'!$B$3)*H424*U424,(0.85*'Parametros'!$B$2/'Parametros'!$B$3)*(1-SQRT(1-2*(J424*1000000/('Parametros'!$B$5*H424*U424^2))/(0.85*'Parametros'!$B$2)))*H424*U424)</f>
        <v>773.983468353063</v>
      </c>
      <c r="S424" s="17" t="n">
        <v>4</v>
      </c>
      <c r="T424" s="18" t="n">
        <v>1</v>
      </c>
      <c r="U424" s="10">
        <f>IF(T424=1,I424-('Parametros'!$B$7+'Parametros'!$B$9+'Parametros'!$B$12/2),I424-(ROUNDUP(S424/2,0)*('Parametros'!$B$7+'Parametros'!$B$9+'Parametros'!$B$12/2)+ROUNDDOWN(S424/2,0)*('Parametros'!$B$7+'Parametros'!$B$9+'Parametros'!$B$12/2+'Parametros'!$B$12+'Parametros'!$B$10))/S424)</f>
        <v>342.55</v>
      </c>
      <c r="V424" s="10">
        <f>S424*'Parametros'!$B$8</f>
        <v>796</v>
      </c>
      <c r="W424" s="10">
        <f>'Parametros'!$B$5*V424*'Parametros'!$B$3*(U424-(V424*'Parametros'!$B$3/(0.85*'Parametros'!$B$2*H424))/2)/1000000</f>
        <v>97.0311966352941</v>
      </c>
      <c r="X424" s="10" t="str">
        <f>IF(W424&gt;=J424,"CUMPLE","NO CUMPLE")</f>
        <v>CUMPLE</v>
      </c>
      <c r="Y424" s="10">
        <f>MAX(MAX(1.4/'Parametros'!$B$3,0.25*SQRT('Parametros'!$B$2)/'Parametros'!$B$3)*H424*AB424,(0.85*'Parametros'!$B$2/'Parametros'!$B$3)*(1-SQRT(1-2*(L424*1000000/('Parametros'!$B$5*H424*AB424^2))/(0.85*'Parametros'!$B$2)))*H424*AB424)</f>
        <v>407.624298382379</v>
      </c>
      <c r="Z424" s="17" t="n">
        <v>3</v>
      </c>
      <c r="AA424" s="18" t="n">
        <v>1</v>
      </c>
      <c r="AB424" s="10">
        <f>IF(AA424=1,I424-('Parametros'!$B$7+'Parametros'!$B$9+'Parametros'!$B$12/2),I424-(ROUNDUP(Z424/2,0)*('Parametros'!$B$7+'Parametros'!$B$9+'Parametros'!$B$12/2)+ROUNDDOWN(Z424/2,0)*('Parametros'!$B$7+'Parametros'!$B$9+'Parametros'!$B$12/2+'Parametros'!$B$12+'Parametros'!$B$10))/Z424)</f>
        <v>342.55</v>
      </c>
      <c r="AC424" s="10">
        <f>Z424*'Parametros'!$B$8</f>
        <v>597</v>
      </c>
      <c r="AD424" s="10">
        <f>'Parametros'!$B$5*AC424*'Parametros'!$B$3*(AB424-(AC424*'Parametros'!$B$3/(0.85*'Parametros'!$B$2*H424))/2)/1000000</f>
        <v>73.905520182353</v>
      </c>
      <c r="AE424" s="10" t="str">
        <f>IF(AD424&gt;=L424,"CUMPLE","NO CUMPLE")</f>
        <v>CUMPLE</v>
      </c>
      <c r="AF424" s="10">
        <f>V424*1.25*'Parametros'!$B$3*(U424-(V424*1.25*'Parametros'!$B$3/(0.85*'Parametros'!$B$2*H424))/2)/1000000</f>
        <v>132.669027352941</v>
      </c>
      <c r="AG424" s="10">
        <f>AC424*1.25*'Parametros'!$B$3*(AB424-(AC424*1.25*'Parametros'!$B$3/(0.85*'Parametros'!$B$2*H424))/2)/1000000</f>
        <v>101.467261323529</v>
      </c>
      <c r="AH424" s="10">
        <f>N424+(AF424+AG424)/D424</f>
        <v>140.458844579497</v>
      </c>
      <c r="AI424" s="10">
        <f>MIN(O424,MAX(N424,AH424))</f>
        <v>140.458844579497</v>
      </c>
      <c r="AJ424" s="10">
        <f>0.17*SQRT('Parametros'!$B$2)*H424*MIN(U424,AB424)/1000</f>
        <v>107.849951281016</v>
      </c>
      <c r="AK424" s="10">
        <f>MAX(AI424/'Parametros'!$B$6-AJ424,0)</f>
        <v>79.428508158314</v>
      </c>
      <c r="AL424" s="10">
        <f>0.66*SQRT('Parametros'!$B$2)*H424*MIN(U424,AB424)/1000</f>
        <v>418.711575561591</v>
      </c>
      <c r="AM424" s="10" t="str">
        <f>IF(AK424&lt;=AL424,"CUMPLE","NO CUMPLE")</f>
        <v>CUMPLE</v>
      </c>
      <c r="AN424" s="15" t="inlineStr">
        <is>
          <t>Nº3 cerrado</t>
        </is>
      </c>
      <c r="AO424" s="17" t="n">
        <v>2</v>
      </c>
      <c r="AP424" s="10">
        <f>ROUNDDOWN(MIN(IF(AK424=0,1000000000,AO424*'Parametros'!$B$11*'Parametros'!$B$4*MIN(U424,AB424)/(AK424*1000)),IF(AV424=0,1000000000,'Parametros'!$B$11/AV424),MIN(U424,AB424)/4,8*'Parametros'!$B$12,24*'Parametros'!$B$9,300)/10,0)*10</f>
        <v>80</v>
      </c>
      <c r="AQ424" s="10">
        <f>ROUNDDOWN(MIN(IF(AK424=0,1000000000,AO424*'Parametros'!$B$11*'Parametros'!$B$4*MIN(U424,AB424)/(AK424*1000)),IF(AV424=0,1000000000,'Parametros'!$B$11/AV424),MIN(U424,AB424)/2,600)/10,0)*10</f>
        <v>170</v>
      </c>
      <c r="AR424" s="10">
        <f>'Parametros'!$B$6*(AJ424+AO424*'Parametros'!$B$11*'Parametros'!$B$4*MIN(U424,AB424)/AP424/1000)</f>
        <v>272.415732210762</v>
      </c>
      <c r="AS424" s="10" t="str">
        <f>IF(AND(AM424="CUMPLE",AR424&gt;=AI424),"CUMPLE","NO CUMPLE")</f>
        <v>CUMPLE</v>
      </c>
      <c r="AT424" s="10">
        <f>'Parametros'!$B$6*0.083*SQRT('Parametros'!$B$2)*(H424*I424)^2/(2*(H424+I424))/1000000</f>
        <v>4.30410823283988</v>
      </c>
      <c r="AU424" s="10" t="str">
        <f>IF(Q424&lt;=AT424,"DESPRECIABLE","DISEÑAR")</f>
        <v>DISEÑAR</v>
      </c>
      <c r="AV424" s="10">
        <f>IF(Q424&lt;=AT424,0,Q424*1000000/('Parametros'!$B$6*2*0.85*(H424-2*'Parametros'!$B$7)*(I424-2*'Parametros'!$B$7)*'Parametros'!$B$4))</f>
        <v>0.165895061728395</v>
      </c>
      <c r="AW424" s="10">
        <f>AV424*2*((H424-2*'Parametros'!$B$7)+(I424-2*'Parametros'!$B$7))*'Parametros'!$B$4/'Parametros'!$B$3</f>
        <v>195.756172839506</v>
      </c>
      <c r="AX424" s="17" t="n">
        <v>1</v>
      </c>
      <c r="AY424" s="10" t="str">
        <f>IF(AV424=0,"DESPRECIABLE",IF('Parametros'!$B$11/AP424&gt;=AV424,"CUMPLE","NO CUMPLE"))</f>
        <v>CUMPLE</v>
      </c>
      <c r="AZ424" s="10" t="str">
        <f>IF(AND(X424="CUMPLE",AE424="CUMPLE",AS424="CUMPLE",OR(AY424="CUMPLE",AY424="DESPRECIABLE")),IF(OR(F424&lt;&gt;H424,G424&lt;&gt;I424),"CUMPLE - REANALIZAR SAP","CUMPLE"),"NO CUMPLE")</f>
        <v>CUMPLE</v>
      </c>
    </row>
    <row r="425">
      <c r="A425" s="26" t="inlineStr">
        <is>
          <t>VR2</t>
        </is>
      </c>
      <c r="B425" s="26" t="inlineStr">
        <is>
          <t>780</t>
        </is>
      </c>
      <c r="C425" s="10" t="n">
        <v>1</v>
      </c>
      <c r="D425" s="10" t="n">
        <v>2.6</v>
      </c>
      <c r="E425" s="10" t="n">
        <v>2.6</v>
      </c>
      <c r="F425" s="10" t="n">
        <v>350</v>
      </c>
      <c r="G425" s="10" t="n">
        <v>400</v>
      </c>
      <c r="H425" s="15" t="n">
        <v>350</v>
      </c>
      <c r="I425" s="15" t="n">
        <v>400</v>
      </c>
      <c r="J425" s="16" t="n">
        <v>100.631</v>
      </c>
      <c r="K425" s="10" t="inlineStr">
        <is>
          <t>780</t>
        </is>
      </c>
      <c r="L425" s="16" t="n">
        <v>60.9404</v>
      </c>
      <c r="M425" s="10" t="inlineStr">
        <is>
          <t>780</t>
        </is>
      </c>
      <c r="N425" s="16" t="n">
        <v>95.62</v>
      </c>
      <c r="O425" s="16" t="n">
        <v>307.816</v>
      </c>
      <c r="P425" s="10" t="inlineStr">
        <is>
          <t>780</t>
        </is>
      </c>
      <c r="Q425" s="16" t="n">
        <v>0.9306</v>
      </c>
      <c r="R425" s="10">
        <f>MAX(MAX(1.4/'Parametros'!$B$3,0.25*SQRT('Parametros'!$B$2)/'Parametros'!$B$3)*H425*U425,(0.85*'Parametros'!$B$2/'Parametros'!$B$3)*(1-SQRT(1-2*(J425*1000000/('Parametros'!$B$5*H425*U425^2))/(0.85*'Parametros'!$B$2)))*H425*U425)</f>
        <v>827.57384456558</v>
      </c>
      <c r="S425" s="17" t="n">
        <v>5</v>
      </c>
      <c r="T425" s="18" t="n">
        <v>1</v>
      </c>
      <c r="U425" s="10">
        <f>IF(T425=1,I425-('Parametros'!$B$7+'Parametros'!$B$9+'Parametros'!$B$12/2),I425-(ROUNDUP(S425/2,0)*('Parametros'!$B$7+'Parametros'!$B$9+'Parametros'!$B$12/2)+ROUNDDOWN(S425/2,0)*('Parametros'!$B$7+'Parametros'!$B$9+'Parametros'!$B$12/2+'Parametros'!$B$12+'Parametros'!$B$10))/S425)</f>
        <v>342.55</v>
      </c>
      <c r="V425" s="10">
        <f>S425*'Parametros'!$B$8</f>
        <v>995</v>
      </c>
      <c r="W425" s="10">
        <f>'Parametros'!$B$5*V425*'Parametros'!$B$3*(U425-(V425*'Parametros'!$B$3/(0.85*'Parametros'!$B$2*H425))/2)/1000000</f>
        <v>119.402124617647</v>
      </c>
      <c r="X425" s="10" t="str">
        <f>IF(W425&gt;=J425,"CUMPLE","NO CUMPLE")</f>
        <v>CUMPLE</v>
      </c>
      <c r="Y425" s="10">
        <f>MAX(MAX(1.4/'Parametros'!$B$3,0.25*SQRT('Parametros'!$B$2)/'Parametros'!$B$3)*H425*AB425,(0.85*'Parametros'!$B$2/'Parametros'!$B$3)*(1-SQRT(1-2*(L425*1000000/('Parametros'!$B$5*H425*AB425^2))/(0.85*'Parametros'!$B$2)))*H425*AB425)</f>
        <v>488.179969787808</v>
      </c>
      <c r="Z425" s="17" t="n">
        <v>3</v>
      </c>
      <c r="AA425" s="18" t="n">
        <v>1</v>
      </c>
      <c r="AB425" s="10">
        <f>IF(AA425=1,I425-('Parametros'!$B$7+'Parametros'!$B$9+'Parametros'!$B$12/2),I425-(ROUNDUP(Z425/2,0)*('Parametros'!$B$7+'Parametros'!$B$9+'Parametros'!$B$12/2)+ROUNDDOWN(Z425/2,0)*('Parametros'!$B$7+'Parametros'!$B$9+'Parametros'!$B$12/2+'Parametros'!$B$12+'Parametros'!$B$10))/Z425)</f>
        <v>342.55</v>
      </c>
      <c r="AC425" s="10">
        <f>Z425*'Parametros'!$B$8</f>
        <v>597</v>
      </c>
      <c r="AD425" s="10">
        <f>'Parametros'!$B$5*AC425*'Parametros'!$B$3*(AB425-(AC425*'Parametros'!$B$3/(0.85*'Parametros'!$B$2*H425))/2)/1000000</f>
        <v>73.905520182353</v>
      </c>
      <c r="AE425" s="10" t="str">
        <f>IF(AD425&gt;=L425,"CUMPLE","NO CUMPLE")</f>
        <v>CUMPLE</v>
      </c>
      <c r="AF425" s="10">
        <f>V425*1.25*'Parametros'!$B$3*(U425-(V425*1.25*'Parametros'!$B$3/(0.85*'Parametros'!$B$2*H425))/2)/1000000</f>
        <v>162.560466176471</v>
      </c>
      <c r="AG425" s="10">
        <f>AC425*1.25*'Parametros'!$B$3*(AB425-(AC425*1.25*'Parametros'!$B$3/(0.85*'Parametros'!$B$2*H425))/2)/1000000</f>
        <v>101.467261323529</v>
      </c>
      <c r="AH425" s="10">
        <f>N425+(AF425+AG425)/D425</f>
        <v>197.169125961538</v>
      </c>
      <c r="AI425" s="10">
        <f>MIN(O425,MAX(N425,AH425))</f>
        <v>197.169125961538</v>
      </c>
      <c r="AJ425" s="10">
        <f>0.17*SQRT('Parametros'!$B$2)*H425*MIN(U425,AB425)/1000</f>
        <v>107.849951281016</v>
      </c>
      <c r="AK425" s="10">
        <f>MAX(AI425/'Parametros'!$B$6-AJ425,0)</f>
        <v>155.042216667702</v>
      </c>
      <c r="AL425" s="10">
        <f>0.66*SQRT('Parametros'!$B$2)*H425*MIN(U425,AB425)/1000</f>
        <v>418.711575561591</v>
      </c>
      <c r="AM425" s="10" t="str">
        <f>IF(AK425&lt;=AL425,"CUMPLE","NO CUMPLE")</f>
        <v>CUMPLE</v>
      </c>
      <c r="AN425" s="15" t="inlineStr">
        <is>
          <t>Nº3 cerrado</t>
        </is>
      </c>
      <c r="AO425" s="17" t="n">
        <v>2</v>
      </c>
      <c r="AP425" s="10">
        <f>ROUNDDOWN(MIN(IF(AK425=0,1000000000,AO425*'Parametros'!$B$11*'Parametros'!$B$4*MIN(U425,AB425)/(AK425*1000)),IF(AV425=0,1000000000,'Parametros'!$B$11/AV425),MIN(U425,AB425)/4,8*'Parametros'!$B$12,24*'Parametros'!$B$9,300)/10,0)*10</f>
        <v>80</v>
      </c>
      <c r="AQ425" s="10">
        <f>ROUNDDOWN(MIN(IF(AK425=0,1000000000,AO425*'Parametros'!$B$11*'Parametros'!$B$4*MIN(U425,AB425)/(AK425*1000)),IF(AV425=0,1000000000,'Parametros'!$B$11/AV425),MIN(U425,AB425)/2,600)/10,0)*10</f>
        <v>130</v>
      </c>
      <c r="AR425" s="10">
        <f>'Parametros'!$B$6*(AJ425+AO425*'Parametros'!$B$11*'Parametros'!$B$4*MIN(U425,AB425)/AP425/1000)</f>
        <v>272.415732210762</v>
      </c>
      <c r="AS425" s="10" t="str">
        <f>IF(AND(AM425="CUMPLE",AR425&gt;=AI425),"CUMPLE","NO CUMPLE")</f>
        <v>CUMPLE</v>
      </c>
      <c r="AT425" s="10">
        <f>'Parametros'!$B$6*0.083*SQRT('Parametros'!$B$2)*(H425*I425)^2/(2*(H425+I425))/1000000</f>
        <v>4.30410823283988</v>
      </c>
      <c r="AU425" s="10" t="str">
        <f>IF(Q425&lt;=AT425,"DESPRECIABLE","DISEÑAR")</f>
        <v>DESPRECIABLE</v>
      </c>
      <c r="AV425" s="10">
        <f>IF(Q425&lt;=AT425,0,Q425*1000000/('Parametros'!$B$6*2*0.85*(H425-2*'Parametros'!$B$7)*(I425-2*'Parametros'!$B$7)*'Parametros'!$B$4))</f>
        <v>0</v>
      </c>
      <c r="AW425" s="10">
        <f>AV425*2*((H425-2*'Parametros'!$B$7)+(I425-2*'Parametros'!$B$7))*'Parametros'!$B$4/'Parametros'!$B$3</f>
        <v>0</v>
      </c>
      <c r="AX425" s="17" t="n">
        <v>0</v>
      </c>
      <c r="AY425" s="10" t="str">
        <f>IF(AV425=0,"DESPRECIABLE",IF('Parametros'!$B$11/AP425&gt;=AV425,"CUMPLE","NO CUMPLE"))</f>
        <v>DESPRECIABLE</v>
      </c>
      <c r="AZ425" s="10" t="str">
        <f>IF(AND(X425="CUMPLE",AE425="CUMPLE",AS425="CUMPLE",OR(AY425="CUMPLE",AY425="DESPRECIABLE")),IF(OR(F425&lt;&gt;H425,G425&lt;&gt;I425),"CUMPLE - REANALIZAR SAP","CUMPLE"),"NO CUMPLE")</f>
        <v>CUMPLE</v>
      </c>
    </row>
    <row r="426">
      <c r="A426" s="26" t="inlineStr">
        <is>
          <t>VR2</t>
        </is>
      </c>
      <c r="B426" s="26" t="inlineStr">
        <is>
          <t>791</t>
        </is>
      </c>
      <c r="C426" s="10" t="n">
        <v>1</v>
      </c>
      <c r="D426" s="10" t="n">
        <v>2.6</v>
      </c>
      <c r="E426" s="10" t="n">
        <v>2.6</v>
      </c>
      <c r="F426" s="10" t="n">
        <v>350</v>
      </c>
      <c r="G426" s="10" t="n">
        <v>400</v>
      </c>
      <c r="H426" s="15" t="n">
        <v>350</v>
      </c>
      <c r="I426" s="15" t="n">
        <v>400</v>
      </c>
      <c r="J426" s="16" t="n">
        <v>100.7276</v>
      </c>
      <c r="K426" s="10" t="inlineStr">
        <is>
          <t>791</t>
        </is>
      </c>
      <c r="L426" s="16" t="n">
        <v>60.9918</v>
      </c>
      <c r="M426" s="10" t="inlineStr">
        <is>
          <t>791</t>
        </is>
      </c>
      <c r="N426" s="16" t="n">
        <v>95.69199999999999</v>
      </c>
      <c r="O426" s="16" t="n">
        <v>307.889</v>
      </c>
      <c r="P426" s="10" t="inlineStr">
        <is>
          <t>791</t>
        </is>
      </c>
      <c r="Q426" s="16" t="n">
        <v>0.9311</v>
      </c>
      <c r="R426" s="10">
        <f>MAX(MAX(1.4/'Parametros'!$B$3,0.25*SQRT('Parametros'!$B$2)/'Parametros'!$B$3)*H426*U426,(0.85*'Parametros'!$B$2/'Parametros'!$B$3)*(1-SQRT(1-2*(J426*1000000/('Parametros'!$B$5*H426*U426^2))/(0.85*'Parametros'!$B$2)))*H426*U426)</f>
        <v>828.423424725942</v>
      </c>
      <c r="S426" s="17" t="n">
        <v>5</v>
      </c>
      <c r="T426" s="18" t="n">
        <v>1</v>
      </c>
      <c r="U426" s="10">
        <f>IF(T426=1,I426-('Parametros'!$B$7+'Parametros'!$B$9+'Parametros'!$B$12/2),I426-(ROUNDUP(S426/2,0)*('Parametros'!$B$7+'Parametros'!$B$9+'Parametros'!$B$12/2)+ROUNDDOWN(S426/2,0)*('Parametros'!$B$7+'Parametros'!$B$9+'Parametros'!$B$12/2+'Parametros'!$B$12+'Parametros'!$B$10))/S426)</f>
        <v>342.55</v>
      </c>
      <c r="V426" s="10">
        <f>S426*'Parametros'!$B$8</f>
        <v>995</v>
      </c>
      <c r="W426" s="10">
        <f>'Parametros'!$B$5*V426*'Parametros'!$B$3*(U426-(V426*'Parametros'!$B$3/(0.85*'Parametros'!$B$2*H426))/2)/1000000</f>
        <v>119.402124617647</v>
      </c>
      <c r="X426" s="10" t="str">
        <f>IF(W426&gt;=J426,"CUMPLE","NO CUMPLE")</f>
        <v>CUMPLE</v>
      </c>
      <c r="Y426" s="10">
        <f>MAX(MAX(1.4/'Parametros'!$B$3,0.25*SQRT('Parametros'!$B$2)/'Parametros'!$B$3)*H426*AB426,(0.85*'Parametros'!$B$2/'Parametros'!$B$3)*(1-SQRT(1-2*(L426*1000000/('Parametros'!$B$5*H426*AB426^2))/(0.85*'Parametros'!$B$2)))*H426*AB426)</f>
        <v>488.607676928277</v>
      </c>
      <c r="Z426" s="17" t="n">
        <v>3</v>
      </c>
      <c r="AA426" s="18" t="n">
        <v>1</v>
      </c>
      <c r="AB426" s="10">
        <f>IF(AA426=1,I426-('Parametros'!$B$7+'Parametros'!$B$9+'Parametros'!$B$12/2),I426-(ROUNDUP(Z426/2,0)*('Parametros'!$B$7+'Parametros'!$B$9+'Parametros'!$B$12/2)+ROUNDDOWN(Z426/2,0)*('Parametros'!$B$7+'Parametros'!$B$9+'Parametros'!$B$12/2+'Parametros'!$B$12+'Parametros'!$B$10))/Z426)</f>
        <v>342.55</v>
      </c>
      <c r="AC426" s="10">
        <f>Z426*'Parametros'!$B$8</f>
        <v>597</v>
      </c>
      <c r="AD426" s="10">
        <f>'Parametros'!$B$5*AC426*'Parametros'!$B$3*(AB426-(AC426*'Parametros'!$B$3/(0.85*'Parametros'!$B$2*H426))/2)/1000000</f>
        <v>73.905520182353</v>
      </c>
      <c r="AE426" s="10" t="str">
        <f>IF(AD426&gt;=L426,"CUMPLE","NO CUMPLE")</f>
        <v>CUMPLE</v>
      </c>
      <c r="AF426" s="10">
        <f>V426*1.25*'Parametros'!$B$3*(U426-(V426*1.25*'Parametros'!$B$3/(0.85*'Parametros'!$B$2*H426))/2)/1000000</f>
        <v>162.560466176471</v>
      </c>
      <c r="AG426" s="10">
        <f>AC426*1.25*'Parametros'!$B$3*(AB426-(AC426*1.25*'Parametros'!$B$3/(0.85*'Parametros'!$B$2*H426))/2)/1000000</f>
        <v>101.467261323529</v>
      </c>
      <c r="AH426" s="10">
        <f>N426+(AF426+AG426)/D426</f>
        <v>197.241125961538</v>
      </c>
      <c r="AI426" s="10">
        <f>MIN(O426,MAX(N426,AH426))</f>
        <v>197.241125961538</v>
      </c>
      <c r="AJ426" s="10">
        <f>0.17*SQRT('Parametros'!$B$2)*H426*MIN(U426,AB426)/1000</f>
        <v>107.849951281016</v>
      </c>
      <c r="AK426" s="10">
        <f>MAX(AI426/'Parametros'!$B$6-AJ426,0)</f>
        <v>155.138216667702</v>
      </c>
      <c r="AL426" s="10">
        <f>0.66*SQRT('Parametros'!$B$2)*H426*MIN(U426,AB426)/1000</f>
        <v>418.711575561591</v>
      </c>
      <c r="AM426" s="10" t="str">
        <f>IF(AK426&lt;=AL426,"CUMPLE","NO CUMPLE")</f>
        <v>CUMPLE</v>
      </c>
      <c r="AN426" s="15" t="inlineStr">
        <is>
          <t>Nº3 cerrado</t>
        </is>
      </c>
      <c r="AO426" s="17" t="n">
        <v>2</v>
      </c>
      <c r="AP426" s="10">
        <f>ROUNDDOWN(MIN(IF(AK426=0,1000000000,AO426*'Parametros'!$B$11*'Parametros'!$B$4*MIN(U426,AB426)/(AK426*1000)),IF(AV426=0,1000000000,'Parametros'!$B$11/AV426),MIN(U426,AB426)/4,8*'Parametros'!$B$12,24*'Parametros'!$B$9,300)/10,0)*10</f>
        <v>80</v>
      </c>
      <c r="AQ426" s="10">
        <f>ROUNDDOWN(MIN(IF(AK426=0,1000000000,AO426*'Parametros'!$B$11*'Parametros'!$B$4*MIN(U426,AB426)/(AK426*1000)),IF(AV426=0,1000000000,'Parametros'!$B$11/AV426),MIN(U426,AB426)/2,600)/10,0)*10</f>
        <v>130</v>
      </c>
      <c r="AR426" s="10">
        <f>'Parametros'!$B$6*(AJ426+AO426*'Parametros'!$B$11*'Parametros'!$B$4*MIN(U426,AB426)/AP426/1000)</f>
        <v>272.415732210762</v>
      </c>
      <c r="AS426" s="10" t="str">
        <f>IF(AND(AM426="CUMPLE",AR426&gt;=AI426),"CUMPLE","NO CUMPLE")</f>
        <v>CUMPLE</v>
      </c>
      <c r="AT426" s="10">
        <f>'Parametros'!$B$6*0.083*SQRT('Parametros'!$B$2)*(H426*I426)^2/(2*(H426+I426))/1000000</f>
        <v>4.30410823283988</v>
      </c>
      <c r="AU426" s="10" t="str">
        <f>IF(Q426&lt;=AT426,"DESPRECIABLE","DISEÑAR")</f>
        <v>DESPRECIABLE</v>
      </c>
      <c r="AV426" s="10">
        <f>IF(Q426&lt;=AT426,0,Q426*1000000/('Parametros'!$B$6*2*0.85*(H426-2*'Parametros'!$B$7)*(I426-2*'Parametros'!$B$7)*'Parametros'!$B$4))</f>
        <v>0</v>
      </c>
      <c r="AW426" s="10">
        <f>AV426*2*((H426-2*'Parametros'!$B$7)+(I426-2*'Parametros'!$B$7))*'Parametros'!$B$4/'Parametros'!$B$3</f>
        <v>0</v>
      </c>
      <c r="AX426" s="17" t="n">
        <v>0</v>
      </c>
      <c r="AY426" s="10" t="str">
        <f>IF(AV426=0,"DESPRECIABLE",IF('Parametros'!$B$11/AP426&gt;=AV426,"CUMPLE","NO CUMPLE"))</f>
        <v>DESPRECIABLE</v>
      </c>
      <c r="AZ426" s="10" t="str">
        <f>IF(AND(X426="CUMPLE",AE426="CUMPLE",AS426="CUMPLE",OR(AY426="CUMPLE",AY426="DESPRECIABLE")),IF(OR(F426&lt;&gt;H426,G426&lt;&gt;I426),"CUMPLE - REANALIZAR SAP","CUMPLE"),"NO CUMPLE")</f>
        <v>CUMPLE</v>
      </c>
    </row>
    <row r="427">
      <c r="A427" s="26" t="inlineStr">
        <is>
          <t>VR2</t>
        </is>
      </c>
      <c r="B427" s="26" t="inlineStr">
        <is>
          <t>792</t>
        </is>
      </c>
      <c r="C427" s="10" t="n">
        <v>1</v>
      </c>
      <c r="D427" s="10" t="n">
        <v>3.65308</v>
      </c>
      <c r="E427" s="10" t="n">
        <v>3.65308</v>
      </c>
      <c r="F427" s="10" t="n">
        <v>350</v>
      </c>
      <c r="G427" s="10" t="n">
        <v>400</v>
      </c>
      <c r="H427" s="15" t="n">
        <v>350</v>
      </c>
      <c r="I427" s="15" t="n">
        <v>400</v>
      </c>
      <c r="J427" s="16" t="n">
        <v>94.4258</v>
      </c>
      <c r="K427" s="10" t="inlineStr">
        <is>
          <t>792</t>
        </is>
      </c>
      <c r="L427" s="16" t="n">
        <v>51.1504</v>
      </c>
      <c r="M427" s="10" t="inlineStr">
        <is>
          <t>792</t>
        </is>
      </c>
      <c r="N427" s="16" t="n">
        <v>76.328</v>
      </c>
      <c r="O427" s="16" t="n">
        <v>200.242</v>
      </c>
      <c r="P427" s="10" t="inlineStr">
        <is>
          <t>792</t>
        </is>
      </c>
      <c r="Q427" s="16" t="n">
        <v>7.6761</v>
      </c>
      <c r="R427" s="10">
        <f>MAX(MAX(1.4/'Parametros'!$B$3,0.25*SQRT('Parametros'!$B$2)/'Parametros'!$B$3)*H427*U427,(0.85*'Parametros'!$B$2/'Parametros'!$B$3)*(1-SQRT(1-2*(J427*1000000/('Parametros'!$B$5*H427*U427^2))/(0.85*'Parametros'!$B$2)))*H427*U427)</f>
        <v>773.251376254436</v>
      </c>
      <c r="S427" s="17" t="n">
        <v>4</v>
      </c>
      <c r="T427" s="18" t="n">
        <v>1</v>
      </c>
      <c r="U427" s="10">
        <f>IF(T427=1,I427-('Parametros'!$B$7+'Parametros'!$B$9+'Parametros'!$B$12/2),I427-(ROUNDUP(S427/2,0)*('Parametros'!$B$7+'Parametros'!$B$9+'Parametros'!$B$12/2)+ROUNDDOWN(S427/2,0)*('Parametros'!$B$7+'Parametros'!$B$9+'Parametros'!$B$12/2+'Parametros'!$B$12+'Parametros'!$B$10))/S427)</f>
        <v>342.55</v>
      </c>
      <c r="V427" s="10">
        <f>S427*'Parametros'!$B$8</f>
        <v>796</v>
      </c>
      <c r="W427" s="10">
        <f>'Parametros'!$B$5*V427*'Parametros'!$B$3*(U427-(V427*'Parametros'!$B$3/(0.85*'Parametros'!$B$2*H427))/2)/1000000</f>
        <v>97.0311966352941</v>
      </c>
      <c r="X427" s="10" t="str">
        <f>IF(W427&gt;=J427,"CUMPLE","NO CUMPLE")</f>
        <v>CUMPLE</v>
      </c>
      <c r="Y427" s="10">
        <f>MAX(MAX(1.4/'Parametros'!$B$3,0.25*SQRT('Parametros'!$B$2)/'Parametros'!$B$3)*H427*AB427,(0.85*'Parametros'!$B$2/'Parametros'!$B$3)*(1-SQRT(1-2*(L427*1000000/('Parametros'!$B$5*H427*AB427^2))/(0.85*'Parametros'!$B$2)))*H427*AB427)</f>
        <v>407.238162279025</v>
      </c>
      <c r="Z427" s="17" t="n">
        <v>3</v>
      </c>
      <c r="AA427" s="18" t="n">
        <v>1</v>
      </c>
      <c r="AB427" s="10">
        <f>IF(AA427=1,I427-('Parametros'!$B$7+'Parametros'!$B$9+'Parametros'!$B$12/2),I427-(ROUNDUP(Z427/2,0)*('Parametros'!$B$7+'Parametros'!$B$9+'Parametros'!$B$12/2)+ROUNDDOWN(Z427/2,0)*('Parametros'!$B$7+'Parametros'!$B$9+'Parametros'!$B$12/2+'Parametros'!$B$12+'Parametros'!$B$10))/Z427)</f>
        <v>342.55</v>
      </c>
      <c r="AC427" s="10">
        <f>Z427*'Parametros'!$B$8</f>
        <v>597</v>
      </c>
      <c r="AD427" s="10">
        <f>'Parametros'!$B$5*AC427*'Parametros'!$B$3*(AB427-(AC427*'Parametros'!$B$3/(0.85*'Parametros'!$B$2*H427))/2)/1000000</f>
        <v>73.905520182353</v>
      </c>
      <c r="AE427" s="10" t="str">
        <f>IF(AD427&gt;=L427,"CUMPLE","NO CUMPLE")</f>
        <v>CUMPLE</v>
      </c>
      <c r="AF427" s="10">
        <f>V427*1.25*'Parametros'!$B$3*(U427-(V427*1.25*'Parametros'!$B$3/(0.85*'Parametros'!$B$2*H427))/2)/1000000</f>
        <v>132.669027352941</v>
      </c>
      <c r="AG427" s="10">
        <f>AC427*1.25*'Parametros'!$B$3*(AB427-(AC427*1.25*'Parametros'!$B$3/(0.85*'Parametros'!$B$2*H427))/2)/1000000</f>
        <v>101.467261323529</v>
      </c>
      <c r="AH427" s="10">
        <f>N427+(AF427+AG427)/D427</f>
        <v>140.420844579497</v>
      </c>
      <c r="AI427" s="10">
        <f>MIN(O427,MAX(N427,AH427))</f>
        <v>140.420844579497</v>
      </c>
      <c r="AJ427" s="10">
        <f>0.17*SQRT('Parametros'!$B$2)*H427*MIN(U427,AB427)/1000</f>
        <v>107.849951281016</v>
      </c>
      <c r="AK427" s="10">
        <f>MAX(AI427/'Parametros'!$B$6-AJ427,0)</f>
        <v>79.3778414916474</v>
      </c>
      <c r="AL427" s="10">
        <f>0.66*SQRT('Parametros'!$B$2)*H427*MIN(U427,AB427)/1000</f>
        <v>418.711575561591</v>
      </c>
      <c r="AM427" s="10" t="str">
        <f>IF(AK427&lt;=AL427,"CUMPLE","NO CUMPLE")</f>
        <v>CUMPLE</v>
      </c>
      <c r="AN427" s="15" t="inlineStr">
        <is>
          <t>Nº3 cerrado</t>
        </is>
      </c>
      <c r="AO427" s="17" t="n">
        <v>2</v>
      </c>
      <c r="AP427" s="10">
        <f>ROUNDDOWN(MIN(IF(AK427=0,1000000000,AO427*'Parametros'!$B$11*'Parametros'!$B$4*MIN(U427,AB427)/(AK427*1000)),IF(AV427=0,1000000000,'Parametros'!$B$11/AV427),MIN(U427,AB427)/4,8*'Parametros'!$B$12,24*'Parametros'!$B$9,300)/10,0)*10</f>
        <v>80</v>
      </c>
      <c r="AQ427" s="10">
        <f>ROUNDDOWN(MIN(IF(AK427=0,1000000000,AO427*'Parametros'!$B$11*'Parametros'!$B$4*MIN(U427,AB427)/(AK427*1000)),IF(AV427=0,1000000000,'Parametros'!$B$11/AV427),MIN(U427,AB427)/2,600)/10,0)*10</f>
        <v>170</v>
      </c>
      <c r="AR427" s="10">
        <f>'Parametros'!$B$6*(AJ427+AO427*'Parametros'!$B$11*'Parametros'!$B$4*MIN(U427,AB427)/AP427/1000)</f>
        <v>272.415732210762</v>
      </c>
      <c r="AS427" s="10" t="str">
        <f>IF(AND(AM427="CUMPLE",AR427&gt;=AI427),"CUMPLE","NO CUMPLE")</f>
        <v>CUMPLE</v>
      </c>
      <c r="AT427" s="10">
        <f>'Parametros'!$B$6*0.083*SQRT('Parametros'!$B$2)*(H427*I427)^2/(2*(H427+I427))/1000000</f>
        <v>4.30410823283988</v>
      </c>
      <c r="AU427" s="10" t="str">
        <f>IF(Q427&lt;=AT427,"DESPRECIABLE","DISEÑAR")</f>
        <v>DISEÑAR</v>
      </c>
      <c r="AV427" s="10">
        <f>IF(Q427&lt;=AT427,0,Q427*1000000/('Parametros'!$B$6*2*0.85*(H427-2*'Parametros'!$B$7)*(I427-2*'Parametros'!$B$7)*'Parametros'!$B$4))</f>
        <v>0.165908029878618</v>
      </c>
      <c r="AW427" s="10">
        <f>AV427*2*((H427-2*'Parametros'!$B$7)+(I427-2*'Parametros'!$B$7))*'Parametros'!$B$4/'Parametros'!$B$3</f>
        <v>195.771475256769</v>
      </c>
      <c r="AX427" s="17" t="n">
        <v>1</v>
      </c>
      <c r="AY427" s="10" t="str">
        <f>IF(AV427=0,"DESPRECIABLE",IF('Parametros'!$B$11/AP427&gt;=AV427,"CUMPLE","NO CUMPLE"))</f>
        <v>CUMPLE</v>
      </c>
      <c r="AZ427" s="10" t="str">
        <f>IF(AND(X427="CUMPLE",AE427="CUMPLE",AS427="CUMPLE",OR(AY427="CUMPLE",AY427="DESPRECIABLE")),IF(OR(F427&lt;&gt;H427,G427&lt;&gt;I427),"CUMPLE - REANALIZAR SAP","CUMPLE"),"NO CUMPLE")</f>
        <v>CUMPLE</v>
      </c>
    </row>
    <row r="428">
      <c r="A428" s="26" t="inlineStr">
        <is>
          <t>VR2</t>
        </is>
      </c>
      <c r="B428" s="26" t="inlineStr">
        <is>
          <t>793</t>
        </is>
      </c>
      <c r="C428" s="10" t="n">
        <v>1</v>
      </c>
      <c r="D428" s="10" t="n">
        <v>2.6</v>
      </c>
      <c r="E428" s="10" t="n">
        <v>2.6</v>
      </c>
      <c r="F428" s="10" t="n">
        <v>350</v>
      </c>
      <c r="G428" s="10" t="n">
        <v>400</v>
      </c>
      <c r="H428" s="15" t="n">
        <v>350</v>
      </c>
      <c r="I428" s="15" t="n">
        <v>400</v>
      </c>
      <c r="J428" s="16" t="n">
        <v>102.1687</v>
      </c>
      <c r="K428" s="10" t="inlineStr">
        <is>
          <t>793</t>
        </is>
      </c>
      <c r="L428" s="16" t="n">
        <v>65.5108</v>
      </c>
      <c r="M428" s="10" t="inlineStr">
        <is>
          <t>793</t>
        </is>
      </c>
      <c r="N428" s="16" t="n">
        <v>106.209</v>
      </c>
      <c r="O428" s="16" t="n">
        <v>346.749</v>
      </c>
      <c r="P428" s="10" t="inlineStr">
        <is>
          <t>793</t>
        </is>
      </c>
      <c r="Q428" s="16" t="n">
        <v>7.539</v>
      </c>
      <c r="R428" s="10">
        <f>MAX(MAX(1.4/'Parametros'!$B$3,0.25*SQRT('Parametros'!$B$2)/'Parametros'!$B$3)*H428*U428,(0.85*'Parametros'!$B$2/'Parametros'!$B$3)*(1-SQRT(1-2*(J428*1000000/('Parametros'!$B$5*H428*U428^2))/(0.85*'Parametros'!$B$2)))*H428*U428)</f>
        <v>841.112044897734</v>
      </c>
      <c r="S428" s="17" t="n">
        <v>5</v>
      </c>
      <c r="T428" s="18" t="n">
        <v>1</v>
      </c>
      <c r="U428" s="10">
        <f>IF(T428=1,I428-('Parametros'!$B$7+'Parametros'!$B$9+'Parametros'!$B$12/2),I428-(ROUNDUP(S428/2,0)*('Parametros'!$B$7+'Parametros'!$B$9+'Parametros'!$B$12/2)+ROUNDDOWN(S428/2,0)*('Parametros'!$B$7+'Parametros'!$B$9+'Parametros'!$B$12/2+'Parametros'!$B$12+'Parametros'!$B$10))/S428)</f>
        <v>342.55</v>
      </c>
      <c r="V428" s="10">
        <f>S428*'Parametros'!$B$8</f>
        <v>995</v>
      </c>
      <c r="W428" s="10">
        <f>'Parametros'!$B$5*V428*'Parametros'!$B$3*(U428-(V428*'Parametros'!$B$3/(0.85*'Parametros'!$B$2*H428))/2)/1000000</f>
        <v>119.402124617647</v>
      </c>
      <c r="X428" s="10" t="str">
        <f>IF(W428&gt;=J428,"CUMPLE","NO CUMPLE")</f>
        <v>CUMPLE</v>
      </c>
      <c r="Y428" s="10">
        <f>MAX(MAX(1.4/'Parametros'!$B$3,0.25*SQRT('Parametros'!$B$2)/'Parametros'!$B$3)*H428*AB428,(0.85*'Parametros'!$B$2/'Parametros'!$B$3)*(1-SQRT(1-2*(L428*1000000/('Parametros'!$B$5*H428*AB428^2))/(0.85*'Parametros'!$B$2)))*H428*AB428)</f>
        <v>526.325041642722</v>
      </c>
      <c r="Z428" s="17" t="n">
        <v>3</v>
      </c>
      <c r="AA428" s="18" t="n">
        <v>1</v>
      </c>
      <c r="AB428" s="10">
        <f>IF(AA428=1,I428-('Parametros'!$B$7+'Parametros'!$B$9+'Parametros'!$B$12/2),I428-(ROUNDUP(Z428/2,0)*('Parametros'!$B$7+'Parametros'!$B$9+'Parametros'!$B$12/2)+ROUNDDOWN(Z428/2,0)*('Parametros'!$B$7+'Parametros'!$B$9+'Parametros'!$B$12/2+'Parametros'!$B$12+'Parametros'!$B$10))/Z428)</f>
        <v>342.55</v>
      </c>
      <c r="AC428" s="10">
        <f>Z428*'Parametros'!$B$8</f>
        <v>597</v>
      </c>
      <c r="AD428" s="10">
        <f>'Parametros'!$B$5*AC428*'Parametros'!$B$3*(AB428-(AC428*'Parametros'!$B$3/(0.85*'Parametros'!$B$2*H428))/2)/1000000</f>
        <v>73.905520182353</v>
      </c>
      <c r="AE428" s="10" t="str">
        <f>IF(AD428&gt;=L428,"CUMPLE","NO CUMPLE")</f>
        <v>CUMPLE</v>
      </c>
      <c r="AF428" s="10">
        <f>V428*1.25*'Parametros'!$B$3*(U428-(V428*1.25*'Parametros'!$B$3/(0.85*'Parametros'!$B$2*H428))/2)/1000000</f>
        <v>162.560466176471</v>
      </c>
      <c r="AG428" s="10">
        <f>AC428*1.25*'Parametros'!$B$3*(AB428-(AC428*1.25*'Parametros'!$B$3/(0.85*'Parametros'!$B$2*H428))/2)/1000000</f>
        <v>101.467261323529</v>
      </c>
      <c r="AH428" s="10">
        <f>N428+(AF428+AG428)/D428</f>
        <v>207.758125961538</v>
      </c>
      <c r="AI428" s="10">
        <f>MIN(O428,MAX(N428,AH428))</f>
        <v>207.758125961538</v>
      </c>
      <c r="AJ428" s="10">
        <f>0.17*SQRT('Parametros'!$B$2)*H428*MIN(U428,AB428)/1000</f>
        <v>107.849951281016</v>
      </c>
      <c r="AK428" s="10">
        <f>MAX(AI428/'Parametros'!$B$6-AJ428,0)</f>
        <v>169.160883334369</v>
      </c>
      <c r="AL428" s="10">
        <f>0.66*SQRT('Parametros'!$B$2)*H428*MIN(U428,AB428)/1000</f>
        <v>418.711575561591</v>
      </c>
      <c r="AM428" s="10" t="str">
        <f>IF(AK428&lt;=AL428,"CUMPLE","NO CUMPLE")</f>
        <v>CUMPLE</v>
      </c>
      <c r="AN428" s="15" t="inlineStr">
        <is>
          <t>Nº3 cerrado</t>
        </is>
      </c>
      <c r="AO428" s="17" t="n">
        <v>2</v>
      </c>
      <c r="AP428" s="10">
        <f>ROUNDDOWN(MIN(IF(AK428=0,1000000000,AO428*'Parametros'!$B$11*'Parametros'!$B$4*MIN(U428,AB428)/(AK428*1000)),IF(AV428=0,1000000000,'Parametros'!$B$11/AV428),MIN(U428,AB428)/4,8*'Parametros'!$B$12,24*'Parametros'!$B$9,300)/10,0)*10</f>
        <v>80</v>
      </c>
      <c r="AQ428" s="10">
        <f>ROUNDDOWN(MIN(IF(AK428=0,1000000000,AO428*'Parametros'!$B$11*'Parametros'!$B$4*MIN(U428,AB428)/(AK428*1000)),IF(AV428=0,1000000000,'Parametros'!$B$11/AV428),MIN(U428,AB428)/2,600)/10,0)*10</f>
        <v>120</v>
      </c>
      <c r="AR428" s="10">
        <f>'Parametros'!$B$6*(AJ428+AO428*'Parametros'!$B$11*'Parametros'!$B$4*MIN(U428,AB428)/AP428/1000)</f>
        <v>272.415732210762</v>
      </c>
      <c r="AS428" s="10" t="str">
        <f>IF(AND(AM428="CUMPLE",AR428&gt;=AI428),"CUMPLE","NO CUMPLE")</f>
        <v>CUMPLE</v>
      </c>
      <c r="AT428" s="10">
        <f>'Parametros'!$B$6*0.083*SQRT('Parametros'!$B$2)*(H428*I428)^2/(2*(H428+I428))/1000000</f>
        <v>4.30410823283988</v>
      </c>
      <c r="AU428" s="10" t="str">
        <f>IF(Q428&lt;=AT428,"DESPRECIABLE","DISEÑAR")</f>
        <v>DISEÑAR</v>
      </c>
      <c r="AV428" s="10">
        <f>IF(Q428&lt;=AT428,0,Q428*1000000/('Parametros'!$B$6*2*0.85*(H428-2*'Parametros'!$B$7)*(I428-2*'Parametros'!$B$7)*'Parametros'!$B$4))</f>
        <v>0.162944807552651</v>
      </c>
      <c r="AW428" s="10">
        <f>AV428*2*((H428-2*'Parametros'!$B$7)+(I428-2*'Parametros'!$B$7))*'Parametros'!$B$4/'Parametros'!$B$3</f>
        <v>192.274872912128</v>
      </c>
      <c r="AX428" s="17" t="n">
        <v>1</v>
      </c>
      <c r="AY428" s="10" t="str">
        <f>IF(AV428=0,"DESPRECIABLE",IF('Parametros'!$B$11/AP428&gt;=AV428,"CUMPLE","NO CUMPLE"))</f>
        <v>CUMPLE</v>
      </c>
      <c r="AZ428" s="10" t="str">
        <f>IF(AND(X428="CUMPLE",AE428="CUMPLE",AS428="CUMPLE",OR(AY428="CUMPLE",AY428="DESPRECIABLE")),IF(OR(F428&lt;&gt;H428,G428&lt;&gt;I428),"CUMPLE - REANALIZAR SAP","CUMPLE"),"NO CUMPLE")</f>
        <v>CUMPLE</v>
      </c>
    </row>
    <row r="429">
      <c r="A429" s="26" t="inlineStr">
        <is>
          <t>VR2</t>
        </is>
      </c>
      <c r="B429" s="26" t="inlineStr">
        <is>
          <t>794</t>
        </is>
      </c>
      <c r="C429" s="10" t="n">
        <v>1</v>
      </c>
      <c r="D429" s="10" t="n">
        <v>2.5</v>
      </c>
      <c r="E429" s="10" t="n">
        <v>2.5</v>
      </c>
      <c r="F429" s="10" t="n">
        <v>350</v>
      </c>
      <c r="G429" s="10" t="n">
        <v>400</v>
      </c>
      <c r="H429" s="15" t="n">
        <v>350</v>
      </c>
      <c r="I429" s="15" t="n">
        <v>400</v>
      </c>
      <c r="J429" s="16" t="n">
        <v>97.5299</v>
      </c>
      <c r="K429" s="10" t="inlineStr">
        <is>
          <t>794</t>
        </is>
      </c>
      <c r="L429" s="16" t="n">
        <v>70.4632</v>
      </c>
      <c r="M429" s="10" t="inlineStr">
        <is>
          <t>794</t>
        </is>
      </c>
      <c r="N429" s="16" t="n">
        <v>99.223</v>
      </c>
      <c r="O429" s="16" t="n">
        <v>337.349</v>
      </c>
      <c r="P429" s="10" t="inlineStr">
        <is>
          <t>794</t>
        </is>
      </c>
      <c r="Q429" s="16" t="n">
        <v>1.3879</v>
      </c>
      <c r="R429" s="10">
        <f>MAX(MAX(1.4/'Parametros'!$B$3,0.25*SQRT('Parametros'!$B$2)/'Parametros'!$B$3)*H429*U429,(0.85*'Parametros'!$B$2/'Parametros'!$B$3)*(1-SQRT(1-2*(J429*1000000/('Parametros'!$B$5*H429*U429^2))/(0.85*'Parametros'!$B$2)))*H429*U429)</f>
        <v>800.364197687576</v>
      </c>
      <c r="S429" s="17" t="n">
        <v>5</v>
      </c>
      <c r="T429" s="18" t="n">
        <v>1</v>
      </c>
      <c r="U429" s="10">
        <f>IF(T429=1,I429-('Parametros'!$B$7+'Parametros'!$B$9+'Parametros'!$B$12/2),I429-(ROUNDUP(S429/2,0)*('Parametros'!$B$7+'Parametros'!$B$9+'Parametros'!$B$12/2)+ROUNDDOWN(S429/2,0)*('Parametros'!$B$7+'Parametros'!$B$9+'Parametros'!$B$12/2+'Parametros'!$B$12+'Parametros'!$B$10))/S429)</f>
        <v>342.55</v>
      </c>
      <c r="V429" s="10">
        <f>S429*'Parametros'!$B$8</f>
        <v>995</v>
      </c>
      <c r="W429" s="10">
        <f>'Parametros'!$B$5*V429*'Parametros'!$B$3*(U429-(V429*'Parametros'!$B$3/(0.85*'Parametros'!$B$2*H429))/2)/1000000</f>
        <v>119.402124617647</v>
      </c>
      <c r="X429" s="10" t="str">
        <f>IF(W429&gt;=J429,"CUMPLE","NO CUMPLE")</f>
        <v>CUMPLE</v>
      </c>
      <c r="Y429" s="10">
        <f>MAX(MAX(1.4/'Parametros'!$B$3,0.25*SQRT('Parametros'!$B$2)/'Parametros'!$B$3)*H429*AB429,(0.85*'Parametros'!$B$2/'Parametros'!$B$3)*(1-SQRT(1-2*(L429*1000000/('Parametros'!$B$5*H429*AB429^2))/(0.85*'Parametros'!$B$2)))*H429*AB429)</f>
        <v>567.922144625313</v>
      </c>
      <c r="Z429" s="17" t="n">
        <v>3</v>
      </c>
      <c r="AA429" s="18" t="n">
        <v>1</v>
      </c>
      <c r="AB429" s="10">
        <f>IF(AA429=1,I429-('Parametros'!$B$7+'Parametros'!$B$9+'Parametros'!$B$12/2),I429-(ROUNDUP(Z429/2,0)*('Parametros'!$B$7+'Parametros'!$B$9+'Parametros'!$B$12/2)+ROUNDDOWN(Z429/2,0)*('Parametros'!$B$7+'Parametros'!$B$9+'Parametros'!$B$12/2+'Parametros'!$B$12+'Parametros'!$B$10))/Z429)</f>
        <v>342.55</v>
      </c>
      <c r="AC429" s="10">
        <f>Z429*'Parametros'!$B$8</f>
        <v>597</v>
      </c>
      <c r="AD429" s="10">
        <f>'Parametros'!$B$5*AC429*'Parametros'!$B$3*(AB429-(AC429*'Parametros'!$B$3/(0.85*'Parametros'!$B$2*H429))/2)/1000000</f>
        <v>73.905520182353</v>
      </c>
      <c r="AE429" s="10" t="str">
        <f>IF(AD429&gt;=L429,"CUMPLE","NO CUMPLE")</f>
        <v>CUMPLE</v>
      </c>
      <c r="AF429" s="10">
        <f>V429*1.25*'Parametros'!$B$3*(U429-(V429*1.25*'Parametros'!$B$3/(0.85*'Parametros'!$B$2*H429))/2)/1000000</f>
        <v>162.560466176471</v>
      </c>
      <c r="AG429" s="10">
        <f>AC429*1.25*'Parametros'!$B$3*(AB429-(AC429*1.25*'Parametros'!$B$3/(0.85*'Parametros'!$B$2*H429))/2)/1000000</f>
        <v>101.467261323529</v>
      </c>
      <c r="AH429" s="10">
        <f>N429+(AF429+AG429)/D429</f>
        <v>204.834091</v>
      </c>
      <c r="AI429" s="10">
        <f>MIN(O429,MAX(N429,AH429))</f>
        <v>204.834091</v>
      </c>
      <c r="AJ429" s="10">
        <f>0.17*SQRT('Parametros'!$B$2)*H429*MIN(U429,AB429)/1000</f>
        <v>107.849951281016</v>
      </c>
      <c r="AK429" s="10">
        <f>MAX(AI429/'Parametros'!$B$6-AJ429,0)</f>
        <v>165.262170052317</v>
      </c>
      <c r="AL429" s="10">
        <f>0.66*SQRT('Parametros'!$B$2)*H429*MIN(U429,AB429)/1000</f>
        <v>418.711575561591</v>
      </c>
      <c r="AM429" s="10" t="str">
        <f>IF(AK429&lt;=AL429,"CUMPLE","NO CUMPLE")</f>
        <v>CUMPLE</v>
      </c>
      <c r="AN429" s="15" t="inlineStr">
        <is>
          <t>Nº3 cerrado</t>
        </is>
      </c>
      <c r="AO429" s="17" t="n">
        <v>2</v>
      </c>
      <c r="AP429" s="10">
        <f>ROUNDDOWN(MIN(IF(AK429=0,1000000000,AO429*'Parametros'!$B$11*'Parametros'!$B$4*MIN(U429,AB429)/(AK429*1000)),IF(AV429=0,1000000000,'Parametros'!$B$11/AV429),MIN(U429,AB429)/4,8*'Parametros'!$B$12,24*'Parametros'!$B$9,300)/10,0)*10</f>
        <v>80</v>
      </c>
      <c r="AQ429" s="10">
        <f>ROUNDDOWN(MIN(IF(AK429=0,1000000000,AO429*'Parametros'!$B$11*'Parametros'!$B$4*MIN(U429,AB429)/(AK429*1000)),IF(AV429=0,1000000000,'Parametros'!$B$11/AV429),MIN(U429,AB429)/2,600)/10,0)*10</f>
        <v>120</v>
      </c>
      <c r="AR429" s="10">
        <f>'Parametros'!$B$6*(AJ429+AO429*'Parametros'!$B$11*'Parametros'!$B$4*MIN(U429,AB429)/AP429/1000)</f>
        <v>272.415732210762</v>
      </c>
      <c r="AS429" s="10" t="str">
        <f>IF(AND(AM429="CUMPLE",AR429&gt;=AI429),"CUMPLE","NO CUMPLE")</f>
        <v>CUMPLE</v>
      </c>
      <c r="AT429" s="10">
        <f>'Parametros'!$B$6*0.083*SQRT('Parametros'!$B$2)*(H429*I429)^2/(2*(H429+I429))/1000000</f>
        <v>4.30410823283988</v>
      </c>
      <c r="AU429" s="10" t="str">
        <f>IF(Q429&lt;=AT429,"DESPRECIABLE","DISEÑAR")</f>
        <v>DESPRECIABLE</v>
      </c>
      <c r="AV429" s="10">
        <f>IF(Q429&lt;=AT429,0,Q429*1000000/('Parametros'!$B$6*2*0.85*(H429-2*'Parametros'!$B$7)*(I429-2*'Parametros'!$B$7)*'Parametros'!$B$4))</f>
        <v>0</v>
      </c>
      <c r="AW429" s="10">
        <f>AV429*2*((H429-2*'Parametros'!$B$7)+(I429-2*'Parametros'!$B$7))*'Parametros'!$B$4/'Parametros'!$B$3</f>
        <v>0</v>
      </c>
      <c r="AX429" s="17" t="n">
        <v>0</v>
      </c>
      <c r="AY429" s="10" t="str">
        <f>IF(AV429=0,"DESPRECIABLE",IF('Parametros'!$B$11/AP429&gt;=AV429,"CUMPLE","NO CUMPLE"))</f>
        <v>DESPRECIABLE</v>
      </c>
      <c r="AZ429" s="10" t="str">
        <f>IF(AND(X429="CUMPLE",AE429="CUMPLE",AS429="CUMPLE",OR(AY429="CUMPLE",AY429="DESPRECIABLE")),IF(OR(F429&lt;&gt;H429,G429&lt;&gt;I429),"CUMPLE - REANALIZAR SAP","CUMPLE"),"NO CUMPLE")</f>
        <v>CUMPLE</v>
      </c>
    </row>
    <row r="430">
      <c r="A430" s="26" t="inlineStr">
        <is>
          <t>VR2</t>
        </is>
      </c>
      <c r="B430" s="26" t="inlineStr">
        <is>
          <t>795</t>
        </is>
      </c>
      <c r="C430" s="10" t="n">
        <v>1</v>
      </c>
      <c r="D430" s="10" t="n">
        <v>4.17612</v>
      </c>
      <c r="E430" s="10" t="n">
        <v>4.17612</v>
      </c>
      <c r="F430" s="10" t="n">
        <v>350</v>
      </c>
      <c r="G430" s="10" t="n">
        <v>400</v>
      </c>
      <c r="H430" s="15" t="n">
        <v>350</v>
      </c>
      <c r="I430" s="15" t="n">
        <v>400</v>
      </c>
      <c r="J430" s="16" t="n">
        <v>102.5571</v>
      </c>
      <c r="K430" s="10" t="inlineStr">
        <is>
          <t>795</t>
        </is>
      </c>
      <c r="L430" s="16" t="n">
        <v>41.4539</v>
      </c>
      <c r="M430" s="10" t="inlineStr">
        <is>
          <t>795</t>
        </is>
      </c>
      <c r="N430" s="16" t="n">
        <v>86.36499999999999</v>
      </c>
      <c r="O430" s="16" t="n">
        <v>205.968</v>
      </c>
      <c r="P430" s="10" t="inlineStr">
        <is>
          <t>795</t>
        </is>
      </c>
      <c r="Q430" s="16" t="n">
        <v>0.2055</v>
      </c>
      <c r="R430" s="10">
        <f>MAX(MAX(1.4/'Parametros'!$B$3,0.25*SQRT('Parametros'!$B$2)/'Parametros'!$B$3)*H430*U430,(0.85*'Parametros'!$B$2/'Parametros'!$B$3)*(1-SQRT(1-2*(J430*1000000/('Parametros'!$B$5*H430*U430^2))/(0.85*'Parametros'!$B$2)))*H430*U430)</f>
        <v>844.536465066794</v>
      </c>
      <c r="S430" s="17" t="n">
        <v>5</v>
      </c>
      <c r="T430" s="18" t="n">
        <v>1</v>
      </c>
      <c r="U430" s="10">
        <f>IF(T430=1,I430-('Parametros'!$B$7+'Parametros'!$B$9+'Parametros'!$B$12/2),I430-(ROUNDUP(S430/2,0)*('Parametros'!$B$7+'Parametros'!$B$9+'Parametros'!$B$12/2)+ROUNDDOWN(S430/2,0)*('Parametros'!$B$7+'Parametros'!$B$9+'Parametros'!$B$12/2+'Parametros'!$B$12+'Parametros'!$B$10))/S430)</f>
        <v>342.55</v>
      </c>
      <c r="V430" s="10">
        <f>S430*'Parametros'!$B$8</f>
        <v>995</v>
      </c>
      <c r="W430" s="10">
        <f>'Parametros'!$B$5*V430*'Parametros'!$B$3*(U430-(V430*'Parametros'!$B$3/(0.85*'Parametros'!$B$2*H430))/2)/1000000</f>
        <v>119.402124617647</v>
      </c>
      <c r="X430" s="10" t="str">
        <f>IF(W430&gt;=J430,"CUMPLE","NO CUMPLE")</f>
        <v>CUMPLE</v>
      </c>
      <c r="Y430" s="10">
        <f>MAX(MAX(1.4/'Parametros'!$B$3,0.25*SQRT('Parametros'!$B$2)/'Parametros'!$B$3)*H430*AB430,(0.85*'Parametros'!$B$2/'Parametros'!$B$3)*(1-SQRT(1-2*(L430*1000000/('Parametros'!$B$5*H430*AB430^2))/(0.85*'Parametros'!$B$2)))*H430*AB430)</f>
        <v>399.641666666667</v>
      </c>
      <c r="Z430" s="17" t="n">
        <v>3</v>
      </c>
      <c r="AA430" s="18" t="n">
        <v>1</v>
      </c>
      <c r="AB430" s="10">
        <f>IF(AA430=1,I430-('Parametros'!$B$7+'Parametros'!$B$9+'Parametros'!$B$12/2),I430-(ROUNDUP(Z430/2,0)*('Parametros'!$B$7+'Parametros'!$B$9+'Parametros'!$B$12/2)+ROUNDDOWN(Z430/2,0)*('Parametros'!$B$7+'Parametros'!$B$9+'Parametros'!$B$12/2+'Parametros'!$B$12+'Parametros'!$B$10))/Z430)</f>
        <v>342.55</v>
      </c>
      <c r="AC430" s="10">
        <f>Z430*'Parametros'!$B$8</f>
        <v>597</v>
      </c>
      <c r="AD430" s="10">
        <f>'Parametros'!$B$5*AC430*'Parametros'!$B$3*(AB430-(AC430*'Parametros'!$B$3/(0.85*'Parametros'!$B$2*H430))/2)/1000000</f>
        <v>73.905520182353</v>
      </c>
      <c r="AE430" s="10" t="str">
        <f>IF(AD430&gt;=L430,"CUMPLE","NO CUMPLE")</f>
        <v>CUMPLE</v>
      </c>
      <c r="AF430" s="10">
        <f>V430*1.25*'Parametros'!$B$3*(U430-(V430*1.25*'Parametros'!$B$3/(0.85*'Parametros'!$B$2*H430))/2)/1000000</f>
        <v>162.560466176471</v>
      </c>
      <c r="AG430" s="10">
        <f>AC430*1.25*'Parametros'!$B$3*(AB430-(AC430*1.25*'Parametros'!$B$3/(0.85*'Parametros'!$B$2*H430))/2)/1000000</f>
        <v>101.467261323529</v>
      </c>
      <c r="AH430" s="10">
        <f>N430+(AF430+AG430)/D430</f>
        <v>149.588213772593</v>
      </c>
      <c r="AI430" s="10">
        <f>MIN(O430,MAX(N430,AH430))</f>
        <v>149.588213772593</v>
      </c>
      <c r="AJ430" s="10">
        <f>0.17*SQRT('Parametros'!$B$2)*H430*MIN(U430,AB430)/1000</f>
        <v>107.849951281016</v>
      </c>
      <c r="AK430" s="10">
        <f>MAX(AI430/'Parametros'!$B$6-AJ430,0)</f>
        <v>91.6010004157744</v>
      </c>
      <c r="AL430" s="10">
        <f>0.66*SQRT('Parametros'!$B$2)*H430*MIN(U430,AB430)/1000</f>
        <v>418.711575561591</v>
      </c>
      <c r="AM430" s="10" t="str">
        <f>IF(AK430&lt;=AL430,"CUMPLE","NO CUMPLE")</f>
        <v>CUMPLE</v>
      </c>
      <c r="AN430" s="15" t="inlineStr">
        <is>
          <t>Nº3 cerrado</t>
        </is>
      </c>
      <c r="AO430" s="17" t="n">
        <v>2</v>
      </c>
      <c r="AP430" s="10">
        <f>ROUNDDOWN(MIN(IF(AK430=0,1000000000,AO430*'Parametros'!$B$11*'Parametros'!$B$4*MIN(U430,AB430)/(AK430*1000)),IF(AV430=0,1000000000,'Parametros'!$B$11/AV430),MIN(U430,AB430)/4,8*'Parametros'!$B$12,24*'Parametros'!$B$9,300)/10,0)*10</f>
        <v>80</v>
      </c>
      <c r="AQ430" s="10">
        <f>ROUNDDOWN(MIN(IF(AK430=0,1000000000,AO430*'Parametros'!$B$11*'Parametros'!$B$4*MIN(U430,AB430)/(AK430*1000)),IF(AV430=0,1000000000,'Parametros'!$B$11/AV430),MIN(U430,AB430)/2,600)/10,0)*10</f>
        <v>170</v>
      </c>
      <c r="AR430" s="10">
        <f>'Parametros'!$B$6*(AJ430+AO430*'Parametros'!$B$11*'Parametros'!$B$4*MIN(U430,AB430)/AP430/1000)</f>
        <v>272.415732210762</v>
      </c>
      <c r="AS430" s="10" t="str">
        <f>IF(AND(AM430="CUMPLE",AR430&gt;=AI430),"CUMPLE","NO CUMPLE")</f>
        <v>CUMPLE</v>
      </c>
      <c r="AT430" s="10">
        <f>'Parametros'!$B$6*0.083*SQRT('Parametros'!$B$2)*(H430*I430)^2/(2*(H430+I430))/1000000</f>
        <v>4.30410823283988</v>
      </c>
      <c r="AU430" s="10" t="str">
        <f>IF(Q430&lt;=AT430,"DESPRECIABLE","DISEÑAR")</f>
        <v>DESPRECIABLE</v>
      </c>
      <c r="AV430" s="10">
        <f>IF(Q430&lt;=AT430,0,Q430*1000000/('Parametros'!$B$6*2*0.85*(H430-2*'Parametros'!$B$7)*(I430-2*'Parametros'!$B$7)*'Parametros'!$B$4))</f>
        <v>0</v>
      </c>
      <c r="AW430" s="10">
        <f>AV430*2*((H430-2*'Parametros'!$B$7)+(I430-2*'Parametros'!$B$7))*'Parametros'!$B$4/'Parametros'!$B$3</f>
        <v>0</v>
      </c>
      <c r="AX430" s="17" t="n">
        <v>0</v>
      </c>
      <c r="AY430" s="10" t="str">
        <f>IF(AV430=0,"DESPRECIABLE",IF('Parametros'!$B$11/AP430&gt;=AV430,"CUMPLE","NO CUMPLE"))</f>
        <v>DESPRECIABLE</v>
      </c>
      <c r="AZ430" s="10" t="str">
        <f>IF(AND(X430="CUMPLE",AE430="CUMPLE",AS430="CUMPLE",OR(AY430="CUMPLE",AY430="DESPRECIABLE")),IF(OR(F430&lt;&gt;H430,G430&lt;&gt;I430),"CUMPLE - REANALIZAR SAP","CUMPLE"),"NO CUMPLE")</f>
        <v>CUMPLE</v>
      </c>
    </row>
    <row r="431">
      <c r="A431" s="26" t="inlineStr">
        <is>
          <t>VR2</t>
        </is>
      </c>
      <c r="B431" s="26" t="inlineStr">
        <is>
          <t>796</t>
        </is>
      </c>
      <c r="C431" s="10" t="n">
        <v>1</v>
      </c>
      <c r="D431" s="10" t="n">
        <v>2.7</v>
      </c>
      <c r="E431" s="10" t="n">
        <v>2.7</v>
      </c>
      <c r="F431" s="10" t="n">
        <v>350</v>
      </c>
      <c r="G431" s="10" t="n">
        <v>400</v>
      </c>
      <c r="H431" s="15" t="n">
        <v>350</v>
      </c>
      <c r="I431" s="15" t="n">
        <v>400</v>
      </c>
      <c r="J431" s="16" t="n">
        <v>85.7253</v>
      </c>
      <c r="K431" s="10" t="inlineStr">
        <is>
          <t>796</t>
        </is>
      </c>
      <c r="L431" s="16" t="n">
        <v>65.5324</v>
      </c>
      <c r="M431" s="10" t="inlineStr">
        <is>
          <t>796</t>
        </is>
      </c>
      <c r="N431" s="16" t="n">
        <v>92.44499999999999</v>
      </c>
      <c r="O431" s="16" t="n">
        <v>264.18</v>
      </c>
      <c r="P431" s="10" t="inlineStr">
        <is>
          <t>796</t>
        </is>
      </c>
      <c r="Q431" s="16" t="n">
        <v>2.0479</v>
      </c>
      <c r="R431" s="10">
        <f>MAX(MAX(1.4/'Parametros'!$B$3,0.25*SQRT('Parametros'!$B$2)/'Parametros'!$B$3)*H431*U431,(0.85*'Parametros'!$B$2/'Parametros'!$B$3)*(1-SQRT(1-2*(J431*1000000/('Parametros'!$B$5*H431*U431^2))/(0.85*'Parametros'!$B$2)))*H431*U431)</f>
        <v>697.899341630541</v>
      </c>
      <c r="S431" s="17" t="n">
        <v>4</v>
      </c>
      <c r="T431" s="18" t="n">
        <v>1</v>
      </c>
      <c r="U431" s="10">
        <f>IF(T431=1,I431-('Parametros'!$B$7+'Parametros'!$B$9+'Parametros'!$B$12/2),I431-(ROUNDUP(S431/2,0)*('Parametros'!$B$7+'Parametros'!$B$9+'Parametros'!$B$12/2)+ROUNDDOWN(S431/2,0)*('Parametros'!$B$7+'Parametros'!$B$9+'Parametros'!$B$12/2+'Parametros'!$B$12+'Parametros'!$B$10))/S431)</f>
        <v>342.55</v>
      </c>
      <c r="V431" s="10">
        <f>S431*'Parametros'!$B$8</f>
        <v>796</v>
      </c>
      <c r="W431" s="10">
        <f>'Parametros'!$B$5*V431*'Parametros'!$B$3*(U431-(V431*'Parametros'!$B$3/(0.85*'Parametros'!$B$2*H431))/2)/1000000</f>
        <v>97.0311966352941</v>
      </c>
      <c r="X431" s="10" t="str">
        <f>IF(W431&gt;=J431,"CUMPLE","NO CUMPLE")</f>
        <v>CUMPLE</v>
      </c>
      <c r="Y431" s="10">
        <f>MAX(MAX(1.4/'Parametros'!$B$3,0.25*SQRT('Parametros'!$B$2)/'Parametros'!$B$3)*H431*AB431,(0.85*'Parametros'!$B$2/'Parametros'!$B$3)*(1-SQRT(1-2*(L431*1000000/('Parametros'!$B$5*H431*AB431^2))/(0.85*'Parametros'!$B$2)))*H431*AB431)</f>
        <v>526.505868865885</v>
      </c>
      <c r="Z431" s="17" t="n">
        <v>3</v>
      </c>
      <c r="AA431" s="18" t="n">
        <v>1</v>
      </c>
      <c r="AB431" s="10">
        <f>IF(AA431=1,I431-('Parametros'!$B$7+'Parametros'!$B$9+'Parametros'!$B$12/2),I431-(ROUNDUP(Z431/2,0)*('Parametros'!$B$7+'Parametros'!$B$9+'Parametros'!$B$12/2)+ROUNDDOWN(Z431/2,0)*('Parametros'!$B$7+'Parametros'!$B$9+'Parametros'!$B$12/2+'Parametros'!$B$12+'Parametros'!$B$10))/Z431)</f>
        <v>342.55</v>
      </c>
      <c r="AC431" s="10">
        <f>Z431*'Parametros'!$B$8</f>
        <v>597</v>
      </c>
      <c r="AD431" s="10">
        <f>'Parametros'!$B$5*AC431*'Parametros'!$B$3*(AB431-(AC431*'Parametros'!$B$3/(0.85*'Parametros'!$B$2*H431))/2)/1000000</f>
        <v>73.905520182353</v>
      </c>
      <c r="AE431" s="10" t="str">
        <f>IF(AD431&gt;=L431,"CUMPLE","NO CUMPLE")</f>
        <v>CUMPLE</v>
      </c>
      <c r="AF431" s="10">
        <f>V431*1.25*'Parametros'!$B$3*(U431-(V431*1.25*'Parametros'!$B$3/(0.85*'Parametros'!$B$2*H431))/2)/1000000</f>
        <v>132.669027352941</v>
      </c>
      <c r="AG431" s="10">
        <f>AC431*1.25*'Parametros'!$B$3*(AB431-(AC431*1.25*'Parametros'!$B$3/(0.85*'Parametros'!$B$2*H431))/2)/1000000</f>
        <v>101.467261323529</v>
      </c>
      <c r="AH431" s="10">
        <f>N431+(AF431+AG431)/D431</f>
        <v>179.162143954248</v>
      </c>
      <c r="AI431" s="10">
        <f>MIN(O431,MAX(N431,AH431))</f>
        <v>179.162143954248</v>
      </c>
      <c r="AJ431" s="10">
        <f>0.17*SQRT('Parametros'!$B$2)*H431*MIN(U431,AB431)/1000</f>
        <v>107.849951281016</v>
      </c>
      <c r="AK431" s="10">
        <f>MAX(AI431/'Parametros'!$B$6-AJ431,0)</f>
        <v>131.032907324649</v>
      </c>
      <c r="AL431" s="10">
        <f>0.66*SQRT('Parametros'!$B$2)*H431*MIN(U431,AB431)/1000</f>
        <v>418.711575561591</v>
      </c>
      <c r="AM431" s="10" t="str">
        <f>IF(AK431&lt;=AL431,"CUMPLE","NO CUMPLE")</f>
        <v>CUMPLE</v>
      </c>
      <c r="AN431" s="15" t="inlineStr">
        <is>
          <t>Nº3 cerrado</t>
        </is>
      </c>
      <c r="AO431" s="17" t="n">
        <v>2</v>
      </c>
      <c r="AP431" s="10">
        <f>ROUNDDOWN(MIN(IF(AK431=0,1000000000,AO431*'Parametros'!$B$11*'Parametros'!$B$4*MIN(U431,AB431)/(AK431*1000)),IF(AV431=0,1000000000,'Parametros'!$B$11/AV431),MIN(U431,AB431)/4,8*'Parametros'!$B$12,24*'Parametros'!$B$9,300)/10,0)*10</f>
        <v>80</v>
      </c>
      <c r="AQ431" s="10">
        <f>ROUNDDOWN(MIN(IF(AK431=0,1000000000,AO431*'Parametros'!$B$11*'Parametros'!$B$4*MIN(U431,AB431)/(AK431*1000)),IF(AV431=0,1000000000,'Parametros'!$B$11/AV431),MIN(U431,AB431)/2,600)/10,0)*10</f>
        <v>150</v>
      </c>
      <c r="AR431" s="10">
        <f>'Parametros'!$B$6*(AJ431+AO431*'Parametros'!$B$11*'Parametros'!$B$4*MIN(U431,AB431)/AP431/1000)</f>
        <v>272.415732210762</v>
      </c>
      <c r="AS431" s="10" t="str">
        <f>IF(AND(AM431="CUMPLE",AR431&gt;=AI431),"CUMPLE","NO CUMPLE")</f>
        <v>CUMPLE</v>
      </c>
      <c r="AT431" s="10">
        <f>'Parametros'!$B$6*0.083*SQRT('Parametros'!$B$2)*(H431*I431)^2/(2*(H431+I431))/1000000</f>
        <v>4.30410823283988</v>
      </c>
      <c r="AU431" s="10" t="str">
        <f>IF(Q431&lt;=AT431,"DESPRECIABLE","DISEÑAR")</f>
        <v>DESPRECIABLE</v>
      </c>
      <c r="AV431" s="10">
        <f>IF(Q431&lt;=AT431,0,Q431*1000000/('Parametros'!$B$6*2*0.85*(H431-2*'Parametros'!$B$7)*(I431-2*'Parametros'!$B$7)*'Parametros'!$B$4))</f>
        <v>0</v>
      </c>
      <c r="AW431" s="10">
        <f>AV431*2*((H431-2*'Parametros'!$B$7)+(I431-2*'Parametros'!$B$7))*'Parametros'!$B$4/'Parametros'!$B$3</f>
        <v>0</v>
      </c>
      <c r="AX431" s="17" t="n">
        <v>0</v>
      </c>
      <c r="AY431" s="10" t="str">
        <f>IF(AV431=0,"DESPRECIABLE",IF('Parametros'!$B$11/AP431&gt;=AV431,"CUMPLE","NO CUMPLE"))</f>
        <v>DESPRECIABLE</v>
      </c>
      <c r="AZ431" s="10" t="str">
        <f>IF(AND(X431="CUMPLE",AE431="CUMPLE",AS431="CUMPLE",OR(AY431="CUMPLE",AY431="DESPRECIABLE")),IF(OR(F431&lt;&gt;H431,G431&lt;&gt;I431),"CUMPLE - REANALIZAR SAP","CUMPLE"),"NO CUMPLE")</f>
        <v>CUMPLE</v>
      </c>
    </row>
    <row r="432">
      <c r="A432" s="26" t="inlineStr">
        <is>
          <t>VR2</t>
        </is>
      </c>
      <c r="B432" s="26" t="inlineStr">
        <is>
          <t>797</t>
        </is>
      </c>
      <c r="C432" s="10" t="n">
        <v>1</v>
      </c>
      <c r="D432" s="10" t="n">
        <v>2.8</v>
      </c>
      <c r="E432" s="10" t="n">
        <v>2.8</v>
      </c>
      <c r="F432" s="10" t="n">
        <v>350</v>
      </c>
      <c r="G432" s="10" t="n">
        <v>400</v>
      </c>
      <c r="H432" s="15" t="n">
        <v>350</v>
      </c>
      <c r="I432" s="15" t="n">
        <v>400</v>
      </c>
      <c r="J432" s="16" t="n">
        <v>86.3789</v>
      </c>
      <c r="K432" s="10" t="inlineStr">
        <is>
          <t>797</t>
        </is>
      </c>
      <c r="L432" s="16" t="n">
        <v>63.4868</v>
      </c>
      <c r="M432" s="10" t="inlineStr">
        <is>
          <t>797</t>
        </is>
      </c>
      <c r="N432" s="16" t="n">
        <v>91.29600000000001</v>
      </c>
      <c r="O432" s="16" t="n">
        <v>256.461</v>
      </c>
      <c r="P432" s="10" t="inlineStr">
        <is>
          <t>797</t>
        </is>
      </c>
      <c r="Q432" s="16" t="n">
        <v>1.9802</v>
      </c>
      <c r="R432" s="10">
        <f>MAX(MAX(1.4/'Parametros'!$B$3,0.25*SQRT('Parametros'!$B$2)/'Parametros'!$B$3)*H432*U432,(0.85*'Parametros'!$B$2/'Parametros'!$B$3)*(1-SQRT(1-2*(J432*1000000/('Parametros'!$B$5*H432*U432^2))/(0.85*'Parametros'!$B$2)))*H432*U432)</f>
        <v>703.527559309404</v>
      </c>
      <c r="S432" s="17" t="n">
        <v>4</v>
      </c>
      <c r="T432" s="18" t="n">
        <v>1</v>
      </c>
      <c r="U432" s="10">
        <f>IF(T432=1,I432-('Parametros'!$B$7+'Parametros'!$B$9+'Parametros'!$B$12/2),I432-(ROUNDUP(S432/2,0)*('Parametros'!$B$7+'Parametros'!$B$9+'Parametros'!$B$12/2)+ROUNDDOWN(S432/2,0)*('Parametros'!$B$7+'Parametros'!$B$9+'Parametros'!$B$12/2+'Parametros'!$B$12+'Parametros'!$B$10))/S432)</f>
        <v>342.55</v>
      </c>
      <c r="V432" s="10">
        <f>S432*'Parametros'!$B$8</f>
        <v>796</v>
      </c>
      <c r="W432" s="10">
        <f>'Parametros'!$B$5*V432*'Parametros'!$B$3*(U432-(V432*'Parametros'!$B$3/(0.85*'Parametros'!$B$2*H432))/2)/1000000</f>
        <v>97.0311966352941</v>
      </c>
      <c r="X432" s="10" t="str">
        <f>IF(W432&gt;=J432,"CUMPLE","NO CUMPLE")</f>
        <v>CUMPLE</v>
      </c>
      <c r="Y432" s="10">
        <f>MAX(MAX(1.4/'Parametros'!$B$3,0.25*SQRT('Parametros'!$B$2)/'Parametros'!$B$3)*H432*AB432,(0.85*'Parametros'!$B$2/'Parametros'!$B$3)*(1-SQRT(1-2*(L432*1000000/('Parametros'!$B$5*H432*AB432^2))/(0.85*'Parametros'!$B$2)))*H432*AB432)</f>
        <v>509.403947146009</v>
      </c>
      <c r="Z432" s="17" t="n">
        <v>3</v>
      </c>
      <c r="AA432" s="18" t="n">
        <v>1</v>
      </c>
      <c r="AB432" s="10">
        <f>IF(AA432=1,I432-('Parametros'!$B$7+'Parametros'!$B$9+'Parametros'!$B$12/2),I432-(ROUNDUP(Z432/2,0)*('Parametros'!$B$7+'Parametros'!$B$9+'Parametros'!$B$12/2)+ROUNDDOWN(Z432/2,0)*('Parametros'!$B$7+'Parametros'!$B$9+'Parametros'!$B$12/2+'Parametros'!$B$12+'Parametros'!$B$10))/Z432)</f>
        <v>342.55</v>
      </c>
      <c r="AC432" s="10">
        <f>Z432*'Parametros'!$B$8</f>
        <v>597</v>
      </c>
      <c r="AD432" s="10">
        <f>'Parametros'!$B$5*AC432*'Parametros'!$B$3*(AB432-(AC432*'Parametros'!$B$3/(0.85*'Parametros'!$B$2*H432))/2)/1000000</f>
        <v>73.905520182353</v>
      </c>
      <c r="AE432" s="10" t="str">
        <f>IF(AD432&gt;=L432,"CUMPLE","NO CUMPLE")</f>
        <v>CUMPLE</v>
      </c>
      <c r="AF432" s="10">
        <f>V432*1.25*'Parametros'!$B$3*(U432-(V432*1.25*'Parametros'!$B$3/(0.85*'Parametros'!$B$2*H432))/2)/1000000</f>
        <v>132.669027352941</v>
      </c>
      <c r="AG432" s="10">
        <f>AC432*1.25*'Parametros'!$B$3*(AB432-(AC432*1.25*'Parametros'!$B$3/(0.85*'Parametros'!$B$2*H432))/2)/1000000</f>
        <v>101.467261323529</v>
      </c>
      <c r="AH432" s="10">
        <f>N432+(AF432+AG432)/D432</f>
        <v>174.916103098739</v>
      </c>
      <c r="AI432" s="10">
        <f>MIN(O432,MAX(N432,AH432))</f>
        <v>174.916103098739</v>
      </c>
      <c r="AJ432" s="10">
        <f>0.17*SQRT('Parametros'!$B$2)*H432*MIN(U432,AB432)/1000</f>
        <v>107.849951281016</v>
      </c>
      <c r="AK432" s="10">
        <f>MAX(AI432/'Parametros'!$B$6-AJ432,0)</f>
        <v>125.371519517303</v>
      </c>
      <c r="AL432" s="10">
        <f>0.66*SQRT('Parametros'!$B$2)*H432*MIN(U432,AB432)/1000</f>
        <v>418.711575561591</v>
      </c>
      <c r="AM432" s="10" t="str">
        <f>IF(AK432&lt;=AL432,"CUMPLE","NO CUMPLE")</f>
        <v>CUMPLE</v>
      </c>
      <c r="AN432" s="15" t="inlineStr">
        <is>
          <t>Nº3 cerrado</t>
        </is>
      </c>
      <c r="AO432" s="17" t="n">
        <v>2</v>
      </c>
      <c r="AP432" s="10">
        <f>ROUNDDOWN(MIN(IF(AK432=0,1000000000,AO432*'Parametros'!$B$11*'Parametros'!$B$4*MIN(U432,AB432)/(AK432*1000)),IF(AV432=0,1000000000,'Parametros'!$B$11/AV432),MIN(U432,AB432)/4,8*'Parametros'!$B$12,24*'Parametros'!$B$9,300)/10,0)*10</f>
        <v>80</v>
      </c>
      <c r="AQ432" s="10">
        <f>ROUNDDOWN(MIN(IF(AK432=0,1000000000,AO432*'Parametros'!$B$11*'Parametros'!$B$4*MIN(U432,AB432)/(AK432*1000)),IF(AV432=0,1000000000,'Parametros'!$B$11/AV432),MIN(U432,AB432)/2,600)/10,0)*10</f>
        <v>160</v>
      </c>
      <c r="AR432" s="10">
        <f>'Parametros'!$B$6*(AJ432+AO432*'Parametros'!$B$11*'Parametros'!$B$4*MIN(U432,AB432)/AP432/1000)</f>
        <v>272.415732210762</v>
      </c>
      <c r="AS432" s="10" t="str">
        <f>IF(AND(AM432="CUMPLE",AR432&gt;=AI432),"CUMPLE","NO CUMPLE")</f>
        <v>CUMPLE</v>
      </c>
      <c r="AT432" s="10">
        <f>'Parametros'!$B$6*0.083*SQRT('Parametros'!$B$2)*(H432*I432)^2/(2*(H432+I432))/1000000</f>
        <v>4.30410823283988</v>
      </c>
      <c r="AU432" s="10" t="str">
        <f>IF(Q432&lt;=AT432,"DESPRECIABLE","DISEÑAR")</f>
        <v>DESPRECIABLE</v>
      </c>
      <c r="AV432" s="10">
        <f>IF(Q432&lt;=AT432,0,Q432*1000000/('Parametros'!$B$6*2*0.85*(H432-2*'Parametros'!$B$7)*(I432-2*'Parametros'!$B$7)*'Parametros'!$B$4))</f>
        <v>0</v>
      </c>
      <c r="AW432" s="10">
        <f>AV432*2*((H432-2*'Parametros'!$B$7)+(I432-2*'Parametros'!$B$7))*'Parametros'!$B$4/'Parametros'!$B$3</f>
        <v>0</v>
      </c>
      <c r="AX432" s="17" t="n">
        <v>0</v>
      </c>
      <c r="AY432" s="10" t="str">
        <f>IF(AV432=0,"DESPRECIABLE",IF('Parametros'!$B$11/AP432&gt;=AV432,"CUMPLE","NO CUMPLE"))</f>
        <v>DESPRECIABLE</v>
      </c>
      <c r="AZ432" s="10" t="str">
        <f>IF(AND(X432="CUMPLE",AE432="CUMPLE",AS432="CUMPLE",OR(AY432="CUMPLE",AY432="DESPRECIABLE")),IF(OR(F432&lt;&gt;H432,G432&lt;&gt;I432),"CUMPLE - REANALIZAR SAP","CUMPLE"),"NO CUMPLE")</f>
        <v>CUMPLE</v>
      </c>
    </row>
    <row r="433">
      <c r="A433" s="26" t="inlineStr">
        <is>
          <t>VR2</t>
        </is>
      </c>
      <c r="B433" s="26" t="inlineStr">
        <is>
          <t>798</t>
        </is>
      </c>
      <c r="C433" s="10" t="n">
        <v>1</v>
      </c>
      <c r="D433" s="10" t="n">
        <v>4.17612</v>
      </c>
      <c r="E433" s="10" t="n">
        <v>4.17612</v>
      </c>
      <c r="F433" s="10" t="n">
        <v>350</v>
      </c>
      <c r="G433" s="10" t="n">
        <v>400</v>
      </c>
      <c r="H433" s="15" t="n">
        <v>350</v>
      </c>
      <c r="I433" s="15" t="n">
        <v>400</v>
      </c>
      <c r="J433" s="16" t="n">
        <v>102.4767</v>
      </c>
      <c r="K433" s="10" t="inlineStr">
        <is>
          <t>798</t>
        </is>
      </c>
      <c r="L433" s="16" t="n">
        <v>41.3565</v>
      </c>
      <c r="M433" s="10" t="inlineStr">
        <is>
          <t>798</t>
        </is>
      </c>
      <c r="N433" s="16" t="n">
        <v>86.31100000000001</v>
      </c>
      <c r="O433" s="16" t="n">
        <v>205.733</v>
      </c>
      <c r="P433" s="10" t="inlineStr">
        <is>
          <t>798</t>
        </is>
      </c>
      <c r="Q433" s="16" t="n">
        <v>0.192</v>
      </c>
      <c r="R433" s="10">
        <f>MAX(MAX(1.4/'Parametros'!$B$3,0.25*SQRT('Parametros'!$B$2)/'Parametros'!$B$3)*H433*U433,(0.85*'Parametros'!$B$2/'Parametros'!$B$3)*(1-SQRT(1-2*(J433*1000000/('Parametros'!$B$5*H433*U433^2))/(0.85*'Parametros'!$B$2)))*H433*U433)</f>
        <v>843.827437752305</v>
      </c>
      <c r="S433" s="17" t="n">
        <v>5</v>
      </c>
      <c r="T433" s="18" t="n">
        <v>1</v>
      </c>
      <c r="U433" s="10">
        <f>IF(T433=1,I433-('Parametros'!$B$7+'Parametros'!$B$9+'Parametros'!$B$12/2),I433-(ROUNDUP(S433/2,0)*('Parametros'!$B$7+'Parametros'!$B$9+'Parametros'!$B$12/2)+ROUNDDOWN(S433/2,0)*('Parametros'!$B$7+'Parametros'!$B$9+'Parametros'!$B$12/2+'Parametros'!$B$12+'Parametros'!$B$10))/S433)</f>
        <v>342.55</v>
      </c>
      <c r="V433" s="10">
        <f>S433*'Parametros'!$B$8</f>
        <v>995</v>
      </c>
      <c r="W433" s="10">
        <f>'Parametros'!$B$5*V433*'Parametros'!$B$3*(U433-(V433*'Parametros'!$B$3/(0.85*'Parametros'!$B$2*H433))/2)/1000000</f>
        <v>119.402124617647</v>
      </c>
      <c r="X433" s="10" t="str">
        <f>IF(W433&gt;=J433,"CUMPLE","NO CUMPLE")</f>
        <v>CUMPLE</v>
      </c>
      <c r="Y433" s="10">
        <f>MAX(MAX(1.4/'Parametros'!$B$3,0.25*SQRT('Parametros'!$B$2)/'Parametros'!$B$3)*H433*AB433,(0.85*'Parametros'!$B$2/'Parametros'!$B$3)*(1-SQRT(1-2*(L433*1000000/('Parametros'!$B$5*H433*AB433^2))/(0.85*'Parametros'!$B$2)))*H433*AB433)</f>
        <v>399.641666666667</v>
      </c>
      <c r="Z433" s="17" t="n">
        <v>3</v>
      </c>
      <c r="AA433" s="18" t="n">
        <v>1</v>
      </c>
      <c r="AB433" s="10">
        <f>IF(AA433=1,I433-('Parametros'!$B$7+'Parametros'!$B$9+'Parametros'!$B$12/2),I433-(ROUNDUP(Z433/2,0)*('Parametros'!$B$7+'Parametros'!$B$9+'Parametros'!$B$12/2)+ROUNDDOWN(Z433/2,0)*('Parametros'!$B$7+'Parametros'!$B$9+'Parametros'!$B$12/2+'Parametros'!$B$12+'Parametros'!$B$10))/Z433)</f>
        <v>342.55</v>
      </c>
      <c r="AC433" s="10">
        <f>Z433*'Parametros'!$B$8</f>
        <v>597</v>
      </c>
      <c r="AD433" s="10">
        <f>'Parametros'!$B$5*AC433*'Parametros'!$B$3*(AB433-(AC433*'Parametros'!$B$3/(0.85*'Parametros'!$B$2*H433))/2)/1000000</f>
        <v>73.905520182353</v>
      </c>
      <c r="AE433" s="10" t="str">
        <f>IF(AD433&gt;=L433,"CUMPLE","NO CUMPLE")</f>
        <v>CUMPLE</v>
      </c>
      <c r="AF433" s="10">
        <f>V433*1.25*'Parametros'!$B$3*(U433-(V433*1.25*'Parametros'!$B$3/(0.85*'Parametros'!$B$2*H433))/2)/1000000</f>
        <v>162.560466176471</v>
      </c>
      <c r="AG433" s="10">
        <f>AC433*1.25*'Parametros'!$B$3*(AB433-(AC433*1.25*'Parametros'!$B$3/(0.85*'Parametros'!$B$2*H433))/2)/1000000</f>
        <v>101.467261323529</v>
      </c>
      <c r="AH433" s="10">
        <f>N433+(AF433+AG433)/D433</f>
        <v>149.534213772593</v>
      </c>
      <c r="AI433" s="10">
        <f>MIN(O433,MAX(N433,AH433))</f>
        <v>149.534213772593</v>
      </c>
      <c r="AJ433" s="10">
        <f>0.17*SQRT('Parametros'!$B$2)*H433*MIN(U433,AB433)/1000</f>
        <v>107.849951281016</v>
      </c>
      <c r="AK433" s="10">
        <f>MAX(AI433/'Parametros'!$B$6-AJ433,0)</f>
        <v>91.5290004157744</v>
      </c>
      <c r="AL433" s="10">
        <f>0.66*SQRT('Parametros'!$B$2)*H433*MIN(U433,AB433)/1000</f>
        <v>418.711575561591</v>
      </c>
      <c r="AM433" s="10" t="str">
        <f>IF(AK433&lt;=AL433,"CUMPLE","NO CUMPLE")</f>
        <v>CUMPLE</v>
      </c>
      <c r="AN433" s="15" t="inlineStr">
        <is>
          <t>Nº3 cerrado</t>
        </is>
      </c>
      <c r="AO433" s="17" t="n">
        <v>2</v>
      </c>
      <c r="AP433" s="10">
        <f>ROUNDDOWN(MIN(IF(AK433=0,1000000000,AO433*'Parametros'!$B$11*'Parametros'!$B$4*MIN(U433,AB433)/(AK433*1000)),IF(AV433=0,1000000000,'Parametros'!$B$11/AV433),MIN(U433,AB433)/4,8*'Parametros'!$B$12,24*'Parametros'!$B$9,300)/10,0)*10</f>
        <v>80</v>
      </c>
      <c r="AQ433" s="10">
        <f>ROUNDDOWN(MIN(IF(AK433=0,1000000000,AO433*'Parametros'!$B$11*'Parametros'!$B$4*MIN(U433,AB433)/(AK433*1000)),IF(AV433=0,1000000000,'Parametros'!$B$11/AV433),MIN(U433,AB433)/2,600)/10,0)*10</f>
        <v>170</v>
      </c>
      <c r="AR433" s="10">
        <f>'Parametros'!$B$6*(AJ433+AO433*'Parametros'!$B$11*'Parametros'!$B$4*MIN(U433,AB433)/AP433/1000)</f>
        <v>272.415732210762</v>
      </c>
      <c r="AS433" s="10" t="str">
        <f>IF(AND(AM433="CUMPLE",AR433&gt;=AI433),"CUMPLE","NO CUMPLE")</f>
        <v>CUMPLE</v>
      </c>
      <c r="AT433" s="10">
        <f>'Parametros'!$B$6*0.083*SQRT('Parametros'!$B$2)*(H433*I433)^2/(2*(H433+I433))/1000000</f>
        <v>4.30410823283988</v>
      </c>
      <c r="AU433" s="10" t="str">
        <f>IF(Q433&lt;=AT433,"DESPRECIABLE","DISEÑAR")</f>
        <v>DESPRECIABLE</v>
      </c>
      <c r="AV433" s="10">
        <f>IF(Q433&lt;=AT433,0,Q433*1000000/('Parametros'!$B$6*2*0.85*(H433-2*'Parametros'!$B$7)*(I433-2*'Parametros'!$B$7)*'Parametros'!$B$4))</f>
        <v>0</v>
      </c>
      <c r="AW433" s="10">
        <f>AV433*2*((H433-2*'Parametros'!$B$7)+(I433-2*'Parametros'!$B$7))*'Parametros'!$B$4/'Parametros'!$B$3</f>
        <v>0</v>
      </c>
      <c r="AX433" s="17" t="n">
        <v>0</v>
      </c>
      <c r="AY433" s="10" t="str">
        <f>IF(AV433=0,"DESPRECIABLE",IF('Parametros'!$B$11/AP433&gt;=AV433,"CUMPLE","NO CUMPLE"))</f>
        <v>DESPRECIABLE</v>
      </c>
      <c r="AZ433" s="10" t="str">
        <f>IF(AND(X433="CUMPLE",AE433="CUMPLE",AS433="CUMPLE",OR(AY433="CUMPLE",AY433="DESPRECIABLE")),IF(OR(F433&lt;&gt;H433,G433&lt;&gt;I433),"CUMPLE - REANALIZAR SAP","CUMPLE"),"NO CUMPLE")</f>
        <v>CUMPLE</v>
      </c>
    </row>
    <row r="434">
      <c r="A434" s="26" t="inlineStr">
        <is>
          <t>VR2</t>
        </is>
      </c>
      <c r="B434" s="26" t="inlineStr">
        <is>
          <t>799</t>
        </is>
      </c>
      <c r="C434" s="10" t="n">
        <v>1</v>
      </c>
      <c r="D434" s="10" t="n">
        <v>2.5</v>
      </c>
      <c r="E434" s="10" t="n">
        <v>2.5</v>
      </c>
      <c r="F434" s="10" t="n">
        <v>350</v>
      </c>
      <c r="G434" s="10" t="n">
        <v>400</v>
      </c>
      <c r="H434" s="15" t="n">
        <v>350</v>
      </c>
      <c r="I434" s="15" t="n">
        <v>400</v>
      </c>
      <c r="J434" s="16" t="n">
        <v>97.39579999999999</v>
      </c>
      <c r="K434" s="10" t="inlineStr">
        <is>
          <t>799</t>
        </is>
      </c>
      <c r="L434" s="16" t="n">
        <v>70.38800000000001</v>
      </c>
      <c r="M434" s="10" t="inlineStr">
        <is>
          <t>799</t>
        </is>
      </c>
      <c r="N434" s="16" t="n">
        <v>99.117</v>
      </c>
      <c r="O434" s="16" t="n">
        <v>337.237</v>
      </c>
      <c r="P434" s="10" t="inlineStr">
        <is>
          <t>799</t>
        </is>
      </c>
      <c r="Q434" s="16" t="n">
        <v>1.3865</v>
      </c>
      <c r="R434" s="10">
        <f>MAX(MAX(1.4/'Parametros'!$B$3,0.25*SQRT('Parametros'!$B$2)/'Parametros'!$B$3)*H434*U434,(0.85*'Parametros'!$B$2/'Parametros'!$B$3)*(1-SQRT(1-2*(J434*1000000/('Parametros'!$B$5*H434*U434^2))/(0.85*'Parametros'!$B$2)))*H434*U434)</f>
        <v>799.190364307946</v>
      </c>
      <c r="S434" s="17" t="n">
        <v>5</v>
      </c>
      <c r="T434" s="18" t="n">
        <v>1</v>
      </c>
      <c r="U434" s="10">
        <f>IF(T434=1,I434-('Parametros'!$B$7+'Parametros'!$B$9+'Parametros'!$B$12/2),I434-(ROUNDUP(S434/2,0)*('Parametros'!$B$7+'Parametros'!$B$9+'Parametros'!$B$12/2)+ROUNDDOWN(S434/2,0)*('Parametros'!$B$7+'Parametros'!$B$9+'Parametros'!$B$12/2+'Parametros'!$B$12+'Parametros'!$B$10))/S434)</f>
        <v>342.55</v>
      </c>
      <c r="V434" s="10">
        <f>S434*'Parametros'!$B$8</f>
        <v>995</v>
      </c>
      <c r="W434" s="10">
        <f>'Parametros'!$B$5*V434*'Parametros'!$B$3*(U434-(V434*'Parametros'!$B$3/(0.85*'Parametros'!$B$2*H434))/2)/1000000</f>
        <v>119.402124617647</v>
      </c>
      <c r="X434" s="10" t="str">
        <f>IF(W434&gt;=J434,"CUMPLE","NO CUMPLE")</f>
        <v>CUMPLE</v>
      </c>
      <c r="Y434" s="10">
        <f>MAX(MAX(1.4/'Parametros'!$B$3,0.25*SQRT('Parametros'!$B$2)/'Parametros'!$B$3)*H434*AB434,(0.85*'Parametros'!$B$2/'Parametros'!$B$3)*(1-SQRT(1-2*(L434*1000000/('Parametros'!$B$5*H434*AB434^2))/(0.85*'Parametros'!$B$2)))*H434*AB434)</f>
        <v>567.288433258517</v>
      </c>
      <c r="Z434" s="17" t="n">
        <v>3</v>
      </c>
      <c r="AA434" s="18" t="n">
        <v>1</v>
      </c>
      <c r="AB434" s="10">
        <f>IF(AA434=1,I434-('Parametros'!$B$7+'Parametros'!$B$9+'Parametros'!$B$12/2),I434-(ROUNDUP(Z434/2,0)*('Parametros'!$B$7+'Parametros'!$B$9+'Parametros'!$B$12/2)+ROUNDDOWN(Z434/2,0)*('Parametros'!$B$7+'Parametros'!$B$9+'Parametros'!$B$12/2+'Parametros'!$B$12+'Parametros'!$B$10))/Z434)</f>
        <v>342.55</v>
      </c>
      <c r="AC434" s="10">
        <f>Z434*'Parametros'!$B$8</f>
        <v>597</v>
      </c>
      <c r="AD434" s="10">
        <f>'Parametros'!$B$5*AC434*'Parametros'!$B$3*(AB434-(AC434*'Parametros'!$B$3/(0.85*'Parametros'!$B$2*H434))/2)/1000000</f>
        <v>73.905520182353</v>
      </c>
      <c r="AE434" s="10" t="str">
        <f>IF(AD434&gt;=L434,"CUMPLE","NO CUMPLE")</f>
        <v>CUMPLE</v>
      </c>
      <c r="AF434" s="10">
        <f>V434*1.25*'Parametros'!$B$3*(U434-(V434*1.25*'Parametros'!$B$3/(0.85*'Parametros'!$B$2*H434))/2)/1000000</f>
        <v>162.560466176471</v>
      </c>
      <c r="AG434" s="10">
        <f>AC434*1.25*'Parametros'!$B$3*(AB434-(AC434*1.25*'Parametros'!$B$3/(0.85*'Parametros'!$B$2*H434))/2)/1000000</f>
        <v>101.467261323529</v>
      </c>
      <c r="AH434" s="10">
        <f>N434+(AF434+AG434)/D434</f>
        <v>204.728091</v>
      </c>
      <c r="AI434" s="10">
        <f>MIN(O434,MAX(N434,AH434))</f>
        <v>204.728091</v>
      </c>
      <c r="AJ434" s="10">
        <f>0.17*SQRT('Parametros'!$B$2)*H434*MIN(U434,AB434)/1000</f>
        <v>107.849951281016</v>
      </c>
      <c r="AK434" s="10">
        <f>MAX(AI434/'Parametros'!$B$6-AJ434,0)</f>
        <v>165.120836718984</v>
      </c>
      <c r="AL434" s="10">
        <f>0.66*SQRT('Parametros'!$B$2)*H434*MIN(U434,AB434)/1000</f>
        <v>418.711575561591</v>
      </c>
      <c r="AM434" s="10" t="str">
        <f>IF(AK434&lt;=AL434,"CUMPLE","NO CUMPLE")</f>
        <v>CUMPLE</v>
      </c>
      <c r="AN434" s="15" t="inlineStr">
        <is>
          <t>Nº3 cerrado</t>
        </is>
      </c>
      <c r="AO434" s="17" t="n">
        <v>2</v>
      </c>
      <c r="AP434" s="10">
        <f>ROUNDDOWN(MIN(IF(AK434=0,1000000000,AO434*'Parametros'!$B$11*'Parametros'!$B$4*MIN(U434,AB434)/(AK434*1000)),IF(AV434=0,1000000000,'Parametros'!$B$11/AV434),MIN(U434,AB434)/4,8*'Parametros'!$B$12,24*'Parametros'!$B$9,300)/10,0)*10</f>
        <v>80</v>
      </c>
      <c r="AQ434" s="10">
        <f>ROUNDDOWN(MIN(IF(AK434=0,1000000000,AO434*'Parametros'!$B$11*'Parametros'!$B$4*MIN(U434,AB434)/(AK434*1000)),IF(AV434=0,1000000000,'Parametros'!$B$11/AV434),MIN(U434,AB434)/2,600)/10,0)*10</f>
        <v>120</v>
      </c>
      <c r="AR434" s="10">
        <f>'Parametros'!$B$6*(AJ434+AO434*'Parametros'!$B$11*'Parametros'!$B$4*MIN(U434,AB434)/AP434/1000)</f>
        <v>272.415732210762</v>
      </c>
      <c r="AS434" s="10" t="str">
        <f>IF(AND(AM434="CUMPLE",AR434&gt;=AI434),"CUMPLE","NO CUMPLE")</f>
        <v>CUMPLE</v>
      </c>
      <c r="AT434" s="10">
        <f>'Parametros'!$B$6*0.083*SQRT('Parametros'!$B$2)*(H434*I434)^2/(2*(H434+I434))/1000000</f>
        <v>4.30410823283988</v>
      </c>
      <c r="AU434" s="10" t="str">
        <f>IF(Q434&lt;=AT434,"DESPRECIABLE","DISEÑAR")</f>
        <v>DESPRECIABLE</v>
      </c>
      <c r="AV434" s="10">
        <f>IF(Q434&lt;=AT434,0,Q434*1000000/('Parametros'!$B$6*2*0.85*(H434-2*'Parametros'!$B$7)*(I434-2*'Parametros'!$B$7)*'Parametros'!$B$4))</f>
        <v>0</v>
      </c>
      <c r="AW434" s="10">
        <f>AV434*2*((H434-2*'Parametros'!$B$7)+(I434-2*'Parametros'!$B$7))*'Parametros'!$B$4/'Parametros'!$B$3</f>
        <v>0</v>
      </c>
      <c r="AX434" s="17" t="n">
        <v>0</v>
      </c>
      <c r="AY434" s="10" t="str">
        <f>IF(AV434=0,"DESPRECIABLE",IF('Parametros'!$B$11/AP434&gt;=AV434,"CUMPLE","NO CUMPLE"))</f>
        <v>DESPRECIABLE</v>
      </c>
      <c r="AZ434" s="10" t="str">
        <f>IF(AND(X434="CUMPLE",AE434="CUMPLE",AS434="CUMPLE",OR(AY434="CUMPLE",AY434="DESPRECIABLE")),IF(OR(F434&lt;&gt;H434,G434&lt;&gt;I434),"CUMPLE - REANALIZAR SAP","CUMPLE"),"NO CUMPLE")</f>
        <v>CUMPLE</v>
      </c>
    </row>
    <row r="435">
      <c r="A435" s="26" t="inlineStr">
        <is>
          <t>VR2</t>
        </is>
      </c>
      <c r="B435" s="26" t="inlineStr">
        <is>
          <t>800</t>
        </is>
      </c>
      <c r="C435" s="10" t="n">
        <v>1</v>
      </c>
      <c r="D435" s="10" t="n">
        <v>2.6</v>
      </c>
      <c r="E435" s="10" t="n">
        <v>2.6</v>
      </c>
      <c r="F435" s="10" t="n">
        <v>350</v>
      </c>
      <c r="G435" s="10" t="n">
        <v>400</v>
      </c>
      <c r="H435" s="15" t="n">
        <v>350</v>
      </c>
      <c r="I435" s="15" t="n">
        <v>400</v>
      </c>
      <c r="J435" s="16" t="n">
        <v>102.187</v>
      </c>
      <c r="K435" s="10" t="inlineStr">
        <is>
          <t>800</t>
        </is>
      </c>
      <c r="L435" s="16" t="n">
        <v>65.5896</v>
      </c>
      <c r="M435" s="10" t="inlineStr">
        <is>
          <t>800</t>
        </is>
      </c>
      <c r="N435" s="16" t="n">
        <v>106.228</v>
      </c>
      <c r="O435" s="16" t="n">
        <v>346.453</v>
      </c>
      <c r="P435" s="10" t="inlineStr">
        <is>
          <t>800</t>
        </is>
      </c>
      <c r="Q435" s="16" t="n">
        <v>7.4761</v>
      </c>
      <c r="R435" s="10">
        <f>MAX(MAX(1.4/'Parametros'!$B$3,0.25*SQRT('Parametros'!$B$2)/'Parametros'!$B$3)*H435*U435,(0.85*'Parametros'!$B$2/'Parametros'!$B$3)*(1-SQRT(1-2*(J435*1000000/('Parametros'!$B$5*H435*U435^2))/(0.85*'Parametros'!$B$2)))*H435*U435)</f>
        <v>841.273346939301</v>
      </c>
      <c r="S435" s="17" t="n">
        <v>5</v>
      </c>
      <c r="T435" s="18" t="n">
        <v>1</v>
      </c>
      <c r="U435" s="10">
        <f>IF(T435=1,I435-('Parametros'!$B$7+'Parametros'!$B$9+'Parametros'!$B$12/2),I435-(ROUNDUP(S435/2,0)*('Parametros'!$B$7+'Parametros'!$B$9+'Parametros'!$B$12/2)+ROUNDDOWN(S435/2,0)*('Parametros'!$B$7+'Parametros'!$B$9+'Parametros'!$B$12/2+'Parametros'!$B$12+'Parametros'!$B$10))/S435)</f>
        <v>342.55</v>
      </c>
      <c r="V435" s="10">
        <f>S435*'Parametros'!$B$8</f>
        <v>995</v>
      </c>
      <c r="W435" s="10">
        <f>'Parametros'!$B$5*V435*'Parametros'!$B$3*(U435-(V435*'Parametros'!$B$3/(0.85*'Parametros'!$B$2*H435))/2)/1000000</f>
        <v>119.402124617647</v>
      </c>
      <c r="X435" s="10" t="str">
        <f>IF(W435&gt;=J435,"CUMPLE","NO CUMPLE")</f>
        <v>CUMPLE</v>
      </c>
      <c r="Y435" s="10">
        <f>MAX(MAX(1.4/'Parametros'!$B$3,0.25*SQRT('Parametros'!$B$2)/'Parametros'!$B$3)*H435*AB435,(0.85*'Parametros'!$B$2/'Parametros'!$B$3)*(1-SQRT(1-2*(L435*1000000/('Parametros'!$B$5*H435*AB435^2))/(0.85*'Parametros'!$B$2)))*H435*AB435)</f>
        <v>526.98475134537</v>
      </c>
      <c r="Z435" s="17" t="n">
        <v>3</v>
      </c>
      <c r="AA435" s="18" t="n">
        <v>1</v>
      </c>
      <c r="AB435" s="10">
        <f>IF(AA435=1,I435-('Parametros'!$B$7+'Parametros'!$B$9+'Parametros'!$B$12/2),I435-(ROUNDUP(Z435/2,0)*('Parametros'!$B$7+'Parametros'!$B$9+'Parametros'!$B$12/2)+ROUNDDOWN(Z435/2,0)*('Parametros'!$B$7+'Parametros'!$B$9+'Parametros'!$B$12/2+'Parametros'!$B$12+'Parametros'!$B$10))/Z435)</f>
        <v>342.55</v>
      </c>
      <c r="AC435" s="10">
        <f>Z435*'Parametros'!$B$8</f>
        <v>597</v>
      </c>
      <c r="AD435" s="10">
        <f>'Parametros'!$B$5*AC435*'Parametros'!$B$3*(AB435-(AC435*'Parametros'!$B$3/(0.85*'Parametros'!$B$2*H435))/2)/1000000</f>
        <v>73.905520182353</v>
      </c>
      <c r="AE435" s="10" t="str">
        <f>IF(AD435&gt;=L435,"CUMPLE","NO CUMPLE")</f>
        <v>CUMPLE</v>
      </c>
      <c r="AF435" s="10">
        <f>V435*1.25*'Parametros'!$B$3*(U435-(V435*1.25*'Parametros'!$B$3/(0.85*'Parametros'!$B$2*H435))/2)/1000000</f>
        <v>162.560466176471</v>
      </c>
      <c r="AG435" s="10">
        <f>AC435*1.25*'Parametros'!$B$3*(AB435-(AC435*1.25*'Parametros'!$B$3/(0.85*'Parametros'!$B$2*H435))/2)/1000000</f>
        <v>101.467261323529</v>
      </c>
      <c r="AH435" s="10">
        <f>N435+(AF435+AG435)/D435</f>
        <v>207.777125961538</v>
      </c>
      <c r="AI435" s="10">
        <f>MIN(O435,MAX(N435,AH435))</f>
        <v>207.777125961538</v>
      </c>
      <c r="AJ435" s="10">
        <f>0.17*SQRT('Parametros'!$B$2)*H435*MIN(U435,AB435)/1000</f>
        <v>107.849951281016</v>
      </c>
      <c r="AK435" s="10">
        <f>MAX(AI435/'Parametros'!$B$6-AJ435,0)</f>
        <v>169.186216667702</v>
      </c>
      <c r="AL435" s="10">
        <f>0.66*SQRT('Parametros'!$B$2)*H435*MIN(U435,AB435)/1000</f>
        <v>418.711575561591</v>
      </c>
      <c r="AM435" s="10" t="str">
        <f>IF(AK435&lt;=AL435,"CUMPLE","NO CUMPLE")</f>
        <v>CUMPLE</v>
      </c>
      <c r="AN435" s="15" t="inlineStr">
        <is>
          <t>Nº3 cerrado</t>
        </is>
      </c>
      <c r="AO435" s="17" t="n">
        <v>2</v>
      </c>
      <c r="AP435" s="10">
        <f>ROUNDDOWN(MIN(IF(AK435=0,1000000000,AO435*'Parametros'!$B$11*'Parametros'!$B$4*MIN(U435,AB435)/(AK435*1000)),IF(AV435=0,1000000000,'Parametros'!$B$11/AV435),MIN(U435,AB435)/4,8*'Parametros'!$B$12,24*'Parametros'!$B$9,300)/10,0)*10</f>
        <v>80</v>
      </c>
      <c r="AQ435" s="10">
        <f>ROUNDDOWN(MIN(IF(AK435=0,1000000000,AO435*'Parametros'!$B$11*'Parametros'!$B$4*MIN(U435,AB435)/(AK435*1000)),IF(AV435=0,1000000000,'Parametros'!$B$11/AV435),MIN(U435,AB435)/2,600)/10,0)*10</f>
        <v>120</v>
      </c>
      <c r="AR435" s="10">
        <f>'Parametros'!$B$6*(AJ435+AO435*'Parametros'!$B$11*'Parametros'!$B$4*MIN(U435,AB435)/AP435/1000)</f>
        <v>272.415732210762</v>
      </c>
      <c r="AS435" s="10" t="str">
        <f>IF(AND(AM435="CUMPLE",AR435&gt;=AI435),"CUMPLE","NO CUMPLE")</f>
        <v>CUMPLE</v>
      </c>
      <c r="AT435" s="10">
        <f>'Parametros'!$B$6*0.083*SQRT('Parametros'!$B$2)*(H435*I435)^2/(2*(H435+I435))/1000000</f>
        <v>4.30410823283988</v>
      </c>
      <c r="AU435" s="10" t="str">
        <f>IF(Q435&lt;=AT435,"DESPRECIABLE","DISEÑAR")</f>
        <v>DISEÑAR</v>
      </c>
      <c r="AV435" s="10">
        <f>IF(Q435&lt;=AT435,0,Q435*1000000/('Parametros'!$B$6*2*0.85*(H435-2*'Parametros'!$B$7)*(I435-2*'Parametros'!$B$7)*'Parametros'!$B$4))</f>
        <v>0.161585313137601</v>
      </c>
      <c r="AW435" s="10">
        <f>AV435*2*((H435-2*'Parametros'!$B$7)+(I435-2*'Parametros'!$B$7))*'Parametros'!$B$4/'Parametros'!$B$3</f>
        <v>190.670669502369</v>
      </c>
      <c r="AX435" s="17" t="n">
        <v>1</v>
      </c>
      <c r="AY435" s="10" t="str">
        <f>IF(AV435=0,"DESPRECIABLE",IF('Parametros'!$B$11/AP435&gt;=AV435,"CUMPLE","NO CUMPLE"))</f>
        <v>CUMPLE</v>
      </c>
      <c r="AZ435" s="10" t="str">
        <f>IF(AND(X435="CUMPLE",AE435="CUMPLE",AS435="CUMPLE",OR(AY435="CUMPLE",AY435="DESPRECIABLE")),IF(OR(F435&lt;&gt;H435,G435&lt;&gt;I435),"CUMPLE - REANALIZAR SAP","CUMPLE"),"NO CUMPLE")</f>
        <v>CUMPLE</v>
      </c>
    </row>
    <row r="436">
      <c r="A436" s="26" t="inlineStr">
        <is>
          <t>VR2</t>
        </is>
      </c>
      <c r="B436" s="26" t="inlineStr">
        <is>
          <t>801</t>
        </is>
      </c>
      <c r="C436" s="10" t="n">
        <v>1</v>
      </c>
      <c r="D436" s="10" t="n">
        <v>3.65308</v>
      </c>
      <c r="E436" s="10" t="n">
        <v>3.65308</v>
      </c>
      <c r="F436" s="10" t="n">
        <v>350</v>
      </c>
      <c r="G436" s="10" t="n">
        <v>400</v>
      </c>
      <c r="H436" s="15" t="n">
        <v>350</v>
      </c>
      <c r="I436" s="15" t="n">
        <v>400</v>
      </c>
      <c r="J436" s="16" t="n">
        <v>94.5615</v>
      </c>
      <c r="K436" s="10" t="inlineStr">
        <is>
          <t>801</t>
        </is>
      </c>
      <c r="L436" s="16" t="n">
        <v>51.2305</v>
      </c>
      <c r="M436" s="10" t="inlineStr">
        <is>
          <t>801</t>
        </is>
      </c>
      <c r="N436" s="16" t="n">
        <v>76.482</v>
      </c>
      <c r="O436" s="16" t="n">
        <v>200.456</v>
      </c>
      <c r="P436" s="10" t="inlineStr">
        <is>
          <t>801</t>
        </is>
      </c>
      <c r="Q436" s="16" t="n">
        <v>7.6565</v>
      </c>
      <c r="R436" s="10">
        <f>MAX(MAX(1.4/'Parametros'!$B$3,0.25*SQRT('Parametros'!$B$2)/'Parametros'!$B$3)*H436*U436,(0.85*'Parametros'!$B$2/'Parametros'!$B$3)*(1-SQRT(1-2*(J436*1000000/('Parametros'!$B$5*H436*U436^2))/(0.85*'Parametros'!$B$2)))*H436*U436)</f>
        <v>774.434097873417</v>
      </c>
      <c r="S436" s="17" t="n">
        <v>4</v>
      </c>
      <c r="T436" s="18" t="n">
        <v>1</v>
      </c>
      <c r="U436" s="10">
        <f>IF(T436=1,I436-('Parametros'!$B$7+'Parametros'!$B$9+'Parametros'!$B$12/2),I436-(ROUNDUP(S436/2,0)*('Parametros'!$B$7+'Parametros'!$B$9+'Parametros'!$B$12/2)+ROUNDDOWN(S436/2,0)*('Parametros'!$B$7+'Parametros'!$B$9+'Parametros'!$B$12/2+'Parametros'!$B$12+'Parametros'!$B$10))/S436)</f>
        <v>342.55</v>
      </c>
      <c r="V436" s="10">
        <f>S436*'Parametros'!$B$8</f>
        <v>796</v>
      </c>
      <c r="W436" s="10">
        <f>'Parametros'!$B$5*V436*'Parametros'!$B$3*(U436-(V436*'Parametros'!$B$3/(0.85*'Parametros'!$B$2*H436))/2)/1000000</f>
        <v>97.0311966352941</v>
      </c>
      <c r="X436" s="10" t="str">
        <f>IF(W436&gt;=J436,"CUMPLE","NO CUMPLE")</f>
        <v>CUMPLE</v>
      </c>
      <c r="Y436" s="10">
        <f>MAX(MAX(1.4/'Parametros'!$B$3,0.25*SQRT('Parametros'!$B$2)/'Parametros'!$B$3)*H436*AB436,(0.85*'Parametros'!$B$2/'Parametros'!$B$3)*(1-SQRT(1-2*(L436*1000000/('Parametros'!$B$5*H436*AB436^2))/(0.85*'Parametros'!$B$2)))*H436*AB436)</f>
        <v>407.896250798622</v>
      </c>
      <c r="Z436" s="17" t="n">
        <v>3</v>
      </c>
      <c r="AA436" s="18" t="n">
        <v>1</v>
      </c>
      <c r="AB436" s="10">
        <f>IF(AA436=1,I436-('Parametros'!$B$7+'Parametros'!$B$9+'Parametros'!$B$12/2),I436-(ROUNDUP(Z436/2,0)*('Parametros'!$B$7+'Parametros'!$B$9+'Parametros'!$B$12/2)+ROUNDDOWN(Z436/2,0)*('Parametros'!$B$7+'Parametros'!$B$9+'Parametros'!$B$12/2+'Parametros'!$B$12+'Parametros'!$B$10))/Z436)</f>
        <v>342.55</v>
      </c>
      <c r="AC436" s="10">
        <f>Z436*'Parametros'!$B$8</f>
        <v>597</v>
      </c>
      <c r="AD436" s="10">
        <f>'Parametros'!$B$5*AC436*'Parametros'!$B$3*(AB436-(AC436*'Parametros'!$B$3/(0.85*'Parametros'!$B$2*H436))/2)/1000000</f>
        <v>73.905520182353</v>
      </c>
      <c r="AE436" s="10" t="str">
        <f>IF(AD436&gt;=L436,"CUMPLE","NO CUMPLE")</f>
        <v>CUMPLE</v>
      </c>
      <c r="AF436" s="10">
        <f>V436*1.25*'Parametros'!$B$3*(U436-(V436*1.25*'Parametros'!$B$3/(0.85*'Parametros'!$B$2*H436))/2)/1000000</f>
        <v>132.669027352941</v>
      </c>
      <c r="AG436" s="10">
        <f>AC436*1.25*'Parametros'!$B$3*(AB436-(AC436*1.25*'Parametros'!$B$3/(0.85*'Parametros'!$B$2*H436))/2)/1000000</f>
        <v>101.467261323529</v>
      </c>
      <c r="AH436" s="10">
        <f>N436+(AF436+AG436)/D436</f>
        <v>140.574844579497</v>
      </c>
      <c r="AI436" s="10">
        <f>MIN(O436,MAX(N436,AH436))</f>
        <v>140.574844579497</v>
      </c>
      <c r="AJ436" s="10">
        <f>0.17*SQRT('Parametros'!$B$2)*H436*MIN(U436,AB436)/1000</f>
        <v>107.849951281016</v>
      </c>
      <c r="AK436" s="10">
        <f>MAX(AI436/'Parametros'!$B$6-AJ436,0)</f>
        <v>79.5831748249807</v>
      </c>
      <c r="AL436" s="10">
        <f>0.66*SQRT('Parametros'!$B$2)*H436*MIN(U436,AB436)/1000</f>
        <v>418.711575561591</v>
      </c>
      <c r="AM436" s="10" t="str">
        <f>IF(AK436&lt;=AL436,"CUMPLE","NO CUMPLE")</f>
        <v>CUMPLE</v>
      </c>
      <c r="AN436" s="15" t="inlineStr">
        <is>
          <t>Nº3 cerrado</t>
        </is>
      </c>
      <c r="AO436" s="17" t="n">
        <v>2</v>
      </c>
      <c r="AP436" s="10">
        <f>ROUNDDOWN(MIN(IF(AK436=0,1000000000,AO436*'Parametros'!$B$11*'Parametros'!$B$4*MIN(U436,AB436)/(AK436*1000)),IF(AV436=0,1000000000,'Parametros'!$B$11/AV436),MIN(U436,AB436)/4,8*'Parametros'!$B$12,24*'Parametros'!$B$9,300)/10,0)*10</f>
        <v>80</v>
      </c>
      <c r="AQ436" s="10">
        <f>ROUNDDOWN(MIN(IF(AK436=0,1000000000,AO436*'Parametros'!$B$11*'Parametros'!$B$4*MIN(U436,AB436)/(AK436*1000)),IF(AV436=0,1000000000,'Parametros'!$B$11/AV436),MIN(U436,AB436)/2,600)/10,0)*10</f>
        <v>170</v>
      </c>
      <c r="AR436" s="10">
        <f>'Parametros'!$B$6*(AJ436+AO436*'Parametros'!$B$11*'Parametros'!$B$4*MIN(U436,AB436)/AP436/1000)</f>
        <v>272.415732210762</v>
      </c>
      <c r="AS436" s="10" t="str">
        <f>IF(AND(AM436="CUMPLE",AR436&gt;=AI436),"CUMPLE","NO CUMPLE")</f>
        <v>CUMPLE</v>
      </c>
      <c r="AT436" s="10">
        <f>'Parametros'!$B$6*0.083*SQRT('Parametros'!$B$2)*(H436*I436)^2/(2*(H436+I436))/1000000</f>
        <v>4.30410823283988</v>
      </c>
      <c r="AU436" s="10" t="str">
        <f>IF(Q436&lt;=AT436,"DESPRECIABLE","DISEÑAR")</f>
        <v>DISEÑAR</v>
      </c>
      <c r="AV436" s="10">
        <f>IF(Q436&lt;=AT436,0,Q436*1000000/('Parametros'!$B$6*2*0.85*(H436-2*'Parametros'!$B$7)*(I436-2*'Parametros'!$B$7)*'Parametros'!$B$4))</f>
        <v>0.165484403637998</v>
      </c>
      <c r="AW436" s="10">
        <f>AV436*2*((H436-2*'Parametros'!$B$7)+(I436-2*'Parametros'!$B$7))*'Parametros'!$B$4/'Parametros'!$B$3</f>
        <v>195.271596292838</v>
      </c>
      <c r="AX436" s="17" t="n">
        <v>1</v>
      </c>
      <c r="AY436" s="10" t="str">
        <f>IF(AV436=0,"DESPRECIABLE",IF('Parametros'!$B$11/AP436&gt;=AV436,"CUMPLE","NO CUMPLE"))</f>
        <v>CUMPLE</v>
      </c>
      <c r="AZ436" s="10" t="str">
        <f>IF(AND(X436="CUMPLE",AE436="CUMPLE",AS436="CUMPLE",OR(AY436="CUMPLE",AY436="DESPRECIABLE")),IF(OR(F436&lt;&gt;H436,G436&lt;&gt;I436),"CUMPLE - REANALIZAR SAP","CUMPLE"),"NO CUMPLE")</f>
        <v>CUMPLE</v>
      </c>
    </row>
    <row r="437">
      <c r="A437" s="26" t="inlineStr">
        <is>
          <t>VR2</t>
        </is>
      </c>
      <c r="B437" s="26" t="inlineStr">
        <is>
          <t>802</t>
        </is>
      </c>
      <c r="C437" s="10" t="n">
        <v>1</v>
      </c>
      <c r="D437" s="10" t="n">
        <v>2.6</v>
      </c>
      <c r="E437" s="10" t="n">
        <v>2.6</v>
      </c>
      <c r="F437" s="10" t="n">
        <v>350</v>
      </c>
      <c r="G437" s="10" t="n">
        <v>400</v>
      </c>
      <c r="H437" s="15" t="n">
        <v>350</v>
      </c>
      <c r="I437" s="15" t="n">
        <v>400</v>
      </c>
      <c r="J437" s="16" t="n">
        <v>100.6253</v>
      </c>
      <c r="K437" s="10" t="inlineStr">
        <is>
          <t>802</t>
        </is>
      </c>
      <c r="L437" s="16" t="n">
        <v>60.9403</v>
      </c>
      <c r="M437" s="10" t="inlineStr">
        <is>
          <t>802</t>
        </is>
      </c>
      <c r="N437" s="16" t="n">
        <v>95.61799999999999</v>
      </c>
      <c r="O437" s="16" t="n">
        <v>307.814</v>
      </c>
      <c r="P437" s="10" t="inlineStr">
        <is>
          <t>802</t>
        </is>
      </c>
      <c r="Q437" s="16" t="n">
        <v>0.9305</v>
      </c>
      <c r="R437" s="10">
        <f>MAX(MAX(1.4/'Parametros'!$B$3,0.25*SQRT('Parametros'!$B$2)/'Parametros'!$B$3)*H437*U437,(0.85*'Parametros'!$B$2/'Parametros'!$B$3)*(1-SQRT(1-2*(J437*1000000/('Parametros'!$B$5*H437*U437^2))/(0.85*'Parametros'!$B$2)))*H437*U437)</f>
        <v>827.523717838979</v>
      </c>
      <c r="S437" s="17" t="n">
        <v>5</v>
      </c>
      <c r="T437" s="18" t="n">
        <v>1</v>
      </c>
      <c r="U437" s="10">
        <f>IF(T437=1,I437-('Parametros'!$B$7+'Parametros'!$B$9+'Parametros'!$B$12/2),I437-(ROUNDUP(S437/2,0)*('Parametros'!$B$7+'Parametros'!$B$9+'Parametros'!$B$12/2)+ROUNDDOWN(S437/2,0)*('Parametros'!$B$7+'Parametros'!$B$9+'Parametros'!$B$12/2+'Parametros'!$B$12+'Parametros'!$B$10))/S437)</f>
        <v>342.55</v>
      </c>
      <c r="V437" s="10">
        <f>S437*'Parametros'!$B$8</f>
        <v>995</v>
      </c>
      <c r="W437" s="10">
        <f>'Parametros'!$B$5*V437*'Parametros'!$B$3*(U437-(V437*'Parametros'!$B$3/(0.85*'Parametros'!$B$2*H437))/2)/1000000</f>
        <v>119.402124617647</v>
      </c>
      <c r="X437" s="10" t="str">
        <f>IF(W437&gt;=J437,"CUMPLE","NO CUMPLE")</f>
        <v>CUMPLE</v>
      </c>
      <c r="Y437" s="10">
        <f>MAX(MAX(1.4/'Parametros'!$B$3,0.25*SQRT('Parametros'!$B$2)/'Parametros'!$B$3)*H437*AB437,(0.85*'Parametros'!$B$2/'Parametros'!$B$3)*(1-SQRT(1-2*(L437*1000000/('Parametros'!$B$5*H437*AB437^2))/(0.85*'Parametros'!$B$2)))*H437*AB437)</f>
        <v>488.179137701024</v>
      </c>
      <c r="Z437" s="17" t="n">
        <v>3</v>
      </c>
      <c r="AA437" s="18" t="n">
        <v>1</v>
      </c>
      <c r="AB437" s="10">
        <f>IF(AA437=1,I437-('Parametros'!$B$7+'Parametros'!$B$9+'Parametros'!$B$12/2),I437-(ROUNDUP(Z437/2,0)*('Parametros'!$B$7+'Parametros'!$B$9+'Parametros'!$B$12/2)+ROUNDDOWN(Z437/2,0)*('Parametros'!$B$7+'Parametros'!$B$9+'Parametros'!$B$12/2+'Parametros'!$B$12+'Parametros'!$B$10))/Z437)</f>
        <v>342.55</v>
      </c>
      <c r="AC437" s="10">
        <f>Z437*'Parametros'!$B$8</f>
        <v>597</v>
      </c>
      <c r="AD437" s="10">
        <f>'Parametros'!$B$5*AC437*'Parametros'!$B$3*(AB437-(AC437*'Parametros'!$B$3/(0.85*'Parametros'!$B$2*H437))/2)/1000000</f>
        <v>73.905520182353</v>
      </c>
      <c r="AE437" s="10" t="str">
        <f>IF(AD437&gt;=L437,"CUMPLE","NO CUMPLE")</f>
        <v>CUMPLE</v>
      </c>
      <c r="AF437" s="10">
        <f>V437*1.25*'Parametros'!$B$3*(U437-(V437*1.25*'Parametros'!$B$3/(0.85*'Parametros'!$B$2*H437))/2)/1000000</f>
        <v>162.560466176471</v>
      </c>
      <c r="AG437" s="10">
        <f>AC437*1.25*'Parametros'!$B$3*(AB437-(AC437*1.25*'Parametros'!$B$3/(0.85*'Parametros'!$B$2*H437))/2)/1000000</f>
        <v>101.467261323529</v>
      </c>
      <c r="AH437" s="10">
        <f>N437+(AF437+AG437)/D437</f>
        <v>197.167125961538</v>
      </c>
      <c r="AI437" s="10">
        <f>MIN(O437,MAX(N437,AH437))</f>
        <v>197.167125961538</v>
      </c>
      <c r="AJ437" s="10">
        <f>0.17*SQRT('Parametros'!$B$2)*H437*MIN(U437,AB437)/1000</f>
        <v>107.849951281016</v>
      </c>
      <c r="AK437" s="10">
        <f>MAX(AI437/'Parametros'!$B$6-AJ437,0)</f>
        <v>155.039550001035</v>
      </c>
      <c r="AL437" s="10">
        <f>0.66*SQRT('Parametros'!$B$2)*H437*MIN(U437,AB437)/1000</f>
        <v>418.711575561591</v>
      </c>
      <c r="AM437" s="10" t="str">
        <f>IF(AK437&lt;=AL437,"CUMPLE","NO CUMPLE")</f>
        <v>CUMPLE</v>
      </c>
      <c r="AN437" s="15" t="inlineStr">
        <is>
          <t>Nº3 cerrado</t>
        </is>
      </c>
      <c r="AO437" s="17" t="n">
        <v>2</v>
      </c>
      <c r="AP437" s="10">
        <f>ROUNDDOWN(MIN(IF(AK437=0,1000000000,AO437*'Parametros'!$B$11*'Parametros'!$B$4*MIN(U437,AB437)/(AK437*1000)),IF(AV437=0,1000000000,'Parametros'!$B$11/AV437),MIN(U437,AB437)/4,8*'Parametros'!$B$12,24*'Parametros'!$B$9,300)/10,0)*10</f>
        <v>80</v>
      </c>
      <c r="AQ437" s="10">
        <f>ROUNDDOWN(MIN(IF(AK437=0,1000000000,AO437*'Parametros'!$B$11*'Parametros'!$B$4*MIN(U437,AB437)/(AK437*1000)),IF(AV437=0,1000000000,'Parametros'!$B$11/AV437),MIN(U437,AB437)/2,600)/10,0)*10</f>
        <v>130</v>
      </c>
      <c r="AR437" s="10">
        <f>'Parametros'!$B$6*(AJ437+AO437*'Parametros'!$B$11*'Parametros'!$B$4*MIN(U437,AB437)/AP437/1000)</f>
        <v>272.415732210762</v>
      </c>
      <c r="AS437" s="10" t="str">
        <f>IF(AND(AM437="CUMPLE",AR437&gt;=AI437),"CUMPLE","NO CUMPLE")</f>
        <v>CUMPLE</v>
      </c>
      <c r="AT437" s="10">
        <f>'Parametros'!$B$6*0.083*SQRT('Parametros'!$B$2)*(H437*I437)^2/(2*(H437+I437))/1000000</f>
        <v>4.30410823283988</v>
      </c>
      <c r="AU437" s="10" t="str">
        <f>IF(Q437&lt;=AT437,"DESPRECIABLE","DISEÑAR")</f>
        <v>DESPRECIABLE</v>
      </c>
      <c r="AV437" s="10">
        <f>IF(Q437&lt;=AT437,0,Q437*1000000/('Parametros'!$B$6*2*0.85*(H437-2*'Parametros'!$B$7)*(I437-2*'Parametros'!$B$7)*'Parametros'!$B$4))</f>
        <v>0</v>
      </c>
      <c r="AW437" s="10">
        <f>AV437*2*((H437-2*'Parametros'!$B$7)+(I437-2*'Parametros'!$B$7))*'Parametros'!$B$4/'Parametros'!$B$3</f>
        <v>0</v>
      </c>
      <c r="AX437" s="17" t="n">
        <v>0</v>
      </c>
      <c r="AY437" s="10" t="str">
        <f>IF(AV437=0,"DESPRECIABLE",IF('Parametros'!$B$11/AP437&gt;=AV437,"CUMPLE","NO CUMPLE"))</f>
        <v>DESPRECIABLE</v>
      </c>
      <c r="AZ437" s="10" t="str">
        <f>IF(AND(X437="CUMPLE",AE437="CUMPLE",AS437="CUMPLE",OR(AY437="CUMPLE",AY437="DESPRECIABLE")),IF(OR(F437&lt;&gt;H437,G437&lt;&gt;I437),"CUMPLE - REANALIZAR SAP","CUMPLE"),"NO CUMPLE")</f>
        <v>CUMPLE</v>
      </c>
    </row>
    <row r="438">
      <c r="A438" s="26" t="inlineStr">
        <is>
          <t>VR2</t>
        </is>
      </c>
      <c r="B438" s="26" t="inlineStr">
        <is>
          <t>863</t>
        </is>
      </c>
      <c r="C438" s="10" t="n">
        <v>1</v>
      </c>
      <c r="D438" s="10" t="n">
        <v>2.6</v>
      </c>
      <c r="E438" s="10" t="n">
        <v>2.6</v>
      </c>
      <c r="F438" s="10" t="n">
        <v>350</v>
      </c>
      <c r="G438" s="10" t="n">
        <v>400</v>
      </c>
      <c r="H438" s="15" t="n">
        <v>350</v>
      </c>
      <c r="I438" s="15" t="n">
        <v>400</v>
      </c>
      <c r="J438" s="16" t="n">
        <v>74.1105</v>
      </c>
      <c r="K438" s="10" t="inlineStr">
        <is>
          <t>863</t>
        </is>
      </c>
      <c r="L438" s="16" t="n">
        <v>35.8643</v>
      </c>
      <c r="M438" s="10" t="inlineStr">
        <is>
          <t>863</t>
        </is>
      </c>
      <c r="N438" s="16" t="n">
        <v>75.592</v>
      </c>
      <c r="O438" s="16" t="n">
        <v>197.189</v>
      </c>
      <c r="P438" s="10" t="inlineStr">
        <is>
          <t>863</t>
        </is>
      </c>
      <c r="Q438" s="16" t="n">
        <v>0.7776999999999999</v>
      </c>
      <c r="R438" s="10">
        <f>MAX(MAX(1.4/'Parametros'!$B$3,0.25*SQRT('Parametros'!$B$2)/'Parametros'!$B$3)*H438*U438,(0.85*'Parametros'!$B$2/'Parametros'!$B$3)*(1-SQRT(1-2*(J438*1000000/('Parametros'!$B$5*H438*U438^2))/(0.85*'Parametros'!$B$2)))*H438*U438)</f>
        <v>598.735804342851</v>
      </c>
      <c r="S438" s="17" t="n">
        <v>4</v>
      </c>
      <c r="T438" s="18" t="n">
        <v>1</v>
      </c>
      <c r="U438" s="10">
        <f>IF(T438=1,I438-('Parametros'!$B$7+'Parametros'!$B$9+'Parametros'!$B$12/2),I438-(ROUNDUP(S438/2,0)*('Parametros'!$B$7+'Parametros'!$B$9+'Parametros'!$B$12/2)+ROUNDDOWN(S438/2,0)*('Parametros'!$B$7+'Parametros'!$B$9+'Parametros'!$B$12/2+'Parametros'!$B$12+'Parametros'!$B$10))/S438)</f>
        <v>342.55</v>
      </c>
      <c r="V438" s="10">
        <f>S438*'Parametros'!$B$8</f>
        <v>796</v>
      </c>
      <c r="W438" s="10">
        <f>'Parametros'!$B$5*V438*'Parametros'!$B$3*(U438-(V438*'Parametros'!$B$3/(0.85*'Parametros'!$B$2*H438))/2)/1000000</f>
        <v>97.0311966352941</v>
      </c>
      <c r="X438" s="10" t="str">
        <f>IF(W438&gt;=J438,"CUMPLE","NO CUMPLE")</f>
        <v>CUMPLE</v>
      </c>
      <c r="Y438" s="10">
        <f>MAX(MAX(1.4/'Parametros'!$B$3,0.25*SQRT('Parametros'!$B$2)/'Parametros'!$B$3)*H438*AB438,(0.85*'Parametros'!$B$2/'Parametros'!$B$3)*(1-SQRT(1-2*(L438*1000000/('Parametros'!$B$5*H438*AB438^2))/(0.85*'Parametros'!$B$2)))*H438*AB438)</f>
        <v>399.641666666667</v>
      </c>
      <c r="Z438" s="17" t="n">
        <v>3</v>
      </c>
      <c r="AA438" s="18" t="n">
        <v>1</v>
      </c>
      <c r="AB438" s="10">
        <f>IF(AA438=1,I438-('Parametros'!$B$7+'Parametros'!$B$9+'Parametros'!$B$12/2),I438-(ROUNDUP(Z438/2,0)*('Parametros'!$B$7+'Parametros'!$B$9+'Parametros'!$B$12/2)+ROUNDDOWN(Z438/2,0)*('Parametros'!$B$7+'Parametros'!$B$9+'Parametros'!$B$12/2+'Parametros'!$B$12+'Parametros'!$B$10))/Z438)</f>
        <v>342.55</v>
      </c>
      <c r="AC438" s="10">
        <f>Z438*'Parametros'!$B$8</f>
        <v>597</v>
      </c>
      <c r="AD438" s="10">
        <f>'Parametros'!$B$5*AC438*'Parametros'!$B$3*(AB438-(AC438*'Parametros'!$B$3/(0.85*'Parametros'!$B$2*H438))/2)/1000000</f>
        <v>73.905520182353</v>
      </c>
      <c r="AE438" s="10" t="str">
        <f>IF(AD438&gt;=L438,"CUMPLE","NO CUMPLE")</f>
        <v>CUMPLE</v>
      </c>
      <c r="AF438" s="10">
        <f>V438*1.25*'Parametros'!$B$3*(U438-(V438*1.25*'Parametros'!$B$3/(0.85*'Parametros'!$B$2*H438))/2)/1000000</f>
        <v>132.669027352941</v>
      </c>
      <c r="AG438" s="10">
        <f>AC438*1.25*'Parametros'!$B$3*(AB438-(AC438*1.25*'Parametros'!$B$3/(0.85*'Parametros'!$B$2*H438))/2)/1000000</f>
        <v>101.467261323529</v>
      </c>
      <c r="AH438" s="10">
        <f>N438+(AF438+AG438)/D438</f>
        <v>165.644418721719</v>
      </c>
      <c r="AI438" s="10">
        <f>MIN(O438,MAX(N438,AH438))</f>
        <v>165.644418721719</v>
      </c>
      <c r="AJ438" s="10">
        <f>0.17*SQRT('Parametros'!$B$2)*H438*MIN(U438,AB438)/1000</f>
        <v>107.849951281016</v>
      </c>
      <c r="AK438" s="10">
        <f>MAX(AI438/'Parametros'!$B$6-AJ438,0)</f>
        <v>113.009273681277</v>
      </c>
      <c r="AL438" s="10">
        <f>0.66*SQRT('Parametros'!$B$2)*H438*MIN(U438,AB438)/1000</f>
        <v>418.711575561591</v>
      </c>
      <c r="AM438" s="10" t="str">
        <f>IF(AK438&lt;=AL438,"CUMPLE","NO CUMPLE")</f>
        <v>CUMPLE</v>
      </c>
      <c r="AN438" s="15" t="inlineStr">
        <is>
          <t>Nº3 cerrado</t>
        </is>
      </c>
      <c r="AO438" s="17" t="n">
        <v>2</v>
      </c>
      <c r="AP438" s="10">
        <f>ROUNDDOWN(MIN(IF(AK438=0,1000000000,AO438*'Parametros'!$B$11*'Parametros'!$B$4*MIN(U438,AB438)/(AK438*1000)),IF(AV438=0,1000000000,'Parametros'!$B$11/AV438),MIN(U438,AB438)/4,8*'Parametros'!$B$12,24*'Parametros'!$B$9,300)/10,0)*10</f>
        <v>80</v>
      </c>
      <c r="AQ438" s="10">
        <f>ROUNDDOWN(MIN(IF(AK438=0,1000000000,AO438*'Parametros'!$B$11*'Parametros'!$B$4*MIN(U438,AB438)/(AK438*1000)),IF(AV438=0,1000000000,'Parametros'!$B$11/AV438),MIN(U438,AB438)/2,600)/10,0)*10</f>
        <v>170</v>
      </c>
      <c r="AR438" s="10">
        <f>'Parametros'!$B$6*(AJ438+AO438*'Parametros'!$B$11*'Parametros'!$B$4*MIN(U438,AB438)/AP438/1000)</f>
        <v>272.415732210762</v>
      </c>
      <c r="AS438" s="10" t="str">
        <f>IF(AND(AM438="CUMPLE",AR438&gt;=AI438),"CUMPLE","NO CUMPLE")</f>
        <v>CUMPLE</v>
      </c>
      <c r="AT438" s="10">
        <f>'Parametros'!$B$6*0.083*SQRT('Parametros'!$B$2)*(H438*I438)^2/(2*(H438+I438))/1000000</f>
        <v>4.30410823283988</v>
      </c>
      <c r="AU438" s="10" t="str">
        <f>IF(Q438&lt;=AT438,"DESPRECIABLE","DISEÑAR")</f>
        <v>DESPRECIABLE</v>
      </c>
      <c r="AV438" s="10">
        <f>IF(Q438&lt;=AT438,0,Q438*1000000/('Parametros'!$B$6*2*0.85*(H438-2*'Parametros'!$B$7)*(I438-2*'Parametros'!$B$7)*'Parametros'!$B$4))</f>
        <v>0</v>
      </c>
      <c r="AW438" s="10">
        <f>AV438*2*((H438-2*'Parametros'!$B$7)+(I438-2*'Parametros'!$B$7))*'Parametros'!$B$4/'Parametros'!$B$3</f>
        <v>0</v>
      </c>
      <c r="AX438" s="17" t="n">
        <v>0</v>
      </c>
      <c r="AY438" s="10" t="str">
        <f>IF(AV438=0,"DESPRECIABLE",IF('Parametros'!$B$11/AP438&gt;=AV438,"CUMPLE","NO CUMPLE"))</f>
        <v>DESPRECIABLE</v>
      </c>
      <c r="AZ438" s="10" t="str">
        <f>IF(AND(X438="CUMPLE",AE438="CUMPLE",AS438="CUMPLE",OR(AY438="CUMPLE",AY438="DESPRECIABLE")),IF(OR(F438&lt;&gt;H438,G438&lt;&gt;I438),"CUMPLE - REANALIZAR SAP","CUMPLE"),"NO CUMPLE")</f>
        <v>CUMPLE</v>
      </c>
    </row>
    <row r="439">
      <c r="A439" s="26" t="inlineStr">
        <is>
          <t>VR2</t>
        </is>
      </c>
      <c r="B439" s="26" t="inlineStr">
        <is>
          <t>864</t>
        </is>
      </c>
      <c r="C439" s="10" t="n">
        <v>1</v>
      </c>
      <c r="D439" s="10" t="n">
        <v>3.65308</v>
      </c>
      <c r="E439" s="10" t="n">
        <v>3.65308</v>
      </c>
      <c r="F439" s="10" t="n">
        <v>350</v>
      </c>
      <c r="G439" s="10" t="n">
        <v>400</v>
      </c>
      <c r="H439" s="15" t="n">
        <v>350</v>
      </c>
      <c r="I439" s="15" t="n">
        <v>400</v>
      </c>
      <c r="J439" s="16" t="n">
        <v>75.2089</v>
      </c>
      <c r="K439" s="10" t="inlineStr">
        <is>
          <t>864</t>
        </is>
      </c>
      <c r="L439" s="16" t="n">
        <v>32.8723</v>
      </c>
      <c r="M439" s="10" t="inlineStr">
        <is>
          <t>864</t>
        </is>
      </c>
      <c r="N439" s="16" t="n">
        <v>67.36</v>
      </c>
      <c r="O439" s="16" t="n">
        <v>147.637</v>
      </c>
      <c r="P439" s="10" t="inlineStr">
        <is>
          <t>864</t>
        </is>
      </c>
      <c r="Q439" s="16" t="n">
        <v>7.0723</v>
      </c>
      <c r="R439" s="10">
        <f>MAX(MAX(1.4/'Parametros'!$B$3,0.25*SQRT('Parametros'!$B$2)/'Parametros'!$B$3)*H439*U439,(0.85*'Parametros'!$B$2/'Parametros'!$B$3)*(1-SQRT(1-2*(J439*1000000/('Parametros'!$B$5*H439*U439^2))/(0.85*'Parametros'!$B$2)))*H439*U439)</f>
        <v>608.045542547599</v>
      </c>
      <c r="S439" s="17" t="n">
        <v>4</v>
      </c>
      <c r="T439" s="18" t="n">
        <v>1</v>
      </c>
      <c r="U439" s="10">
        <f>IF(T439=1,I439-('Parametros'!$B$7+'Parametros'!$B$9+'Parametros'!$B$12/2),I439-(ROUNDUP(S439/2,0)*('Parametros'!$B$7+'Parametros'!$B$9+'Parametros'!$B$12/2)+ROUNDDOWN(S439/2,0)*('Parametros'!$B$7+'Parametros'!$B$9+'Parametros'!$B$12/2+'Parametros'!$B$12+'Parametros'!$B$10))/S439)</f>
        <v>342.55</v>
      </c>
      <c r="V439" s="10">
        <f>S439*'Parametros'!$B$8</f>
        <v>796</v>
      </c>
      <c r="W439" s="10">
        <f>'Parametros'!$B$5*V439*'Parametros'!$B$3*(U439-(V439*'Parametros'!$B$3/(0.85*'Parametros'!$B$2*H439))/2)/1000000</f>
        <v>97.0311966352941</v>
      </c>
      <c r="X439" s="10" t="str">
        <f>IF(W439&gt;=J439,"CUMPLE","NO CUMPLE")</f>
        <v>CUMPLE</v>
      </c>
      <c r="Y439" s="10">
        <f>MAX(MAX(1.4/'Parametros'!$B$3,0.25*SQRT('Parametros'!$B$2)/'Parametros'!$B$3)*H439*AB439,(0.85*'Parametros'!$B$2/'Parametros'!$B$3)*(1-SQRT(1-2*(L439*1000000/('Parametros'!$B$5*H439*AB439^2))/(0.85*'Parametros'!$B$2)))*H439*AB439)</f>
        <v>399.641666666667</v>
      </c>
      <c r="Z439" s="17" t="n">
        <v>3</v>
      </c>
      <c r="AA439" s="18" t="n">
        <v>1</v>
      </c>
      <c r="AB439" s="10">
        <f>IF(AA439=1,I439-('Parametros'!$B$7+'Parametros'!$B$9+'Parametros'!$B$12/2),I439-(ROUNDUP(Z439/2,0)*('Parametros'!$B$7+'Parametros'!$B$9+'Parametros'!$B$12/2)+ROUNDDOWN(Z439/2,0)*('Parametros'!$B$7+'Parametros'!$B$9+'Parametros'!$B$12/2+'Parametros'!$B$12+'Parametros'!$B$10))/Z439)</f>
        <v>342.55</v>
      </c>
      <c r="AC439" s="10">
        <f>Z439*'Parametros'!$B$8</f>
        <v>597</v>
      </c>
      <c r="AD439" s="10">
        <f>'Parametros'!$B$5*AC439*'Parametros'!$B$3*(AB439-(AC439*'Parametros'!$B$3/(0.85*'Parametros'!$B$2*H439))/2)/1000000</f>
        <v>73.905520182353</v>
      </c>
      <c r="AE439" s="10" t="str">
        <f>IF(AD439&gt;=L439,"CUMPLE","NO CUMPLE")</f>
        <v>CUMPLE</v>
      </c>
      <c r="AF439" s="10">
        <f>V439*1.25*'Parametros'!$B$3*(U439-(V439*1.25*'Parametros'!$B$3/(0.85*'Parametros'!$B$2*H439))/2)/1000000</f>
        <v>132.669027352941</v>
      </c>
      <c r="AG439" s="10">
        <f>AC439*1.25*'Parametros'!$B$3*(AB439-(AC439*1.25*'Parametros'!$B$3/(0.85*'Parametros'!$B$2*H439))/2)/1000000</f>
        <v>101.467261323529</v>
      </c>
      <c r="AH439" s="10">
        <f>N439+(AF439+AG439)/D439</f>
        <v>131.452844579497</v>
      </c>
      <c r="AI439" s="10">
        <f>MIN(O439,MAX(N439,AH439))</f>
        <v>131.452844579497</v>
      </c>
      <c r="AJ439" s="10">
        <f>0.17*SQRT('Parametros'!$B$2)*H439*MIN(U439,AB439)/1000</f>
        <v>107.849951281016</v>
      </c>
      <c r="AK439" s="10">
        <f>MAX(AI439/'Parametros'!$B$6-AJ439,0)</f>
        <v>67.420508158314</v>
      </c>
      <c r="AL439" s="10">
        <f>0.66*SQRT('Parametros'!$B$2)*H439*MIN(U439,AB439)/1000</f>
        <v>418.711575561591</v>
      </c>
      <c r="AM439" s="10" t="str">
        <f>IF(AK439&lt;=AL439,"CUMPLE","NO CUMPLE")</f>
        <v>CUMPLE</v>
      </c>
      <c r="AN439" s="15" t="inlineStr">
        <is>
          <t>Nº3 cerrado</t>
        </is>
      </c>
      <c r="AO439" s="17" t="n">
        <v>2</v>
      </c>
      <c r="AP439" s="10">
        <f>ROUNDDOWN(MIN(IF(AK439=0,1000000000,AO439*'Parametros'!$B$11*'Parametros'!$B$4*MIN(U439,AB439)/(AK439*1000)),IF(AV439=0,1000000000,'Parametros'!$B$11/AV439),MIN(U439,AB439)/4,8*'Parametros'!$B$12,24*'Parametros'!$B$9,300)/10,0)*10</f>
        <v>80</v>
      </c>
      <c r="AQ439" s="10">
        <f>ROUNDDOWN(MIN(IF(AK439=0,1000000000,AO439*'Parametros'!$B$11*'Parametros'!$B$4*MIN(U439,AB439)/(AK439*1000)),IF(AV439=0,1000000000,'Parametros'!$B$11/AV439),MIN(U439,AB439)/2,600)/10,0)*10</f>
        <v>170</v>
      </c>
      <c r="AR439" s="10">
        <f>'Parametros'!$B$6*(AJ439+AO439*'Parametros'!$B$11*'Parametros'!$B$4*MIN(U439,AB439)/AP439/1000)</f>
        <v>272.415732210762</v>
      </c>
      <c r="AS439" s="10" t="str">
        <f>IF(AND(AM439="CUMPLE",AR439&gt;=AI439),"CUMPLE","NO CUMPLE")</f>
        <v>CUMPLE</v>
      </c>
      <c r="AT439" s="10">
        <f>'Parametros'!$B$6*0.083*SQRT('Parametros'!$B$2)*(H439*I439)^2/(2*(H439+I439))/1000000</f>
        <v>4.30410823283988</v>
      </c>
      <c r="AU439" s="10" t="str">
        <f>IF(Q439&lt;=AT439,"DESPRECIABLE","DISEÑAR")</f>
        <v>DISEÑAR</v>
      </c>
      <c r="AV439" s="10">
        <f>IF(Q439&lt;=AT439,0,Q439*1000000/('Parametros'!$B$6*2*0.85*(H439-2*'Parametros'!$B$7)*(I439-2*'Parametros'!$B$7)*'Parametros'!$B$4))</f>
        <v>0.152857748037487</v>
      </c>
      <c r="AW439" s="10">
        <f>AV439*2*((H439-2*'Parametros'!$B$7)+(I439-2*'Parametros'!$B$7))*'Parametros'!$B$4/'Parametros'!$B$3</f>
        <v>180.372142684234</v>
      </c>
      <c r="AX439" s="17" t="n">
        <v>1</v>
      </c>
      <c r="AY439" s="10" t="str">
        <f>IF(AV439=0,"DESPRECIABLE",IF('Parametros'!$B$11/AP439&gt;=AV439,"CUMPLE","NO CUMPLE"))</f>
        <v>CUMPLE</v>
      </c>
      <c r="AZ439" s="10" t="str">
        <f>IF(AND(X439="CUMPLE",AE439="CUMPLE",AS439="CUMPLE",OR(AY439="CUMPLE",AY439="DESPRECIABLE")),IF(OR(F439&lt;&gt;H439,G439&lt;&gt;I439),"CUMPLE - REANALIZAR SAP","CUMPLE"),"NO CUMPLE")</f>
        <v>CUMPLE</v>
      </c>
    </row>
    <row r="440">
      <c r="A440" s="26" t="inlineStr">
        <is>
          <t>VR2</t>
        </is>
      </c>
      <c r="B440" s="26" t="inlineStr">
        <is>
          <t>865</t>
        </is>
      </c>
      <c r="C440" s="10" t="n">
        <v>1</v>
      </c>
      <c r="D440" s="10" t="n">
        <v>2.6</v>
      </c>
      <c r="E440" s="10" t="n">
        <v>2.6</v>
      </c>
      <c r="F440" s="10" t="n">
        <v>350</v>
      </c>
      <c r="G440" s="10" t="n">
        <v>400</v>
      </c>
      <c r="H440" s="15" t="n">
        <v>350</v>
      </c>
      <c r="I440" s="15" t="n">
        <v>400</v>
      </c>
      <c r="J440" s="16" t="n">
        <v>74.91500000000001</v>
      </c>
      <c r="K440" s="10" t="inlineStr">
        <is>
          <t>865</t>
        </is>
      </c>
      <c r="L440" s="16" t="n">
        <v>36.8603</v>
      </c>
      <c r="M440" s="10" t="inlineStr">
        <is>
          <t>865</t>
        </is>
      </c>
      <c r="N440" s="16" t="n">
        <v>84.66800000000001</v>
      </c>
      <c r="O440" s="16" t="n">
        <v>236.669</v>
      </c>
      <c r="P440" s="10" t="inlineStr">
        <is>
          <t>865</t>
        </is>
      </c>
      <c r="Q440" s="16" t="n">
        <v>6.8612</v>
      </c>
      <c r="R440" s="10">
        <f>MAX(MAX(1.4/'Parametros'!$B$3,0.25*SQRT('Parametros'!$B$2)/'Parametros'!$B$3)*H440*U440,(0.85*'Parametros'!$B$2/'Parametros'!$B$3)*(1-SQRT(1-2*(J440*1000000/('Parametros'!$B$5*H440*U440^2))/(0.85*'Parametros'!$B$2)))*H440*U440)</f>
        <v>605.553154091263</v>
      </c>
      <c r="S440" s="17" t="n">
        <v>4</v>
      </c>
      <c r="T440" s="18" t="n">
        <v>1</v>
      </c>
      <c r="U440" s="10">
        <f>IF(T440=1,I440-('Parametros'!$B$7+'Parametros'!$B$9+'Parametros'!$B$12/2),I440-(ROUNDUP(S440/2,0)*('Parametros'!$B$7+'Parametros'!$B$9+'Parametros'!$B$12/2)+ROUNDDOWN(S440/2,0)*('Parametros'!$B$7+'Parametros'!$B$9+'Parametros'!$B$12/2+'Parametros'!$B$12+'Parametros'!$B$10))/S440)</f>
        <v>342.55</v>
      </c>
      <c r="V440" s="10">
        <f>S440*'Parametros'!$B$8</f>
        <v>796</v>
      </c>
      <c r="W440" s="10">
        <f>'Parametros'!$B$5*V440*'Parametros'!$B$3*(U440-(V440*'Parametros'!$B$3/(0.85*'Parametros'!$B$2*H440))/2)/1000000</f>
        <v>97.0311966352941</v>
      </c>
      <c r="X440" s="10" t="str">
        <f>IF(W440&gt;=J440,"CUMPLE","NO CUMPLE")</f>
        <v>CUMPLE</v>
      </c>
      <c r="Y440" s="10">
        <f>MAX(MAX(1.4/'Parametros'!$B$3,0.25*SQRT('Parametros'!$B$2)/'Parametros'!$B$3)*H440*AB440,(0.85*'Parametros'!$B$2/'Parametros'!$B$3)*(1-SQRT(1-2*(L440*1000000/('Parametros'!$B$5*H440*AB440^2))/(0.85*'Parametros'!$B$2)))*H440*AB440)</f>
        <v>399.641666666667</v>
      </c>
      <c r="Z440" s="17" t="n">
        <v>3</v>
      </c>
      <c r="AA440" s="18" t="n">
        <v>1</v>
      </c>
      <c r="AB440" s="10">
        <f>IF(AA440=1,I440-('Parametros'!$B$7+'Parametros'!$B$9+'Parametros'!$B$12/2),I440-(ROUNDUP(Z440/2,0)*('Parametros'!$B$7+'Parametros'!$B$9+'Parametros'!$B$12/2)+ROUNDDOWN(Z440/2,0)*('Parametros'!$B$7+'Parametros'!$B$9+'Parametros'!$B$12/2+'Parametros'!$B$12+'Parametros'!$B$10))/Z440)</f>
        <v>342.55</v>
      </c>
      <c r="AC440" s="10">
        <f>Z440*'Parametros'!$B$8</f>
        <v>597</v>
      </c>
      <c r="AD440" s="10">
        <f>'Parametros'!$B$5*AC440*'Parametros'!$B$3*(AB440-(AC440*'Parametros'!$B$3/(0.85*'Parametros'!$B$2*H440))/2)/1000000</f>
        <v>73.905520182353</v>
      </c>
      <c r="AE440" s="10" t="str">
        <f>IF(AD440&gt;=L440,"CUMPLE","NO CUMPLE")</f>
        <v>CUMPLE</v>
      </c>
      <c r="AF440" s="10">
        <f>V440*1.25*'Parametros'!$B$3*(U440-(V440*1.25*'Parametros'!$B$3/(0.85*'Parametros'!$B$2*H440))/2)/1000000</f>
        <v>132.669027352941</v>
      </c>
      <c r="AG440" s="10">
        <f>AC440*1.25*'Parametros'!$B$3*(AB440-(AC440*1.25*'Parametros'!$B$3/(0.85*'Parametros'!$B$2*H440))/2)/1000000</f>
        <v>101.467261323529</v>
      </c>
      <c r="AH440" s="10">
        <f>N440+(AF440+AG440)/D440</f>
        <v>174.720418721719</v>
      </c>
      <c r="AI440" s="10">
        <f>MIN(O440,MAX(N440,AH440))</f>
        <v>174.720418721719</v>
      </c>
      <c r="AJ440" s="10">
        <f>0.17*SQRT('Parametros'!$B$2)*H440*MIN(U440,AB440)/1000</f>
        <v>107.849951281016</v>
      </c>
      <c r="AK440" s="10">
        <f>MAX(AI440/'Parametros'!$B$6-AJ440,0)</f>
        <v>125.11060701461</v>
      </c>
      <c r="AL440" s="10">
        <f>0.66*SQRT('Parametros'!$B$2)*H440*MIN(U440,AB440)/1000</f>
        <v>418.711575561591</v>
      </c>
      <c r="AM440" s="10" t="str">
        <f>IF(AK440&lt;=AL440,"CUMPLE","NO CUMPLE")</f>
        <v>CUMPLE</v>
      </c>
      <c r="AN440" s="15" t="inlineStr">
        <is>
          <t>Nº3 cerrado</t>
        </is>
      </c>
      <c r="AO440" s="17" t="n">
        <v>2</v>
      </c>
      <c r="AP440" s="10">
        <f>ROUNDDOWN(MIN(IF(AK440=0,1000000000,AO440*'Parametros'!$B$11*'Parametros'!$B$4*MIN(U440,AB440)/(AK440*1000)),IF(AV440=0,1000000000,'Parametros'!$B$11/AV440),MIN(U440,AB440)/4,8*'Parametros'!$B$12,24*'Parametros'!$B$9,300)/10,0)*10</f>
        <v>80</v>
      </c>
      <c r="AQ440" s="10">
        <f>ROUNDDOWN(MIN(IF(AK440=0,1000000000,AO440*'Parametros'!$B$11*'Parametros'!$B$4*MIN(U440,AB440)/(AK440*1000)),IF(AV440=0,1000000000,'Parametros'!$B$11/AV440),MIN(U440,AB440)/2,600)/10,0)*10</f>
        <v>160</v>
      </c>
      <c r="AR440" s="10">
        <f>'Parametros'!$B$6*(AJ440+AO440*'Parametros'!$B$11*'Parametros'!$B$4*MIN(U440,AB440)/AP440/1000)</f>
        <v>272.415732210762</v>
      </c>
      <c r="AS440" s="10" t="str">
        <f>IF(AND(AM440="CUMPLE",AR440&gt;=AI440),"CUMPLE","NO CUMPLE")</f>
        <v>CUMPLE</v>
      </c>
      <c r="AT440" s="10">
        <f>'Parametros'!$B$6*0.083*SQRT('Parametros'!$B$2)*(H440*I440)^2/(2*(H440+I440))/1000000</f>
        <v>4.30410823283988</v>
      </c>
      <c r="AU440" s="10" t="str">
        <f>IF(Q440&lt;=AT440,"DESPRECIABLE","DISEÑAR")</f>
        <v>DISEÑAR</v>
      </c>
      <c r="AV440" s="10">
        <f>IF(Q440&lt;=AT440,0,Q440*1000000/('Parametros'!$B$6*2*0.85*(H440-2*'Parametros'!$B$7)*(I440-2*'Parametros'!$B$7)*'Parametros'!$B$4))</f>
        <v>0.148295120517343</v>
      </c>
      <c r="AW440" s="10">
        <f>AV440*2*((H440-2*'Parametros'!$B$7)+(I440-2*'Parametros'!$B$7))*'Parametros'!$B$4/'Parametros'!$B$3</f>
        <v>174.988242210464</v>
      </c>
      <c r="AX440" s="17" t="n">
        <v>1</v>
      </c>
      <c r="AY440" s="10" t="str">
        <f>IF(AV440=0,"DESPRECIABLE",IF('Parametros'!$B$11/AP440&gt;=AV440,"CUMPLE","NO CUMPLE"))</f>
        <v>CUMPLE</v>
      </c>
      <c r="AZ440" s="10" t="str">
        <f>IF(AND(X440="CUMPLE",AE440="CUMPLE",AS440="CUMPLE",OR(AY440="CUMPLE",AY440="DESPRECIABLE")),IF(OR(F440&lt;&gt;H440,G440&lt;&gt;I440),"CUMPLE - REANALIZAR SAP","CUMPLE"),"NO CUMPLE")</f>
        <v>CUMPLE</v>
      </c>
    </row>
    <row r="441">
      <c r="A441" s="26" t="inlineStr">
        <is>
          <t>VR2</t>
        </is>
      </c>
      <c r="B441" s="26" t="inlineStr">
        <is>
          <t>866</t>
        </is>
      </c>
      <c r="C441" s="10" t="n">
        <v>1</v>
      </c>
      <c r="D441" s="10" t="n">
        <v>2.5</v>
      </c>
      <c r="E441" s="10" t="n">
        <v>2.5</v>
      </c>
      <c r="F441" s="10" t="n">
        <v>350</v>
      </c>
      <c r="G441" s="10" t="n">
        <v>400</v>
      </c>
      <c r="H441" s="15" t="n">
        <v>350</v>
      </c>
      <c r="I441" s="15" t="n">
        <v>400</v>
      </c>
      <c r="J441" s="16" t="n">
        <v>69.55159999999999</v>
      </c>
      <c r="K441" s="10" t="inlineStr">
        <is>
          <t>866</t>
        </is>
      </c>
      <c r="L441" s="16" t="n">
        <v>41.117</v>
      </c>
      <c r="M441" s="10" t="inlineStr">
        <is>
          <t>866</t>
        </is>
      </c>
      <c r="N441" s="16" t="n">
        <v>76.233</v>
      </c>
      <c r="O441" s="16" t="n">
        <v>218.654</v>
      </c>
      <c r="P441" s="10" t="inlineStr">
        <is>
          <t>866</t>
        </is>
      </c>
      <c r="Q441" s="16" t="n">
        <v>0.9818</v>
      </c>
      <c r="R441" s="10">
        <f>MAX(MAX(1.4/'Parametros'!$B$3,0.25*SQRT('Parametros'!$B$2)/'Parametros'!$B$3)*H441*U441,(0.85*'Parametros'!$B$2/'Parametros'!$B$3)*(1-SQRT(1-2*(J441*1000000/('Parametros'!$B$5*H441*U441^2))/(0.85*'Parametros'!$B$2)))*H441*U441)</f>
        <v>560.244422728424</v>
      </c>
      <c r="S441" s="17" t="n">
        <v>3</v>
      </c>
      <c r="T441" s="18" t="n">
        <v>1</v>
      </c>
      <c r="U441" s="10">
        <f>IF(T441=1,I441-('Parametros'!$B$7+'Parametros'!$B$9+'Parametros'!$B$12/2),I441-(ROUNDUP(S441/2,0)*('Parametros'!$B$7+'Parametros'!$B$9+'Parametros'!$B$12/2)+ROUNDDOWN(S441/2,0)*('Parametros'!$B$7+'Parametros'!$B$9+'Parametros'!$B$12/2+'Parametros'!$B$12+'Parametros'!$B$10))/S441)</f>
        <v>342.55</v>
      </c>
      <c r="V441" s="10">
        <f>S441*'Parametros'!$B$8</f>
        <v>597</v>
      </c>
      <c r="W441" s="10">
        <f>'Parametros'!$B$5*V441*'Parametros'!$B$3*(U441-(V441*'Parametros'!$B$3/(0.85*'Parametros'!$B$2*H441))/2)/1000000</f>
        <v>73.905520182353</v>
      </c>
      <c r="X441" s="10" t="str">
        <f>IF(W441&gt;=J441,"CUMPLE","NO CUMPLE")</f>
        <v>CUMPLE</v>
      </c>
      <c r="Y441" s="10">
        <f>MAX(MAX(1.4/'Parametros'!$B$3,0.25*SQRT('Parametros'!$B$2)/'Parametros'!$B$3)*H441*AB441,(0.85*'Parametros'!$B$2/'Parametros'!$B$3)*(1-SQRT(1-2*(L441*1000000/('Parametros'!$B$5*H441*AB441^2))/(0.85*'Parametros'!$B$2)))*H441*AB441)</f>
        <v>399.641666666667</v>
      </c>
      <c r="Z441" s="17" t="n">
        <v>3</v>
      </c>
      <c r="AA441" s="18" t="n">
        <v>1</v>
      </c>
      <c r="AB441" s="10">
        <f>IF(AA441=1,I441-('Parametros'!$B$7+'Parametros'!$B$9+'Parametros'!$B$12/2),I441-(ROUNDUP(Z441/2,0)*('Parametros'!$B$7+'Parametros'!$B$9+'Parametros'!$B$12/2)+ROUNDDOWN(Z441/2,0)*('Parametros'!$B$7+'Parametros'!$B$9+'Parametros'!$B$12/2+'Parametros'!$B$12+'Parametros'!$B$10))/Z441)</f>
        <v>342.55</v>
      </c>
      <c r="AC441" s="10">
        <f>Z441*'Parametros'!$B$8</f>
        <v>597</v>
      </c>
      <c r="AD441" s="10">
        <f>'Parametros'!$B$5*AC441*'Parametros'!$B$3*(AB441-(AC441*'Parametros'!$B$3/(0.85*'Parametros'!$B$2*H441))/2)/1000000</f>
        <v>73.905520182353</v>
      </c>
      <c r="AE441" s="10" t="str">
        <f>IF(AD441&gt;=L441,"CUMPLE","NO CUMPLE")</f>
        <v>CUMPLE</v>
      </c>
      <c r="AF441" s="10">
        <f>V441*1.25*'Parametros'!$B$3*(U441-(V441*1.25*'Parametros'!$B$3/(0.85*'Parametros'!$B$2*H441))/2)/1000000</f>
        <v>101.467261323529</v>
      </c>
      <c r="AG441" s="10">
        <f>AC441*1.25*'Parametros'!$B$3*(AB441-(AC441*1.25*'Parametros'!$B$3/(0.85*'Parametros'!$B$2*H441))/2)/1000000</f>
        <v>101.467261323529</v>
      </c>
      <c r="AH441" s="10">
        <f>N441+(AF441+AG441)/D441</f>
        <v>157.406809058824</v>
      </c>
      <c r="AI441" s="10">
        <f>MIN(O441,MAX(N441,AH441))</f>
        <v>157.406809058824</v>
      </c>
      <c r="AJ441" s="10">
        <f>0.17*SQRT('Parametros'!$B$2)*H441*MIN(U441,AB441)/1000</f>
        <v>107.849951281016</v>
      </c>
      <c r="AK441" s="10">
        <f>MAX(AI441/'Parametros'!$B$6-AJ441,0)</f>
        <v>102.025794130749</v>
      </c>
      <c r="AL441" s="10">
        <f>0.66*SQRT('Parametros'!$B$2)*H441*MIN(U441,AB441)/1000</f>
        <v>418.711575561591</v>
      </c>
      <c r="AM441" s="10" t="str">
        <f>IF(AK441&lt;=AL441,"CUMPLE","NO CUMPLE")</f>
        <v>CUMPLE</v>
      </c>
      <c r="AN441" s="15" t="inlineStr">
        <is>
          <t>Nº3 cerrado</t>
        </is>
      </c>
      <c r="AO441" s="17" t="n">
        <v>2</v>
      </c>
      <c r="AP441" s="10">
        <f>ROUNDDOWN(MIN(IF(AK441=0,1000000000,AO441*'Parametros'!$B$11*'Parametros'!$B$4*MIN(U441,AB441)/(AK441*1000)),IF(AV441=0,1000000000,'Parametros'!$B$11/AV441),MIN(U441,AB441)/4,8*'Parametros'!$B$12,24*'Parametros'!$B$9,300)/10,0)*10</f>
        <v>80</v>
      </c>
      <c r="AQ441" s="10">
        <f>ROUNDDOWN(MIN(IF(AK441=0,1000000000,AO441*'Parametros'!$B$11*'Parametros'!$B$4*MIN(U441,AB441)/(AK441*1000)),IF(AV441=0,1000000000,'Parametros'!$B$11/AV441),MIN(U441,AB441)/2,600)/10,0)*10</f>
        <v>170</v>
      </c>
      <c r="AR441" s="10">
        <f>'Parametros'!$B$6*(AJ441+AO441*'Parametros'!$B$11*'Parametros'!$B$4*MIN(U441,AB441)/AP441/1000)</f>
        <v>272.415732210762</v>
      </c>
      <c r="AS441" s="10" t="str">
        <f>IF(AND(AM441="CUMPLE",AR441&gt;=AI441),"CUMPLE","NO CUMPLE")</f>
        <v>CUMPLE</v>
      </c>
      <c r="AT441" s="10">
        <f>'Parametros'!$B$6*0.083*SQRT('Parametros'!$B$2)*(H441*I441)^2/(2*(H441+I441))/1000000</f>
        <v>4.30410823283988</v>
      </c>
      <c r="AU441" s="10" t="str">
        <f>IF(Q441&lt;=AT441,"DESPRECIABLE","DISEÑAR")</f>
        <v>DESPRECIABLE</v>
      </c>
      <c r="AV441" s="10">
        <f>IF(Q441&lt;=AT441,0,Q441*1000000/('Parametros'!$B$6*2*0.85*(H441-2*'Parametros'!$B$7)*(I441-2*'Parametros'!$B$7)*'Parametros'!$B$4))</f>
        <v>0</v>
      </c>
      <c r="AW441" s="10">
        <f>AV441*2*((H441-2*'Parametros'!$B$7)+(I441-2*'Parametros'!$B$7))*'Parametros'!$B$4/'Parametros'!$B$3</f>
        <v>0</v>
      </c>
      <c r="AX441" s="17" t="n">
        <v>0</v>
      </c>
      <c r="AY441" s="10" t="str">
        <f>IF(AV441=0,"DESPRECIABLE",IF('Parametros'!$B$11/AP441&gt;=AV441,"CUMPLE","NO CUMPLE"))</f>
        <v>DESPRECIABLE</v>
      </c>
      <c r="AZ441" s="10" t="str">
        <f>IF(AND(X441="CUMPLE",AE441="CUMPLE",AS441="CUMPLE",OR(AY441="CUMPLE",AY441="DESPRECIABLE")),IF(OR(F441&lt;&gt;H441,G441&lt;&gt;I441),"CUMPLE - REANALIZAR SAP","CUMPLE"),"NO CUMPLE")</f>
        <v>CUMPLE</v>
      </c>
    </row>
    <row r="442">
      <c r="A442" s="26" t="inlineStr">
        <is>
          <t>VR2</t>
        </is>
      </c>
      <c r="B442" s="26" t="inlineStr">
        <is>
          <t>867</t>
        </is>
      </c>
      <c r="C442" s="10" t="n">
        <v>1</v>
      </c>
      <c r="D442" s="10" t="n">
        <v>4.17612</v>
      </c>
      <c r="E442" s="10" t="n">
        <v>4.17612</v>
      </c>
      <c r="F442" s="10" t="n">
        <v>350</v>
      </c>
      <c r="G442" s="10" t="n">
        <v>400</v>
      </c>
      <c r="H442" s="15" t="n">
        <v>350</v>
      </c>
      <c r="I442" s="15" t="n">
        <v>400</v>
      </c>
      <c r="J442" s="16" t="n">
        <v>82.6755</v>
      </c>
      <c r="K442" s="10" t="inlineStr">
        <is>
          <t>867</t>
        </is>
      </c>
      <c r="L442" s="16" t="n">
        <v>29.7491</v>
      </c>
      <c r="M442" s="10" t="inlineStr">
        <is>
          <t>867</t>
        </is>
      </c>
      <c r="N442" s="16" t="n">
        <v>76.032</v>
      </c>
      <c r="O442" s="16" t="n">
        <v>157.286</v>
      </c>
      <c r="P442" s="10" t="inlineStr">
        <is>
          <t>867</t>
        </is>
      </c>
      <c r="Q442" s="16" t="n">
        <v>0.1401</v>
      </c>
      <c r="R442" s="10">
        <f>MAX(MAX(1.4/'Parametros'!$B$3,0.25*SQRT('Parametros'!$B$2)/'Parametros'!$B$3)*H442*U442,(0.85*'Parametros'!$B$2/'Parametros'!$B$3)*(1-SQRT(1-2*(J442*1000000/('Parametros'!$B$5*H442*U442^2))/(0.85*'Parametros'!$B$2)))*H442*U442)</f>
        <v>671.705595130192</v>
      </c>
      <c r="S442" s="17" t="n">
        <v>4</v>
      </c>
      <c r="T442" s="18" t="n">
        <v>1</v>
      </c>
      <c r="U442" s="10">
        <f>IF(T442=1,I442-('Parametros'!$B$7+'Parametros'!$B$9+'Parametros'!$B$12/2),I442-(ROUNDUP(S442/2,0)*('Parametros'!$B$7+'Parametros'!$B$9+'Parametros'!$B$12/2)+ROUNDDOWN(S442/2,0)*('Parametros'!$B$7+'Parametros'!$B$9+'Parametros'!$B$12/2+'Parametros'!$B$12+'Parametros'!$B$10))/S442)</f>
        <v>342.55</v>
      </c>
      <c r="V442" s="10">
        <f>S442*'Parametros'!$B$8</f>
        <v>796</v>
      </c>
      <c r="W442" s="10">
        <f>'Parametros'!$B$5*V442*'Parametros'!$B$3*(U442-(V442*'Parametros'!$B$3/(0.85*'Parametros'!$B$2*H442))/2)/1000000</f>
        <v>97.0311966352941</v>
      </c>
      <c r="X442" s="10" t="str">
        <f>IF(W442&gt;=J442,"CUMPLE","NO CUMPLE")</f>
        <v>CUMPLE</v>
      </c>
      <c r="Y442" s="10">
        <f>MAX(MAX(1.4/'Parametros'!$B$3,0.25*SQRT('Parametros'!$B$2)/'Parametros'!$B$3)*H442*AB442,(0.85*'Parametros'!$B$2/'Parametros'!$B$3)*(1-SQRT(1-2*(L442*1000000/('Parametros'!$B$5*H442*AB442^2))/(0.85*'Parametros'!$B$2)))*H442*AB442)</f>
        <v>399.641666666667</v>
      </c>
      <c r="Z442" s="17" t="n">
        <v>3</v>
      </c>
      <c r="AA442" s="18" t="n">
        <v>1</v>
      </c>
      <c r="AB442" s="10">
        <f>IF(AA442=1,I442-('Parametros'!$B$7+'Parametros'!$B$9+'Parametros'!$B$12/2),I442-(ROUNDUP(Z442/2,0)*('Parametros'!$B$7+'Parametros'!$B$9+'Parametros'!$B$12/2)+ROUNDDOWN(Z442/2,0)*('Parametros'!$B$7+'Parametros'!$B$9+'Parametros'!$B$12/2+'Parametros'!$B$12+'Parametros'!$B$10))/Z442)</f>
        <v>342.55</v>
      </c>
      <c r="AC442" s="10">
        <f>Z442*'Parametros'!$B$8</f>
        <v>597</v>
      </c>
      <c r="AD442" s="10">
        <f>'Parametros'!$B$5*AC442*'Parametros'!$B$3*(AB442-(AC442*'Parametros'!$B$3/(0.85*'Parametros'!$B$2*H442))/2)/1000000</f>
        <v>73.905520182353</v>
      </c>
      <c r="AE442" s="10" t="str">
        <f>IF(AD442&gt;=L442,"CUMPLE","NO CUMPLE")</f>
        <v>CUMPLE</v>
      </c>
      <c r="AF442" s="10">
        <f>V442*1.25*'Parametros'!$B$3*(U442-(V442*1.25*'Parametros'!$B$3/(0.85*'Parametros'!$B$2*H442))/2)/1000000</f>
        <v>132.669027352941</v>
      </c>
      <c r="AG442" s="10">
        <f>AC442*1.25*'Parametros'!$B$3*(AB442-(AC442*1.25*'Parametros'!$B$3/(0.85*'Parametros'!$B$2*H442))/2)/1000000</f>
        <v>101.467261323529</v>
      </c>
      <c r="AH442" s="10">
        <f>N442+(AF442+AG442)/D442</f>
        <v>132.097507858124</v>
      </c>
      <c r="AI442" s="10">
        <f>MIN(O442,MAX(N442,AH442))</f>
        <v>132.097507858124</v>
      </c>
      <c r="AJ442" s="10">
        <f>0.17*SQRT('Parametros'!$B$2)*H442*MIN(U442,AB442)/1000</f>
        <v>107.849951281016</v>
      </c>
      <c r="AK442" s="10">
        <f>MAX(AI442/'Parametros'!$B$6-AJ442,0)</f>
        <v>68.2800591964833</v>
      </c>
      <c r="AL442" s="10">
        <f>0.66*SQRT('Parametros'!$B$2)*H442*MIN(U442,AB442)/1000</f>
        <v>418.711575561591</v>
      </c>
      <c r="AM442" s="10" t="str">
        <f>IF(AK442&lt;=AL442,"CUMPLE","NO CUMPLE")</f>
        <v>CUMPLE</v>
      </c>
      <c r="AN442" s="15" t="inlineStr">
        <is>
          <t>Nº3 cerrado</t>
        </is>
      </c>
      <c r="AO442" s="17" t="n">
        <v>2</v>
      </c>
      <c r="AP442" s="10">
        <f>ROUNDDOWN(MIN(IF(AK442=0,1000000000,AO442*'Parametros'!$B$11*'Parametros'!$B$4*MIN(U442,AB442)/(AK442*1000)),IF(AV442=0,1000000000,'Parametros'!$B$11/AV442),MIN(U442,AB442)/4,8*'Parametros'!$B$12,24*'Parametros'!$B$9,300)/10,0)*10</f>
        <v>80</v>
      </c>
      <c r="AQ442" s="10">
        <f>ROUNDDOWN(MIN(IF(AK442=0,1000000000,AO442*'Parametros'!$B$11*'Parametros'!$B$4*MIN(U442,AB442)/(AK442*1000)),IF(AV442=0,1000000000,'Parametros'!$B$11/AV442),MIN(U442,AB442)/2,600)/10,0)*10</f>
        <v>170</v>
      </c>
      <c r="AR442" s="10">
        <f>'Parametros'!$B$6*(AJ442+AO442*'Parametros'!$B$11*'Parametros'!$B$4*MIN(U442,AB442)/AP442/1000)</f>
        <v>272.415732210762</v>
      </c>
      <c r="AS442" s="10" t="str">
        <f>IF(AND(AM442="CUMPLE",AR442&gt;=AI442),"CUMPLE","NO CUMPLE")</f>
        <v>CUMPLE</v>
      </c>
      <c r="AT442" s="10">
        <f>'Parametros'!$B$6*0.083*SQRT('Parametros'!$B$2)*(H442*I442)^2/(2*(H442+I442))/1000000</f>
        <v>4.30410823283988</v>
      </c>
      <c r="AU442" s="10" t="str">
        <f>IF(Q442&lt;=AT442,"DESPRECIABLE","DISEÑAR")</f>
        <v>DESPRECIABLE</v>
      </c>
      <c r="AV442" s="10">
        <f>IF(Q442&lt;=AT442,0,Q442*1000000/('Parametros'!$B$6*2*0.85*(H442-2*'Parametros'!$B$7)*(I442-2*'Parametros'!$B$7)*'Parametros'!$B$4))</f>
        <v>0</v>
      </c>
      <c r="AW442" s="10">
        <f>AV442*2*((H442-2*'Parametros'!$B$7)+(I442-2*'Parametros'!$B$7))*'Parametros'!$B$4/'Parametros'!$B$3</f>
        <v>0</v>
      </c>
      <c r="AX442" s="17" t="n">
        <v>0</v>
      </c>
      <c r="AY442" s="10" t="str">
        <f>IF(AV442=0,"DESPRECIABLE",IF('Parametros'!$B$11/AP442&gt;=AV442,"CUMPLE","NO CUMPLE"))</f>
        <v>DESPRECIABLE</v>
      </c>
      <c r="AZ442" s="10" t="str">
        <f>IF(AND(X442="CUMPLE",AE442="CUMPLE",AS442="CUMPLE",OR(AY442="CUMPLE",AY442="DESPRECIABLE")),IF(OR(F442&lt;&gt;H442,G442&lt;&gt;I442),"CUMPLE - REANALIZAR SAP","CUMPLE"),"NO CUMPLE")</f>
        <v>CUMPLE</v>
      </c>
    </row>
    <row r="443">
      <c r="A443" s="26" t="inlineStr">
        <is>
          <t>VR2</t>
        </is>
      </c>
      <c r="B443" s="26" t="inlineStr">
        <is>
          <t>868</t>
        </is>
      </c>
      <c r="C443" s="10" t="n">
        <v>1</v>
      </c>
      <c r="D443" s="10" t="n">
        <v>2.7</v>
      </c>
      <c r="E443" s="10" t="n">
        <v>2.7</v>
      </c>
      <c r="F443" s="10" t="n">
        <v>350</v>
      </c>
      <c r="G443" s="10" t="n">
        <v>400</v>
      </c>
      <c r="H443" s="15" t="n">
        <v>350</v>
      </c>
      <c r="I443" s="15" t="n">
        <v>400</v>
      </c>
      <c r="J443" s="16" t="n">
        <v>70.4114</v>
      </c>
      <c r="K443" s="10" t="inlineStr">
        <is>
          <t>868</t>
        </is>
      </c>
      <c r="L443" s="16" t="n">
        <v>44.2471</v>
      </c>
      <c r="M443" s="10" t="inlineStr">
        <is>
          <t>868</t>
        </is>
      </c>
      <c r="N443" s="16" t="n">
        <v>78.89</v>
      </c>
      <c r="O443" s="16" t="n">
        <v>186.786</v>
      </c>
      <c r="P443" s="10" t="inlineStr">
        <is>
          <t>868</t>
        </is>
      </c>
      <c r="Q443" s="16" t="n">
        <v>1.2935</v>
      </c>
      <c r="R443" s="10">
        <f>MAX(MAX(1.4/'Parametros'!$B$3,0.25*SQRT('Parametros'!$B$2)/'Parametros'!$B$3)*H443*U443,(0.85*'Parametros'!$B$2/'Parametros'!$B$3)*(1-SQRT(1-2*(J443*1000000/('Parametros'!$B$5*H443*U443^2))/(0.85*'Parametros'!$B$2)))*H443*U443)</f>
        <v>567.485618447027</v>
      </c>
      <c r="S443" s="17" t="n">
        <v>3</v>
      </c>
      <c r="T443" s="18" t="n">
        <v>1</v>
      </c>
      <c r="U443" s="10">
        <f>IF(T443=1,I443-('Parametros'!$B$7+'Parametros'!$B$9+'Parametros'!$B$12/2),I443-(ROUNDUP(S443/2,0)*('Parametros'!$B$7+'Parametros'!$B$9+'Parametros'!$B$12/2)+ROUNDDOWN(S443/2,0)*('Parametros'!$B$7+'Parametros'!$B$9+'Parametros'!$B$12/2+'Parametros'!$B$12+'Parametros'!$B$10))/S443)</f>
        <v>342.55</v>
      </c>
      <c r="V443" s="10">
        <f>S443*'Parametros'!$B$8</f>
        <v>597</v>
      </c>
      <c r="W443" s="10">
        <f>'Parametros'!$B$5*V443*'Parametros'!$B$3*(U443-(V443*'Parametros'!$B$3/(0.85*'Parametros'!$B$2*H443))/2)/1000000</f>
        <v>73.905520182353</v>
      </c>
      <c r="X443" s="10" t="str">
        <f>IF(W443&gt;=J443,"CUMPLE","NO CUMPLE")</f>
        <v>CUMPLE</v>
      </c>
      <c r="Y443" s="10">
        <f>MAX(MAX(1.4/'Parametros'!$B$3,0.25*SQRT('Parametros'!$B$2)/'Parametros'!$B$3)*H443*AB443,(0.85*'Parametros'!$B$2/'Parametros'!$B$3)*(1-SQRT(1-2*(L443*1000000/('Parametros'!$B$5*H443*AB443^2))/(0.85*'Parametros'!$B$2)))*H443*AB443)</f>
        <v>399.641666666667</v>
      </c>
      <c r="Z443" s="17" t="n">
        <v>3</v>
      </c>
      <c r="AA443" s="18" t="n">
        <v>1</v>
      </c>
      <c r="AB443" s="10">
        <f>IF(AA443=1,I443-('Parametros'!$B$7+'Parametros'!$B$9+'Parametros'!$B$12/2),I443-(ROUNDUP(Z443/2,0)*('Parametros'!$B$7+'Parametros'!$B$9+'Parametros'!$B$12/2)+ROUNDDOWN(Z443/2,0)*('Parametros'!$B$7+'Parametros'!$B$9+'Parametros'!$B$12/2+'Parametros'!$B$12+'Parametros'!$B$10))/Z443)</f>
        <v>342.55</v>
      </c>
      <c r="AC443" s="10">
        <f>Z443*'Parametros'!$B$8</f>
        <v>597</v>
      </c>
      <c r="AD443" s="10">
        <f>'Parametros'!$B$5*AC443*'Parametros'!$B$3*(AB443-(AC443*'Parametros'!$B$3/(0.85*'Parametros'!$B$2*H443))/2)/1000000</f>
        <v>73.905520182353</v>
      </c>
      <c r="AE443" s="10" t="str">
        <f>IF(AD443&gt;=L443,"CUMPLE","NO CUMPLE")</f>
        <v>CUMPLE</v>
      </c>
      <c r="AF443" s="10">
        <f>V443*1.25*'Parametros'!$B$3*(U443-(V443*1.25*'Parametros'!$B$3/(0.85*'Parametros'!$B$2*H443))/2)/1000000</f>
        <v>101.467261323529</v>
      </c>
      <c r="AG443" s="10">
        <f>AC443*1.25*'Parametros'!$B$3*(AB443-(AC443*1.25*'Parametros'!$B$3/(0.85*'Parametros'!$B$2*H443))/2)/1000000</f>
        <v>101.467261323529</v>
      </c>
      <c r="AH443" s="10">
        <f>N443+(AF443+AG443)/D443</f>
        <v>154.050934313725</v>
      </c>
      <c r="AI443" s="10">
        <f>MIN(O443,MAX(N443,AH443))</f>
        <v>154.050934313725</v>
      </c>
      <c r="AJ443" s="10">
        <f>0.17*SQRT('Parametros'!$B$2)*H443*MIN(U443,AB443)/1000</f>
        <v>107.849951281016</v>
      </c>
      <c r="AK443" s="10">
        <f>MAX(AI443/'Parametros'!$B$6-AJ443,0)</f>
        <v>97.5512944706181</v>
      </c>
      <c r="AL443" s="10">
        <f>0.66*SQRT('Parametros'!$B$2)*H443*MIN(U443,AB443)/1000</f>
        <v>418.711575561591</v>
      </c>
      <c r="AM443" s="10" t="str">
        <f>IF(AK443&lt;=AL443,"CUMPLE","NO CUMPLE")</f>
        <v>CUMPLE</v>
      </c>
      <c r="AN443" s="15" t="inlineStr">
        <is>
          <t>Nº3 cerrado</t>
        </is>
      </c>
      <c r="AO443" s="17" t="n">
        <v>2</v>
      </c>
      <c r="AP443" s="10">
        <f>ROUNDDOWN(MIN(IF(AK443=0,1000000000,AO443*'Parametros'!$B$11*'Parametros'!$B$4*MIN(U443,AB443)/(AK443*1000)),IF(AV443=0,1000000000,'Parametros'!$B$11/AV443),MIN(U443,AB443)/4,8*'Parametros'!$B$12,24*'Parametros'!$B$9,300)/10,0)*10</f>
        <v>80</v>
      </c>
      <c r="AQ443" s="10">
        <f>ROUNDDOWN(MIN(IF(AK443=0,1000000000,AO443*'Parametros'!$B$11*'Parametros'!$B$4*MIN(U443,AB443)/(AK443*1000)),IF(AV443=0,1000000000,'Parametros'!$B$11/AV443),MIN(U443,AB443)/2,600)/10,0)*10</f>
        <v>170</v>
      </c>
      <c r="AR443" s="10">
        <f>'Parametros'!$B$6*(AJ443+AO443*'Parametros'!$B$11*'Parametros'!$B$4*MIN(U443,AB443)/AP443/1000)</f>
        <v>272.415732210762</v>
      </c>
      <c r="AS443" s="10" t="str">
        <f>IF(AND(AM443="CUMPLE",AR443&gt;=AI443),"CUMPLE","NO CUMPLE")</f>
        <v>CUMPLE</v>
      </c>
      <c r="AT443" s="10">
        <f>'Parametros'!$B$6*0.083*SQRT('Parametros'!$B$2)*(H443*I443)^2/(2*(H443+I443))/1000000</f>
        <v>4.30410823283988</v>
      </c>
      <c r="AU443" s="10" t="str">
        <f>IF(Q443&lt;=AT443,"DESPRECIABLE","DISEÑAR")</f>
        <v>DESPRECIABLE</v>
      </c>
      <c r="AV443" s="10">
        <f>IF(Q443&lt;=AT443,0,Q443*1000000/('Parametros'!$B$6*2*0.85*(H443-2*'Parametros'!$B$7)*(I443-2*'Parametros'!$B$7)*'Parametros'!$B$4))</f>
        <v>0</v>
      </c>
      <c r="AW443" s="10">
        <f>AV443*2*((H443-2*'Parametros'!$B$7)+(I443-2*'Parametros'!$B$7))*'Parametros'!$B$4/'Parametros'!$B$3</f>
        <v>0</v>
      </c>
      <c r="AX443" s="17" t="n">
        <v>0</v>
      </c>
      <c r="AY443" s="10" t="str">
        <f>IF(AV443=0,"DESPRECIABLE",IF('Parametros'!$B$11/AP443&gt;=AV443,"CUMPLE","NO CUMPLE"))</f>
        <v>DESPRECIABLE</v>
      </c>
      <c r="AZ443" s="10" t="str">
        <f>IF(AND(X443="CUMPLE",AE443="CUMPLE",AS443="CUMPLE",OR(AY443="CUMPLE",AY443="DESPRECIABLE")),IF(OR(F443&lt;&gt;H443,G443&lt;&gt;I443),"CUMPLE - REANALIZAR SAP","CUMPLE"),"NO CUMPLE")</f>
        <v>CUMPLE</v>
      </c>
    </row>
    <row r="444">
      <c r="A444" s="26" t="inlineStr">
        <is>
          <t>VR2</t>
        </is>
      </c>
      <c r="B444" s="26" t="inlineStr">
        <is>
          <t>869</t>
        </is>
      </c>
      <c r="C444" s="10" t="n">
        <v>1</v>
      </c>
      <c r="D444" s="10" t="n">
        <v>2.8</v>
      </c>
      <c r="E444" s="10" t="n">
        <v>2.8</v>
      </c>
      <c r="F444" s="10" t="n">
        <v>350</v>
      </c>
      <c r="G444" s="10" t="n">
        <v>400</v>
      </c>
      <c r="H444" s="15" t="n">
        <v>350</v>
      </c>
      <c r="I444" s="15" t="n">
        <v>400</v>
      </c>
      <c r="J444" s="16" t="n">
        <v>71.51900000000001</v>
      </c>
      <c r="K444" s="10" t="inlineStr">
        <is>
          <t>869</t>
        </is>
      </c>
      <c r="L444" s="16" t="n">
        <v>42.7783</v>
      </c>
      <c r="M444" s="10" t="inlineStr">
        <is>
          <t>869</t>
        </is>
      </c>
      <c r="N444" s="16" t="n">
        <v>78.593</v>
      </c>
      <c r="O444" s="16" t="n">
        <v>183.971</v>
      </c>
      <c r="P444" s="10" t="inlineStr">
        <is>
          <t>869</t>
        </is>
      </c>
      <c r="Q444" s="16" t="n">
        <v>1.2523</v>
      </c>
      <c r="R444" s="10">
        <f>MAX(MAX(1.4/'Parametros'!$B$3,0.25*SQRT('Parametros'!$B$2)/'Parametros'!$B$3)*H444*U444,(0.85*'Parametros'!$B$2/'Parametros'!$B$3)*(1-SQRT(1-2*(J444*1000000/('Parametros'!$B$5*H444*U444^2))/(0.85*'Parametros'!$B$2)))*H444*U444)</f>
        <v>576.826204647681</v>
      </c>
      <c r="S444" s="17" t="n">
        <v>3</v>
      </c>
      <c r="T444" s="18" t="n">
        <v>1</v>
      </c>
      <c r="U444" s="10">
        <f>IF(T444=1,I444-('Parametros'!$B$7+'Parametros'!$B$9+'Parametros'!$B$12/2),I444-(ROUNDUP(S444/2,0)*('Parametros'!$B$7+'Parametros'!$B$9+'Parametros'!$B$12/2)+ROUNDDOWN(S444/2,0)*('Parametros'!$B$7+'Parametros'!$B$9+'Parametros'!$B$12/2+'Parametros'!$B$12+'Parametros'!$B$10))/S444)</f>
        <v>342.55</v>
      </c>
      <c r="V444" s="10">
        <f>S444*'Parametros'!$B$8</f>
        <v>597</v>
      </c>
      <c r="W444" s="10">
        <f>'Parametros'!$B$5*V444*'Parametros'!$B$3*(U444-(V444*'Parametros'!$B$3/(0.85*'Parametros'!$B$2*H444))/2)/1000000</f>
        <v>73.905520182353</v>
      </c>
      <c r="X444" s="10" t="str">
        <f>IF(W444&gt;=J444,"CUMPLE","NO CUMPLE")</f>
        <v>CUMPLE</v>
      </c>
      <c r="Y444" s="10">
        <f>MAX(MAX(1.4/'Parametros'!$B$3,0.25*SQRT('Parametros'!$B$2)/'Parametros'!$B$3)*H444*AB444,(0.85*'Parametros'!$B$2/'Parametros'!$B$3)*(1-SQRT(1-2*(L444*1000000/('Parametros'!$B$5*H444*AB444^2))/(0.85*'Parametros'!$B$2)))*H444*AB444)</f>
        <v>399.641666666667</v>
      </c>
      <c r="Z444" s="17" t="n">
        <v>3</v>
      </c>
      <c r="AA444" s="18" t="n">
        <v>1</v>
      </c>
      <c r="AB444" s="10">
        <f>IF(AA444=1,I444-('Parametros'!$B$7+'Parametros'!$B$9+'Parametros'!$B$12/2),I444-(ROUNDUP(Z444/2,0)*('Parametros'!$B$7+'Parametros'!$B$9+'Parametros'!$B$12/2)+ROUNDDOWN(Z444/2,0)*('Parametros'!$B$7+'Parametros'!$B$9+'Parametros'!$B$12/2+'Parametros'!$B$12+'Parametros'!$B$10))/Z444)</f>
        <v>342.55</v>
      </c>
      <c r="AC444" s="10">
        <f>Z444*'Parametros'!$B$8</f>
        <v>597</v>
      </c>
      <c r="AD444" s="10">
        <f>'Parametros'!$B$5*AC444*'Parametros'!$B$3*(AB444-(AC444*'Parametros'!$B$3/(0.85*'Parametros'!$B$2*H444))/2)/1000000</f>
        <v>73.905520182353</v>
      </c>
      <c r="AE444" s="10" t="str">
        <f>IF(AD444&gt;=L444,"CUMPLE","NO CUMPLE")</f>
        <v>CUMPLE</v>
      </c>
      <c r="AF444" s="10">
        <f>V444*1.25*'Parametros'!$B$3*(U444-(V444*1.25*'Parametros'!$B$3/(0.85*'Parametros'!$B$2*H444))/2)/1000000</f>
        <v>101.467261323529</v>
      </c>
      <c r="AG444" s="10">
        <f>AC444*1.25*'Parametros'!$B$3*(AB444-(AC444*1.25*'Parametros'!$B$3/(0.85*'Parametros'!$B$2*H444))/2)/1000000</f>
        <v>101.467261323529</v>
      </c>
      <c r="AH444" s="10">
        <f>N444+(AF444+AG444)/D444</f>
        <v>151.069615231092</v>
      </c>
      <c r="AI444" s="10">
        <f>MIN(O444,MAX(N444,AH444))</f>
        <v>151.069615231092</v>
      </c>
      <c r="AJ444" s="10">
        <f>0.17*SQRT('Parametros'!$B$2)*H444*MIN(U444,AB444)/1000</f>
        <v>107.849951281016</v>
      </c>
      <c r="AK444" s="10">
        <f>MAX(AI444/'Parametros'!$B$6-AJ444,0)</f>
        <v>93.5762023604407</v>
      </c>
      <c r="AL444" s="10">
        <f>0.66*SQRT('Parametros'!$B$2)*H444*MIN(U444,AB444)/1000</f>
        <v>418.711575561591</v>
      </c>
      <c r="AM444" s="10" t="str">
        <f>IF(AK444&lt;=AL444,"CUMPLE","NO CUMPLE")</f>
        <v>CUMPLE</v>
      </c>
      <c r="AN444" s="15" t="inlineStr">
        <is>
          <t>Nº3 cerrado</t>
        </is>
      </c>
      <c r="AO444" s="17" t="n">
        <v>2</v>
      </c>
      <c r="AP444" s="10">
        <f>ROUNDDOWN(MIN(IF(AK444=0,1000000000,AO444*'Parametros'!$B$11*'Parametros'!$B$4*MIN(U444,AB444)/(AK444*1000)),IF(AV444=0,1000000000,'Parametros'!$B$11/AV444),MIN(U444,AB444)/4,8*'Parametros'!$B$12,24*'Parametros'!$B$9,300)/10,0)*10</f>
        <v>80</v>
      </c>
      <c r="AQ444" s="10">
        <f>ROUNDDOWN(MIN(IF(AK444=0,1000000000,AO444*'Parametros'!$B$11*'Parametros'!$B$4*MIN(U444,AB444)/(AK444*1000)),IF(AV444=0,1000000000,'Parametros'!$B$11/AV444),MIN(U444,AB444)/2,600)/10,0)*10</f>
        <v>170</v>
      </c>
      <c r="AR444" s="10">
        <f>'Parametros'!$B$6*(AJ444+AO444*'Parametros'!$B$11*'Parametros'!$B$4*MIN(U444,AB444)/AP444/1000)</f>
        <v>272.415732210762</v>
      </c>
      <c r="AS444" s="10" t="str">
        <f>IF(AND(AM444="CUMPLE",AR444&gt;=AI444),"CUMPLE","NO CUMPLE")</f>
        <v>CUMPLE</v>
      </c>
      <c r="AT444" s="10">
        <f>'Parametros'!$B$6*0.083*SQRT('Parametros'!$B$2)*(H444*I444)^2/(2*(H444+I444))/1000000</f>
        <v>4.30410823283988</v>
      </c>
      <c r="AU444" s="10" t="str">
        <f>IF(Q444&lt;=AT444,"DESPRECIABLE","DISEÑAR")</f>
        <v>DESPRECIABLE</v>
      </c>
      <c r="AV444" s="10">
        <f>IF(Q444&lt;=AT444,0,Q444*1000000/('Parametros'!$B$6*2*0.85*(H444-2*'Parametros'!$B$7)*(I444-2*'Parametros'!$B$7)*'Parametros'!$B$4))</f>
        <v>0</v>
      </c>
      <c r="AW444" s="10">
        <f>AV444*2*((H444-2*'Parametros'!$B$7)+(I444-2*'Parametros'!$B$7))*'Parametros'!$B$4/'Parametros'!$B$3</f>
        <v>0</v>
      </c>
      <c r="AX444" s="17" t="n">
        <v>0</v>
      </c>
      <c r="AY444" s="10" t="str">
        <f>IF(AV444=0,"DESPRECIABLE",IF('Parametros'!$B$11/AP444&gt;=AV444,"CUMPLE","NO CUMPLE"))</f>
        <v>DESPRECIABLE</v>
      </c>
      <c r="AZ444" s="10" t="str">
        <f>IF(AND(X444="CUMPLE",AE444="CUMPLE",AS444="CUMPLE",OR(AY444="CUMPLE",AY444="DESPRECIABLE")),IF(OR(F444&lt;&gt;H444,G444&lt;&gt;I444),"CUMPLE - REANALIZAR SAP","CUMPLE"),"NO CUMPLE")</f>
        <v>CUMPLE</v>
      </c>
    </row>
    <row r="445">
      <c r="A445" s="26" t="inlineStr">
        <is>
          <t>VR2</t>
        </is>
      </c>
      <c r="B445" s="26" t="inlineStr">
        <is>
          <t>870</t>
        </is>
      </c>
      <c r="C445" s="10" t="n">
        <v>1</v>
      </c>
      <c r="D445" s="10" t="n">
        <v>4.17612</v>
      </c>
      <c r="E445" s="10" t="n">
        <v>4.17612</v>
      </c>
      <c r="F445" s="10" t="n">
        <v>350</v>
      </c>
      <c r="G445" s="10" t="n">
        <v>400</v>
      </c>
      <c r="H445" s="15" t="n">
        <v>350</v>
      </c>
      <c r="I445" s="15" t="n">
        <v>400</v>
      </c>
      <c r="J445" s="16" t="n">
        <v>82.6101</v>
      </c>
      <c r="K445" s="10" t="inlineStr">
        <is>
          <t>870</t>
        </is>
      </c>
      <c r="L445" s="16" t="n">
        <v>29.666</v>
      </c>
      <c r="M445" s="10" t="inlineStr">
        <is>
          <t>870</t>
        </is>
      </c>
      <c r="N445" s="16" t="n">
        <v>75.979</v>
      </c>
      <c r="O445" s="16" t="n">
        <v>156.962</v>
      </c>
      <c r="P445" s="10" t="inlineStr">
        <is>
          <t>870</t>
        </is>
      </c>
      <c r="Q445" s="16" t="n">
        <v>0.1314</v>
      </c>
      <c r="R445" s="10">
        <f>MAX(MAX(1.4/'Parametros'!$B$3,0.25*SQRT('Parametros'!$B$2)/'Parametros'!$B$3)*H445*U445,(0.85*'Parametros'!$B$2/'Parametros'!$B$3)*(1-SQRT(1-2*(J445*1000000/('Parametros'!$B$5*H445*U445^2))/(0.85*'Parametros'!$B$2)))*H445*U445)</f>
        <v>671.145122933556</v>
      </c>
      <c r="S445" s="17" t="n">
        <v>4</v>
      </c>
      <c r="T445" s="18" t="n">
        <v>1</v>
      </c>
      <c r="U445" s="10">
        <f>IF(T445=1,I445-('Parametros'!$B$7+'Parametros'!$B$9+'Parametros'!$B$12/2),I445-(ROUNDUP(S445/2,0)*('Parametros'!$B$7+'Parametros'!$B$9+'Parametros'!$B$12/2)+ROUNDDOWN(S445/2,0)*('Parametros'!$B$7+'Parametros'!$B$9+'Parametros'!$B$12/2+'Parametros'!$B$12+'Parametros'!$B$10))/S445)</f>
        <v>342.55</v>
      </c>
      <c r="V445" s="10">
        <f>S445*'Parametros'!$B$8</f>
        <v>796</v>
      </c>
      <c r="W445" s="10">
        <f>'Parametros'!$B$5*V445*'Parametros'!$B$3*(U445-(V445*'Parametros'!$B$3/(0.85*'Parametros'!$B$2*H445))/2)/1000000</f>
        <v>97.0311966352941</v>
      </c>
      <c r="X445" s="10" t="str">
        <f>IF(W445&gt;=J445,"CUMPLE","NO CUMPLE")</f>
        <v>CUMPLE</v>
      </c>
      <c r="Y445" s="10">
        <f>MAX(MAX(1.4/'Parametros'!$B$3,0.25*SQRT('Parametros'!$B$2)/'Parametros'!$B$3)*H445*AB445,(0.85*'Parametros'!$B$2/'Parametros'!$B$3)*(1-SQRT(1-2*(L445*1000000/('Parametros'!$B$5*H445*AB445^2))/(0.85*'Parametros'!$B$2)))*H445*AB445)</f>
        <v>399.641666666667</v>
      </c>
      <c r="Z445" s="17" t="n">
        <v>3</v>
      </c>
      <c r="AA445" s="18" t="n">
        <v>1</v>
      </c>
      <c r="AB445" s="10">
        <f>IF(AA445=1,I445-('Parametros'!$B$7+'Parametros'!$B$9+'Parametros'!$B$12/2),I445-(ROUNDUP(Z445/2,0)*('Parametros'!$B$7+'Parametros'!$B$9+'Parametros'!$B$12/2)+ROUNDDOWN(Z445/2,0)*('Parametros'!$B$7+'Parametros'!$B$9+'Parametros'!$B$12/2+'Parametros'!$B$12+'Parametros'!$B$10))/Z445)</f>
        <v>342.55</v>
      </c>
      <c r="AC445" s="10">
        <f>Z445*'Parametros'!$B$8</f>
        <v>597</v>
      </c>
      <c r="AD445" s="10">
        <f>'Parametros'!$B$5*AC445*'Parametros'!$B$3*(AB445-(AC445*'Parametros'!$B$3/(0.85*'Parametros'!$B$2*H445))/2)/1000000</f>
        <v>73.905520182353</v>
      </c>
      <c r="AE445" s="10" t="str">
        <f>IF(AD445&gt;=L445,"CUMPLE","NO CUMPLE")</f>
        <v>CUMPLE</v>
      </c>
      <c r="AF445" s="10">
        <f>V445*1.25*'Parametros'!$B$3*(U445-(V445*1.25*'Parametros'!$B$3/(0.85*'Parametros'!$B$2*H445))/2)/1000000</f>
        <v>132.669027352941</v>
      </c>
      <c r="AG445" s="10">
        <f>AC445*1.25*'Parametros'!$B$3*(AB445-(AC445*1.25*'Parametros'!$B$3/(0.85*'Parametros'!$B$2*H445))/2)/1000000</f>
        <v>101.467261323529</v>
      </c>
      <c r="AH445" s="10">
        <f>N445+(AF445+AG445)/D445</f>
        <v>132.044507858124</v>
      </c>
      <c r="AI445" s="10">
        <f>MIN(O445,MAX(N445,AH445))</f>
        <v>132.044507858124</v>
      </c>
      <c r="AJ445" s="10">
        <f>0.17*SQRT('Parametros'!$B$2)*H445*MIN(U445,AB445)/1000</f>
        <v>107.849951281016</v>
      </c>
      <c r="AK445" s="10">
        <f>MAX(AI445/'Parametros'!$B$6-AJ445,0)</f>
        <v>68.2093925298167</v>
      </c>
      <c r="AL445" s="10">
        <f>0.66*SQRT('Parametros'!$B$2)*H445*MIN(U445,AB445)/1000</f>
        <v>418.711575561591</v>
      </c>
      <c r="AM445" s="10" t="str">
        <f>IF(AK445&lt;=AL445,"CUMPLE","NO CUMPLE")</f>
        <v>CUMPLE</v>
      </c>
      <c r="AN445" s="15" t="inlineStr">
        <is>
          <t>Nº3 cerrado</t>
        </is>
      </c>
      <c r="AO445" s="17" t="n">
        <v>2</v>
      </c>
      <c r="AP445" s="10">
        <f>ROUNDDOWN(MIN(IF(AK445=0,1000000000,AO445*'Parametros'!$B$11*'Parametros'!$B$4*MIN(U445,AB445)/(AK445*1000)),IF(AV445=0,1000000000,'Parametros'!$B$11/AV445),MIN(U445,AB445)/4,8*'Parametros'!$B$12,24*'Parametros'!$B$9,300)/10,0)*10</f>
        <v>80</v>
      </c>
      <c r="AQ445" s="10">
        <f>ROUNDDOWN(MIN(IF(AK445=0,1000000000,AO445*'Parametros'!$B$11*'Parametros'!$B$4*MIN(U445,AB445)/(AK445*1000)),IF(AV445=0,1000000000,'Parametros'!$B$11/AV445),MIN(U445,AB445)/2,600)/10,0)*10</f>
        <v>170</v>
      </c>
      <c r="AR445" s="10">
        <f>'Parametros'!$B$6*(AJ445+AO445*'Parametros'!$B$11*'Parametros'!$B$4*MIN(U445,AB445)/AP445/1000)</f>
        <v>272.415732210762</v>
      </c>
      <c r="AS445" s="10" t="str">
        <f>IF(AND(AM445="CUMPLE",AR445&gt;=AI445),"CUMPLE","NO CUMPLE")</f>
        <v>CUMPLE</v>
      </c>
      <c r="AT445" s="10">
        <f>'Parametros'!$B$6*0.083*SQRT('Parametros'!$B$2)*(H445*I445)^2/(2*(H445+I445))/1000000</f>
        <v>4.30410823283988</v>
      </c>
      <c r="AU445" s="10" t="str">
        <f>IF(Q445&lt;=AT445,"DESPRECIABLE","DISEÑAR")</f>
        <v>DESPRECIABLE</v>
      </c>
      <c r="AV445" s="10">
        <f>IF(Q445&lt;=AT445,0,Q445*1000000/('Parametros'!$B$6*2*0.85*(H445-2*'Parametros'!$B$7)*(I445-2*'Parametros'!$B$7)*'Parametros'!$B$4))</f>
        <v>0</v>
      </c>
      <c r="AW445" s="10">
        <f>AV445*2*((H445-2*'Parametros'!$B$7)+(I445-2*'Parametros'!$B$7))*'Parametros'!$B$4/'Parametros'!$B$3</f>
        <v>0</v>
      </c>
      <c r="AX445" s="17" t="n">
        <v>0</v>
      </c>
      <c r="AY445" s="10" t="str">
        <f>IF(AV445=0,"DESPRECIABLE",IF('Parametros'!$B$11/AP445&gt;=AV445,"CUMPLE","NO CUMPLE"))</f>
        <v>DESPRECIABLE</v>
      </c>
      <c r="AZ445" s="10" t="str">
        <f>IF(AND(X445="CUMPLE",AE445="CUMPLE",AS445="CUMPLE",OR(AY445="CUMPLE",AY445="DESPRECIABLE")),IF(OR(F445&lt;&gt;H445,G445&lt;&gt;I445),"CUMPLE - REANALIZAR SAP","CUMPLE"),"NO CUMPLE")</f>
        <v>CUMPLE</v>
      </c>
    </row>
    <row r="446">
      <c r="A446" s="26" t="inlineStr">
        <is>
          <t>VR2</t>
        </is>
      </c>
      <c r="B446" s="26" t="inlineStr">
        <is>
          <t>871</t>
        </is>
      </c>
      <c r="C446" s="10" t="n">
        <v>1</v>
      </c>
      <c r="D446" s="10" t="n">
        <v>2.5</v>
      </c>
      <c r="E446" s="10" t="n">
        <v>2.5</v>
      </c>
      <c r="F446" s="10" t="n">
        <v>350</v>
      </c>
      <c r="G446" s="10" t="n">
        <v>400</v>
      </c>
      <c r="H446" s="15" t="n">
        <v>350</v>
      </c>
      <c r="I446" s="15" t="n">
        <v>400</v>
      </c>
      <c r="J446" s="16" t="n">
        <v>69.4641</v>
      </c>
      <c r="K446" s="10" t="inlineStr">
        <is>
          <t>871</t>
        </is>
      </c>
      <c r="L446" s="16" t="n">
        <v>41.0223</v>
      </c>
      <c r="M446" s="10" t="inlineStr">
        <is>
          <t>871</t>
        </is>
      </c>
      <c r="N446" s="16" t="n">
        <v>76.16</v>
      </c>
      <c r="O446" s="16" t="n">
        <v>218.555</v>
      </c>
      <c r="P446" s="10" t="inlineStr">
        <is>
          <t>871</t>
        </is>
      </c>
      <c r="Q446" s="16" t="n">
        <v>0.9813</v>
      </c>
      <c r="R446" s="10">
        <f>MAX(MAX(1.4/'Parametros'!$B$3,0.25*SQRT('Parametros'!$B$2)/'Parametros'!$B$3)*H446*U446,(0.85*'Parametros'!$B$2/'Parametros'!$B$3)*(1-SQRT(1-2*(J446*1000000/('Parametros'!$B$5*H446*U446^2))/(0.85*'Parametros'!$B$2)))*H446*U446)</f>
        <v>559.507973303227</v>
      </c>
      <c r="S446" s="17" t="n">
        <v>3</v>
      </c>
      <c r="T446" s="18" t="n">
        <v>1</v>
      </c>
      <c r="U446" s="10">
        <f>IF(T446=1,I446-('Parametros'!$B$7+'Parametros'!$B$9+'Parametros'!$B$12/2),I446-(ROUNDUP(S446/2,0)*('Parametros'!$B$7+'Parametros'!$B$9+'Parametros'!$B$12/2)+ROUNDDOWN(S446/2,0)*('Parametros'!$B$7+'Parametros'!$B$9+'Parametros'!$B$12/2+'Parametros'!$B$12+'Parametros'!$B$10))/S446)</f>
        <v>342.55</v>
      </c>
      <c r="V446" s="10">
        <f>S446*'Parametros'!$B$8</f>
        <v>597</v>
      </c>
      <c r="W446" s="10">
        <f>'Parametros'!$B$5*V446*'Parametros'!$B$3*(U446-(V446*'Parametros'!$B$3/(0.85*'Parametros'!$B$2*H446))/2)/1000000</f>
        <v>73.905520182353</v>
      </c>
      <c r="X446" s="10" t="str">
        <f>IF(W446&gt;=J446,"CUMPLE","NO CUMPLE")</f>
        <v>CUMPLE</v>
      </c>
      <c r="Y446" s="10">
        <f>MAX(MAX(1.4/'Parametros'!$B$3,0.25*SQRT('Parametros'!$B$2)/'Parametros'!$B$3)*H446*AB446,(0.85*'Parametros'!$B$2/'Parametros'!$B$3)*(1-SQRT(1-2*(L446*1000000/('Parametros'!$B$5*H446*AB446^2))/(0.85*'Parametros'!$B$2)))*H446*AB446)</f>
        <v>399.641666666667</v>
      </c>
      <c r="Z446" s="17" t="n">
        <v>3</v>
      </c>
      <c r="AA446" s="18" t="n">
        <v>1</v>
      </c>
      <c r="AB446" s="10">
        <f>IF(AA446=1,I446-('Parametros'!$B$7+'Parametros'!$B$9+'Parametros'!$B$12/2),I446-(ROUNDUP(Z446/2,0)*('Parametros'!$B$7+'Parametros'!$B$9+'Parametros'!$B$12/2)+ROUNDDOWN(Z446/2,0)*('Parametros'!$B$7+'Parametros'!$B$9+'Parametros'!$B$12/2+'Parametros'!$B$12+'Parametros'!$B$10))/Z446)</f>
        <v>342.55</v>
      </c>
      <c r="AC446" s="10">
        <f>Z446*'Parametros'!$B$8</f>
        <v>597</v>
      </c>
      <c r="AD446" s="10">
        <f>'Parametros'!$B$5*AC446*'Parametros'!$B$3*(AB446-(AC446*'Parametros'!$B$3/(0.85*'Parametros'!$B$2*H446))/2)/1000000</f>
        <v>73.905520182353</v>
      </c>
      <c r="AE446" s="10" t="str">
        <f>IF(AD446&gt;=L446,"CUMPLE","NO CUMPLE")</f>
        <v>CUMPLE</v>
      </c>
      <c r="AF446" s="10">
        <f>V446*1.25*'Parametros'!$B$3*(U446-(V446*1.25*'Parametros'!$B$3/(0.85*'Parametros'!$B$2*H446))/2)/1000000</f>
        <v>101.467261323529</v>
      </c>
      <c r="AG446" s="10">
        <f>AC446*1.25*'Parametros'!$B$3*(AB446-(AC446*1.25*'Parametros'!$B$3/(0.85*'Parametros'!$B$2*H446))/2)/1000000</f>
        <v>101.467261323529</v>
      </c>
      <c r="AH446" s="10">
        <f>N446+(AF446+AG446)/D446</f>
        <v>157.333809058824</v>
      </c>
      <c r="AI446" s="10">
        <f>MIN(O446,MAX(N446,AH446))</f>
        <v>157.333809058824</v>
      </c>
      <c r="AJ446" s="10">
        <f>0.17*SQRT('Parametros'!$B$2)*H446*MIN(U446,AB446)/1000</f>
        <v>107.849951281016</v>
      </c>
      <c r="AK446" s="10">
        <f>MAX(AI446/'Parametros'!$B$6-AJ446,0)</f>
        <v>101.928460797415</v>
      </c>
      <c r="AL446" s="10">
        <f>0.66*SQRT('Parametros'!$B$2)*H446*MIN(U446,AB446)/1000</f>
        <v>418.711575561591</v>
      </c>
      <c r="AM446" s="10" t="str">
        <f>IF(AK446&lt;=AL446,"CUMPLE","NO CUMPLE")</f>
        <v>CUMPLE</v>
      </c>
      <c r="AN446" s="15" t="inlineStr">
        <is>
          <t>Nº3 cerrado</t>
        </is>
      </c>
      <c r="AO446" s="17" t="n">
        <v>2</v>
      </c>
      <c r="AP446" s="10">
        <f>ROUNDDOWN(MIN(IF(AK446=0,1000000000,AO446*'Parametros'!$B$11*'Parametros'!$B$4*MIN(U446,AB446)/(AK446*1000)),IF(AV446=0,1000000000,'Parametros'!$B$11/AV446),MIN(U446,AB446)/4,8*'Parametros'!$B$12,24*'Parametros'!$B$9,300)/10,0)*10</f>
        <v>80</v>
      </c>
      <c r="AQ446" s="10">
        <f>ROUNDDOWN(MIN(IF(AK446=0,1000000000,AO446*'Parametros'!$B$11*'Parametros'!$B$4*MIN(U446,AB446)/(AK446*1000)),IF(AV446=0,1000000000,'Parametros'!$B$11/AV446),MIN(U446,AB446)/2,600)/10,0)*10</f>
        <v>170</v>
      </c>
      <c r="AR446" s="10">
        <f>'Parametros'!$B$6*(AJ446+AO446*'Parametros'!$B$11*'Parametros'!$B$4*MIN(U446,AB446)/AP446/1000)</f>
        <v>272.415732210762</v>
      </c>
      <c r="AS446" s="10" t="str">
        <f>IF(AND(AM446="CUMPLE",AR446&gt;=AI446),"CUMPLE","NO CUMPLE")</f>
        <v>CUMPLE</v>
      </c>
      <c r="AT446" s="10">
        <f>'Parametros'!$B$6*0.083*SQRT('Parametros'!$B$2)*(H446*I446)^2/(2*(H446+I446))/1000000</f>
        <v>4.30410823283988</v>
      </c>
      <c r="AU446" s="10" t="str">
        <f>IF(Q446&lt;=AT446,"DESPRECIABLE","DISEÑAR")</f>
        <v>DESPRECIABLE</v>
      </c>
      <c r="AV446" s="10">
        <f>IF(Q446&lt;=AT446,0,Q446*1000000/('Parametros'!$B$6*2*0.85*(H446-2*'Parametros'!$B$7)*(I446-2*'Parametros'!$B$7)*'Parametros'!$B$4))</f>
        <v>0</v>
      </c>
      <c r="AW446" s="10">
        <f>AV446*2*((H446-2*'Parametros'!$B$7)+(I446-2*'Parametros'!$B$7))*'Parametros'!$B$4/'Parametros'!$B$3</f>
        <v>0</v>
      </c>
      <c r="AX446" s="17" t="n">
        <v>0</v>
      </c>
      <c r="AY446" s="10" t="str">
        <f>IF(AV446=0,"DESPRECIABLE",IF('Parametros'!$B$11/AP446&gt;=AV446,"CUMPLE","NO CUMPLE"))</f>
        <v>DESPRECIABLE</v>
      </c>
      <c r="AZ446" s="10" t="str">
        <f>IF(AND(X446="CUMPLE",AE446="CUMPLE",AS446="CUMPLE",OR(AY446="CUMPLE",AY446="DESPRECIABLE")),IF(OR(F446&lt;&gt;H446,G446&lt;&gt;I446),"CUMPLE - REANALIZAR SAP","CUMPLE"),"NO CUMPLE")</f>
        <v>CUMPLE</v>
      </c>
    </row>
    <row r="447">
      <c r="A447" s="26" t="inlineStr">
        <is>
          <t>VR2</t>
        </is>
      </c>
      <c r="B447" s="26" t="inlineStr">
        <is>
          <t>872</t>
        </is>
      </c>
      <c r="C447" s="10" t="n">
        <v>1</v>
      </c>
      <c r="D447" s="10" t="n">
        <v>2.6</v>
      </c>
      <c r="E447" s="10" t="n">
        <v>2.6</v>
      </c>
      <c r="F447" s="10" t="n">
        <v>350</v>
      </c>
      <c r="G447" s="10" t="n">
        <v>400</v>
      </c>
      <c r="H447" s="15" t="n">
        <v>350</v>
      </c>
      <c r="I447" s="15" t="n">
        <v>400</v>
      </c>
      <c r="J447" s="16" t="n">
        <v>75.13509999999999</v>
      </c>
      <c r="K447" s="10" t="inlineStr">
        <is>
          <t>872</t>
        </is>
      </c>
      <c r="L447" s="16" t="n">
        <v>36.9049</v>
      </c>
      <c r="M447" s="10" t="inlineStr">
        <is>
          <t>872</t>
        </is>
      </c>
      <c r="N447" s="16" t="n">
        <v>84.843</v>
      </c>
      <c r="O447" s="16" t="n">
        <v>236.836</v>
      </c>
      <c r="P447" s="10" t="inlineStr">
        <is>
          <t>872</t>
        </is>
      </c>
      <c r="Q447" s="16" t="n">
        <v>6.9133</v>
      </c>
      <c r="R447" s="10">
        <f>MAX(MAX(1.4/'Parametros'!$B$3,0.25*SQRT('Parametros'!$B$2)/'Parametros'!$B$3)*H447*U447,(0.85*'Parametros'!$B$2/'Parametros'!$B$3)*(1-SQRT(1-2*(J447*1000000/('Parametros'!$B$5*H447*U447^2))/(0.85*'Parametros'!$B$2)))*H447*U447)</f>
        <v>607.419594891154</v>
      </c>
      <c r="S447" s="17" t="n">
        <v>4</v>
      </c>
      <c r="T447" s="18" t="n">
        <v>1</v>
      </c>
      <c r="U447" s="10">
        <f>IF(T447=1,I447-('Parametros'!$B$7+'Parametros'!$B$9+'Parametros'!$B$12/2),I447-(ROUNDUP(S447/2,0)*('Parametros'!$B$7+'Parametros'!$B$9+'Parametros'!$B$12/2)+ROUNDDOWN(S447/2,0)*('Parametros'!$B$7+'Parametros'!$B$9+'Parametros'!$B$12/2+'Parametros'!$B$12+'Parametros'!$B$10))/S447)</f>
        <v>342.55</v>
      </c>
      <c r="V447" s="10">
        <f>S447*'Parametros'!$B$8</f>
        <v>796</v>
      </c>
      <c r="W447" s="10">
        <f>'Parametros'!$B$5*V447*'Parametros'!$B$3*(U447-(V447*'Parametros'!$B$3/(0.85*'Parametros'!$B$2*H447))/2)/1000000</f>
        <v>97.0311966352941</v>
      </c>
      <c r="X447" s="10" t="str">
        <f>IF(W447&gt;=J447,"CUMPLE","NO CUMPLE")</f>
        <v>CUMPLE</v>
      </c>
      <c r="Y447" s="10">
        <f>MAX(MAX(1.4/'Parametros'!$B$3,0.25*SQRT('Parametros'!$B$2)/'Parametros'!$B$3)*H447*AB447,(0.85*'Parametros'!$B$2/'Parametros'!$B$3)*(1-SQRT(1-2*(L447*1000000/('Parametros'!$B$5*H447*AB447^2))/(0.85*'Parametros'!$B$2)))*H447*AB447)</f>
        <v>399.641666666667</v>
      </c>
      <c r="Z447" s="17" t="n">
        <v>3</v>
      </c>
      <c r="AA447" s="18" t="n">
        <v>1</v>
      </c>
      <c r="AB447" s="10">
        <f>IF(AA447=1,I447-('Parametros'!$B$7+'Parametros'!$B$9+'Parametros'!$B$12/2),I447-(ROUNDUP(Z447/2,0)*('Parametros'!$B$7+'Parametros'!$B$9+'Parametros'!$B$12/2)+ROUNDDOWN(Z447/2,0)*('Parametros'!$B$7+'Parametros'!$B$9+'Parametros'!$B$12/2+'Parametros'!$B$12+'Parametros'!$B$10))/Z447)</f>
        <v>342.55</v>
      </c>
      <c r="AC447" s="10">
        <f>Z447*'Parametros'!$B$8</f>
        <v>597</v>
      </c>
      <c r="AD447" s="10">
        <f>'Parametros'!$B$5*AC447*'Parametros'!$B$3*(AB447-(AC447*'Parametros'!$B$3/(0.85*'Parametros'!$B$2*H447))/2)/1000000</f>
        <v>73.905520182353</v>
      </c>
      <c r="AE447" s="10" t="str">
        <f>IF(AD447&gt;=L447,"CUMPLE","NO CUMPLE")</f>
        <v>CUMPLE</v>
      </c>
      <c r="AF447" s="10">
        <f>V447*1.25*'Parametros'!$B$3*(U447-(V447*1.25*'Parametros'!$B$3/(0.85*'Parametros'!$B$2*H447))/2)/1000000</f>
        <v>132.669027352941</v>
      </c>
      <c r="AG447" s="10">
        <f>AC447*1.25*'Parametros'!$B$3*(AB447-(AC447*1.25*'Parametros'!$B$3/(0.85*'Parametros'!$B$2*H447))/2)/1000000</f>
        <v>101.467261323529</v>
      </c>
      <c r="AH447" s="10">
        <f>N447+(AF447+AG447)/D447</f>
        <v>174.895418721719</v>
      </c>
      <c r="AI447" s="10">
        <f>MIN(O447,MAX(N447,AH447))</f>
        <v>174.895418721719</v>
      </c>
      <c r="AJ447" s="10">
        <f>0.17*SQRT('Parametros'!$B$2)*H447*MIN(U447,AB447)/1000</f>
        <v>107.849951281016</v>
      </c>
      <c r="AK447" s="10">
        <f>MAX(AI447/'Parametros'!$B$6-AJ447,0)</f>
        <v>125.343940347943</v>
      </c>
      <c r="AL447" s="10">
        <f>0.66*SQRT('Parametros'!$B$2)*H447*MIN(U447,AB447)/1000</f>
        <v>418.711575561591</v>
      </c>
      <c r="AM447" s="10" t="str">
        <f>IF(AK447&lt;=AL447,"CUMPLE","NO CUMPLE")</f>
        <v>CUMPLE</v>
      </c>
      <c r="AN447" s="15" t="inlineStr">
        <is>
          <t>Nº3 cerrado</t>
        </is>
      </c>
      <c r="AO447" s="17" t="n">
        <v>2</v>
      </c>
      <c r="AP447" s="10">
        <f>ROUNDDOWN(MIN(IF(AK447=0,1000000000,AO447*'Parametros'!$B$11*'Parametros'!$B$4*MIN(U447,AB447)/(AK447*1000)),IF(AV447=0,1000000000,'Parametros'!$B$11/AV447),MIN(U447,AB447)/4,8*'Parametros'!$B$12,24*'Parametros'!$B$9,300)/10,0)*10</f>
        <v>80</v>
      </c>
      <c r="AQ447" s="10">
        <f>ROUNDDOWN(MIN(IF(AK447=0,1000000000,AO447*'Parametros'!$B$11*'Parametros'!$B$4*MIN(U447,AB447)/(AK447*1000)),IF(AV447=0,1000000000,'Parametros'!$B$11/AV447),MIN(U447,AB447)/2,600)/10,0)*10</f>
        <v>160</v>
      </c>
      <c r="AR447" s="10">
        <f>'Parametros'!$B$6*(AJ447+AO447*'Parametros'!$B$11*'Parametros'!$B$4*MIN(U447,AB447)/AP447/1000)</f>
        <v>272.415732210762</v>
      </c>
      <c r="AS447" s="10" t="str">
        <f>IF(AND(AM447="CUMPLE",AR447&gt;=AI447),"CUMPLE","NO CUMPLE")</f>
        <v>CUMPLE</v>
      </c>
      <c r="AT447" s="10">
        <f>'Parametros'!$B$6*0.083*SQRT('Parametros'!$B$2)*(H447*I447)^2/(2*(H447+I447))/1000000</f>
        <v>4.30410823283988</v>
      </c>
      <c r="AU447" s="10" t="str">
        <f>IF(Q447&lt;=AT447,"DESPRECIABLE","DISEÑAR")</f>
        <v>DISEÑAR</v>
      </c>
      <c r="AV447" s="10">
        <f>IF(Q447&lt;=AT447,0,Q447*1000000/('Parametros'!$B$6*2*0.85*(H447-2*'Parametros'!$B$7)*(I447-2*'Parametros'!$B$7)*'Parametros'!$B$4))</f>
        <v>0.149421188228378</v>
      </c>
      <c r="AW447" s="10">
        <f>AV447*2*((H447-2*'Parametros'!$B$7)+(I447-2*'Parametros'!$B$7))*'Parametros'!$B$4/'Parametros'!$B$3</f>
        <v>176.317002109486</v>
      </c>
      <c r="AX447" s="17" t="n">
        <v>1</v>
      </c>
      <c r="AY447" s="10" t="str">
        <f>IF(AV447=0,"DESPRECIABLE",IF('Parametros'!$B$11/AP447&gt;=AV447,"CUMPLE","NO CUMPLE"))</f>
        <v>CUMPLE</v>
      </c>
      <c r="AZ447" s="10" t="str">
        <f>IF(AND(X447="CUMPLE",AE447="CUMPLE",AS447="CUMPLE",OR(AY447="CUMPLE",AY447="DESPRECIABLE")),IF(OR(F447&lt;&gt;H447,G447&lt;&gt;I447),"CUMPLE - REANALIZAR SAP","CUMPLE"),"NO CUMPLE")</f>
        <v>CUMPLE</v>
      </c>
    </row>
    <row r="448">
      <c r="A448" s="26" t="inlineStr">
        <is>
          <t>VR2</t>
        </is>
      </c>
      <c r="B448" s="26" t="inlineStr">
        <is>
          <t>873</t>
        </is>
      </c>
      <c r="C448" s="10" t="n">
        <v>1</v>
      </c>
      <c r="D448" s="10" t="n">
        <v>3.65308</v>
      </c>
      <c r="E448" s="10" t="n">
        <v>3.65308</v>
      </c>
      <c r="F448" s="10" t="n">
        <v>350</v>
      </c>
      <c r="G448" s="10" t="n">
        <v>400</v>
      </c>
      <c r="H448" s="15" t="n">
        <v>350</v>
      </c>
      <c r="I448" s="15" t="n">
        <v>400</v>
      </c>
      <c r="J448" s="16" t="n">
        <v>75.21639999999999</v>
      </c>
      <c r="K448" s="10" t="inlineStr">
        <is>
          <t>873</t>
        </is>
      </c>
      <c r="L448" s="16" t="n">
        <v>32.9265</v>
      </c>
      <c r="M448" s="10" t="inlineStr">
        <is>
          <t>873</t>
        </is>
      </c>
      <c r="N448" s="16" t="n">
        <v>67.19</v>
      </c>
      <c r="O448" s="16" t="n">
        <v>147.496</v>
      </c>
      <c r="P448" s="10" t="inlineStr">
        <is>
          <t>873</t>
        </is>
      </c>
      <c r="Q448" s="16" t="n">
        <v>7.0701</v>
      </c>
      <c r="R448" s="10">
        <f>MAX(MAX(1.4/'Parametros'!$B$3,0.25*SQRT('Parametros'!$B$2)/'Parametros'!$B$3)*H448*U448,(0.85*'Parametros'!$B$2/'Parametros'!$B$3)*(1-SQRT(1-2*(J448*1000000/('Parametros'!$B$5*H448*U448^2))/(0.85*'Parametros'!$B$2)))*H448*U448)</f>
        <v>608.109158659908</v>
      </c>
      <c r="S448" s="17" t="n">
        <v>4</v>
      </c>
      <c r="T448" s="18" t="n">
        <v>1</v>
      </c>
      <c r="U448" s="10">
        <f>IF(T448=1,I448-('Parametros'!$B$7+'Parametros'!$B$9+'Parametros'!$B$12/2),I448-(ROUNDUP(S448/2,0)*('Parametros'!$B$7+'Parametros'!$B$9+'Parametros'!$B$12/2)+ROUNDDOWN(S448/2,0)*('Parametros'!$B$7+'Parametros'!$B$9+'Parametros'!$B$12/2+'Parametros'!$B$12+'Parametros'!$B$10))/S448)</f>
        <v>342.55</v>
      </c>
      <c r="V448" s="10">
        <f>S448*'Parametros'!$B$8</f>
        <v>796</v>
      </c>
      <c r="W448" s="10">
        <f>'Parametros'!$B$5*V448*'Parametros'!$B$3*(U448-(V448*'Parametros'!$B$3/(0.85*'Parametros'!$B$2*H448))/2)/1000000</f>
        <v>97.0311966352941</v>
      </c>
      <c r="X448" s="10" t="str">
        <f>IF(W448&gt;=J448,"CUMPLE","NO CUMPLE")</f>
        <v>CUMPLE</v>
      </c>
      <c r="Y448" s="10">
        <f>MAX(MAX(1.4/'Parametros'!$B$3,0.25*SQRT('Parametros'!$B$2)/'Parametros'!$B$3)*H448*AB448,(0.85*'Parametros'!$B$2/'Parametros'!$B$3)*(1-SQRT(1-2*(L448*1000000/('Parametros'!$B$5*H448*AB448^2))/(0.85*'Parametros'!$B$2)))*H448*AB448)</f>
        <v>399.641666666667</v>
      </c>
      <c r="Z448" s="17" t="n">
        <v>3</v>
      </c>
      <c r="AA448" s="18" t="n">
        <v>1</v>
      </c>
      <c r="AB448" s="10">
        <f>IF(AA448=1,I448-('Parametros'!$B$7+'Parametros'!$B$9+'Parametros'!$B$12/2),I448-(ROUNDUP(Z448/2,0)*('Parametros'!$B$7+'Parametros'!$B$9+'Parametros'!$B$12/2)+ROUNDDOWN(Z448/2,0)*('Parametros'!$B$7+'Parametros'!$B$9+'Parametros'!$B$12/2+'Parametros'!$B$12+'Parametros'!$B$10))/Z448)</f>
        <v>342.55</v>
      </c>
      <c r="AC448" s="10">
        <f>Z448*'Parametros'!$B$8</f>
        <v>597</v>
      </c>
      <c r="AD448" s="10">
        <f>'Parametros'!$B$5*AC448*'Parametros'!$B$3*(AB448-(AC448*'Parametros'!$B$3/(0.85*'Parametros'!$B$2*H448))/2)/1000000</f>
        <v>73.905520182353</v>
      </c>
      <c r="AE448" s="10" t="str">
        <f>IF(AD448&gt;=L448,"CUMPLE","NO CUMPLE")</f>
        <v>CUMPLE</v>
      </c>
      <c r="AF448" s="10">
        <f>V448*1.25*'Parametros'!$B$3*(U448-(V448*1.25*'Parametros'!$B$3/(0.85*'Parametros'!$B$2*H448))/2)/1000000</f>
        <v>132.669027352941</v>
      </c>
      <c r="AG448" s="10">
        <f>AC448*1.25*'Parametros'!$B$3*(AB448-(AC448*1.25*'Parametros'!$B$3/(0.85*'Parametros'!$B$2*H448))/2)/1000000</f>
        <v>101.467261323529</v>
      </c>
      <c r="AH448" s="10">
        <f>N448+(AF448+AG448)/D448</f>
        <v>131.282844579497</v>
      </c>
      <c r="AI448" s="10">
        <f>MIN(O448,MAX(N448,AH448))</f>
        <v>131.282844579497</v>
      </c>
      <c r="AJ448" s="10">
        <f>0.17*SQRT('Parametros'!$B$2)*H448*MIN(U448,AB448)/1000</f>
        <v>107.849951281016</v>
      </c>
      <c r="AK448" s="10">
        <f>MAX(AI448/'Parametros'!$B$6-AJ448,0)</f>
        <v>67.1938414916474</v>
      </c>
      <c r="AL448" s="10">
        <f>0.66*SQRT('Parametros'!$B$2)*H448*MIN(U448,AB448)/1000</f>
        <v>418.711575561591</v>
      </c>
      <c r="AM448" s="10" t="str">
        <f>IF(AK448&lt;=AL448,"CUMPLE","NO CUMPLE")</f>
        <v>CUMPLE</v>
      </c>
      <c r="AN448" s="15" t="inlineStr">
        <is>
          <t>Nº3 cerrado</t>
        </is>
      </c>
      <c r="AO448" s="17" t="n">
        <v>2</v>
      </c>
      <c r="AP448" s="10">
        <f>ROUNDDOWN(MIN(IF(AK448=0,1000000000,AO448*'Parametros'!$B$11*'Parametros'!$B$4*MIN(U448,AB448)/(AK448*1000)),IF(AV448=0,1000000000,'Parametros'!$B$11/AV448),MIN(U448,AB448)/4,8*'Parametros'!$B$12,24*'Parametros'!$B$9,300)/10,0)*10</f>
        <v>80</v>
      </c>
      <c r="AQ448" s="10">
        <f>ROUNDDOWN(MIN(IF(AK448=0,1000000000,AO448*'Parametros'!$B$11*'Parametros'!$B$4*MIN(U448,AB448)/(AK448*1000)),IF(AV448=0,1000000000,'Parametros'!$B$11/AV448),MIN(U448,AB448)/2,600)/10,0)*10</f>
        <v>170</v>
      </c>
      <c r="AR448" s="10">
        <f>'Parametros'!$B$6*(AJ448+AO448*'Parametros'!$B$11*'Parametros'!$B$4*MIN(U448,AB448)/AP448/1000)</f>
        <v>272.415732210762</v>
      </c>
      <c r="AS448" s="10" t="str">
        <f>IF(AND(AM448="CUMPLE",AR448&gt;=AI448),"CUMPLE","NO CUMPLE")</f>
        <v>CUMPLE</v>
      </c>
      <c r="AT448" s="10">
        <f>'Parametros'!$B$6*0.083*SQRT('Parametros'!$B$2)*(H448*I448)^2/(2*(H448+I448))/1000000</f>
        <v>4.30410823283988</v>
      </c>
      <c r="AU448" s="10" t="str">
        <f>IF(Q448&lt;=AT448,"DESPRECIABLE","DISEÑAR")</f>
        <v>DISEÑAR</v>
      </c>
      <c r="AV448" s="10">
        <f>IF(Q448&lt;=AT448,0,Q448*1000000/('Parametros'!$B$6*2*0.85*(H448-2*'Parametros'!$B$7)*(I448-2*'Parametros'!$B$7)*'Parametros'!$B$4))</f>
        <v>0.152810198153335</v>
      </c>
      <c r="AW448" s="10">
        <f>AV448*2*((H448-2*'Parametros'!$B$7)+(I448-2*'Parametros'!$B$7))*'Parametros'!$B$4/'Parametros'!$B$3</f>
        <v>180.316033820936</v>
      </c>
      <c r="AX448" s="17" t="n">
        <v>1</v>
      </c>
      <c r="AY448" s="10" t="str">
        <f>IF(AV448=0,"DESPRECIABLE",IF('Parametros'!$B$11/AP448&gt;=AV448,"CUMPLE","NO CUMPLE"))</f>
        <v>CUMPLE</v>
      </c>
      <c r="AZ448" s="10" t="str">
        <f>IF(AND(X448="CUMPLE",AE448="CUMPLE",AS448="CUMPLE",OR(AY448="CUMPLE",AY448="DESPRECIABLE")),IF(OR(F448&lt;&gt;H448,G448&lt;&gt;I448),"CUMPLE - REANALIZAR SAP","CUMPLE"),"NO CUMPLE")</f>
        <v>CUMPLE</v>
      </c>
    </row>
    <row r="449">
      <c r="A449" s="26" t="inlineStr">
        <is>
          <t>VR2</t>
        </is>
      </c>
      <c r="B449" s="26" t="inlineStr">
        <is>
          <t>874</t>
        </is>
      </c>
      <c r="C449" s="10" t="n">
        <v>1</v>
      </c>
      <c r="D449" s="10" t="n">
        <v>2.6</v>
      </c>
      <c r="E449" s="10" t="n">
        <v>2.6</v>
      </c>
      <c r="F449" s="10" t="n">
        <v>350</v>
      </c>
      <c r="G449" s="10" t="n">
        <v>400</v>
      </c>
      <c r="H449" s="15" t="n">
        <v>350</v>
      </c>
      <c r="I449" s="15" t="n">
        <v>400</v>
      </c>
      <c r="J449" s="16" t="n">
        <v>74.0106</v>
      </c>
      <c r="K449" s="10" t="inlineStr">
        <is>
          <t>874</t>
        </is>
      </c>
      <c r="L449" s="16" t="n">
        <v>35.7688</v>
      </c>
      <c r="M449" s="10" t="inlineStr">
        <is>
          <t>874</t>
        </is>
      </c>
      <c r="N449" s="16" t="n">
        <v>75.51600000000001</v>
      </c>
      <c r="O449" s="16" t="n">
        <v>197.112</v>
      </c>
      <c r="P449" s="10" t="inlineStr">
        <is>
          <t>874</t>
        </is>
      </c>
      <c r="Q449" s="16" t="n">
        <v>0.7774</v>
      </c>
      <c r="R449" s="10">
        <f>MAX(MAX(1.4/'Parametros'!$B$3,0.25*SQRT('Parametros'!$B$2)/'Parametros'!$B$3)*H449*U449,(0.85*'Parametros'!$B$2/'Parametros'!$B$3)*(1-SQRT(1-2*(J449*1000000/('Parametros'!$B$5*H449*U449^2))/(0.85*'Parametros'!$B$2)))*H449*U449)</f>
        <v>597.889773218163</v>
      </c>
      <c r="S449" s="17" t="n">
        <v>4</v>
      </c>
      <c r="T449" s="18" t="n">
        <v>1</v>
      </c>
      <c r="U449" s="10">
        <f>IF(T449=1,I449-('Parametros'!$B$7+'Parametros'!$B$9+'Parametros'!$B$12/2),I449-(ROUNDUP(S449/2,0)*('Parametros'!$B$7+'Parametros'!$B$9+'Parametros'!$B$12/2)+ROUNDDOWN(S449/2,0)*('Parametros'!$B$7+'Parametros'!$B$9+'Parametros'!$B$12/2+'Parametros'!$B$12+'Parametros'!$B$10))/S449)</f>
        <v>342.55</v>
      </c>
      <c r="V449" s="10">
        <f>S449*'Parametros'!$B$8</f>
        <v>796</v>
      </c>
      <c r="W449" s="10">
        <f>'Parametros'!$B$5*V449*'Parametros'!$B$3*(U449-(V449*'Parametros'!$B$3/(0.85*'Parametros'!$B$2*H449))/2)/1000000</f>
        <v>97.0311966352941</v>
      </c>
      <c r="X449" s="10" t="str">
        <f>IF(W449&gt;=J449,"CUMPLE","NO CUMPLE")</f>
        <v>CUMPLE</v>
      </c>
      <c r="Y449" s="10">
        <f>MAX(MAX(1.4/'Parametros'!$B$3,0.25*SQRT('Parametros'!$B$2)/'Parametros'!$B$3)*H449*AB449,(0.85*'Parametros'!$B$2/'Parametros'!$B$3)*(1-SQRT(1-2*(L449*1000000/('Parametros'!$B$5*H449*AB449^2))/(0.85*'Parametros'!$B$2)))*H449*AB449)</f>
        <v>399.641666666667</v>
      </c>
      <c r="Z449" s="17" t="n">
        <v>3</v>
      </c>
      <c r="AA449" s="18" t="n">
        <v>1</v>
      </c>
      <c r="AB449" s="10">
        <f>IF(AA449=1,I449-('Parametros'!$B$7+'Parametros'!$B$9+'Parametros'!$B$12/2),I449-(ROUNDUP(Z449/2,0)*('Parametros'!$B$7+'Parametros'!$B$9+'Parametros'!$B$12/2)+ROUNDDOWN(Z449/2,0)*('Parametros'!$B$7+'Parametros'!$B$9+'Parametros'!$B$12/2+'Parametros'!$B$12+'Parametros'!$B$10))/Z449)</f>
        <v>342.55</v>
      </c>
      <c r="AC449" s="10">
        <f>Z449*'Parametros'!$B$8</f>
        <v>597</v>
      </c>
      <c r="AD449" s="10">
        <f>'Parametros'!$B$5*AC449*'Parametros'!$B$3*(AB449-(AC449*'Parametros'!$B$3/(0.85*'Parametros'!$B$2*H449))/2)/1000000</f>
        <v>73.905520182353</v>
      </c>
      <c r="AE449" s="10" t="str">
        <f>IF(AD449&gt;=L449,"CUMPLE","NO CUMPLE")</f>
        <v>CUMPLE</v>
      </c>
      <c r="AF449" s="10">
        <f>V449*1.25*'Parametros'!$B$3*(U449-(V449*1.25*'Parametros'!$B$3/(0.85*'Parametros'!$B$2*H449))/2)/1000000</f>
        <v>132.669027352941</v>
      </c>
      <c r="AG449" s="10">
        <f>AC449*1.25*'Parametros'!$B$3*(AB449-(AC449*1.25*'Parametros'!$B$3/(0.85*'Parametros'!$B$2*H449))/2)/1000000</f>
        <v>101.467261323529</v>
      </c>
      <c r="AH449" s="10">
        <f>N449+(AF449+AG449)/D449</f>
        <v>165.568418721719</v>
      </c>
      <c r="AI449" s="10">
        <f>MIN(O449,MAX(N449,AH449))</f>
        <v>165.568418721719</v>
      </c>
      <c r="AJ449" s="10">
        <f>0.17*SQRT('Parametros'!$B$2)*H449*MIN(U449,AB449)/1000</f>
        <v>107.849951281016</v>
      </c>
      <c r="AK449" s="10">
        <f>MAX(AI449/'Parametros'!$B$6-AJ449,0)</f>
        <v>112.907940347943</v>
      </c>
      <c r="AL449" s="10">
        <f>0.66*SQRT('Parametros'!$B$2)*H449*MIN(U449,AB449)/1000</f>
        <v>418.711575561591</v>
      </c>
      <c r="AM449" s="10" t="str">
        <f>IF(AK449&lt;=AL449,"CUMPLE","NO CUMPLE")</f>
        <v>CUMPLE</v>
      </c>
      <c r="AN449" s="15" t="inlineStr">
        <is>
          <t>Nº3 cerrado</t>
        </is>
      </c>
      <c r="AO449" s="17" t="n">
        <v>2</v>
      </c>
      <c r="AP449" s="10">
        <f>ROUNDDOWN(MIN(IF(AK449=0,1000000000,AO449*'Parametros'!$B$11*'Parametros'!$B$4*MIN(U449,AB449)/(AK449*1000)),IF(AV449=0,1000000000,'Parametros'!$B$11/AV449),MIN(U449,AB449)/4,8*'Parametros'!$B$12,24*'Parametros'!$B$9,300)/10,0)*10</f>
        <v>80</v>
      </c>
      <c r="AQ449" s="10">
        <f>ROUNDDOWN(MIN(IF(AK449=0,1000000000,AO449*'Parametros'!$B$11*'Parametros'!$B$4*MIN(U449,AB449)/(AK449*1000)),IF(AV449=0,1000000000,'Parametros'!$B$11/AV449),MIN(U449,AB449)/2,600)/10,0)*10</f>
        <v>170</v>
      </c>
      <c r="AR449" s="10">
        <f>'Parametros'!$B$6*(AJ449+AO449*'Parametros'!$B$11*'Parametros'!$B$4*MIN(U449,AB449)/AP449/1000)</f>
        <v>272.415732210762</v>
      </c>
      <c r="AS449" s="10" t="str">
        <f>IF(AND(AM449="CUMPLE",AR449&gt;=AI449),"CUMPLE","NO CUMPLE")</f>
        <v>CUMPLE</v>
      </c>
      <c r="AT449" s="10">
        <f>'Parametros'!$B$6*0.083*SQRT('Parametros'!$B$2)*(H449*I449)^2/(2*(H449+I449))/1000000</f>
        <v>4.30410823283988</v>
      </c>
      <c r="AU449" s="10" t="str">
        <f>IF(Q449&lt;=AT449,"DESPRECIABLE","DISEÑAR")</f>
        <v>DESPRECIABLE</v>
      </c>
      <c r="AV449" s="10">
        <f>IF(Q449&lt;=AT449,0,Q449*1000000/('Parametros'!$B$6*2*0.85*(H449-2*'Parametros'!$B$7)*(I449-2*'Parametros'!$B$7)*'Parametros'!$B$4))</f>
        <v>0</v>
      </c>
      <c r="AW449" s="10">
        <f>AV449*2*((H449-2*'Parametros'!$B$7)+(I449-2*'Parametros'!$B$7))*'Parametros'!$B$4/'Parametros'!$B$3</f>
        <v>0</v>
      </c>
      <c r="AX449" s="17" t="n">
        <v>0</v>
      </c>
      <c r="AY449" s="10" t="str">
        <f>IF(AV449=0,"DESPRECIABLE",IF('Parametros'!$B$11/AP449&gt;=AV449,"CUMPLE","NO CUMPLE"))</f>
        <v>DESPRECIABLE</v>
      </c>
      <c r="AZ449" s="10" t="str">
        <f>IF(AND(X449="CUMPLE",AE449="CUMPLE",AS449="CUMPLE",OR(AY449="CUMPLE",AY449="DESPRECIABLE")),IF(OR(F449&lt;&gt;H449,G449&lt;&gt;I449),"CUMPLE - REANALIZAR SAP","CUMPLE"),"NO CUMPLE")</f>
        <v>CUMPLE</v>
      </c>
    </row>
    <row r="450">
      <c r="A450" s="26" t="inlineStr">
        <is>
          <t>VR2</t>
        </is>
      </c>
      <c r="B450" s="26" t="inlineStr">
        <is>
          <t>885</t>
        </is>
      </c>
      <c r="C450" s="10" t="n">
        <v>1</v>
      </c>
      <c r="D450" s="10" t="n">
        <v>2.6</v>
      </c>
      <c r="E450" s="10" t="n">
        <v>2.6</v>
      </c>
      <c r="F450" s="10" t="n">
        <v>350</v>
      </c>
      <c r="G450" s="10" t="n">
        <v>400</v>
      </c>
      <c r="H450" s="15" t="n">
        <v>350</v>
      </c>
      <c r="I450" s="15" t="n">
        <v>400</v>
      </c>
      <c r="J450" s="16" t="n">
        <v>74.12050000000001</v>
      </c>
      <c r="K450" s="10" t="inlineStr">
        <is>
          <t>885</t>
        </is>
      </c>
      <c r="L450" s="16" t="n">
        <v>35.8697</v>
      </c>
      <c r="M450" s="10" t="inlineStr">
        <is>
          <t>885</t>
        </is>
      </c>
      <c r="N450" s="16" t="n">
        <v>75.598</v>
      </c>
      <c r="O450" s="16" t="n">
        <v>197.194</v>
      </c>
      <c r="P450" s="10" t="inlineStr">
        <is>
          <t>885</t>
        </is>
      </c>
      <c r="Q450" s="16" t="n">
        <v>0.7774</v>
      </c>
      <c r="R450" s="10">
        <f>MAX(MAX(1.4/'Parametros'!$B$3,0.25*SQRT('Parametros'!$B$2)/'Parametros'!$B$3)*H450*U450,(0.85*'Parametros'!$B$2/'Parametros'!$B$3)*(1-SQRT(1-2*(J450*1000000/('Parametros'!$B$5*H450*U450^2))/(0.85*'Parametros'!$B$2)))*H450*U450)</f>
        <v>598.820498504655</v>
      </c>
      <c r="S450" s="17" t="n">
        <v>4</v>
      </c>
      <c r="T450" s="18" t="n">
        <v>1</v>
      </c>
      <c r="U450" s="10">
        <f>IF(T450=1,I450-('Parametros'!$B$7+'Parametros'!$B$9+'Parametros'!$B$12/2),I450-(ROUNDUP(S450/2,0)*('Parametros'!$B$7+'Parametros'!$B$9+'Parametros'!$B$12/2)+ROUNDDOWN(S450/2,0)*('Parametros'!$B$7+'Parametros'!$B$9+'Parametros'!$B$12/2+'Parametros'!$B$12+'Parametros'!$B$10))/S450)</f>
        <v>342.55</v>
      </c>
      <c r="V450" s="10">
        <f>S450*'Parametros'!$B$8</f>
        <v>796</v>
      </c>
      <c r="W450" s="10">
        <f>'Parametros'!$B$5*V450*'Parametros'!$B$3*(U450-(V450*'Parametros'!$B$3/(0.85*'Parametros'!$B$2*H450))/2)/1000000</f>
        <v>97.0311966352941</v>
      </c>
      <c r="X450" s="10" t="str">
        <f>IF(W450&gt;=J450,"CUMPLE","NO CUMPLE")</f>
        <v>CUMPLE</v>
      </c>
      <c r="Y450" s="10">
        <f>MAX(MAX(1.4/'Parametros'!$B$3,0.25*SQRT('Parametros'!$B$2)/'Parametros'!$B$3)*H450*AB450,(0.85*'Parametros'!$B$2/'Parametros'!$B$3)*(1-SQRT(1-2*(L450*1000000/('Parametros'!$B$5*H450*AB450^2))/(0.85*'Parametros'!$B$2)))*H450*AB450)</f>
        <v>399.641666666667</v>
      </c>
      <c r="Z450" s="17" t="n">
        <v>3</v>
      </c>
      <c r="AA450" s="18" t="n">
        <v>1</v>
      </c>
      <c r="AB450" s="10">
        <f>IF(AA450=1,I450-('Parametros'!$B$7+'Parametros'!$B$9+'Parametros'!$B$12/2),I450-(ROUNDUP(Z450/2,0)*('Parametros'!$B$7+'Parametros'!$B$9+'Parametros'!$B$12/2)+ROUNDDOWN(Z450/2,0)*('Parametros'!$B$7+'Parametros'!$B$9+'Parametros'!$B$12/2+'Parametros'!$B$12+'Parametros'!$B$10))/Z450)</f>
        <v>342.55</v>
      </c>
      <c r="AC450" s="10">
        <f>Z450*'Parametros'!$B$8</f>
        <v>597</v>
      </c>
      <c r="AD450" s="10">
        <f>'Parametros'!$B$5*AC450*'Parametros'!$B$3*(AB450-(AC450*'Parametros'!$B$3/(0.85*'Parametros'!$B$2*H450))/2)/1000000</f>
        <v>73.905520182353</v>
      </c>
      <c r="AE450" s="10" t="str">
        <f>IF(AD450&gt;=L450,"CUMPLE","NO CUMPLE")</f>
        <v>CUMPLE</v>
      </c>
      <c r="AF450" s="10">
        <f>V450*1.25*'Parametros'!$B$3*(U450-(V450*1.25*'Parametros'!$B$3/(0.85*'Parametros'!$B$2*H450))/2)/1000000</f>
        <v>132.669027352941</v>
      </c>
      <c r="AG450" s="10">
        <f>AC450*1.25*'Parametros'!$B$3*(AB450-(AC450*1.25*'Parametros'!$B$3/(0.85*'Parametros'!$B$2*H450))/2)/1000000</f>
        <v>101.467261323529</v>
      </c>
      <c r="AH450" s="10">
        <f>N450+(AF450+AG450)/D450</f>
        <v>165.650418721719</v>
      </c>
      <c r="AI450" s="10">
        <f>MIN(O450,MAX(N450,AH450))</f>
        <v>165.650418721719</v>
      </c>
      <c r="AJ450" s="10">
        <f>0.17*SQRT('Parametros'!$B$2)*H450*MIN(U450,AB450)/1000</f>
        <v>107.849951281016</v>
      </c>
      <c r="AK450" s="10">
        <f>MAX(AI450/'Parametros'!$B$6-AJ450,0)</f>
        <v>113.017273681277</v>
      </c>
      <c r="AL450" s="10">
        <f>0.66*SQRT('Parametros'!$B$2)*H450*MIN(U450,AB450)/1000</f>
        <v>418.711575561591</v>
      </c>
      <c r="AM450" s="10" t="str">
        <f>IF(AK450&lt;=AL450,"CUMPLE","NO CUMPLE")</f>
        <v>CUMPLE</v>
      </c>
      <c r="AN450" s="15" t="inlineStr">
        <is>
          <t>Nº3 cerrado</t>
        </is>
      </c>
      <c r="AO450" s="17" t="n">
        <v>2</v>
      </c>
      <c r="AP450" s="10">
        <f>ROUNDDOWN(MIN(IF(AK450=0,1000000000,AO450*'Parametros'!$B$11*'Parametros'!$B$4*MIN(U450,AB450)/(AK450*1000)),IF(AV450=0,1000000000,'Parametros'!$B$11/AV450),MIN(U450,AB450)/4,8*'Parametros'!$B$12,24*'Parametros'!$B$9,300)/10,0)*10</f>
        <v>80</v>
      </c>
      <c r="AQ450" s="10">
        <f>ROUNDDOWN(MIN(IF(AK450=0,1000000000,AO450*'Parametros'!$B$11*'Parametros'!$B$4*MIN(U450,AB450)/(AK450*1000)),IF(AV450=0,1000000000,'Parametros'!$B$11/AV450),MIN(U450,AB450)/2,600)/10,0)*10</f>
        <v>170</v>
      </c>
      <c r="AR450" s="10">
        <f>'Parametros'!$B$6*(AJ450+AO450*'Parametros'!$B$11*'Parametros'!$B$4*MIN(U450,AB450)/AP450/1000)</f>
        <v>272.415732210762</v>
      </c>
      <c r="AS450" s="10" t="str">
        <f>IF(AND(AM450="CUMPLE",AR450&gt;=AI450),"CUMPLE","NO CUMPLE")</f>
        <v>CUMPLE</v>
      </c>
      <c r="AT450" s="10">
        <f>'Parametros'!$B$6*0.083*SQRT('Parametros'!$B$2)*(H450*I450)^2/(2*(H450+I450))/1000000</f>
        <v>4.30410823283988</v>
      </c>
      <c r="AU450" s="10" t="str">
        <f>IF(Q450&lt;=AT450,"DESPRECIABLE","DISEÑAR")</f>
        <v>DESPRECIABLE</v>
      </c>
      <c r="AV450" s="10">
        <f>IF(Q450&lt;=AT450,0,Q450*1000000/('Parametros'!$B$6*2*0.85*(H450-2*'Parametros'!$B$7)*(I450-2*'Parametros'!$B$7)*'Parametros'!$B$4))</f>
        <v>0</v>
      </c>
      <c r="AW450" s="10">
        <f>AV450*2*((H450-2*'Parametros'!$B$7)+(I450-2*'Parametros'!$B$7))*'Parametros'!$B$4/'Parametros'!$B$3</f>
        <v>0</v>
      </c>
      <c r="AX450" s="17" t="n">
        <v>0</v>
      </c>
      <c r="AY450" s="10" t="str">
        <f>IF(AV450=0,"DESPRECIABLE",IF('Parametros'!$B$11/AP450&gt;=AV450,"CUMPLE","NO CUMPLE"))</f>
        <v>DESPRECIABLE</v>
      </c>
      <c r="AZ450" s="10" t="str">
        <f>IF(AND(X450="CUMPLE",AE450="CUMPLE",AS450="CUMPLE",OR(AY450="CUMPLE",AY450="DESPRECIABLE")),IF(OR(F450&lt;&gt;H450,G450&lt;&gt;I450),"CUMPLE - REANALIZAR SAP","CUMPLE"),"NO CUMPLE")</f>
        <v>CUMPLE</v>
      </c>
    </row>
    <row r="451">
      <c r="A451" s="26" t="inlineStr">
        <is>
          <t>VR2</t>
        </is>
      </c>
      <c r="B451" s="26" t="inlineStr">
        <is>
          <t>886</t>
        </is>
      </c>
      <c r="C451" s="10" t="n">
        <v>1</v>
      </c>
      <c r="D451" s="10" t="n">
        <v>3.65308</v>
      </c>
      <c r="E451" s="10" t="n">
        <v>3.65308</v>
      </c>
      <c r="F451" s="10" t="n">
        <v>350</v>
      </c>
      <c r="G451" s="10" t="n">
        <v>400</v>
      </c>
      <c r="H451" s="15" t="n">
        <v>350</v>
      </c>
      <c r="I451" s="15" t="n">
        <v>400</v>
      </c>
      <c r="J451" s="16" t="n">
        <v>75.1195</v>
      </c>
      <c r="K451" s="10" t="inlineStr">
        <is>
          <t>886</t>
        </is>
      </c>
      <c r="L451" s="16" t="n">
        <v>32.868</v>
      </c>
      <c r="M451" s="10" t="inlineStr">
        <is>
          <t>886</t>
        </is>
      </c>
      <c r="N451" s="16" t="n">
        <v>67.146</v>
      </c>
      <c r="O451" s="16" t="n">
        <v>147.444</v>
      </c>
      <c r="P451" s="10" t="inlineStr">
        <is>
          <t>886</t>
        </is>
      </c>
      <c r="Q451" s="16" t="n">
        <v>7.0705</v>
      </c>
      <c r="R451" s="10">
        <f>MAX(MAX(1.4/'Parametros'!$B$3,0.25*SQRT('Parametros'!$B$2)/'Parametros'!$B$3)*H451*U451,(0.85*'Parametros'!$B$2/'Parametros'!$B$3)*(1-SQRT(1-2*(J451*1000000/('Parametros'!$B$5*H451*U451^2))/(0.85*'Parametros'!$B$2)))*H451*U451)</f>
        <v>607.287288860918</v>
      </c>
      <c r="S451" s="17" t="n">
        <v>4</v>
      </c>
      <c r="T451" s="18" t="n">
        <v>1</v>
      </c>
      <c r="U451" s="10">
        <f>IF(T451=1,I451-('Parametros'!$B$7+'Parametros'!$B$9+'Parametros'!$B$12/2),I451-(ROUNDUP(S451/2,0)*('Parametros'!$B$7+'Parametros'!$B$9+'Parametros'!$B$12/2)+ROUNDDOWN(S451/2,0)*('Parametros'!$B$7+'Parametros'!$B$9+'Parametros'!$B$12/2+'Parametros'!$B$12+'Parametros'!$B$10))/S451)</f>
        <v>342.55</v>
      </c>
      <c r="V451" s="10">
        <f>S451*'Parametros'!$B$8</f>
        <v>796</v>
      </c>
      <c r="W451" s="10">
        <f>'Parametros'!$B$5*V451*'Parametros'!$B$3*(U451-(V451*'Parametros'!$B$3/(0.85*'Parametros'!$B$2*H451))/2)/1000000</f>
        <v>97.0311966352941</v>
      </c>
      <c r="X451" s="10" t="str">
        <f>IF(W451&gt;=J451,"CUMPLE","NO CUMPLE")</f>
        <v>CUMPLE</v>
      </c>
      <c r="Y451" s="10">
        <f>MAX(MAX(1.4/'Parametros'!$B$3,0.25*SQRT('Parametros'!$B$2)/'Parametros'!$B$3)*H451*AB451,(0.85*'Parametros'!$B$2/'Parametros'!$B$3)*(1-SQRT(1-2*(L451*1000000/('Parametros'!$B$5*H451*AB451^2))/(0.85*'Parametros'!$B$2)))*H451*AB451)</f>
        <v>399.641666666667</v>
      </c>
      <c r="Z451" s="17" t="n">
        <v>3</v>
      </c>
      <c r="AA451" s="18" t="n">
        <v>1</v>
      </c>
      <c r="AB451" s="10">
        <f>IF(AA451=1,I451-('Parametros'!$B$7+'Parametros'!$B$9+'Parametros'!$B$12/2),I451-(ROUNDUP(Z451/2,0)*('Parametros'!$B$7+'Parametros'!$B$9+'Parametros'!$B$12/2)+ROUNDDOWN(Z451/2,0)*('Parametros'!$B$7+'Parametros'!$B$9+'Parametros'!$B$12/2+'Parametros'!$B$12+'Parametros'!$B$10))/Z451)</f>
        <v>342.55</v>
      </c>
      <c r="AC451" s="10">
        <f>Z451*'Parametros'!$B$8</f>
        <v>597</v>
      </c>
      <c r="AD451" s="10">
        <f>'Parametros'!$B$5*AC451*'Parametros'!$B$3*(AB451-(AC451*'Parametros'!$B$3/(0.85*'Parametros'!$B$2*H451))/2)/1000000</f>
        <v>73.905520182353</v>
      </c>
      <c r="AE451" s="10" t="str">
        <f>IF(AD451&gt;=L451,"CUMPLE","NO CUMPLE")</f>
        <v>CUMPLE</v>
      </c>
      <c r="AF451" s="10">
        <f>V451*1.25*'Parametros'!$B$3*(U451-(V451*1.25*'Parametros'!$B$3/(0.85*'Parametros'!$B$2*H451))/2)/1000000</f>
        <v>132.669027352941</v>
      </c>
      <c r="AG451" s="10">
        <f>AC451*1.25*'Parametros'!$B$3*(AB451-(AC451*1.25*'Parametros'!$B$3/(0.85*'Parametros'!$B$2*H451))/2)/1000000</f>
        <v>101.467261323529</v>
      </c>
      <c r="AH451" s="10">
        <f>N451+(AF451+AG451)/D451</f>
        <v>131.238844579497</v>
      </c>
      <c r="AI451" s="10">
        <f>MIN(O451,MAX(N451,AH451))</f>
        <v>131.238844579497</v>
      </c>
      <c r="AJ451" s="10">
        <f>0.17*SQRT('Parametros'!$B$2)*H451*MIN(U451,AB451)/1000</f>
        <v>107.849951281016</v>
      </c>
      <c r="AK451" s="10">
        <f>MAX(AI451/'Parametros'!$B$6-AJ451,0)</f>
        <v>67.1351748249807</v>
      </c>
      <c r="AL451" s="10">
        <f>0.66*SQRT('Parametros'!$B$2)*H451*MIN(U451,AB451)/1000</f>
        <v>418.711575561591</v>
      </c>
      <c r="AM451" s="10" t="str">
        <f>IF(AK451&lt;=AL451,"CUMPLE","NO CUMPLE")</f>
        <v>CUMPLE</v>
      </c>
      <c r="AN451" s="15" t="inlineStr">
        <is>
          <t>Nº3 cerrado</t>
        </is>
      </c>
      <c r="AO451" s="17" t="n">
        <v>2</v>
      </c>
      <c r="AP451" s="10">
        <f>ROUNDDOWN(MIN(IF(AK451=0,1000000000,AO451*'Parametros'!$B$11*'Parametros'!$B$4*MIN(U451,AB451)/(AK451*1000)),IF(AV451=0,1000000000,'Parametros'!$B$11/AV451),MIN(U451,AB451)/4,8*'Parametros'!$B$12,24*'Parametros'!$B$9,300)/10,0)*10</f>
        <v>80</v>
      </c>
      <c r="AQ451" s="10">
        <f>ROUNDDOWN(MIN(IF(AK451=0,1000000000,AO451*'Parametros'!$B$11*'Parametros'!$B$4*MIN(U451,AB451)/(AK451*1000)),IF(AV451=0,1000000000,'Parametros'!$B$11/AV451),MIN(U451,AB451)/2,600)/10,0)*10</f>
        <v>170</v>
      </c>
      <c r="AR451" s="10">
        <f>'Parametros'!$B$6*(AJ451+AO451*'Parametros'!$B$11*'Parametros'!$B$4*MIN(U451,AB451)/AP451/1000)</f>
        <v>272.415732210762</v>
      </c>
      <c r="AS451" s="10" t="str">
        <f>IF(AND(AM451="CUMPLE",AR451&gt;=AI451),"CUMPLE","NO CUMPLE")</f>
        <v>CUMPLE</v>
      </c>
      <c r="AT451" s="10">
        <f>'Parametros'!$B$6*0.083*SQRT('Parametros'!$B$2)*(H451*I451)^2/(2*(H451+I451))/1000000</f>
        <v>4.30410823283988</v>
      </c>
      <c r="AU451" s="10" t="str">
        <f>IF(Q451&lt;=AT451,"DESPRECIABLE","DISEÑAR")</f>
        <v>DISEÑAR</v>
      </c>
      <c r="AV451" s="10">
        <f>IF(Q451&lt;=AT451,0,Q451*1000000/('Parametros'!$B$6*2*0.85*(H451-2*'Parametros'!$B$7)*(I451-2*'Parametros'!$B$7)*'Parametros'!$B$4))</f>
        <v>0.152818843586817</v>
      </c>
      <c r="AW451" s="10">
        <f>AV451*2*((H451-2*'Parametros'!$B$7)+(I451-2*'Parametros'!$B$7))*'Parametros'!$B$4/'Parametros'!$B$3</f>
        <v>180.326235432445</v>
      </c>
      <c r="AX451" s="17" t="n">
        <v>1</v>
      </c>
      <c r="AY451" s="10" t="str">
        <f>IF(AV451=0,"DESPRECIABLE",IF('Parametros'!$B$11/AP451&gt;=AV451,"CUMPLE","NO CUMPLE"))</f>
        <v>CUMPLE</v>
      </c>
      <c r="AZ451" s="10" t="str">
        <f>IF(AND(X451="CUMPLE",AE451="CUMPLE",AS451="CUMPLE",OR(AY451="CUMPLE",AY451="DESPRECIABLE")),IF(OR(F451&lt;&gt;H451,G451&lt;&gt;I451),"CUMPLE - REANALIZAR SAP","CUMPLE"),"NO CUMPLE")</f>
        <v>CUMPLE</v>
      </c>
    </row>
    <row r="452">
      <c r="A452" s="26" t="inlineStr">
        <is>
          <t>VR2</t>
        </is>
      </c>
      <c r="B452" s="26" t="inlineStr">
        <is>
          <t>887</t>
        </is>
      </c>
      <c r="C452" s="10" t="n">
        <v>1</v>
      </c>
      <c r="D452" s="10" t="n">
        <v>2.6</v>
      </c>
      <c r="E452" s="10" t="n">
        <v>2.6</v>
      </c>
      <c r="F452" s="10" t="n">
        <v>350</v>
      </c>
      <c r="G452" s="10" t="n">
        <v>400</v>
      </c>
      <c r="H452" s="15" t="n">
        <v>350</v>
      </c>
      <c r="I452" s="15" t="n">
        <v>400</v>
      </c>
      <c r="J452" s="16" t="n">
        <v>75.01130000000001</v>
      </c>
      <c r="K452" s="10" t="inlineStr">
        <is>
          <t>887</t>
        </is>
      </c>
      <c r="L452" s="16" t="n">
        <v>36.8347</v>
      </c>
      <c r="M452" s="10" t="inlineStr">
        <is>
          <t>887</t>
        </is>
      </c>
      <c r="N452" s="16" t="n">
        <v>84.747</v>
      </c>
      <c r="O452" s="16" t="n">
        <v>236.732</v>
      </c>
      <c r="P452" s="10" t="inlineStr">
        <is>
          <t>887</t>
        </is>
      </c>
      <c r="Q452" s="16" t="n">
        <v>6.9151</v>
      </c>
      <c r="R452" s="10">
        <f>MAX(MAX(1.4/'Parametros'!$B$3,0.25*SQRT('Parametros'!$B$2)/'Parametros'!$B$3)*H452*U452,(0.85*'Parametros'!$B$2/'Parametros'!$B$3)*(1-SQRT(1-2*(J452*1000000/('Parametros'!$B$5*H452*U452^2))/(0.85*'Parametros'!$B$2)))*H452*U452)</f>
        <v>606.369705664282</v>
      </c>
      <c r="S452" s="17" t="n">
        <v>4</v>
      </c>
      <c r="T452" s="18" t="n">
        <v>1</v>
      </c>
      <c r="U452" s="10">
        <f>IF(T452=1,I452-('Parametros'!$B$7+'Parametros'!$B$9+'Parametros'!$B$12/2),I452-(ROUNDUP(S452/2,0)*('Parametros'!$B$7+'Parametros'!$B$9+'Parametros'!$B$12/2)+ROUNDDOWN(S452/2,0)*('Parametros'!$B$7+'Parametros'!$B$9+'Parametros'!$B$12/2+'Parametros'!$B$12+'Parametros'!$B$10))/S452)</f>
        <v>342.55</v>
      </c>
      <c r="V452" s="10">
        <f>S452*'Parametros'!$B$8</f>
        <v>796</v>
      </c>
      <c r="W452" s="10">
        <f>'Parametros'!$B$5*V452*'Parametros'!$B$3*(U452-(V452*'Parametros'!$B$3/(0.85*'Parametros'!$B$2*H452))/2)/1000000</f>
        <v>97.0311966352941</v>
      </c>
      <c r="X452" s="10" t="str">
        <f>IF(W452&gt;=J452,"CUMPLE","NO CUMPLE")</f>
        <v>CUMPLE</v>
      </c>
      <c r="Y452" s="10">
        <f>MAX(MAX(1.4/'Parametros'!$B$3,0.25*SQRT('Parametros'!$B$2)/'Parametros'!$B$3)*H452*AB452,(0.85*'Parametros'!$B$2/'Parametros'!$B$3)*(1-SQRT(1-2*(L452*1000000/('Parametros'!$B$5*H452*AB452^2))/(0.85*'Parametros'!$B$2)))*H452*AB452)</f>
        <v>399.641666666667</v>
      </c>
      <c r="Z452" s="17" t="n">
        <v>3</v>
      </c>
      <c r="AA452" s="18" t="n">
        <v>1</v>
      </c>
      <c r="AB452" s="10">
        <f>IF(AA452=1,I452-('Parametros'!$B$7+'Parametros'!$B$9+'Parametros'!$B$12/2),I452-(ROUNDUP(Z452/2,0)*('Parametros'!$B$7+'Parametros'!$B$9+'Parametros'!$B$12/2)+ROUNDDOWN(Z452/2,0)*('Parametros'!$B$7+'Parametros'!$B$9+'Parametros'!$B$12/2+'Parametros'!$B$12+'Parametros'!$B$10))/Z452)</f>
        <v>342.55</v>
      </c>
      <c r="AC452" s="10">
        <f>Z452*'Parametros'!$B$8</f>
        <v>597</v>
      </c>
      <c r="AD452" s="10">
        <f>'Parametros'!$B$5*AC452*'Parametros'!$B$3*(AB452-(AC452*'Parametros'!$B$3/(0.85*'Parametros'!$B$2*H452))/2)/1000000</f>
        <v>73.905520182353</v>
      </c>
      <c r="AE452" s="10" t="str">
        <f>IF(AD452&gt;=L452,"CUMPLE","NO CUMPLE")</f>
        <v>CUMPLE</v>
      </c>
      <c r="AF452" s="10">
        <f>V452*1.25*'Parametros'!$B$3*(U452-(V452*1.25*'Parametros'!$B$3/(0.85*'Parametros'!$B$2*H452))/2)/1000000</f>
        <v>132.669027352941</v>
      </c>
      <c r="AG452" s="10">
        <f>AC452*1.25*'Parametros'!$B$3*(AB452-(AC452*1.25*'Parametros'!$B$3/(0.85*'Parametros'!$B$2*H452))/2)/1000000</f>
        <v>101.467261323529</v>
      </c>
      <c r="AH452" s="10">
        <f>N452+(AF452+AG452)/D452</f>
        <v>174.799418721719</v>
      </c>
      <c r="AI452" s="10">
        <f>MIN(O452,MAX(N452,AH452))</f>
        <v>174.799418721719</v>
      </c>
      <c r="AJ452" s="10">
        <f>0.17*SQRT('Parametros'!$B$2)*H452*MIN(U452,AB452)/1000</f>
        <v>107.849951281016</v>
      </c>
      <c r="AK452" s="10">
        <f>MAX(AI452/'Parametros'!$B$6-AJ452,0)</f>
        <v>125.215940347943</v>
      </c>
      <c r="AL452" s="10">
        <f>0.66*SQRT('Parametros'!$B$2)*H452*MIN(U452,AB452)/1000</f>
        <v>418.711575561591</v>
      </c>
      <c r="AM452" s="10" t="str">
        <f>IF(AK452&lt;=AL452,"CUMPLE","NO CUMPLE")</f>
        <v>CUMPLE</v>
      </c>
      <c r="AN452" s="15" t="inlineStr">
        <is>
          <t>Nº3 cerrado</t>
        </is>
      </c>
      <c r="AO452" s="17" t="n">
        <v>2</v>
      </c>
      <c r="AP452" s="10">
        <f>ROUNDDOWN(MIN(IF(AK452=0,1000000000,AO452*'Parametros'!$B$11*'Parametros'!$B$4*MIN(U452,AB452)/(AK452*1000)),IF(AV452=0,1000000000,'Parametros'!$B$11/AV452),MIN(U452,AB452)/4,8*'Parametros'!$B$12,24*'Parametros'!$B$9,300)/10,0)*10</f>
        <v>80</v>
      </c>
      <c r="AQ452" s="10">
        <f>ROUNDDOWN(MIN(IF(AK452=0,1000000000,AO452*'Parametros'!$B$11*'Parametros'!$B$4*MIN(U452,AB452)/(AK452*1000)),IF(AV452=0,1000000000,'Parametros'!$B$11/AV452),MIN(U452,AB452)/2,600)/10,0)*10</f>
        <v>160</v>
      </c>
      <c r="AR452" s="10">
        <f>'Parametros'!$B$6*(AJ452+AO452*'Parametros'!$B$11*'Parametros'!$B$4*MIN(U452,AB452)/AP452/1000)</f>
        <v>272.415732210762</v>
      </c>
      <c r="AS452" s="10" t="str">
        <f>IF(AND(AM452="CUMPLE",AR452&gt;=AI452),"CUMPLE","NO CUMPLE")</f>
        <v>CUMPLE</v>
      </c>
      <c r="AT452" s="10">
        <f>'Parametros'!$B$6*0.083*SQRT('Parametros'!$B$2)*(H452*I452)^2/(2*(H452+I452))/1000000</f>
        <v>4.30410823283988</v>
      </c>
      <c r="AU452" s="10" t="str">
        <f>IF(Q452&lt;=AT452,"DESPRECIABLE","DISEÑAR")</f>
        <v>DISEÑAR</v>
      </c>
      <c r="AV452" s="10">
        <f>IF(Q452&lt;=AT452,0,Q452*1000000/('Parametros'!$B$6*2*0.85*(H452-2*'Parametros'!$B$7)*(I452-2*'Parametros'!$B$7)*'Parametros'!$B$4))</f>
        <v>0.149460092679047</v>
      </c>
      <c r="AW452" s="10">
        <f>AV452*2*((H452-2*'Parametros'!$B$7)+(I452-2*'Parametros'!$B$7))*'Parametros'!$B$4/'Parametros'!$B$3</f>
        <v>176.362909361275</v>
      </c>
      <c r="AX452" s="17" t="n">
        <v>1</v>
      </c>
      <c r="AY452" s="10" t="str">
        <f>IF(AV452=0,"DESPRECIABLE",IF('Parametros'!$B$11/AP452&gt;=AV452,"CUMPLE","NO CUMPLE"))</f>
        <v>CUMPLE</v>
      </c>
      <c r="AZ452" s="10" t="str">
        <f>IF(AND(X452="CUMPLE",AE452="CUMPLE",AS452="CUMPLE",OR(AY452="CUMPLE",AY452="DESPRECIABLE")),IF(OR(F452&lt;&gt;H452,G452&lt;&gt;I452),"CUMPLE - REANALIZAR SAP","CUMPLE"),"NO CUMPLE")</f>
        <v>CUMPLE</v>
      </c>
    </row>
    <row r="453">
      <c r="A453" s="26" t="inlineStr">
        <is>
          <t>VR2</t>
        </is>
      </c>
      <c r="B453" s="26" t="inlineStr">
        <is>
          <t>888</t>
        </is>
      </c>
      <c r="C453" s="10" t="n">
        <v>1</v>
      </c>
      <c r="D453" s="10" t="n">
        <v>2.5</v>
      </c>
      <c r="E453" s="10" t="n">
        <v>2.5</v>
      </c>
      <c r="F453" s="10" t="n">
        <v>350</v>
      </c>
      <c r="G453" s="10" t="n">
        <v>400</v>
      </c>
      <c r="H453" s="15" t="n">
        <v>350</v>
      </c>
      <c r="I453" s="15" t="n">
        <v>400</v>
      </c>
      <c r="J453" s="16" t="n">
        <v>69.5873</v>
      </c>
      <c r="K453" s="10" t="inlineStr">
        <is>
          <t>888</t>
        </is>
      </c>
      <c r="L453" s="16" t="n">
        <v>41.1509</v>
      </c>
      <c r="M453" s="10" t="inlineStr">
        <is>
          <t>888</t>
        </is>
      </c>
      <c r="N453" s="16" t="n">
        <v>76.261</v>
      </c>
      <c r="O453" s="16" t="n">
        <v>218.68</v>
      </c>
      <c r="P453" s="10" t="inlineStr">
        <is>
          <t>888</t>
        </is>
      </c>
      <c r="Q453" s="16" t="n">
        <v>0.9822</v>
      </c>
      <c r="R453" s="10">
        <f>MAX(MAX(1.4/'Parametros'!$B$3,0.25*SQRT('Parametros'!$B$2)/'Parametros'!$B$3)*H453*U453,(0.85*'Parametros'!$B$2/'Parametros'!$B$3)*(1-SQRT(1-2*(J453*1000000/('Parametros'!$B$5*H453*U453^2))/(0.85*'Parametros'!$B$2)))*H453*U453)</f>
        <v>560.54491908563</v>
      </c>
      <c r="S453" s="17" t="n">
        <v>3</v>
      </c>
      <c r="T453" s="18" t="n">
        <v>1</v>
      </c>
      <c r="U453" s="10">
        <f>IF(T453=1,I453-('Parametros'!$B$7+'Parametros'!$B$9+'Parametros'!$B$12/2),I453-(ROUNDUP(S453/2,0)*('Parametros'!$B$7+'Parametros'!$B$9+'Parametros'!$B$12/2)+ROUNDDOWN(S453/2,0)*('Parametros'!$B$7+'Parametros'!$B$9+'Parametros'!$B$12/2+'Parametros'!$B$12+'Parametros'!$B$10))/S453)</f>
        <v>342.55</v>
      </c>
      <c r="V453" s="10">
        <f>S453*'Parametros'!$B$8</f>
        <v>597</v>
      </c>
      <c r="W453" s="10">
        <f>'Parametros'!$B$5*V453*'Parametros'!$B$3*(U453-(V453*'Parametros'!$B$3/(0.85*'Parametros'!$B$2*H453))/2)/1000000</f>
        <v>73.905520182353</v>
      </c>
      <c r="X453" s="10" t="str">
        <f>IF(W453&gt;=J453,"CUMPLE","NO CUMPLE")</f>
        <v>CUMPLE</v>
      </c>
      <c r="Y453" s="10">
        <f>MAX(MAX(1.4/'Parametros'!$B$3,0.25*SQRT('Parametros'!$B$2)/'Parametros'!$B$3)*H453*AB453,(0.85*'Parametros'!$B$2/'Parametros'!$B$3)*(1-SQRT(1-2*(L453*1000000/('Parametros'!$B$5*H453*AB453^2))/(0.85*'Parametros'!$B$2)))*H453*AB453)</f>
        <v>399.641666666667</v>
      </c>
      <c r="Z453" s="17" t="n">
        <v>3</v>
      </c>
      <c r="AA453" s="18" t="n">
        <v>1</v>
      </c>
      <c r="AB453" s="10">
        <f>IF(AA453=1,I453-('Parametros'!$B$7+'Parametros'!$B$9+'Parametros'!$B$12/2),I453-(ROUNDUP(Z453/2,0)*('Parametros'!$B$7+'Parametros'!$B$9+'Parametros'!$B$12/2)+ROUNDDOWN(Z453/2,0)*('Parametros'!$B$7+'Parametros'!$B$9+'Parametros'!$B$12/2+'Parametros'!$B$12+'Parametros'!$B$10))/Z453)</f>
        <v>342.55</v>
      </c>
      <c r="AC453" s="10">
        <f>Z453*'Parametros'!$B$8</f>
        <v>597</v>
      </c>
      <c r="AD453" s="10">
        <f>'Parametros'!$B$5*AC453*'Parametros'!$B$3*(AB453-(AC453*'Parametros'!$B$3/(0.85*'Parametros'!$B$2*H453))/2)/1000000</f>
        <v>73.905520182353</v>
      </c>
      <c r="AE453" s="10" t="str">
        <f>IF(AD453&gt;=L453,"CUMPLE","NO CUMPLE")</f>
        <v>CUMPLE</v>
      </c>
      <c r="AF453" s="10">
        <f>V453*1.25*'Parametros'!$B$3*(U453-(V453*1.25*'Parametros'!$B$3/(0.85*'Parametros'!$B$2*H453))/2)/1000000</f>
        <v>101.467261323529</v>
      </c>
      <c r="AG453" s="10">
        <f>AC453*1.25*'Parametros'!$B$3*(AB453-(AC453*1.25*'Parametros'!$B$3/(0.85*'Parametros'!$B$2*H453))/2)/1000000</f>
        <v>101.467261323529</v>
      </c>
      <c r="AH453" s="10">
        <f>N453+(AF453+AG453)/D453</f>
        <v>157.434809058824</v>
      </c>
      <c r="AI453" s="10">
        <f>MIN(O453,MAX(N453,AH453))</f>
        <v>157.434809058824</v>
      </c>
      <c r="AJ453" s="10">
        <f>0.17*SQRT('Parametros'!$B$2)*H453*MIN(U453,AB453)/1000</f>
        <v>107.849951281016</v>
      </c>
      <c r="AK453" s="10">
        <f>MAX(AI453/'Parametros'!$B$6-AJ453,0)</f>
        <v>102.063127464082</v>
      </c>
      <c r="AL453" s="10">
        <f>0.66*SQRT('Parametros'!$B$2)*H453*MIN(U453,AB453)/1000</f>
        <v>418.711575561591</v>
      </c>
      <c r="AM453" s="10" t="str">
        <f>IF(AK453&lt;=AL453,"CUMPLE","NO CUMPLE")</f>
        <v>CUMPLE</v>
      </c>
      <c r="AN453" s="15" t="inlineStr">
        <is>
          <t>Nº3 cerrado</t>
        </is>
      </c>
      <c r="AO453" s="17" t="n">
        <v>2</v>
      </c>
      <c r="AP453" s="10">
        <f>ROUNDDOWN(MIN(IF(AK453=0,1000000000,AO453*'Parametros'!$B$11*'Parametros'!$B$4*MIN(U453,AB453)/(AK453*1000)),IF(AV453=0,1000000000,'Parametros'!$B$11/AV453),MIN(U453,AB453)/4,8*'Parametros'!$B$12,24*'Parametros'!$B$9,300)/10,0)*10</f>
        <v>80</v>
      </c>
      <c r="AQ453" s="10">
        <f>ROUNDDOWN(MIN(IF(AK453=0,1000000000,AO453*'Parametros'!$B$11*'Parametros'!$B$4*MIN(U453,AB453)/(AK453*1000)),IF(AV453=0,1000000000,'Parametros'!$B$11/AV453),MIN(U453,AB453)/2,600)/10,0)*10</f>
        <v>170</v>
      </c>
      <c r="AR453" s="10">
        <f>'Parametros'!$B$6*(AJ453+AO453*'Parametros'!$B$11*'Parametros'!$B$4*MIN(U453,AB453)/AP453/1000)</f>
        <v>272.415732210762</v>
      </c>
      <c r="AS453" s="10" t="str">
        <f>IF(AND(AM453="CUMPLE",AR453&gt;=AI453),"CUMPLE","NO CUMPLE")</f>
        <v>CUMPLE</v>
      </c>
      <c r="AT453" s="10">
        <f>'Parametros'!$B$6*0.083*SQRT('Parametros'!$B$2)*(H453*I453)^2/(2*(H453+I453))/1000000</f>
        <v>4.30410823283988</v>
      </c>
      <c r="AU453" s="10" t="str">
        <f>IF(Q453&lt;=AT453,"DESPRECIABLE","DISEÑAR")</f>
        <v>DESPRECIABLE</v>
      </c>
      <c r="AV453" s="10">
        <f>IF(Q453&lt;=AT453,0,Q453*1000000/('Parametros'!$B$6*2*0.85*(H453-2*'Parametros'!$B$7)*(I453-2*'Parametros'!$B$7)*'Parametros'!$B$4))</f>
        <v>0</v>
      </c>
      <c r="AW453" s="10">
        <f>AV453*2*((H453-2*'Parametros'!$B$7)+(I453-2*'Parametros'!$B$7))*'Parametros'!$B$4/'Parametros'!$B$3</f>
        <v>0</v>
      </c>
      <c r="AX453" s="17" t="n">
        <v>0</v>
      </c>
      <c r="AY453" s="10" t="str">
        <f>IF(AV453=0,"DESPRECIABLE",IF('Parametros'!$B$11/AP453&gt;=AV453,"CUMPLE","NO CUMPLE"))</f>
        <v>DESPRECIABLE</v>
      </c>
      <c r="AZ453" s="10" t="str">
        <f>IF(AND(X453="CUMPLE",AE453="CUMPLE",AS453="CUMPLE",OR(AY453="CUMPLE",AY453="DESPRECIABLE")),IF(OR(F453&lt;&gt;H453,G453&lt;&gt;I453),"CUMPLE - REANALIZAR SAP","CUMPLE"),"NO CUMPLE")</f>
        <v>CUMPLE</v>
      </c>
    </row>
    <row r="454">
      <c r="A454" s="26" t="inlineStr">
        <is>
          <t>VR2</t>
        </is>
      </c>
      <c r="B454" s="26" t="inlineStr">
        <is>
          <t>889</t>
        </is>
      </c>
      <c r="C454" s="10" t="n">
        <v>1</v>
      </c>
      <c r="D454" s="10" t="n">
        <v>4.17612</v>
      </c>
      <c r="E454" s="10" t="n">
        <v>4.17612</v>
      </c>
      <c r="F454" s="10" t="n">
        <v>350</v>
      </c>
      <c r="G454" s="10" t="n">
        <v>400</v>
      </c>
      <c r="H454" s="15" t="n">
        <v>350</v>
      </c>
      <c r="I454" s="15" t="n">
        <v>400</v>
      </c>
      <c r="J454" s="16" t="n">
        <v>82.6859</v>
      </c>
      <c r="K454" s="10" t="inlineStr">
        <is>
          <t>889</t>
        </is>
      </c>
      <c r="L454" s="16" t="n">
        <v>29.7527</v>
      </c>
      <c r="M454" s="10" t="inlineStr">
        <is>
          <t>889</t>
        </is>
      </c>
      <c r="N454" s="16" t="n">
        <v>76.03700000000001</v>
      </c>
      <c r="O454" s="16" t="n">
        <v>157.291</v>
      </c>
      <c r="P454" s="10" t="inlineStr">
        <is>
          <t>889</t>
        </is>
      </c>
      <c r="Q454" s="16" t="n">
        <v>0.1414</v>
      </c>
      <c r="R454" s="10">
        <f>MAX(MAX(1.4/'Parametros'!$B$3,0.25*SQRT('Parametros'!$B$2)/'Parametros'!$B$3)*H454*U454,(0.85*'Parametros'!$B$2/'Parametros'!$B$3)*(1-SQRT(1-2*(J454*1000000/('Parametros'!$B$5*H454*U454^2))/(0.85*'Parametros'!$B$2)))*H454*U454)</f>
        <v>671.794726935838</v>
      </c>
      <c r="S454" s="17" t="n">
        <v>4</v>
      </c>
      <c r="T454" s="18" t="n">
        <v>1</v>
      </c>
      <c r="U454" s="10">
        <f>IF(T454=1,I454-('Parametros'!$B$7+'Parametros'!$B$9+'Parametros'!$B$12/2),I454-(ROUNDUP(S454/2,0)*('Parametros'!$B$7+'Parametros'!$B$9+'Parametros'!$B$12/2)+ROUNDDOWN(S454/2,0)*('Parametros'!$B$7+'Parametros'!$B$9+'Parametros'!$B$12/2+'Parametros'!$B$12+'Parametros'!$B$10))/S454)</f>
        <v>342.55</v>
      </c>
      <c r="V454" s="10">
        <f>S454*'Parametros'!$B$8</f>
        <v>796</v>
      </c>
      <c r="W454" s="10">
        <f>'Parametros'!$B$5*V454*'Parametros'!$B$3*(U454-(V454*'Parametros'!$B$3/(0.85*'Parametros'!$B$2*H454))/2)/1000000</f>
        <v>97.0311966352941</v>
      </c>
      <c r="X454" s="10" t="str">
        <f>IF(W454&gt;=J454,"CUMPLE","NO CUMPLE")</f>
        <v>CUMPLE</v>
      </c>
      <c r="Y454" s="10">
        <f>MAX(MAX(1.4/'Parametros'!$B$3,0.25*SQRT('Parametros'!$B$2)/'Parametros'!$B$3)*H454*AB454,(0.85*'Parametros'!$B$2/'Parametros'!$B$3)*(1-SQRT(1-2*(L454*1000000/('Parametros'!$B$5*H454*AB454^2))/(0.85*'Parametros'!$B$2)))*H454*AB454)</f>
        <v>399.641666666667</v>
      </c>
      <c r="Z454" s="17" t="n">
        <v>3</v>
      </c>
      <c r="AA454" s="18" t="n">
        <v>1</v>
      </c>
      <c r="AB454" s="10">
        <f>IF(AA454=1,I454-('Parametros'!$B$7+'Parametros'!$B$9+'Parametros'!$B$12/2),I454-(ROUNDUP(Z454/2,0)*('Parametros'!$B$7+'Parametros'!$B$9+'Parametros'!$B$12/2)+ROUNDDOWN(Z454/2,0)*('Parametros'!$B$7+'Parametros'!$B$9+'Parametros'!$B$12/2+'Parametros'!$B$12+'Parametros'!$B$10))/Z454)</f>
        <v>342.55</v>
      </c>
      <c r="AC454" s="10">
        <f>Z454*'Parametros'!$B$8</f>
        <v>597</v>
      </c>
      <c r="AD454" s="10">
        <f>'Parametros'!$B$5*AC454*'Parametros'!$B$3*(AB454-(AC454*'Parametros'!$B$3/(0.85*'Parametros'!$B$2*H454))/2)/1000000</f>
        <v>73.905520182353</v>
      </c>
      <c r="AE454" s="10" t="str">
        <f>IF(AD454&gt;=L454,"CUMPLE","NO CUMPLE")</f>
        <v>CUMPLE</v>
      </c>
      <c r="AF454" s="10">
        <f>V454*1.25*'Parametros'!$B$3*(U454-(V454*1.25*'Parametros'!$B$3/(0.85*'Parametros'!$B$2*H454))/2)/1000000</f>
        <v>132.669027352941</v>
      </c>
      <c r="AG454" s="10">
        <f>AC454*1.25*'Parametros'!$B$3*(AB454-(AC454*1.25*'Parametros'!$B$3/(0.85*'Parametros'!$B$2*H454))/2)/1000000</f>
        <v>101.467261323529</v>
      </c>
      <c r="AH454" s="10">
        <f>N454+(AF454+AG454)/D454</f>
        <v>132.102507858124</v>
      </c>
      <c r="AI454" s="10">
        <f>MIN(O454,MAX(N454,AH454))</f>
        <v>132.102507858124</v>
      </c>
      <c r="AJ454" s="10">
        <f>0.17*SQRT('Parametros'!$B$2)*H454*MIN(U454,AB454)/1000</f>
        <v>107.849951281016</v>
      </c>
      <c r="AK454" s="10">
        <f>MAX(AI454/'Parametros'!$B$6-AJ454,0)</f>
        <v>68.28672586315</v>
      </c>
      <c r="AL454" s="10">
        <f>0.66*SQRT('Parametros'!$B$2)*H454*MIN(U454,AB454)/1000</f>
        <v>418.711575561591</v>
      </c>
      <c r="AM454" s="10" t="str">
        <f>IF(AK454&lt;=AL454,"CUMPLE","NO CUMPLE")</f>
        <v>CUMPLE</v>
      </c>
      <c r="AN454" s="15" t="inlineStr">
        <is>
          <t>Nº3 cerrado</t>
        </is>
      </c>
      <c r="AO454" s="17" t="n">
        <v>2</v>
      </c>
      <c r="AP454" s="10">
        <f>ROUNDDOWN(MIN(IF(AK454=0,1000000000,AO454*'Parametros'!$B$11*'Parametros'!$B$4*MIN(U454,AB454)/(AK454*1000)),IF(AV454=0,1000000000,'Parametros'!$B$11/AV454),MIN(U454,AB454)/4,8*'Parametros'!$B$12,24*'Parametros'!$B$9,300)/10,0)*10</f>
        <v>80</v>
      </c>
      <c r="AQ454" s="10">
        <f>ROUNDDOWN(MIN(IF(AK454=0,1000000000,AO454*'Parametros'!$B$11*'Parametros'!$B$4*MIN(U454,AB454)/(AK454*1000)),IF(AV454=0,1000000000,'Parametros'!$B$11/AV454),MIN(U454,AB454)/2,600)/10,0)*10</f>
        <v>170</v>
      </c>
      <c r="AR454" s="10">
        <f>'Parametros'!$B$6*(AJ454+AO454*'Parametros'!$B$11*'Parametros'!$B$4*MIN(U454,AB454)/AP454/1000)</f>
        <v>272.415732210762</v>
      </c>
      <c r="AS454" s="10" t="str">
        <f>IF(AND(AM454="CUMPLE",AR454&gt;=AI454),"CUMPLE","NO CUMPLE")</f>
        <v>CUMPLE</v>
      </c>
      <c r="AT454" s="10">
        <f>'Parametros'!$B$6*0.083*SQRT('Parametros'!$B$2)*(H454*I454)^2/(2*(H454+I454))/1000000</f>
        <v>4.30410823283988</v>
      </c>
      <c r="AU454" s="10" t="str">
        <f>IF(Q454&lt;=AT454,"DESPRECIABLE","DISEÑAR")</f>
        <v>DESPRECIABLE</v>
      </c>
      <c r="AV454" s="10">
        <f>IF(Q454&lt;=AT454,0,Q454*1000000/('Parametros'!$B$6*2*0.85*(H454-2*'Parametros'!$B$7)*(I454-2*'Parametros'!$B$7)*'Parametros'!$B$4))</f>
        <v>0</v>
      </c>
      <c r="AW454" s="10">
        <f>AV454*2*((H454-2*'Parametros'!$B$7)+(I454-2*'Parametros'!$B$7))*'Parametros'!$B$4/'Parametros'!$B$3</f>
        <v>0</v>
      </c>
      <c r="AX454" s="17" t="n">
        <v>0</v>
      </c>
      <c r="AY454" s="10" t="str">
        <f>IF(AV454=0,"DESPRECIABLE",IF('Parametros'!$B$11/AP454&gt;=AV454,"CUMPLE","NO CUMPLE"))</f>
        <v>DESPRECIABLE</v>
      </c>
      <c r="AZ454" s="10" t="str">
        <f>IF(AND(X454="CUMPLE",AE454="CUMPLE",AS454="CUMPLE",OR(AY454="CUMPLE",AY454="DESPRECIABLE")),IF(OR(F454&lt;&gt;H454,G454&lt;&gt;I454),"CUMPLE - REANALIZAR SAP","CUMPLE"),"NO CUMPLE")</f>
        <v>CUMPLE</v>
      </c>
    </row>
    <row r="455">
      <c r="A455" s="26" t="inlineStr">
        <is>
          <t>VR2</t>
        </is>
      </c>
      <c r="B455" s="26" t="inlineStr">
        <is>
          <t>890</t>
        </is>
      </c>
      <c r="C455" s="10" t="n">
        <v>1</v>
      </c>
      <c r="D455" s="10" t="n">
        <v>2.7</v>
      </c>
      <c r="E455" s="10" t="n">
        <v>2.7</v>
      </c>
      <c r="F455" s="10" t="n">
        <v>350</v>
      </c>
      <c r="G455" s="10" t="n">
        <v>400</v>
      </c>
      <c r="H455" s="15" t="n">
        <v>350</v>
      </c>
      <c r="I455" s="15" t="n">
        <v>400</v>
      </c>
      <c r="J455" s="16" t="n">
        <v>70.4007</v>
      </c>
      <c r="K455" s="10" t="inlineStr">
        <is>
          <t>890</t>
        </is>
      </c>
      <c r="L455" s="16" t="n">
        <v>44.2331</v>
      </c>
      <c r="M455" s="10" t="inlineStr">
        <is>
          <t>890</t>
        </is>
      </c>
      <c r="N455" s="16" t="n">
        <v>78.881</v>
      </c>
      <c r="O455" s="16" t="n">
        <v>186.777</v>
      </c>
      <c r="P455" s="10" t="inlineStr">
        <is>
          <t>890</t>
        </is>
      </c>
      <c r="Q455" s="16" t="n">
        <v>1.2948</v>
      </c>
      <c r="R455" s="10">
        <f>MAX(MAX(1.4/'Parametros'!$B$3,0.25*SQRT('Parametros'!$B$2)/'Parametros'!$B$3)*H455*U455,(0.85*'Parametros'!$B$2/'Parametros'!$B$3)*(1-SQRT(1-2*(J455*1000000/('Parametros'!$B$5*H455*U455^2))/(0.85*'Parametros'!$B$2)))*H455*U455)</f>
        <v>567.395451795359</v>
      </c>
      <c r="S455" s="17" t="n">
        <v>3</v>
      </c>
      <c r="T455" s="18" t="n">
        <v>1</v>
      </c>
      <c r="U455" s="10">
        <f>IF(T455=1,I455-('Parametros'!$B$7+'Parametros'!$B$9+'Parametros'!$B$12/2),I455-(ROUNDUP(S455/2,0)*('Parametros'!$B$7+'Parametros'!$B$9+'Parametros'!$B$12/2)+ROUNDDOWN(S455/2,0)*('Parametros'!$B$7+'Parametros'!$B$9+'Parametros'!$B$12/2+'Parametros'!$B$12+'Parametros'!$B$10))/S455)</f>
        <v>342.55</v>
      </c>
      <c r="V455" s="10">
        <f>S455*'Parametros'!$B$8</f>
        <v>597</v>
      </c>
      <c r="W455" s="10">
        <f>'Parametros'!$B$5*V455*'Parametros'!$B$3*(U455-(V455*'Parametros'!$B$3/(0.85*'Parametros'!$B$2*H455))/2)/1000000</f>
        <v>73.905520182353</v>
      </c>
      <c r="X455" s="10" t="str">
        <f>IF(W455&gt;=J455,"CUMPLE","NO CUMPLE")</f>
        <v>CUMPLE</v>
      </c>
      <c r="Y455" s="10">
        <f>MAX(MAX(1.4/'Parametros'!$B$3,0.25*SQRT('Parametros'!$B$2)/'Parametros'!$B$3)*H455*AB455,(0.85*'Parametros'!$B$2/'Parametros'!$B$3)*(1-SQRT(1-2*(L455*1000000/('Parametros'!$B$5*H455*AB455^2))/(0.85*'Parametros'!$B$2)))*H455*AB455)</f>
        <v>399.641666666667</v>
      </c>
      <c r="Z455" s="17" t="n">
        <v>3</v>
      </c>
      <c r="AA455" s="18" t="n">
        <v>1</v>
      </c>
      <c r="AB455" s="10">
        <f>IF(AA455=1,I455-('Parametros'!$B$7+'Parametros'!$B$9+'Parametros'!$B$12/2),I455-(ROUNDUP(Z455/2,0)*('Parametros'!$B$7+'Parametros'!$B$9+'Parametros'!$B$12/2)+ROUNDDOWN(Z455/2,0)*('Parametros'!$B$7+'Parametros'!$B$9+'Parametros'!$B$12/2+'Parametros'!$B$12+'Parametros'!$B$10))/Z455)</f>
        <v>342.55</v>
      </c>
      <c r="AC455" s="10">
        <f>Z455*'Parametros'!$B$8</f>
        <v>597</v>
      </c>
      <c r="AD455" s="10">
        <f>'Parametros'!$B$5*AC455*'Parametros'!$B$3*(AB455-(AC455*'Parametros'!$B$3/(0.85*'Parametros'!$B$2*H455))/2)/1000000</f>
        <v>73.905520182353</v>
      </c>
      <c r="AE455" s="10" t="str">
        <f>IF(AD455&gt;=L455,"CUMPLE","NO CUMPLE")</f>
        <v>CUMPLE</v>
      </c>
      <c r="AF455" s="10">
        <f>V455*1.25*'Parametros'!$B$3*(U455-(V455*1.25*'Parametros'!$B$3/(0.85*'Parametros'!$B$2*H455))/2)/1000000</f>
        <v>101.467261323529</v>
      </c>
      <c r="AG455" s="10">
        <f>AC455*1.25*'Parametros'!$B$3*(AB455-(AC455*1.25*'Parametros'!$B$3/(0.85*'Parametros'!$B$2*H455))/2)/1000000</f>
        <v>101.467261323529</v>
      </c>
      <c r="AH455" s="10">
        <f>N455+(AF455+AG455)/D455</f>
        <v>154.041934313726</v>
      </c>
      <c r="AI455" s="10">
        <f>MIN(O455,MAX(N455,AH455))</f>
        <v>154.041934313726</v>
      </c>
      <c r="AJ455" s="10">
        <f>0.17*SQRT('Parametros'!$B$2)*H455*MIN(U455,AB455)/1000</f>
        <v>107.849951281016</v>
      </c>
      <c r="AK455" s="10">
        <f>MAX(AI455/'Parametros'!$B$6-AJ455,0)</f>
        <v>97.5392944706181</v>
      </c>
      <c r="AL455" s="10">
        <f>0.66*SQRT('Parametros'!$B$2)*H455*MIN(U455,AB455)/1000</f>
        <v>418.711575561591</v>
      </c>
      <c r="AM455" s="10" t="str">
        <f>IF(AK455&lt;=AL455,"CUMPLE","NO CUMPLE")</f>
        <v>CUMPLE</v>
      </c>
      <c r="AN455" s="15" t="inlineStr">
        <is>
          <t>Nº3 cerrado</t>
        </is>
      </c>
      <c r="AO455" s="17" t="n">
        <v>2</v>
      </c>
      <c r="AP455" s="10">
        <f>ROUNDDOWN(MIN(IF(AK455=0,1000000000,AO455*'Parametros'!$B$11*'Parametros'!$B$4*MIN(U455,AB455)/(AK455*1000)),IF(AV455=0,1000000000,'Parametros'!$B$11/AV455),MIN(U455,AB455)/4,8*'Parametros'!$B$12,24*'Parametros'!$B$9,300)/10,0)*10</f>
        <v>80</v>
      </c>
      <c r="AQ455" s="10">
        <f>ROUNDDOWN(MIN(IF(AK455=0,1000000000,AO455*'Parametros'!$B$11*'Parametros'!$B$4*MIN(U455,AB455)/(AK455*1000)),IF(AV455=0,1000000000,'Parametros'!$B$11/AV455),MIN(U455,AB455)/2,600)/10,0)*10</f>
        <v>170</v>
      </c>
      <c r="AR455" s="10">
        <f>'Parametros'!$B$6*(AJ455+AO455*'Parametros'!$B$11*'Parametros'!$B$4*MIN(U455,AB455)/AP455/1000)</f>
        <v>272.415732210762</v>
      </c>
      <c r="AS455" s="10" t="str">
        <f>IF(AND(AM455="CUMPLE",AR455&gt;=AI455),"CUMPLE","NO CUMPLE")</f>
        <v>CUMPLE</v>
      </c>
      <c r="AT455" s="10">
        <f>'Parametros'!$B$6*0.083*SQRT('Parametros'!$B$2)*(H455*I455)^2/(2*(H455+I455))/1000000</f>
        <v>4.30410823283988</v>
      </c>
      <c r="AU455" s="10" t="str">
        <f>IF(Q455&lt;=AT455,"DESPRECIABLE","DISEÑAR")</f>
        <v>DESPRECIABLE</v>
      </c>
      <c r="AV455" s="10">
        <f>IF(Q455&lt;=AT455,0,Q455*1000000/('Parametros'!$B$6*2*0.85*(H455-2*'Parametros'!$B$7)*(I455-2*'Parametros'!$B$7)*'Parametros'!$B$4))</f>
        <v>0</v>
      </c>
      <c r="AW455" s="10">
        <f>AV455*2*((H455-2*'Parametros'!$B$7)+(I455-2*'Parametros'!$B$7))*'Parametros'!$B$4/'Parametros'!$B$3</f>
        <v>0</v>
      </c>
      <c r="AX455" s="17" t="n">
        <v>0</v>
      </c>
      <c r="AY455" s="10" t="str">
        <f>IF(AV455=0,"DESPRECIABLE",IF('Parametros'!$B$11/AP455&gt;=AV455,"CUMPLE","NO CUMPLE"))</f>
        <v>DESPRECIABLE</v>
      </c>
      <c r="AZ455" s="10" t="str">
        <f>IF(AND(X455="CUMPLE",AE455="CUMPLE",AS455="CUMPLE",OR(AY455="CUMPLE",AY455="DESPRECIABLE")),IF(OR(F455&lt;&gt;H455,G455&lt;&gt;I455),"CUMPLE - REANALIZAR SAP","CUMPLE"),"NO CUMPLE")</f>
        <v>CUMPLE</v>
      </c>
    </row>
    <row r="456">
      <c r="A456" s="26" t="inlineStr">
        <is>
          <t>VR2</t>
        </is>
      </c>
      <c r="B456" s="26" t="inlineStr">
        <is>
          <t>891</t>
        </is>
      </c>
      <c r="C456" s="10" t="n">
        <v>1</v>
      </c>
      <c r="D456" s="10" t="n">
        <v>2.8</v>
      </c>
      <c r="E456" s="10" t="n">
        <v>2.8</v>
      </c>
      <c r="F456" s="10" t="n">
        <v>350</v>
      </c>
      <c r="G456" s="10" t="n">
        <v>400</v>
      </c>
      <c r="H456" s="15" t="n">
        <v>350</v>
      </c>
      <c r="I456" s="15" t="n">
        <v>400</v>
      </c>
      <c r="J456" s="16" t="n">
        <v>71.5296</v>
      </c>
      <c r="K456" s="10" t="inlineStr">
        <is>
          <t>891</t>
        </is>
      </c>
      <c r="L456" s="16" t="n">
        <v>42.7917</v>
      </c>
      <c r="M456" s="10" t="inlineStr">
        <is>
          <t>891</t>
        </is>
      </c>
      <c r="N456" s="16" t="n">
        <v>78.602</v>
      </c>
      <c r="O456" s="16" t="n">
        <v>183.979</v>
      </c>
      <c r="P456" s="10" t="inlineStr">
        <is>
          <t>891</t>
        </is>
      </c>
      <c r="Q456" s="16" t="n">
        <v>1.2514</v>
      </c>
      <c r="R456" s="10">
        <f>MAX(MAX(1.4/'Parametros'!$B$3,0.25*SQRT('Parametros'!$B$2)/'Parametros'!$B$3)*H456*U456,(0.85*'Parametros'!$B$2/'Parametros'!$B$3)*(1-SQRT(1-2*(J456*1000000/('Parametros'!$B$5*H456*U456^2))/(0.85*'Parametros'!$B$2)))*H456*U456)</f>
        <v>576.915664112666</v>
      </c>
      <c r="S456" s="17" t="n">
        <v>3</v>
      </c>
      <c r="T456" s="18" t="n">
        <v>1</v>
      </c>
      <c r="U456" s="10">
        <f>IF(T456=1,I456-('Parametros'!$B$7+'Parametros'!$B$9+'Parametros'!$B$12/2),I456-(ROUNDUP(S456/2,0)*('Parametros'!$B$7+'Parametros'!$B$9+'Parametros'!$B$12/2)+ROUNDDOWN(S456/2,0)*('Parametros'!$B$7+'Parametros'!$B$9+'Parametros'!$B$12/2+'Parametros'!$B$12+'Parametros'!$B$10))/S456)</f>
        <v>342.55</v>
      </c>
      <c r="V456" s="10">
        <f>S456*'Parametros'!$B$8</f>
        <v>597</v>
      </c>
      <c r="W456" s="10">
        <f>'Parametros'!$B$5*V456*'Parametros'!$B$3*(U456-(V456*'Parametros'!$B$3/(0.85*'Parametros'!$B$2*H456))/2)/1000000</f>
        <v>73.905520182353</v>
      </c>
      <c r="X456" s="10" t="str">
        <f>IF(W456&gt;=J456,"CUMPLE","NO CUMPLE")</f>
        <v>CUMPLE</v>
      </c>
      <c r="Y456" s="10">
        <f>MAX(MAX(1.4/'Parametros'!$B$3,0.25*SQRT('Parametros'!$B$2)/'Parametros'!$B$3)*H456*AB456,(0.85*'Parametros'!$B$2/'Parametros'!$B$3)*(1-SQRT(1-2*(L456*1000000/('Parametros'!$B$5*H456*AB456^2))/(0.85*'Parametros'!$B$2)))*H456*AB456)</f>
        <v>399.641666666667</v>
      </c>
      <c r="Z456" s="17" t="n">
        <v>3</v>
      </c>
      <c r="AA456" s="18" t="n">
        <v>1</v>
      </c>
      <c r="AB456" s="10">
        <f>IF(AA456=1,I456-('Parametros'!$B$7+'Parametros'!$B$9+'Parametros'!$B$12/2),I456-(ROUNDUP(Z456/2,0)*('Parametros'!$B$7+'Parametros'!$B$9+'Parametros'!$B$12/2)+ROUNDDOWN(Z456/2,0)*('Parametros'!$B$7+'Parametros'!$B$9+'Parametros'!$B$12/2+'Parametros'!$B$12+'Parametros'!$B$10))/Z456)</f>
        <v>342.55</v>
      </c>
      <c r="AC456" s="10">
        <f>Z456*'Parametros'!$B$8</f>
        <v>597</v>
      </c>
      <c r="AD456" s="10">
        <f>'Parametros'!$B$5*AC456*'Parametros'!$B$3*(AB456-(AC456*'Parametros'!$B$3/(0.85*'Parametros'!$B$2*H456))/2)/1000000</f>
        <v>73.905520182353</v>
      </c>
      <c r="AE456" s="10" t="str">
        <f>IF(AD456&gt;=L456,"CUMPLE","NO CUMPLE")</f>
        <v>CUMPLE</v>
      </c>
      <c r="AF456" s="10">
        <f>V456*1.25*'Parametros'!$B$3*(U456-(V456*1.25*'Parametros'!$B$3/(0.85*'Parametros'!$B$2*H456))/2)/1000000</f>
        <v>101.467261323529</v>
      </c>
      <c r="AG456" s="10">
        <f>AC456*1.25*'Parametros'!$B$3*(AB456-(AC456*1.25*'Parametros'!$B$3/(0.85*'Parametros'!$B$2*H456))/2)/1000000</f>
        <v>101.467261323529</v>
      </c>
      <c r="AH456" s="10">
        <f>N456+(AF456+AG456)/D456</f>
        <v>151.078615231092</v>
      </c>
      <c r="AI456" s="10">
        <f>MIN(O456,MAX(N456,AH456))</f>
        <v>151.078615231092</v>
      </c>
      <c r="AJ456" s="10">
        <f>0.17*SQRT('Parametros'!$B$2)*H456*MIN(U456,AB456)/1000</f>
        <v>107.849951281016</v>
      </c>
      <c r="AK456" s="10">
        <f>MAX(AI456/'Parametros'!$B$6-AJ456,0)</f>
        <v>93.5882023604407</v>
      </c>
      <c r="AL456" s="10">
        <f>0.66*SQRT('Parametros'!$B$2)*H456*MIN(U456,AB456)/1000</f>
        <v>418.711575561591</v>
      </c>
      <c r="AM456" s="10" t="str">
        <f>IF(AK456&lt;=AL456,"CUMPLE","NO CUMPLE")</f>
        <v>CUMPLE</v>
      </c>
      <c r="AN456" s="15" t="inlineStr">
        <is>
          <t>Nº3 cerrado</t>
        </is>
      </c>
      <c r="AO456" s="17" t="n">
        <v>2</v>
      </c>
      <c r="AP456" s="10">
        <f>ROUNDDOWN(MIN(IF(AK456=0,1000000000,AO456*'Parametros'!$B$11*'Parametros'!$B$4*MIN(U456,AB456)/(AK456*1000)),IF(AV456=0,1000000000,'Parametros'!$B$11/AV456),MIN(U456,AB456)/4,8*'Parametros'!$B$12,24*'Parametros'!$B$9,300)/10,0)*10</f>
        <v>80</v>
      </c>
      <c r="AQ456" s="10">
        <f>ROUNDDOWN(MIN(IF(AK456=0,1000000000,AO456*'Parametros'!$B$11*'Parametros'!$B$4*MIN(U456,AB456)/(AK456*1000)),IF(AV456=0,1000000000,'Parametros'!$B$11/AV456),MIN(U456,AB456)/2,600)/10,0)*10</f>
        <v>170</v>
      </c>
      <c r="AR456" s="10">
        <f>'Parametros'!$B$6*(AJ456+AO456*'Parametros'!$B$11*'Parametros'!$B$4*MIN(U456,AB456)/AP456/1000)</f>
        <v>272.415732210762</v>
      </c>
      <c r="AS456" s="10" t="str">
        <f>IF(AND(AM456="CUMPLE",AR456&gt;=AI456),"CUMPLE","NO CUMPLE")</f>
        <v>CUMPLE</v>
      </c>
      <c r="AT456" s="10">
        <f>'Parametros'!$B$6*0.083*SQRT('Parametros'!$B$2)*(H456*I456)^2/(2*(H456+I456))/1000000</f>
        <v>4.30410823283988</v>
      </c>
      <c r="AU456" s="10" t="str">
        <f>IF(Q456&lt;=AT456,"DESPRECIABLE","DISEÑAR")</f>
        <v>DESPRECIABLE</v>
      </c>
      <c r="AV456" s="10">
        <f>IF(Q456&lt;=AT456,0,Q456*1000000/('Parametros'!$B$6*2*0.85*(H456-2*'Parametros'!$B$7)*(I456-2*'Parametros'!$B$7)*'Parametros'!$B$4))</f>
        <v>0</v>
      </c>
      <c r="AW456" s="10">
        <f>AV456*2*((H456-2*'Parametros'!$B$7)+(I456-2*'Parametros'!$B$7))*'Parametros'!$B$4/'Parametros'!$B$3</f>
        <v>0</v>
      </c>
      <c r="AX456" s="17" t="n">
        <v>0</v>
      </c>
      <c r="AY456" s="10" t="str">
        <f>IF(AV456=0,"DESPRECIABLE",IF('Parametros'!$B$11/AP456&gt;=AV456,"CUMPLE","NO CUMPLE"))</f>
        <v>DESPRECIABLE</v>
      </c>
      <c r="AZ456" s="10" t="str">
        <f>IF(AND(X456="CUMPLE",AE456="CUMPLE",AS456="CUMPLE",OR(AY456="CUMPLE",AY456="DESPRECIABLE")),IF(OR(F456&lt;&gt;H456,G456&lt;&gt;I456),"CUMPLE - REANALIZAR SAP","CUMPLE"),"NO CUMPLE")</f>
        <v>CUMPLE</v>
      </c>
    </row>
    <row r="457">
      <c r="A457" s="26" t="inlineStr">
        <is>
          <t>VR2</t>
        </is>
      </c>
      <c r="B457" s="26" t="inlineStr">
        <is>
          <t>892</t>
        </is>
      </c>
      <c r="C457" s="10" t="n">
        <v>1</v>
      </c>
      <c r="D457" s="10" t="n">
        <v>4.17612</v>
      </c>
      <c r="E457" s="10" t="n">
        <v>4.17612</v>
      </c>
      <c r="F457" s="10" t="n">
        <v>350</v>
      </c>
      <c r="G457" s="10" t="n">
        <v>400</v>
      </c>
      <c r="H457" s="15" t="n">
        <v>350</v>
      </c>
      <c r="I457" s="15" t="n">
        <v>400</v>
      </c>
      <c r="J457" s="16" t="n">
        <v>82.595</v>
      </c>
      <c r="K457" s="10" t="inlineStr">
        <is>
          <t>892</t>
        </is>
      </c>
      <c r="L457" s="16" t="n">
        <v>29.6608</v>
      </c>
      <c r="M457" s="10" t="inlineStr">
        <is>
          <t>892</t>
        </is>
      </c>
      <c r="N457" s="16" t="n">
        <v>75.97199999999999</v>
      </c>
      <c r="O457" s="16" t="n">
        <v>156.954</v>
      </c>
      <c r="P457" s="10" t="inlineStr">
        <is>
          <t>892</t>
        </is>
      </c>
      <c r="Q457" s="16" t="n">
        <v>0.1301</v>
      </c>
      <c r="R457" s="10">
        <f>MAX(MAX(1.4/'Parametros'!$B$3,0.25*SQRT('Parametros'!$B$2)/'Parametros'!$B$3)*H457*U457,(0.85*'Parametros'!$B$2/'Parametros'!$B$3)*(1-SQRT(1-2*(J457*1000000/('Parametros'!$B$5*H457*U457^2))/(0.85*'Parametros'!$B$2)))*H457*U457)</f>
        <v>671.015724563665</v>
      </c>
      <c r="S457" s="17" t="n">
        <v>4</v>
      </c>
      <c r="T457" s="18" t="n">
        <v>1</v>
      </c>
      <c r="U457" s="10">
        <f>IF(T457=1,I457-('Parametros'!$B$7+'Parametros'!$B$9+'Parametros'!$B$12/2),I457-(ROUNDUP(S457/2,0)*('Parametros'!$B$7+'Parametros'!$B$9+'Parametros'!$B$12/2)+ROUNDDOWN(S457/2,0)*('Parametros'!$B$7+'Parametros'!$B$9+'Parametros'!$B$12/2+'Parametros'!$B$12+'Parametros'!$B$10))/S457)</f>
        <v>342.55</v>
      </c>
      <c r="V457" s="10">
        <f>S457*'Parametros'!$B$8</f>
        <v>796</v>
      </c>
      <c r="W457" s="10">
        <f>'Parametros'!$B$5*V457*'Parametros'!$B$3*(U457-(V457*'Parametros'!$B$3/(0.85*'Parametros'!$B$2*H457))/2)/1000000</f>
        <v>97.0311966352941</v>
      </c>
      <c r="X457" s="10" t="str">
        <f>IF(W457&gt;=J457,"CUMPLE","NO CUMPLE")</f>
        <v>CUMPLE</v>
      </c>
      <c r="Y457" s="10">
        <f>MAX(MAX(1.4/'Parametros'!$B$3,0.25*SQRT('Parametros'!$B$2)/'Parametros'!$B$3)*H457*AB457,(0.85*'Parametros'!$B$2/'Parametros'!$B$3)*(1-SQRT(1-2*(L457*1000000/('Parametros'!$B$5*H457*AB457^2))/(0.85*'Parametros'!$B$2)))*H457*AB457)</f>
        <v>399.641666666667</v>
      </c>
      <c r="Z457" s="17" t="n">
        <v>3</v>
      </c>
      <c r="AA457" s="18" t="n">
        <v>1</v>
      </c>
      <c r="AB457" s="10">
        <f>IF(AA457=1,I457-('Parametros'!$B$7+'Parametros'!$B$9+'Parametros'!$B$12/2),I457-(ROUNDUP(Z457/2,0)*('Parametros'!$B$7+'Parametros'!$B$9+'Parametros'!$B$12/2)+ROUNDDOWN(Z457/2,0)*('Parametros'!$B$7+'Parametros'!$B$9+'Parametros'!$B$12/2+'Parametros'!$B$12+'Parametros'!$B$10))/Z457)</f>
        <v>342.55</v>
      </c>
      <c r="AC457" s="10">
        <f>Z457*'Parametros'!$B$8</f>
        <v>597</v>
      </c>
      <c r="AD457" s="10">
        <f>'Parametros'!$B$5*AC457*'Parametros'!$B$3*(AB457-(AC457*'Parametros'!$B$3/(0.85*'Parametros'!$B$2*H457))/2)/1000000</f>
        <v>73.905520182353</v>
      </c>
      <c r="AE457" s="10" t="str">
        <f>IF(AD457&gt;=L457,"CUMPLE","NO CUMPLE")</f>
        <v>CUMPLE</v>
      </c>
      <c r="AF457" s="10">
        <f>V457*1.25*'Parametros'!$B$3*(U457-(V457*1.25*'Parametros'!$B$3/(0.85*'Parametros'!$B$2*H457))/2)/1000000</f>
        <v>132.669027352941</v>
      </c>
      <c r="AG457" s="10">
        <f>AC457*1.25*'Parametros'!$B$3*(AB457-(AC457*1.25*'Parametros'!$B$3/(0.85*'Parametros'!$B$2*H457))/2)/1000000</f>
        <v>101.467261323529</v>
      </c>
      <c r="AH457" s="10">
        <f>N457+(AF457+AG457)/D457</f>
        <v>132.037507858124</v>
      </c>
      <c r="AI457" s="10">
        <f>MIN(O457,MAX(N457,AH457))</f>
        <v>132.037507858124</v>
      </c>
      <c r="AJ457" s="10">
        <f>0.17*SQRT('Parametros'!$B$2)*H457*MIN(U457,AB457)/1000</f>
        <v>107.849951281016</v>
      </c>
      <c r="AK457" s="10">
        <f>MAX(AI457/'Parametros'!$B$6-AJ457,0)</f>
        <v>68.2000591964833</v>
      </c>
      <c r="AL457" s="10">
        <f>0.66*SQRT('Parametros'!$B$2)*H457*MIN(U457,AB457)/1000</f>
        <v>418.711575561591</v>
      </c>
      <c r="AM457" s="10" t="str">
        <f>IF(AK457&lt;=AL457,"CUMPLE","NO CUMPLE")</f>
        <v>CUMPLE</v>
      </c>
      <c r="AN457" s="15" t="inlineStr">
        <is>
          <t>Nº3 cerrado</t>
        </is>
      </c>
      <c r="AO457" s="17" t="n">
        <v>2</v>
      </c>
      <c r="AP457" s="10">
        <f>ROUNDDOWN(MIN(IF(AK457=0,1000000000,AO457*'Parametros'!$B$11*'Parametros'!$B$4*MIN(U457,AB457)/(AK457*1000)),IF(AV457=0,1000000000,'Parametros'!$B$11/AV457),MIN(U457,AB457)/4,8*'Parametros'!$B$12,24*'Parametros'!$B$9,300)/10,0)*10</f>
        <v>80</v>
      </c>
      <c r="AQ457" s="10">
        <f>ROUNDDOWN(MIN(IF(AK457=0,1000000000,AO457*'Parametros'!$B$11*'Parametros'!$B$4*MIN(U457,AB457)/(AK457*1000)),IF(AV457=0,1000000000,'Parametros'!$B$11/AV457),MIN(U457,AB457)/2,600)/10,0)*10</f>
        <v>170</v>
      </c>
      <c r="AR457" s="10">
        <f>'Parametros'!$B$6*(AJ457+AO457*'Parametros'!$B$11*'Parametros'!$B$4*MIN(U457,AB457)/AP457/1000)</f>
        <v>272.415732210762</v>
      </c>
      <c r="AS457" s="10" t="str">
        <f>IF(AND(AM457="CUMPLE",AR457&gt;=AI457),"CUMPLE","NO CUMPLE")</f>
        <v>CUMPLE</v>
      </c>
      <c r="AT457" s="10">
        <f>'Parametros'!$B$6*0.083*SQRT('Parametros'!$B$2)*(H457*I457)^2/(2*(H457+I457))/1000000</f>
        <v>4.30410823283988</v>
      </c>
      <c r="AU457" s="10" t="str">
        <f>IF(Q457&lt;=AT457,"DESPRECIABLE","DISEÑAR")</f>
        <v>DESPRECIABLE</v>
      </c>
      <c r="AV457" s="10">
        <f>IF(Q457&lt;=AT457,0,Q457*1000000/('Parametros'!$B$6*2*0.85*(H457-2*'Parametros'!$B$7)*(I457-2*'Parametros'!$B$7)*'Parametros'!$B$4))</f>
        <v>0</v>
      </c>
      <c r="AW457" s="10">
        <f>AV457*2*((H457-2*'Parametros'!$B$7)+(I457-2*'Parametros'!$B$7))*'Parametros'!$B$4/'Parametros'!$B$3</f>
        <v>0</v>
      </c>
      <c r="AX457" s="17" t="n">
        <v>0</v>
      </c>
      <c r="AY457" s="10" t="str">
        <f>IF(AV457=0,"DESPRECIABLE",IF('Parametros'!$B$11/AP457&gt;=AV457,"CUMPLE","NO CUMPLE"))</f>
        <v>DESPRECIABLE</v>
      </c>
      <c r="AZ457" s="10" t="str">
        <f>IF(AND(X457="CUMPLE",AE457="CUMPLE",AS457="CUMPLE",OR(AY457="CUMPLE",AY457="DESPRECIABLE")),IF(OR(F457&lt;&gt;H457,G457&lt;&gt;I457),"CUMPLE - REANALIZAR SAP","CUMPLE"),"NO CUMPLE")</f>
        <v>CUMPLE</v>
      </c>
    </row>
    <row r="458">
      <c r="A458" s="26" t="inlineStr">
        <is>
          <t>VR2</t>
        </is>
      </c>
      <c r="B458" s="26" t="inlineStr">
        <is>
          <t>893</t>
        </is>
      </c>
      <c r="C458" s="10" t="n">
        <v>1</v>
      </c>
      <c r="D458" s="10" t="n">
        <v>2.5</v>
      </c>
      <c r="E458" s="10" t="n">
        <v>2.5</v>
      </c>
      <c r="F458" s="10" t="n">
        <v>350</v>
      </c>
      <c r="G458" s="10" t="n">
        <v>400</v>
      </c>
      <c r="H458" s="15" t="n">
        <v>350</v>
      </c>
      <c r="I458" s="15" t="n">
        <v>400</v>
      </c>
      <c r="J458" s="16" t="n">
        <v>69.4293</v>
      </c>
      <c r="K458" s="10" t="inlineStr">
        <is>
          <t>893</t>
        </is>
      </c>
      <c r="L458" s="16" t="n">
        <v>40.9902</v>
      </c>
      <c r="M458" s="10" t="inlineStr">
        <is>
          <t>893</t>
        </is>
      </c>
      <c r="N458" s="16" t="n">
        <v>76.133</v>
      </c>
      <c r="O458" s="16" t="n">
        <v>218.529</v>
      </c>
      <c r="P458" s="10" t="inlineStr">
        <is>
          <t>893</t>
        </is>
      </c>
      <c r="Q458" s="16" t="n">
        <v>0.9805</v>
      </c>
      <c r="R458" s="10">
        <f>MAX(MAX(1.4/'Parametros'!$B$3,0.25*SQRT('Parametros'!$B$2)/'Parametros'!$B$3)*H458*U458,(0.85*'Parametros'!$B$2/'Parametros'!$B$3)*(1-SQRT(1-2*(J458*1000000/('Parametros'!$B$5*H458*U458^2))/(0.85*'Parametros'!$B$2)))*H458*U458)</f>
        <v>559.215101024676</v>
      </c>
      <c r="S458" s="17" t="n">
        <v>3</v>
      </c>
      <c r="T458" s="18" t="n">
        <v>1</v>
      </c>
      <c r="U458" s="10">
        <f>IF(T458=1,I458-('Parametros'!$B$7+'Parametros'!$B$9+'Parametros'!$B$12/2),I458-(ROUNDUP(S458/2,0)*('Parametros'!$B$7+'Parametros'!$B$9+'Parametros'!$B$12/2)+ROUNDDOWN(S458/2,0)*('Parametros'!$B$7+'Parametros'!$B$9+'Parametros'!$B$12/2+'Parametros'!$B$12+'Parametros'!$B$10))/S458)</f>
        <v>342.55</v>
      </c>
      <c r="V458" s="10">
        <f>S458*'Parametros'!$B$8</f>
        <v>597</v>
      </c>
      <c r="W458" s="10">
        <f>'Parametros'!$B$5*V458*'Parametros'!$B$3*(U458-(V458*'Parametros'!$B$3/(0.85*'Parametros'!$B$2*H458))/2)/1000000</f>
        <v>73.905520182353</v>
      </c>
      <c r="X458" s="10" t="str">
        <f>IF(W458&gt;=J458,"CUMPLE","NO CUMPLE")</f>
        <v>CUMPLE</v>
      </c>
      <c r="Y458" s="10">
        <f>MAX(MAX(1.4/'Parametros'!$B$3,0.25*SQRT('Parametros'!$B$2)/'Parametros'!$B$3)*H458*AB458,(0.85*'Parametros'!$B$2/'Parametros'!$B$3)*(1-SQRT(1-2*(L458*1000000/('Parametros'!$B$5*H458*AB458^2))/(0.85*'Parametros'!$B$2)))*H458*AB458)</f>
        <v>399.641666666667</v>
      </c>
      <c r="Z458" s="17" t="n">
        <v>3</v>
      </c>
      <c r="AA458" s="18" t="n">
        <v>1</v>
      </c>
      <c r="AB458" s="10">
        <f>IF(AA458=1,I458-('Parametros'!$B$7+'Parametros'!$B$9+'Parametros'!$B$12/2),I458-(ROUNDUP(Z458/2,0)*('Parametros'!$B$7+'Parametros'!$B$9+'Parametros'!$B$12/2)+ROUNDDOWN(Z458/2,0)*('Parametros'!$B$7+'Parametros'!$B$9+'Parametros'!$B$12/2+'Parametros'!$B$12+'Parametros'!$B$10))/Z458)</f>
        <v>342.55</v>
      </c>
      <c r="AC458" s="10">
        <f>Z458*'Parametros'!$B$8</f>
        <v>597</v>
      </c>
      <c r="AD458" s="10">
        <f>'Parametros'!$B$5*AC458*'Parametros'!$B$3*(AB458-(AC458*'Parametros'!$B$3/(0.85*'Parametros'!$B$2*H458))/2)/1000000</f>
        <v>73.905520182353</v>
      </c>
      <c r="AE458" s="10" t="str">
        <f>IF(AD458&gt;=L458,"CUMPLE","NO CUMPLE")</f>
        <v>CUMPLE</v>
      </c>
      <c r="AF458" s="10">
        <f>V458*1.25*'Parametros'!$B$3*(U458-(V458*1.25*'Parametros'!$B$3/(0.85*'Parametros'!$B$2*H458))/2)/1000000</f>
        <v>101.467261323529</v>
      </c>
      <c r="AG458" s="10">
        <f>AC458*1.25*'Parametros'!$B$3*(AB458-(AC458*1.25*'Parametros'!$B$3/(0.85*'Parametros'!$B$2*H458))/2)/1000000</f>
        <v>101.467261323529</v>
      </c>
      <c r="AH458" s="10">
        <f>N458+(AF458+AG458)/D458</f>
        <v>157.306809058824</v>
      </c>
      <c r="AI458" s="10">
        <f>MIN(O458,MAX(N458,AH458))</f>
        <v>157.306809058824</v>
      </c>
      <c r="AJ458" s="10">
        <f>0.17*SQRT('Parametros'!$B$2)*H458*MIN(U458,AB458)/1000</f>
        <v>107.849951281016</v>
      </c>
      <c r="AK458" s="10">
        <f>MAX(AI458/'Parametros'!$B$6-AJ458,0)</f>
        <v>101.892460797415</v>
      </c>
      <c r="AL458" s="10">
        <f>0.66*SQRT('Parametros'!$B$2)*H458*MIN(U458,AB458)/1000</f>
        <v>418.711575561591</v>
      </c>
      <c r="AM458" s="10" t="str">
        <f>IF(AK458&lt;=AL458,"CUMPLE","NO CUMPLE")</f>
        <v>CUMPLE</v>
      </c>
      <c r="AN458" s="15" t="inlineStr">
        <is>
          <t>Nº3 cerrado</t>
        </is>
      </c>
      <c r="AO458" s="17" t="n">
        <v>2</v>
      </c>
      <c r="AP458" s="10">
        <f>ROUNDDOWN(MIN(IF(AK458=0,1000000000,AO458*'Parametros'!$B$11*'Parametros'!$B$4*MIN(U458,AB458)/(AK458*1000)),IF(AV458=0,1000000000,'Parametros'!$B$11/AV458),MIN(U458,AB458)/4,8*'Parametros'!$B$12,24*'Parametros'!$B$9,300)/10,0)*10</f>
        <v>80</v>
      </c>
      <c r="AQ458" s="10">
        <f>ROUNDDOWN(MIN(IF(AK458=0,1000000000,AO458*'Parametros'!$B$11*'Parametros'!$B$4*MIN(U458,AB458)/(AK458*1000)),IF(AV458=0,1000000000,'Parametros'!$B$11/AV458),MIN(U458,AB458)/2,600)/10,0)*10</f>
        <v>170</v>
      </c>
      <c r="AR458" s="10">
        <f>'Parametros'!$B$6*(AJ458+AO458*'Parametros'!$B$11*'Parametros'!$B$4*MIN(U458,AB458)/AP458/1000)</f>
        <v>272.415732210762</v>
      </c>
      <c r="AS458" s="10" t="str">
        <f>IF(AND(AM458="CUMPLE",AR458&gt;=AI458),"CUMPLE","NO CUMPLE")</f>
        <v>CUMPLE</v>
      </c>
      <c r="AT458" s="10">
        <f>'Parametros'!$B$6*0.083*SQRT('Parametros'!$B$2)*(H458*I458)^2/(2*(H458+I458))/1000000</f>
        <v>4.30410823283988</v>
      </c>
      <c r="AU458" s="10" t="str">
        <f>IF(Q458&lt;=AT458,"DESPRECIABLE","DISEÑAR")</f>
        <v>DESPRECIABLE</v>
      </c>
      <c r="AV458" s="10">
        <f>IF(Q458&lt;=AT458,0,Q458*1000000/('Parametros'!$B$6*2*0.85*(H458-2*'Parametros'!$B$7)*(I458-2*'Parametros'!$B$7)*'Parametros'!$B$4))</f>
        <v>0</v>
      </c>
      <c r="AW458" s="10">
        <f>AV458*2*((H458-2*'Parametros'!$B$7)+(I458-2*'Parametros'!$B$7))*'Parametros'!$B$4/'Parametros'!$B$3</f>
        <v>0</v>
      </c>
      <c r="AX458" s="17" t="n">
        <v>0</v>
      </c>
      <c r="AY458" s="10" t="str">
        <f>IF(AV458=0,"DESPRECIABLE",IF('Parametros'!$B$11/AP458&gt;=AV458,"CUMPLE","NO CUMPLE"))</f>
        <v>DESPRECIABLE</v>
      </c>
      <c r="AZ458" s="10" t="str">
        <f>IF(AND(X458="CUMPLE",AE458="CUMPLE",AS458="CUMPLE",OR(AY458="CUMPLE",AY458="DESPRECIABLE")),IF(OR(F458&lt;&gt;H458,G458&lt;&gt;I458),"CUMPLE - REANALIZAR SAP","CUMPLE"),"NO CUMPLE")</f>
        <v>CUMPLE</v>
      </c>
    </row>
    <row r="459">
      <c r="A459" s="26" t="inlineStr">
        <is>
          <t>VR2</t>
        </is>
      </c>
      <c r="B459" s="26" t="inlineStr">
        <is>
          <t>894</t>
        </is>
      </c>
      <c r="C459" s="10" t="n">
        <v>1</v>
      </c>
      <c r="D459" s="10" t="n">
        <v>2.6</v>
      </c>
      <c r="E459" s="10" t="n">
        <v>2.6</v>
      </c>
      <c r="F459" s="10" t="n">
        <v>350</v>
      </c>
      <c r="G459" s="10" t="n">
        <v>400</v>
      </c>
      <c r="H459" s="15" t="n">
        <v>350</v>
      </c>
      <c r="I459" s="15" t="n">
        <v>400</v>
      </c>
      <c r="J459" s="16" t="n">
        <v>75.0352</v>
      </c>
      <c r="K459" s="10" t="inlineStr">
        <is>
          <t>894</t>
        </is>
      </c>
      <c r="L459" s="16" t="n">
        <v>36.9188</v>
      </c>
      <c r="M459" s="10" t="inlineStr">
        <is>
          <t>894</t>
        </is>
      </c>
      <c r="N459" s="16" t="n">
        <v>84.76900000000001</v>
      </c>
      <c r="O459" s="16" t="n">
        <v>236.775</v>
      </c>
      <c r="P459" s="10" t="inlineStr">
        <is>
          <t>894</t>
        </is>
      </c>
      <c r="Q459" s="16" t="n">
        <v>6.8479</v>
      </c>
      <c r="R459" s="10">
        <f>MAX(MAX(1.4/'Parametros'!$B$3,0.25*SQRT('Parametros'!$B$2)/'Parametros'!$B$3)*H459*U459,(0.85*'Parametros'!$B$2/'Parametros'!$B$3)*(1-SQRT(1-2*(J459*1000000/('Parametros'!$B$5*H459*U459^2))/(0.85*'Parametros'!$B$2)))*H459*U459)</f>
        <v>606.572376380192</v>
      </c>
      <c r="S459" s="17" t="n">
        <v>4</v>
      </c>
      <c r="T459" s="18" t="n">
        <v>1</v>
      </c>
      <c r="U459" s="10">
        <f>IF(T459=1,I459-('Parametros'!$B$7+'Parametros'!$B$9+'Parametros'!$B$12/2),I459-(ROUNDUP(S459/2,0)*('Parametros'!$B$7+'Parametros'!$B$9+'Parametros'!$B$12/2)+ROUNDDOWN(S459/2,0)*('Parametros'!$B$7+'Parametros'!$B$9+'Parametros'!$B$12/2+'Parametros'!$B$12+'Parametros'!$B$10))/S459)</f>
        <v>342.55</v>
      </c>
      <c r="V459" s="10">
        <f>S459*'Parametros'!$B$8</f>
        <v>796</v>
      </c>
      <c r="W459" s="10">
        <f>'Parametros'!$B$5*V459*'Parametros'!$B$3*(U459-(V459*'Parametros'!$B$3/(0.85*'Parametros'!$B$2*H459))/2)/1000000</f>
        <v>97.0311966352941</v>
      </c>
      <c r="X459" s="10" t="str">
        <f>IF(W459&gt;=J459,"CUMPLE","NO CUMPLE")</f>
        <v>CUMPLE</v>
      </c>
      <c r="Y459" s="10">
        <f>MAX(MAX(1.4/'Parametros'!$B$3,0.25*SQRT('Parametros'!$B$2)/'Parametros'!$B$3)*H459*AB459,(0.85*'Parametros'!$B$2/'Parametros'!$B$3)*(1-SQRT(1-2*(L459*1000000/('Parametros'!$B$5*H459*AB459^2))/(0.85*'Parametros'!$B$2)))*H459*AB459)</f>
        <v>399.641666666667</v>
      </c>
      <c r="Z459" s="17" t="n">
        <v>3</v>
      </c>
      <c r="AA459" s="18" t="n">
        <v>1</v>
      </c>
      <c r="AB459" s="10">
        <f>IF(AA459=1,I459-('Parametros'!$B$7+'Parametros'!$B$9+'Parametros'!$B$12/2),I459-(ROUNDUP(Z459/2,0)*('Parametros'!$B$7+'Parametros'!$B$9+'Parametros'!$B$12/2)+ROUNDDOWN(Z459/2,0)*('Parametros'!$B$7+'Parametros'!$B$9+'Parametros'!$B$12/2+'Parametros'!$B$12+'Parametros'!$B$10))/Z459)</f>
        <v>342.55</v>
      </c>
      <c r="AC459" s="10">
        <f>Z459*'Parametros'!$B$8</f>
        <v>597</v>
      </c>
      <c r="AD459" s="10">
        <f>'Parametros'!$B$5*AC459*'Parametros'!$B$3*(AB459-(AC459*'Parametros'!$B$3/(0.85*'Parametros'!$B$2*H459))/2)/1000000</f>
        <v>73.905520182353</v>
      </c>
      <c r="AE459" s="10" t="str">
        <f>IF(AD459&gt;=L459,"CUMPLE","NO CUMPLE")</f>
        <v>CUMPLE</v>
      </c>
      <c r="AF459" s="10">
        <f>V459*1.25*'Parametros'!$B$3*(U459-(V459*1.25*'Parametros'!$B$3/(0.85*'Parametros'!$B$2*H459))/2)/1000000</f>
        <v>132.669027352941</v>
      </c>
      <c r="AG459" s="10">
        <f>AC459*1.25*'Parametros'!$B$3*(AB459-(AC459*1.25*'Parametros'!$B$3/(0.85*'Parametros'!$B$2*H459))/2)/1000000</f>
        <v>101.467261323529</v>
      </c>
      <c r="AH459" s="10">
        <f>N459+(AF459+AG459)/D459</f>
        <v>174.821418721719</v>
      </c>
      <c r="AI459" s="10">
        <f>MIN(O459,MAX(N459,AH459))</f>
        <v>174.821418721719</v>
      </c>
      <c r="AJ459" s="10">
        <f>0.17*SQRT('Parametros'!$B$2)*H459*MIN(U459,AB459)/1000</f>
        <v>107.849951281016</v>
      </c>
      <c r="AK459" s="10">
        <f>MAX(AI459/'Parametros'!$B$6-AJ459,0)</f>
        <v>125.245273681277</v>
      </c>
      <c r="AL459" s="10">
        <f>0.66*SQRT('Parametros'!$B$2)*H459*MIN(U459,AB459)/1000</f>
        <v>418.711575561591</v>
      </c>
      <c r="AM459" s="10" t="str">
        <f>IF(AK459&lt;=AL459,"CUMPLE","NO CUMPLE")</f>
        <v>CUMPLE</v>
      </c>
      <c r="AN459" s="15" t="inlineStr">
        <is>
          <t>Nº3 cerrado</t>
        </is>
      </c>
      <c r="AO459" s="17" t="n">
        <v>2</v>
      </c>
      <c r="AP459" s="10">
        <f>ROUNDDOWN(MIN(IF(AK459=0,1000000000,AO459*'Parametros'!$B$11*'Parametros'!$B$4*MIN(U459,AB459)/(AK459*1000)),IF(AV459=0,1000000000,'Parametros'!$B$11/AV459),MIN(U459,AB459)/4,8*'Parametros'!$B$12,24*'Parametros'!$B$9,300)/10,0)*10</f>
        <v>80</v>
      </c>
      <c r="AQ459" s="10">
        <f>ROUNDDOWN(MIN(IF(AK459=0,1000000000,AO459*'Parametros'!$B$11*'Parametros'!$B$4*MIN(U459,AB459)/(AK459*1000)),IF(AV459=0,1000000000,'Parametros'!$B$11/AV459),MIN(U459,AB459)/2,600)/10,0)*10</f>
        <v>160</v>
      </c>
      <c r="AR459" s="10">
        <f>'Parametros'!$B$6*(AJ459+AO459*'Parametros'!$B$11*'Parametros'!$B$4*MIN(U459,AB459)/AP459/1000)</f>
        <v>272.415732210762</v>
      </c>
      <c r="AS459" s="10" t="str">
        <f>IF(AND(AM459="CUMPLE",AR459&gt;=AI459),"CUMPLE","NO CUMPLE")</f>
        <v>CUMPLE</v>
      </c>
      <c r="AT459" s="10">
        <f>'Parametros'!$B$6*0.083*SQRT('Parametros'!$B$2)*(H459*I459)^2/(2*(H459+I459))/1000000</f>
        <v>4.30410823283988</v>
      </c>
      <c r="AU459" s="10" t="str">
        <f>IF(Q459&lt;=AT459,"DESPRECIABLE","DISEÑAR")</f>
        <v>DISEÑAR</v>
      </c>
      <c r="AV459" s="10">
        <f>IF(Q459&lt;=AT459,0,Q459*1000000/('Parametros'!$B$6*2*0.85*(H459-2*'Parametros'!$B$7)*(I459-2*'Parametros'!$B$7)*'Parametros'!$B$4))</f>
        <v>0.148007659854065</v>
      </c>
      <c r="AW459" s="10">
        <f>AV459*2*((H459-2*'Parametros'!$B$7)+(I459-2*'Parametros'!$B$7))*'Parametros'!$B$4/'Parametros'!$B$3</f>
        <v>174.649038627797</v>
      </c>
      <c r="AX459" s="17" t="n">
        <v>1</v>
      </c>
      <c r="AY459" s="10" t="str">
        <f>IF(AV459=0,"DESPRECIABLE",IF('Parametros'!$B$11/AP459&gt;=AV459,"CUMPLE","NO CUMPLE"))</f>
        <v>CUMPLE</v>
      </c>
      <c r="AZ459" s="10" t="str">
        <f>IF(AND(X459="CUMPLE",AE459="CUMPLE",AS459="CUMPLE",OR(AY459="CUMPLE",AY459="DESPRECIABLE")),IF(OR(F459&lt;&gt;H459,G459&lt;&gt;I459),"CUMPLE - REANALIZAR SAP","CUMPLE"),"NO CUMPLE")</f>
        <v>CUMPLE</v>
      </c>
    </row>
    <row r="460">
      <c r="A460" s="26" t="inlineStr">
        <is>
          <t>VR2</t>
        </is>
      </c>
      <c r="B460" s="26" t="inlineStr">
        <is>
          <t>895</t>
        </is>
      </c>
      <c r="C460" s="10" t="n">
        <v>1</v>
      </c>
      <c r="D460" s="10" t="n">
        <v>3.65308</v>
      </c>
      <c r="E460" s="10" t="n">
        <v>3.65308</v>
      </c>
      <c r="F460" s="10" t="n">
        <v>350</v>
      </c>
      <c r="G460" s="10" t="n">
        <v>400</v>
      </c>
      <c r="H460" s="15" t="n">
        <v>350</v>
      </c>
      <c r="I460" s="15" t="n">
        <v>400</v>
      </c>
      <c r="J460" s="16" t="n">
        <v>75.27760000000001</v>
      </c>
      <c r="K460" s="10" t="inlineStr">
        <is>
          <t>895</t>
        </is>
      </c>
      <c r="L460" s="16" t="n">
        <v>32.9486</v>
      </c>
      <c r="M460" s="10" t="inlineStr">
        <is>
          <t>895</t>
        </is>
      </c>
      <c r="N460" s="16" t="n">
        <v>67.313</v>
      </c>
      <c r="O460" s="16" t="n">
        <v>147.652</v>
      </c>
      <c r="P460" s="10" t="inlineStr">
        <is>
          <t>895</t>
        </is>
      </c>
      <c r="Q460" s="16" t="n">
        <v>7.0464</v>
      </c>
      <c r="R460" s="10">
        <f>MAX(MAX(1.4/'Parametros'!$B$3,0.25*SQRT('Parametros'!$B$2)/'Parametros'!$B$3)*H460*U460,(0.85*'Parametros'!$B$2/'Parametros'!$B$3)*(1-SQRT(1-2*(J460*1000000/('Parametros'!$B$5*H460*U460^2))/(0.85*'Parametros'!$B$2)))*H460*U460)</f>
        <v>608.628290589253</v>
      </c>
      <c r="S460" s="17" t="n">
        <v>4</v>
      </c>
      <c r="T460" s="18" t="n">
        <v>1</v>
      </c>
      <c r="U460" s="10">
        <f>IF(T460=1,I460-('Parametros'!$B$7+'Parametros'!$B$9+'Parametros'!$B$12/2),I460-(ROUNDUP(S460/2,0)*('Parametros'!$B$7+'Parametros'!$B$9+'Parametros'!$B$12/2)+ROUNDDOWN(S460/2,0)*('Parametros'!$B$7+'Parametros'!$B$9+'Parametros'!$B$12/2+'Parametros'!$B$12+'Parametros'!$B$10))/S460)</f>
        <v>342.55</v>
      </c>
      <c r="V460" s="10">
        <f>S460*'Parametros'!$B$8</f>
        <v>796</v>
      </c>
      <c r="W460" s="10">
        <f>'Parametros'!$B$5*V460*'Parametros'!$B$3*(U460-(V460*'Parametros'!$B$3/(0.85*'Parametros'!$B$2*H460))/2)/1000000</f>
        <v>97.0311966352941</v>
      </c>
      <c r="X460" s="10" t="str">
        <f>IF(W460&gt;=J460,"CUMPLE","NO CUMPLE")</f>
        <v>CUMPLE</v>
      </c>
      <c r="Y460" s="10">
        <f>MAX(MAX(1.4/'Parametros'!$B$3,0.25*SQRT('Parametros'!$B$2)/'Parametros'!$B$3)*H460*AB460,(0.85*'Parametros'!$B$2/'Parametros'!$B$3)*(1-SQRT(1-2*(L460*1000000/('Parametros'!$B$5*H460*AB460^2))/(0.85*'Parametros'!$B$2)))*H460*AB460)</f>
        <v>399.641666666667</v>
      </c>
      <c r="Z460" s="17" t="n">
        <v>3</v>
      </c>
      <c r="AA460" s="18" t="n">
        <v>1</v>
      </c>
      <c r="AB460" s="10">
        <f>IF(AA460=1,I460-('Parametros'!$B$7+'Parametros'!$B$9+'Parametros'!$B$12/2),I460-(ROUNDUP(Z460/2,0)*('Parametros'!$B$7+'Parametros'!$B$9+'Parametros'!$B$12/2)+ROUNDDOWN(Z460/2,0)*('Parametros'!$B$7+'Parametros'!$B$9+'Parametros'!$B$12/2+'Parametros'!$B$12+'Parametros'!$B$10))/Z460)</f>
        <v>342.55</v>
      </c>
      <c r="AC460" s="10">
        <f>Z460*'Parametros'!$B$8</f>
        <v>597</v>
      </c>
      <c r="AD460" s="10">
        <f>'Parametros'!$B$5*AC460*'Parametros'!$B$3*(AB460-(AC460*'Parametros'!$B$3/(0.85*'Parametros'!$B$2*H460))/2)/1000000</f>
        <v>73.905520182353</v>
      </c>
      <c r="AE460" s="10" t="str">
        <f>IF(AD460&gt;=L460,"CUMPLE","NO CUMPLE")</f>
        <v>CUMPLE</v>
      </c>
      <c r="AF460" s="10">
        <f>V460*1.25*'Parametros'!$B$3*(U460-(V460*1.25*'Parametros'!$B$3/(0.85*'Parametros'!$B$2*H460))/2)/1000000</f>
        <v>132.669027352941</v>
      </c>
      <c r="AG460" s="10">
        <f>AC460*1.25*'Parametros'!$B$3*(AB460-(AC460*1.25*'Parametros'!$B$3/(0.85*'Parametros'!$B$2*H460))/2)/1000000</f>
        <v>101.467261323529</v>
      </c>
      <c r="AH460" s="10">
        <f>N460+(AF460+AG460)/D460</f>
        <v>131.405844579497</v>
      </c>
      <c r="AI460" s="10">
        <f>MIN(O460,MAX(N460,AH460))</f>
        <v>131.405844579497</v>
      </c>
      <c r="AJ460" s="10">
        <f>0.17*SQRT('Parametros'!$B$2)*H460*MIN(U460,AB460)/1000</f>
        <v>107.849951281016</v>
      </c>
      <c r="AK460" s="10">
        <f>MAX(AI460/'Parametros'!$B$6-AJ460,0)</f>
        <v>67.3578414916474</v>
      </c>
      <c r="AL460" s="10">
        <f>0.66*SQRT('Parametros'!$B$2)*H460*MIN(U460,AB460)/1000</f>
        <v>418.711575561591</v>
      </c>
      <c r="AM460" s="10" t="str">
        <f>IF(AK460&lt;=AL460,"CUMPLE","NO CUMPLE")</f>
        <v>CUMPLE</v>
      </c>
      <c r="AN460" s="15" t="inlineStr">
        <is>
          <t>Nº3 cerrado</t>
        </is>
      </c>
      <c r="AO460" s="17" t="n">
        <v>2</v>
      </c>
      <c r="AP460" s="10">
        <f>ROUNDDOWN(MIN(IF(AK460=0,1000000000,AO460*'Parametros'!$B$11*'Parametros'!$B$4*MIN(U460,AB460)/(AK460*1000)),IF(AV460=0,1000000000,'Parametros'!$B$11/AV460),MIN(U460,AB460)/4,8*'Parametros'!$B$12,24*'Parametros'!$B$9,300)/10,0)*10</f>
        <v>80</v>
      </c>
      <c r="AQ460" s="10">
        <f>ROUNDDOWN(MIN(IF(AK460=0,1000000000,AO460*'Parametros'!$B$11*'Parametros'!$B$4*MIN(U460,AB460)/(AK460*1000)),IF(AV460=0,1000000000,'Parametros'!$B$11/AV460),MIN(U460,AB460)/2,600)/10,0)*10</f>
        <v>170</v>
      </c>
      <c r="AR460" s="10">
        <f>'Parametros'!$B$6*(AJ460+AO460*'Parametros'!$B$11*'Parametros'!$B$4*MIN(U460,AB460)/AP460/1000)</f>
        <v>272.415732210762</v>
      </c>
      <c r="AS460" s="10" t="str">
        <f>IF(AND(AM460="CUMPLE",AR460&gt;=AI460),"CUMPLE","NO CUMPLE")</f>
        <v>CUMPLE</v>
      </c>
      <c r="AT460" s="10">
        <f>'Parametros'!$B$6*0.083*SQRT('Parametros'!$B$2)*(H460*I460)^2/(2*(H460+I460))/1000000</f>
        <v>4.30410823283988</v>
      </c>
      <c r="AU460" s="10" t="str">
        <f>IF(Q460&lt;=AT460,"DESPRECIABLE","DISEÑAR")</f>
        <v>DISEÑAR</v>
      </c>
      <c r="AV460" s="10">
        <f>IF(Q460&lt;=AT460,0,Q460*1000000/('Parametros'!$B$6*2*0.85*(H460-2*'Parametros'!$B$7)*(I460-2*'Parametros'!$B$7)*'Parametros'!$B$4))</f>
        <v>0.152297956219525</v>
      </c>
      <c r="AW460" s="10">
        <f>AV460*2*((H460-2*'Parametros'!$B$7)+(I460-2*'Parametros'!$B$7))*'Parametros'!$B$4/'Parametros'!$B$3</f>
        <v>179.711588339039</v>
      </c>
      <c r="AX460" s="17" t="n">
        <v>1</v>
      </c>
      <c r="AY460" s="10" t="str">
        <f>IF(AV460=0,"DESPRECIABLE",IF('Parametros'!$B$11/AP460&gt;=AV460,"CUMPLE","NO CUMPLE"))</f>
        <v>CUMPLE</v>
      </c>
      <c r="AZ460" s="10" t="str">
        <f>IF(AND(X460="CUMPLE",AE460="CUMPLE",AS460="CUMPLE",OR(AY460="CUMPLE",AY460="DESPRECIABLE")),IF(OR(F460&lt;&gt;H460,G460&lt;&gt;I460),"CUMPLE - REANALIZAR SAP","CUMPLE"),"NO CUMPLE")</f>
        <v>CUMPLE</v>
      </c>
    </row>
    <row r="461">
      <c r="A461" s="26" t="inlineStr">
        <is>
          <t>VR2</t>
        </is>
      </c>
      <c r="B461" s="26" t="inlineStr">
        <is>
          <t>896</t>
        </is>
      </c>
      <c r="C461" s="10" t="n">
        <v>1</v>
      </c>
      <c r="D461" s="10" t="n">
        <v>2.6</v>
      </c>
      <c r="E461" s="10" t="n">
        <v>2.6</v>
      </c>
      <c r="F461" s="10" t="n">
        <v>350</v>
      </c>
      <c r="G461" s="10" t="n">
        <v>400</v>
      </c>
      <c r="H461" s="15" t="n">
        <v>350</v>
      </c>
      <c r="I461" s="15" t="n">
        <v>400</v>
      </c>
      <c r="J461" s="16" t="n">
        <v>74.0029</v>
      </c>
      <c r="K461" s="10" t="inlineStr">
        <is>
          <t>896</t>
        </is>
      </c>
      <c r="L461" s="16" t="n">
        <v>35.7655</v>
      </c>
      <c r="M461" s="10" t="inlineStr">
        <is>
          <t>896</t>
        </is>
      </c>
      <c r="N461" s="16" t="n">
        <v>75.512</v>
      </c>
      <c r="O461" s="16" t="n">
        <v>197.108</v>
      </c>
      <c r="P461" s="10" t="inlineStr">
        <is>
          <t>896</t>
        </is>
      </c>
      <c r="Q461" s="16" t="n">
        <v>0.7773</v>
      </c>
      <c r="R461" s="10">
        <f>MAX(MAX(1.4/'Parametros'!$B$3,0.25*SQRT('Parametros'!$B$2)/'Parametros'!$B$3)*H461*U461,(0.85*'Parametros'!$B$2/'Parametros'!$B$3)*(1-SQRT(1-2*(J461*1000000/('Parametros'!$B$5*H461*U461^2))/(0.85*'Parametros'!$B$2)))*H461*U461)</f>
        <v>597.824568407053</v>
      </c>
      <c r="S461" s="17" t="n">
        <v>4</v>
      </c>
      <c r="T461" s="18" t="n">
        <v>1</v>
      </c>
      <c r="U461" s="10">
        <f>IF(T461=1,I461-('Parametros'!$B$7+'Parametros'!$B$9+'Parametros'!$B$12/2),I461-(ROUNDUP(S461/2,0)*('Parametros'!$B$7+'Parametros'!$B$9+'Parametros'!$B$12/2)+ROUNDDOWN(S461/2,0)*('Parametros'!$B$7+'Parametros'!$B$9+'Parametros'!$B$12/2+'Parametros'!$B$12+'Parametros'!$B$10))/S461)</f>
        <v>342.55</v>
      </c>
      <c r="V461" s="10">
        <f>S461*'Parametros'!$B$8</f>
        <v>796</v>
      </c>
      <c r="W461" s="10">
        <f>'Parametros'!$B$5*V461*'Parametros'!$B$3*(U461-(V461*'Parametros'!$B$3/(0.85*'Parametros'!$B$2*H461))/2)/1000000</f>
        <v>97.0311966352941</v>
      </c>
      <c r="X461" s="10" t="str">
        <f>IF(W461&gt;=J461,"CUMPLE","NO CUMPLE")</f>
        <v>CUMPLE</v>
      </c>
      <c r="Y461" s="10">
        <f>MAX(MAX(1.4/'Parametros'!$B$3,0.25*SQRT('Parametros'!$B$2)/'Parametros'!$B$3)*H461*AB461,(0.85*'Parametros'!$B$2/'Parametros'!$B$3)*(1-SQRT(1-2*(L461*1000000/('Parametros'!$B$5*H461*AB461^2))/(0.85*'Parametros'!$B$2)))*H461*AB461)</f>
        <v>399.641666666667</v>
      </c>
      <c r="Z461" s="17" t="n">
        <v>3</v>
      </c>
      <c r="AA461" s="18" t="n">
        <v>1</v>
      </c>
      <c r="AB461" s="10">
        <f>IF(AA461=1,I461-('Parametros'!$B$7+'Parametros'!$B$9+'Parametros'!$B$12/2),I461-(ROUNDUP(Z461/2,0)*('Parametros'!$B$7+'Parametros'!$B$9+'Parametros'!$B$12/2)+ROUNDDOWN(Z461/2,0)*('Parametros'!$B$7+'Parametros'!$B$9+'Parametros'!$B$12/2+'Parametros'!$B$12+'Parametros'!$B$10))/Z461)</f>
        <v>342.55</v>
      </c>
      <c r="AC461" s="10">
        <f>Z461*'Parametros'!$B$8</f>
        <v>597</v>
      </c>
      <c r="AD461" s="10">
        <f>'Parametros'!$B$5*AC461*'Parametros'!$B$3*(AB461-(AC461*'Parametros'!$B$3/(0.85*'Parametros'!$B$2*H461))/2)/1000000</f>
        <v>73.905520182353</v>
      </c>
      <c r="AE461" s="10" t="str">
        <f>IF(AD461&gt;=L461,"CUMPLE","NO CUMPLE")</f>
        <v>CUMPLE</v>
      </c>
      <c r="AF461" s="10">
        <f>V461*1.25*'Parametros'!$B$3*(U461-(V461*1.25*'Parametros'!$B$3/(0.85*'Parametros'!$B$2*H461))/2)/1000000</f>
        <v>132.669027352941</v>
      </c>
      <c r="AG461" s="10">
        <f>AC461*1.25*'Parametros'!$B$3*(AB461-(AC461*1.25*'Parametros'!$B$3/(0.85*'Parametros'!$B$2*H461))/2)/1000000</f>
        <v>101.467261323529</v>
      </c>
      <c r="AH461" s="10">
        <f>N461+(AF461+AG461)/D461</f>
        <v>165.564418721719</v>
      </c>
      <c r="AI461" s="10">
        <f>MIN(O461,MAX(N461,AH461))</f>
        <v>165.564418721719</v>
      </c>
      <c r="AJ461" s="10">
        <f>0.17*SQRT('Parametros'!$B$2)*H461*MIN(U461,AB461)/1000</f>
        <v>107.849951281016</v>
      </c>
      <c r="AK461" s="10">
        <f>MAX(AI461/'Parametros'!$B$6-AJ461,0)</f>
        <v>112.90260701461</v>
      </c>
      <c r="AL461" s="10">
        <f>0.66*SQRT('Parametros'!$B$2)*H461*MIN(U461,AB461)/1000</f>
        <v>418.711575561591</v>
      </c>
      <c r="AM461" s="10" t="str">
        <f>IF(AK461&lt;=AL461,"CUMPLE","NO CUMPLE")</f>
        <v>CUMPLE</v>
      </c>
      <c r="AN461" s="15" t="inlineStr">
        <is>
          <t>Nº3 cerrado</t>
        </is>
      </c>
      <c r="AO461" s="17" t="n">
        <v>2</v>
      </c>
      <c r="AP461" s="10">
        <f>ROUNDDOWN(MIN(IF(AK461=0,1000000000,AO461*'Parametros'!$B$11*'Parametros'!$B$4*MIN(U461,AB461)/(AK461*1000)),IF(AV461=0,1000000000,'Parametros'!$B$11/AV461),MIN(U461,AB461)/4,8*'Parametros'!$B$12,24*'Parametros'!$B$9,300)/10,0)*10</f>
        <v>80</v>
      </c>
      <c r="AQ461" s="10">
        <f>ROUNDDOWN(MIN(IF(AK461=0,1000000000,AO461*'Parametros'!$B$11*'Parametros'!$B$4*MIN(U461,AB461)/(AK461*1000)),IF(AV461=0,1000000000,'Parametros'!$B$11/AV461),MIN(U461,AB461)/2,600)/10,0)*10</f>
        <v>170</v>
      </c>
      <c r="AR461" s="10">
        <f>'Parametros'!$B$6*(AJ461+AO461*'Parametros'!$B$11*'Parametros'!$B$4*MIN(U461,AB461)/AP461/1000)</f>
        <v>272.415732210762</v>
      </c>
      <c r="AS461" s="10" t="str">
        <f>IF(AND(AM461="CUMPLE",AR461&gt;=AI461),"CUMPLE","NO CUMPLE")</f>
        <v>CUMPLE</v>
      </c>
      <c r="AT461" s="10">
        <f>'Parametros'!$B$6*0.083*SQRT('Parametros'!$B$2)*(H461*I461)^2/(2*(H461+I461))/1000000</f>
        <v>4.30410823283988</v>
      </c>
      <c r="AU461" s="10" t="str">
        <f>IF(Q461&lt;=AT461,"DESPRECIABLE","DISEÑAR")</f>
        <v>DESPRECIABLE</v>
      </c>
      <c r="AV461" s="10">
        <f>IF(Q461&lt;=AT461,0,Q461*1000000/('Parametros'!$B$6*2*0.85*(H461-2*'Parametros'!$B$7)*(I461-2*'Parametros'!$B$7)*'Parametros'!$B$4))</f>
        <v>0</v>
      </c>
      <c r="AW461" s="10">
        <f>AV461*2*((H461-2*'Parametros'!$B$7)+(I461-2*'Parametros'!$B$7))*'Parametros'!$B$4/'Parametros'!$B$3</f>
        <v>0</v>
      </c>
      <c r="AX461" s="17" t="n">
        <v>0</v>
      </c>
      <c r="AY461" s="10" t="str">
        <f>IF(AV461=0,"DESPRECIABLE",IF('Parametros'!$B$11/AP461&gt;=AV461,"CUMPLE","NO CUMPLE"))</f>
        <v>DESPRECIABLE</v>
      </c>
      <c r="AZ461" s="10" t="str">
        <f>IF(AND(X461="CUMPLE",AE461="CUMPLE",AS461="CUMPLE",OR(AY461="CUMPLE",AY461="DESPRECIABLE")),IF(OR(F461&lt;&gt;H461,G461&lt;&gt;I461),"CUMPLE - REANALIZAR SAP","CUMPLE"),"NO CUMPLE")</f>
        <v>CUMPLE</v>
      </c>
    </row>
    <row r="462">
      <c r="A462" s="26" t="inlineStr">
        <is>
          <t>VR2</t>
        </is>
      </c>
      <c r="B462" s="26" t="inlineStr">
        <is>
          <t>957</t>
        </is>
      </c>
      <c r="C462" s="10" t="n">
        <v>1</v>
      </c>
      <c r="D462" s="10" t="n">
        <v>2.6</v>
      </c>
      <c r="E462" s="10" t="n">
        <v>2.6</v>
      </c>
      <c r="F462" s="10" t="n">
        <v>350</v>
      </c>
      <c r="G462" s="10" t="n">
        <v>400</v>
      </c>
      <c r="H462" s="15" t="n">
        <v>350</v>
      </c>
      <c r="I462" s="15" t="n">
        <v>400</v>
      </c>
      <c r="J462" s="16" t="n">
        <v>45.8478</v>
      </c>
      <c r="K462" s="10" t="inlineStr">
        <is>
          <t>957</t>
        </is>
      </c>
      <c r="L462" s="16" t="n">
        <v>12.068</v>
      </c>
      <c r="M462" s="10" t="inlineStr">
        <is>
          <t>957</t>
        </is>
      </c>
      <c r="N462" s="16" t="n">
        <v>46.942</v>
      </c>
      <c r="O462" s="16" t="n">
        <v>90.28400000000001</v>
      </c>
      <c r="P462" s="10" t="inlineStr">
        <is>
          <t>957</t>
        </is>
      </c>
      <c r="Q462" s="16" t="n">
        <v>1.5458</v>
      </c>
      <c r="R462" s="10">
        <f>MAX(MAX(1.4/'Parametros'!$B$3,0.25*SQRT('Parametros'!$B$2)/'Parametros'!$B$3)*H462*U462,(0.85*'Parametros'!$B$2/'Parametros'!$B$3)*(1-SQRT(1-2*(J462*1000000/('Parametros'!$B$5*H462*U462^2))/(0.85*'Parametros'!$B$2)))*H462*U462)</f>
        <v>399.641666666667</v>
      </c>
      <c r="S462" s="17" t="n">
        <v>3</v>
      </c>
      <c r="T462" s="18" t="n">
        <v>1</v>
      </c>
      <c r="U462" s="10">
        <f>IF(T462=1,I462-('Parametros'!$B$7+'Parametros'!$B$9+'Parametros'!$B$12/2),I462-(ROUNDUP(S462/2,0)*('Parametros'!$B$7+'Parametros'!$B$9+'Parametros'!$B$12/2)+ROUNDDOWN(S462/2,0)*('Parametros'!$B$7+'Parametros'!$B$9+'Parametros'!$B$12/2+'Parametros'!$B$12+'Parametros'!$B$10))/S462)</f>
        <v>342.55</v>
      </c>
      <c r="V462" s="10">
        <f>S462*'Parametros'!$B$8</f>
        <v>597</v>
      </c>
      <c r="W462" s="10">
        <f>'Parametros'!$B$5*V462*'Parametros'!$B$3*(U462-(V462*'Parametros'!$B$3/(0.85*'Parametros'!$B$2*H462))/2)/1000000</f>
        <v>73.905520182353</v>
      </c>
      <c r="X462" s="10" t="str">
        <f>IF(W462&gt;=J462,"CUMPLE","NO CUMPLE")</f>
        <v>CUMPLE</v>
      </c>
      <c r="Y462" s="10">
        <f>MAX(MAX(1.4/'Parametros'!$B$3,0.25*SQRT('Parametros'!$B$2)/'Parametros'!$B$3)*H462*AB462,(0.85*'Parametros'!$B$2/'Parametros'!$B$3)*(1-SQRT(1-2*(L462*1000000/('Parametros'!$B$5*H462*AB462^2))/(0.85*'Parametros'!$B$2)))*H462*AB462)</f>
        <v>399.641666666667</v>
      </c>
      <c r="Z462" s="17" t="n">
        <v>3</v>
      </c>
      <c r="AA462" s="18" t="n">
        <v>1</v>
      </c>
      <c r="AB462" s="10">
        <f>IF(AA462=1,I462-('Parametros'!$B$7+'Parametros'!$B$9+'Parametros'!$B$12/2),I462-(ROUNDUP(Z462/2,0)*('Parametros'!$B$7+'Parametros'!$B$9+'Parametros'!$B$12/2)+ROUNDDOWN(Z462/2,0)*('Parametros'!$B$7+'Parametros'!$B$9+'Parametros'!$B$12/2+'Parametros'!$B$12+'Parametros'!$B$10))/Z462)</f>
        <v>342.55</v>
      </c>
      <c r="AC462" s="10">
        <f>Z462*'Parametros'!$B$8</f>
        <v>597</v>
      </c>
      <c r="AD462" s="10">
        <f>'Parametros'!$B$5*AC462*'Parametros'!$B$3*(AB462-(AC462*'Parametros'!$B$3/(0.85*'Parametros'!$B$2*H462))/2)/1000000</f>
        <v>73.905520182353</v>
      </c>
      <c r="AE462" s="10" t="str">
        <f>IF(AD462&gt;=L462,"CUMPLE","NO CUMPLE")</f>
        <v>CUMPLE</v>
      </c>
      <c r="AF462" s="10">
        <f>V462*1.25*'Parametros'!$B$3*(U462-(V462*1.25*'Parametros'!$B$3/(0.85*'Parametros'!$B$2*H462))/2)/1000000</f>
        <v>101.467261323529</v>
      </c>
      <c r="AG462" s="10">
        <f>AC462*1.25*'Parametros'!$B$3*(AB462-(AC462*1.25*'Parametros'!$B$3/(0.85*'Parametros'!$B$2*H462))/2)/1000000</f>
        <v>101.467261323529</v>
      </c>
      <c r="AH462" s="10">
        <f>N462+(AF462+AG462)/D462</f>
        <v>124.993739479638</v>
      </c>
      <c r="AI462" s="10">
        <f>MIN(O462,MAX(N462,AH462))</f>
        <v>90.284</v>
      </c>
      <c r="AJ462" s="10">
        <f>0.17*SQRT('Parametros'!$B$2)*H462*MIN(U462,AB462)/1000</f>
        <v>107.849951281016</v>
      </c>
      <c r="AK462" s="10">
        <f>MAX(AI462/'Parametros'!$B$6-AJ462,0)</f>
        <v>12.5287153856508</v>
      </c>
      <c r="AL462" s="10">
        <f>0.66*SQRT('Parametros'!$B$2)*H462*MIN(U462,AB462)/1000</f>
        <v>418.711575561591</v>
      </c>
      <c r="AM462" s="10" t="str">
        <f>IF(AK462&lt;=AL462,"CUMPLE","NO CUMPLE")</f>
        <v>CUMPLE</v>
      </c>
      <c r="AN462" s="15" t="inlineStr">
        <is>
          <t>Nº3 cerrado</t>
        </is>
      </c>
      <c r="AO462" s="17" t="n">
        <v>2</v>
      </c>
      <c r="AP462" s="10">
        <f>ROUNDDOWN(MIN(IF(AK462=0,1000000000,AO462*'Parametros'!$B$11*'Parametros'!$B$4*MIN(U462,AB462)/(AK462*1000)),IF(AV462=0,1000000000,'Parametros'!$B$11/AV462),MIN(U462,AB462)/4,8*'Parametros'!$B$12,24*'Parametros'!$B$9,300)/10,0)*10</f>
        <v>80</v>
      </c>
      <c r="AQ462" s="10">
        <f>ROUNDDOWN(MIN(IF(AK462=0,1000000000,AO462*'Parametros'!$B$11*'Parametros'!$B$4*MIN(U462,AB462)/(AK462*1000)),IF(AV462=0,1000000000,'Parametros'!$B$11/AV462),MIN(U462,AB462)/2,600)/10,0)*10</f>
        <v>170</v>
      </c>
      <c r="AR462" s="10">
        <f>'Parametros'!$B$6*(AJ462+AO462*'Parametros'!$B$11*'Parametros'!$B$4*MIN(U462,AB462)/AP462/1000)</f>
        <v>272.415732210762</v>
      </c>
      <c r="AS462" s="10" t="str">
        <f>IF(AND(AM462="CUMPLE",AR462&gt;=AI462),"CUMPLE","NO CUMPLE")</f>
        <v>CUMPLE</v>
      </c>
      <c r="AT462" s="10">
        <f>'Parametros'!$B$6*0.083*SQRT('Parametros'!$B$2)*(H462*I462)^2/(2*(H462+I462))/1000000</f>
        <v>4.30410823283988</v>
      </c>
      <c r="AU462" s="10" t="str">
        <f>IF(Q462&lt;=AT462,"DESPRECIABLE","DISEÑAR")</f>
        <v>DESPRECIABLE</v>
      </c>
      <c r="AV462" s="10">
        <f>IF(Q462&lt;=AT462,0,Q462*1000000/('Parametros'!$B$6*2*0.85*(H462-2*'Parametros'!$B$7)*(I462-2*'Parametros'!$B$7)*'Parametros'!$B$4))</f>
        <v>0</v>
      </c>
      <c r="AW462" s="10">
        <f>AV462*2*((H462-2*'Parametros'!$B$7)+(I462-2*'Parametros'!$B$7))*'Parametros'!$B$4/'Parametros'!$B$3</f>
        <v>0</v>
      </c>
      <c r="AX462" s="17" t="n">
        <v>0</v>
      </c>
      <c r="AY462" s="10" t="str">
        <f>IF(AV462=0,"DESPRECIABLE",IF('Parametros'!$B$11/AP462&gt;=AV462,"CUMPLE","NO CUMPLE"))</f>
        <v>DESPRECIABLE</v>
      </c>
      <c r="AZ462" s="10" t="str">
        <f>IF(AND(X462="CUMPLE",AE462="CUMPLE",AS462="CUMPLE",OR(AY462="CUMPLE",AY462="DESPRECIABLE")),IF(OR(F462&lt;&gt;H462,G462&lt;&gt;I462),"CUMPLE - REANALIZAR SAP","CUMPLE"),"NO CUMPLE")</f>
        <v>CUMPLE</v>
      </c>
    </row>
    <row r="463">
      <c r="A463" s="26" t="inlineStr">
        <is>
          <t>VR2</t>
        </is>
      </c>
      <c r="B463" s="26" t="inlineStr">
        <is>
          <t>958</t>
        </is>
      </c>
      <c r="C463" s="10" t="n">
        <v>1</v>
      </c>
      <c r="D463" s="10" t="n">
        <v>3.65308</v>
      </c>
      <c r="E463" s="10" t="n">
        <v>3.65308</v>
      </c>
      <c r="F463" s="10" t="n">
        <v>350</v>
      </c>
      <c r="G463" s="10" t="n">
        <v>400</v>
      </c>
      <c r="H463" s="15" t="n">
        <v>350</v>
      </c>
      <c r="I463" s="15" t="n">
        <v>400</v>
      </c>
      <c r="J463" s="16" t="n">
        <v>50.5847</v>
      </c>
      <c r="K463" s="10" t="inlineStr">
        <is>
          <t>958</t>
        </is>
      </c>
      <c r="L463" s="16" t="n">
        <v>24.2425</v>
      </c>
      <c r="M463" s="10" t="inlineStr">
        <is>
          <t>958</t>
        </is>
      </c>
      <c r="N463" s="16" t="n">
        <v>51.864</v>
      </c>
      <c r="O463" s="16" t="n">
        <v>93.276</v>
      </c>
      <c r="P463" s="10" t="inlineStr">
        <is>
          <t>958</t>
        </is>
      </c>
      <c r="Q463" s="16" t="n">
        <v>7.2648</v>
      </c>
      <c r="R463" s="10">
        <f>MAX(MAX(1.4/'Parametros'!$B$3,0.25*SQRT('Parametros'!$B$2)/'Parametros'!$B$3)*H463*U463,(0.85*'Parametros'!$B$2/'Parametros'!$B$3)*(1-SQRT(1-2*(J463*1000000/('Parametros'!$B$5*H463*U463^2))/(0.85*'Parametros'!$B$2)))*H463*U463)</f>
        <v>402.592392614881</v>
      </c>
      <c r="S463" s="17" t="n">
        <v>3</v>
      </c>
      <c r="T463" s="18" t="n">
        <v>1</v>
      </c>
      <c r="U463" s="10">
        <f>IF(T463=1,I463-('Parametros'!$B$7+'Parametros'!$B$9+'Parametros'!$B$12/2),I463-(ROUNDUP(S463/2,0)*('Parametros'!$B$7+'Parametros'!$B$9+'Parametros'!$B$12/2)+ROUNDDOWN(S463/2,0)*('Parametros'!$B$7+'Parametros'!$B$9+'Parametros'!$B$12/2+'Parametros'!$B$12+'Parametros'!$B$10))/S463)</f>
        <v>342.55</v>
      </c>
      <c r="V463" s="10">
        <f>S463*'Parametros'!$B$8</f>
        <v>597</v>
      </c>
      <c r="W463" s="10">
        <f>'Parametros'!$B$5*V463*'Parametros'!$B$3*(U463-(V463*'Parametros'!$B$3/(0.85*'Parametros'!$B$2*H463))/2)/1000000</f>
        <v>73.905520182353</v>
      </c>
      <c r="X463" s="10" t="str">
        <f>IF(W463&gt;=J463,"CUMPLE","NO CUMPLE")</f>
        <v>CUMPLE</v>
      </c>
      <c r="Y463" s="10">
        <f>MAX(MAX(1.4/'Parametros'!$B$3,0.25*SQRT('Parametros'!$B$2)/'Parametros'!$B$3)*H463*AB463,(0.85*'Parametros'!$B$2/'Parametros'!$B$3)*(1-SQRT(1-2*(L463*1000000/('Parametros'!$B$5*H463*AB463^2))/(0.85*'Parametros'!$B$2)))*H463*AB463)</f>
        <v>399.641666666667</v>
      </c>
      <c r="Z463" s="17" t="n">
        <v>3</v>
      </c>
      <c r="AA463" s="18" t="n">
        <v>1</v>
      </c>
      <c r="AB463" s="10">
        <f>IF(AA463=1,I463-('Parametros'!$B$7+'Parametros'!$B$9+'Parametros'!$B$12/2),I463-(ROUNDUP(Z463/2,0)*('Parametros'!$B$7+'Parametros'!$B$9+'Parametros'!$B$12/2)+ROUNDDOWN(Z463/2,0)*('Parametros'!$B$7+'Parametros'!$B$9+'Parametros'!$B$12/2+'Parametros'!$B$12+'Parametros'!$B$10))/Z463)</f>
        <v>342.55</v>
      </c>
      <c r="AC463" s="10">
        <f>Z463*'Parametros'!$B$8</f>
        <v>597</v>
      </c>
      <c r="AD463" s="10">
        <f>'Parametros'!$B$5*AC463*'Parametros'!$B$3*(AB463-(AC463*'Parametros'!$B$3/(0.85*'Parametros'!$B$2*H463))/2)/1000000</f>
        <v>73.905520182353</v>
      </c>
      <c r="AE463" s="10" t="str">
        <f>IF(AD463&gt;=L463,"CUMPLE","NO CUMPLE")</f>
        <v>CUMPLE</v>
      </c>
      <c r="AF463" s="10">
        <f>V463*1.25*'Parametros'!$B$3*(U463-(V463*1.25*'Parametros'!$B$3/(0.85*'Parametros'!$B$2*H463))/2)/1000000</f>
        <v>101.467261323529</v>
      </c>
      <c r="AG463" s="10">
        <f>AC463*1.25*'Parametros'!$B$3*(AB463-(AC463*1.25*'Parametros'!$B$3/(0.85*'Parametros'!$B$2*H463))/2)/1000000</f>
        <v>101.467261323529</v>
      </c>
      <c r="AH463" s="10">
        <f>N463+(AF463+AG463)/D463</f>
        <v>107.41562291739</v>
      </c>
      <c r="AI463" s="10">
        <f>MIN(O463,MAX(N463,AH463))</f>
        <v>93.276</v>
      </c>
      <c r="AJ463" s="10">
        <f>0.17*SQRT('Parametros'!$B$2)*H463*MIN(U463,AB463)/1000</f>
        <v>107.849951281016</v>
      </c>
      <c r="AK463" s="10">
        <f>MAX(AI463/'Parametros'!$B$6-AJ463,0)</f>
        <v>16.5180487189841</v>
      </c>
      <c r="AL463" s="10">
        <f>0.66*SQRT('Parametros'!$B$2)*H463*MIN(U463,AB463)/1000</f>
        <v>418.711575561591</v>
      </c>
      <c r="AM463" s="10" t="str">
        <f>IF(AK463&lt;=AL463,"CUMPLE","NO CUMPLE")</f>
        <v>CUMPLE</v>
      </c>
      <c r="AN463" s="15" t="inlineStr">
        <is>
          <t>Nº3 cerrado</t>
        </is>
      </c>
      <c r="AO463" s="17" t="n">
        <v>2</v>
      </c>
      <c r="AP463" s="10">
        <f>ROUNDDOWN(MIN(IF(AK463=0,1000000000,AO463*'Parametros'!$B$11*'Parametros'!$B$4*MIN(U463,AB463)/(AK463*1000)),IF(AV463=0,1000000000,'Parametros'!$B$11/AV463),MIN(U463,AB463)/4,8*'Parametros'!$B$12,24*'Parametros'!$B$9,300)/10,0)*10</f>
        <v>80</v>
      </c>
      <c r="AQ463" s="10">
        <f>ROUNDDOWN(MIN(IF(AK463=0,1000000000,AO463*'Parametros'!$B$11*'Parametros'!$B$4*MIN(U463,AB463)/(AK463*1000)),IF(AV463=0,1000000000,'Parametros'!$B$11/AV463),MIN(U463,AB463)/2,600)/10,0)*10</f>
        <v>170</v>
      </c>
      <c r="AR463" s="10">
        <f>'Parametros'!$B$6*(AJ463+AO463*'Parametros'!$B$11*'Parametros'!$B$4*MIN(U463,AB463)/AP463/1000)</f>
        <v>272.415732210762</v>
      </c>
      <c r="AS463" s="10" t="str">
        <f>IF(AND(AM463="CUMPLE",AR463&gt;=AI463),"CUMPLE","NO CUMPLE")</f>
        <v>CUMPLE</v>
      </c>
      <c r="AT463" s="10">
        <f>'Parametros'!$B$6*0.083*SQRT('Parametros'!$B$2)*(H463*I463)^2/(2*(H463+I463))/1000000</f>
        <v>4.30410823283988</v>
      </c>
      <c r="AU463" s="10" t="str">
        <f>IF(Q463&lt;=AT463,"DESPRECIABLE","DISEÑAR")</f>
        <v>DISEÑAR</v>
      </c>
      <c r="AV463" s="10">
        <f>IF(Q463&lt;=AT463,0,Q463*1000000/('Parametros'!$B$6*2*0.85*(H463-2*'Parametros'!$B$7)*(I463-2*'Parametros'!$B$7)*'Parametros'!$B$4))</f>
        <v>0.157018362900716</v>
      </c>
      <c r="AW463" s="10">
        <f>AV463*2*((H463-2*'Parametros'!$B$7)+(I463-2*'Parametros'!$B$7))*'Parametros'!$B$4/'Parametros'!$B$3</f>
        <v>185.281668222845</v>
      </c>
      <c r="AX463" s="17" t="n">
        <v>1</v>
      </c>
      <c r="AY463" s="10" t="str">
        <f>IF(AV463=0,"DESPRECIABLE",IF('Parametros'!$B$11/AP463&gt;=AV463,"CUMPLE","NO CUMPLE"))</f>
        <v>CUMPLE</v>
      </c>
      <c r="AZ463" s="10" t="str">
        <f>IF(AND(X463="CUMPLE",AE463="CUMPLE",AS463="CUMPLE",OR(AY463="CUMPLE",AY463="DESPRECIABLE")),IF(OR(F463&lt;&gt;H463,G463&lt;&gt;I463),"CUMPLE - REANALIZAR SAP","CUMPLE"),"NO CUMPLE")</f>
        <v>CUMPLE</v>
      </c>
    </row>
    <row r="464">
      <c r="A464" s="26" t="inlineStr">
        <is>
          <t>VR2</t>
        </is>
      </c>
      <c r="B464" s="26" t="inlineStr">
        <is>
          <t>959</t>
        </is>
      </c>
      <c r="C464" s="10" t="n">
        <v>1</v>
      </c>
      <c r="D464" s="10" t="n">
        <v>2.6</v>
      </c>
      <c r="E464" s="10" t="n">
        <v>2.6</v>
      </c>
      <c r="F464" s="10" t="n">
        <v>350</v>
      </c>
      <c r="G464" s="10" t="n">
        <v>400</v>
      </c>
      <c r="H464" s="15" t="n">
        <v>350</v>
      </c>
      <c r="I464" s="15" t="n">
        <v>400</v>
      </c>
      <c r="J464" s="16" t="n">
        <v>42.4875</v>
      </c>
      <c r="K464" s="10" t="inlineStr">
        <is>
          <t>959</t>
        </is>
      </c>
      <c r="L464" s="16" t="n">
        <v>13.6978</v>
      </c>
      <c r="M464" s="10" t="inlineStr">
        <is>
          <t>959</t>
        </is>
      </c>
      <c r="N464" s="16" t="n">
        <v>53.657</v>
      </c>
      <c r="O464" s="16" t="n">
        <v>123.27</v>
      </c>
      <c r="P464" s="10" t="inlineStr">
        <is>
          <t>959</t>
        </is>
      </c>
      <c r="Q464" s="16" t="n">
        <v>6.5947</v>
      </c>
      <c r="R464" s="10">
        <f>MAX(MAX(1.4/'Parametros'!$B$3,0.25*SQRT('Parametros'!$B$2)/'Parametros'!$B$3)*H464*U464,(0.85*'Parametros'!$B$2/'Parametros'!$B$3)*(1-SQRT(1-2*(J464*1000000/('Parametros'!$B$5*H464*U464^2))/(0.85*'Parametros'!$B$2)))*H464*U464)</f>
        <v>399.641666666667</v>
      </c>
      <c r="S464" s="17" t="n">
        <v>3</v>
      </c>
      <c r="T464" s="18" t="n">
        <v>1</v>
      </c>
      <c r="U464" s="10">
        <f>IF(T464=1,I464-('Parametros'!$B$7+'Parametros'!$B$9+'Parametros'!$B$12/2),I464-(ROUNDUP(S464/2,0)*('Parametros'!$B$7+'Parametros'!$B$9+'Parametros'!$B$12/2)+ROUNDDOWN(S464/2,0)*('Parametros'!$B$7+'Parametros'!$B$9+'Parametros'!$B$12/2+'Parametros'!$B$12+'Parametros'!$B$10))/S464)</f>
        <v>342.55</v>
      </c>
      <c r="V464" s="10">
        <f>S464*'Parametros'!$B$8</f>
        <v>597</v>
      </c>
      <c r="W464" s="10">
        <f>'Parametros'!$B$5*V464*'Parametros'!$B$3*(U464-(V464*'Parametros'!$B$3/(0.85*'Parametros'!$B$2*H464))/2)/1000000</f>
        <v>73.905520182353</v>
      </c>
      <c r="X464" s="10" t="str">
        <f>IF(W464&gt;=J464,"CUMPLE","NO CUMPLE")</f>
        <v>CUMPLE</v>
      </c>
      <c r="Y464" s="10">
        <f>MAX(MAX(1.4/'Parametros'!$B$3,0.25*SQRT('Parametros'!$B$2)/'Parametros'!$B$3)*H464*AB464,(0.85*'Parametros'!$B$2/'Parametros'!$B$3)*(1-SQRT(1-2*(L464*1000000/('Parametros'!$B$5*H464*AB464^2))/(0.85*'Parametros'!$B$2)))*H464*AB464)</f>
        <v>399.641666666667</v>
      </c>
      <c r="Z464" s="17" t="n">
        <v>3</v>
      </c>
      <c r="AA464" s="18" t="n">
        <v>1</v>
      </c>
      <c r="AB464" s="10">
        <f>IF(AA464=1,I464-('Parametros'!$B$7+'Parametros'!$B$9+'Parametros'!$B$12/2),I464-(ROUNDUP(Z464/2,0)*('Parametros'!$B$7+'Parametros'!$B$9+'Parametros'!$B$12/2)+ROUNDDOWN(Z464/2,0)*('Parametros'!$B$7+'Parametros'!$B$9+'Parametros'!$B$12/2+'Parametros'!$B$12+'Parametros'!$B$10))/Z464)</f>
        <v>342.55</v>
      </c>
      <c r="AC464" s="10">
        <f>Z464*'Parametros'!$B$8</f>
        <v>597</v>
      </c>
      <c r="AD464" s="10">
        <f>'Parametros'!$B$5*AC464*'Parametros'!$B$3*(AB464-(AC464*'Parametros'!$B$3/(0.85*'Parametros'!$B$2*H464))/2)/1000000</f>
        <v>73.905520182353</v>
      </c>
      <c r="AE464" s="10" t="str">
        <f>IF(AD464&gt;=L464,"CUMPLE","NO CUMPLE")</f>
        <v>CUMPLE</v>
      </c>
      <c r="AF464" s="10">
        <f>V464*1.25*'Parametros'!$B$3*(U464-(V464*1.25*'Parametros'!$B$3/(0.85*'Parametros'!$B$2*H464))/2)/1000000</f>
        <v>101.467261323529</v>
      </c>
      <c r="AG464" s="10">
        <f>AC464*1.25*'Parametros'!$B$3*(AB464-(AC464*1.25*'Parametros'!$B$3/(0.85*'Parametros'!$B$2*H464))/2)/1000000</f>
        <v>101.467261323529</v>
      </c>
      <c r="AH464" s="10">
        <f>N464+(AF464+AG464)/D464</f>
        <v>131.708739479638</v>
      </c>
      <c r="AI464" s="10">
        <f>MIN(O464,MAX(N464,AH464))</f>
        <v>123.27</v>
      </c>
      <c r="AJ464" s="10">
        <f>0.17*SQRT('Parametros'!$B$2)*H464*MIN(U464,AB464)/1000</f>
        <v>107.849951281016</v>
      </c>
      <c r="AK464" s="10">
        <f>MAX(AI464/'Parametros'!$B$6-AJ464,0)</f>
        <v>56.5100487189841</v>
      </c>
      <c r="AL464" s="10">
        <f>0.66*SQRT('Parametros'!$B$2)*H464*MIN(U464,AB464)/1000</f>
        <v>418.711575561591</v>
      </c>
      <c r="AM464" s="10" t="str">
        <f>IF(AK464&lt;=AL464,"CUMPLE","NO CUMPLE")</f>
        <v>CUMPLE</v>
      </c>
      <c r="AN464" s="15" t="inlineStr">
        <is>
          <t>Nº3 cerrado</t>
        </is>
      </c>
      <c r="AO464" s="17" t="n">
        <v>2</v>
      </c>
      <c r="AP464" s="10">
        <f>ROUNDDOWN(MIN(IF(AK464=0,1000000000,AO464*'Parametros'!$B$11*'Parametros'!$B$4*MIN(U464,AB464)/(AK464*1000)),IF(AV464=0,1000000000,'Parametros'!$B$11/AV464),MIN(U464,AB464)/4,8*'Parametros'!$B$12,24*'Parametros'!$B$9,300)/10,0)*10</f>
        <v>80</v>
      </c>
      <c r="AQ464" s="10">
        <f>ROUNDDOWN(MIN(IF(AK464=0,1000000000,AO464*'Parametros'!$B$11*'Parametros'!$B$4*MIN(U464,AB464)/(AK464*1000)),IF(AV464=0,1000000000,'Parametros'!$B$11/AV464),MIN(U464,AB464)/2,600)/10,0)*10</f>
        <v>170</v>
      </c>
      <c r="AR464" s="10">
        <f>'Parametros'!$B$6*(AJ464+AO464*'Parametros'!$B$11*'Parametros'!$B$4*MIN(U464,AB464)/AP464/1000)</f>
        <v>272.415732210762</v>
      </c>
      <c r="AS464" s="10" t="str">
        <f>IF(AND(AM464="CUMPLE",AR464&gt;=AI464),"CUMPLE","NO CUMPLE")</f>
        <v>CUMPLE</v>
      </c>
      <c r="AT464" s="10">
        <f>'Parametros'!$B$6*0.083*SQRT('Parametros'!$B$2)*(H464*I464)^2/(2*(H464+I464))/1000000</f>
        <v>4.30410823283988</v>
      </c>
      <c r="AU464" s="10" t="str">
        <f>IF(Q464&lt;=AT464,"DESPRECIABLE","DISEÑAR")</f>
        <v>DISEÑAR</v>
      </c>
      <c r="AV464" s="10">
        <f>IF(Q464&lt;=AT464,0,Q464*1000000/('Parametros'!$B$6*2*0.85*(H464-2*'Parametros'!$B$7)*(I464-2*'Parametros'!$B$7)*'Parametros'!$B$4))</f>
        <v>0.142535100459937</v>
      </c>
      <c r="AW464" s="10">
        <f>AV464*2*((H464-2*'Parametros'!$B$7)+(I464-2*'Parametros'!$B$7))*'Parametros'!$B$4/'Parametros'!$B$3</f>
        <v>168.191418542726</v>
      </c>
      <c r="AX464" s="17" t="n">
        <v>1</v>
      </c>
      <c r="AY464" s="10" t="str">
        <f>IF(AV464=0,"DESPRECIABLE",IF('Parametros'!$B$11/AP464&gt;=AV464,"CUMPLE","NO CUMPLE"))</f>
        <v>CUMPLE</v>
      </c>
      <c r="AZ464" s="10" t="str">
        <f>IF(AND(X464="CUMPLE",AE464="CUMPLE",AS464="CUMPLE",OR(AY464="CUMPLE",AY464="DESPRECIABLE")),IF(OR(F464&lt;&gt;H464,G464&lt;&gt;I464),"CUMPLE - REANALIZAR SAP","CUMPLE"),"NO CUMPLE")</f>
        <v>CUMPLE</v>
      </c>
    </row>
    <row r="465">
      <c r="A465" s="26" t="inlineStr">
        <is>
          <t>VR2</t>
        </is>
      </c>
      <c r="B465" s="26" t="inlineStr">
        <is>
          <t>960</t>
        </is>
      </c>
      <c r="C465" s="10" t="n">
        <v>1</v>
      </c>
      <c r="D465" s="10" t="n">
        <v>2.5</v>
      </c>
      <c r="E465" s="10" t="n">
        <v>2.5</v>
      </c>
      <c r="F465" s="10" t="n">
        <v>350</v>
      </c>
      <c r="G465" s="10" t="n">
        <v>400</v>
      </c>
      <c r="H465" s="15" t="n">
        <v>350</v>
      </c>
      <c r="I465" s="15" t="n">
        <v>400</v>
      </c>
      <c r="J465" s="16" t="n">
        <v>39.1224</v>
      </c>
      <c r="K465" s="10" t="inlineStr">
        <is>
          <t>960</t>
        </is>
      </c>
      <c r="L465" s="16" t="n">
        <v>16.3708</v>
      </c>
      <c r="M465" s="10" t="inlineStr">
        <is>
          <t>960</t>
        </is>
      </c>
      <c r="N465" s="16" t="n">
        <v>46.063</v>
      </c>
      <c r="O465" s="16" t="n">
        <v>101.28</v>
      </c>
      <c r="P465" s="10" t="inlineStr">
        <is>
          <t>960</t>
        </is>
      </c>
      <c r="Q465" s="16" t="n">
        <v>1.594</v>
      </c>
      <c r="R465" s="10">
        <f>MAX(MAX(1.4/'Parametros'!$B$3,0.25*SQRT('Parametros'!$B$2)/'Parametros'!$B$3)*H465*U465,(0.85*'Parametros'!$B$2/'Parametros'!$B$3)*(1-SQRT(1-2*(J465*1000000/('Parametros'!$B$5*H465*U465^2))/(0.85*'Parametros'!$B$2)))*H465*U465)</f>
        <v>399.641666666667</v>
      </c>
      <c r="S465" s="17" t="n">
        <v>3</v>
      </c>
      <c r="T465" s="18" t="n">
        <v>1</v>
      </c>
      <c r="U465" s="10">
        <f>IF(T465=1,I465-('Parametros'!$B$7+'Parametros'!$B$9+'Parametros'!$B$12/2),I465-(ROUNDUP(S465/2,0)*('Parametros'!$B$7+'Parametros'!$B$9+'Parametros'!$B$12/2)+ROUNDDOWN(S465/2,0)*('Parametros'!$B$7+'Parametros'!$B$9+'Parametros'!$B$12/2+'Parametros'!$B$12+'Parametros'!$B$10))/S465)</f>
        <v>342.55</v>
      </c>
      <c r="V465" s="10">
        <f>S465*'Parametros'!$B$8</f>
        <v>597</v>
      </c>
      <c r="W465" s="10">
        <f>'Parametros'!$B$5*V465*'Parametros'!$B$3*(U465-(V465*'Parametros'!$B$3/(0.85*'Parametros'!$B$2*H465))/2)/1000000</f>
        <v>73.905520182353</v>
      </c>
      <c r="X465" s="10" t="str">
        <f>IF(W465&gt;=J465,"CUMPLE","NO CUMPLE")</f>
        <v>CUMPLE</v>
      </c>
      <c r="Y465" s="10">
        <f>MAX(MAX(1.4/'Parametros'!$B$3,0.25*SQRT('Parametros'!$B$2)/'Parametros'!$B$3)*H465*AB465,(0.85*'Parametros'!$B$2/'Parametros'!$B$3)*(1-SQRT(1-2*(L465*1000000/('Parametros'!$B$5*H465*AB465^2))/(0.85*'Parametros'!$B$2)))*H465*AB465)</f>
        <v>399.641666666667</v>
      </c>
      <c r="Z465" s="17" t="n">
        <v>3</v>
      </c>
      <c r="AA465" s="18" t="n">
        <v>1</v>
      </c>
      <c r="AB465" s="10">
        <f>IF(AA465=1,I465-('Parametros'!$B$7+'Parametros'!$B$9+'Parametros'!$B$12/2),I465-(ROUNDUP(Z465/2,0)*('Parametros'!$B$7+'Parametros'!$B$9+'Parametros'!$B$12/2)+ROUNDDOWN(Z465/2,0)*('Parametros'!$B$7+'Parametros'!$B$9+'Parametros'!$B$12/2+'Parametros'!$B$12+'Parametros'!$B$10))/Z465)</f>
        <v>342.55</v>
      </c>
      <c r="AC465" s="10">
        <f>Z465*'Parametros'!$B$8</f>
        <v>597</v>
      </c>
      <c r="AD465" s="10">
        <f>'Parametros'!$B$5*AC465*'Parametros'!$B$3*(AB465-(AC465*'Parametros'!$B$3/(0.85*'Parametros'!$B$2*H465))/2)/1000000</f>
        <v>73.905520182353</v>
      </c>
      <c r="AE465" s="10" t="str">
        <f>IF(AD465&gt;=L465,"CUMPLE","NO CUMPLE")</f>
        <v>CUMPLE</v>
      </c>
      <c r="AF465" s="10">
        <f>V465*1.25*'Parametros'!$B$3*(U465-(V465*1.25*'Parametros'!$B$3/(0.85*'Parametros'!$B$2*H465))/2)/1000000</f>
        <v>101.467261323529</v>
      </c>
      <c r="AG465" s="10">
        <f>AC465*1.25*'Parametros'!$B$3*(AB465-(AC465*1.25*'Parametros'!$B$3/(0.85*'Parametros'!$B$2*H465))/2)/1000000</f>
        <v>101.467261323529</v>
      </c>
      <c r="AH465" s="10">
        <f>N465+(AF465+AG465)/D465</f>
        <v>127.236809058824</v>
      </c>
      <c r="AI465" s="10">
        <f>MIN(O465,MAX(N465,AH465))</f>
        <v>101.28</v>
      </c>
      <c r="AJ465" s="10">
        <f>0.17*SQRT('Parametros'!$B$2)*H465*MIN(U465,AB465)/1000</f>
        <v>107.849951281016</v>
      </c>
      <c r="AK465" s="10">
        <f>MAX(AI465/'Parametros'!$B$6-AJ465,0)</f>
        <v>27.1900487189841</v>
      </c>
      <c r="AL465" s="10">
        <f>0.66*SQRT('Parametros'!$B$2)*H465*MIN(U465,AB465)/1000</f>
        <v>418.711575561591</v>
      </c>
      <c r="AM465" s="10" t="str">
        <f>IF(AK465&lt;=AL465,"CUMPLE","NO CUMPLE")</f>
        <v>CUMPLE</v>
      </c>
      <c r="AN465" s="15" t="inlineStr">
        <is>
          <t>Nº3 cerrado</t>
        </is>
      </c>
      <c r="AO465" s="17" t="n">
        <v>2</v>
      </c>
      <c r="AP465" s="10">
        <f>ROUNDDOWN(MIN(IF(AK465=0,1000000000,AO465*'Parametros'!$B$11*'Parametros'!$B$4*MIN(U465,AB465)/(AK465*1000)),IF(AV465=0,1000000000,'Parametros'!$B$11/AV465),MIN(U465,AB465)/4,8*'Parametros'!$B$12,24*'Parametros'!$B$9,300)/10,0)*10</f>
        <v>80</v>
      </c>
      <c r="AQ465" s="10">
        <f>ROUNDDOWN(MIN(IF(AK465=0,1000000000,AO465*'Parametros'!$B$11*'Parametros'!$B$4*MIN(U465,AB465)/(AK465*1000)),IF(AV465=0,1000000000,'Parametros'!$B$11/AV465),MIN(U465,AB465)/2,600)/10,0)*10</f>
        <v>170</v>
      </c>
      <c r="AR465" s="10">
        <f>'Parametros'!$B$6*(AJ465+AO465*'Parametros'!$B$11*'Parametros'!$B$4*MIN(U465,AB465)/AP465/1000)</f>
        <v>272.415732210762</v>
      </c>
      <c r="AS465" s="10" t="str">
        <f>IF(AND(AM465="CUMPLE",AR465&gt;=AI465),"CUMPLE","NO CUMPLE")</f>
        <v>CUMPLE</v>
      </c>
      <c r="AT465" s="10">
        <f>'Parametros'!$B$6*0.083*SQRT('Parametros'!$B$2)*(H465*I465)^2/(2*(H465+I465))/1000000</f>
        <v>4.30410823283988</v>
      </c>
      <c r="AU465" s="10" t="str">
        <f>IF(Q465&lt;=AT465,"DESPRECIABLE","DISEÑAR")</f>
        <v>DESPRECIABLE</v>
      </c>
      <c r="AV465" s="10">
        <f>IF(Q465&lt;=AT465,0,Q465*1000000/('Parametros'!$B$6*2*0.85*(H465-2*'Parametros'!$B$7)*(I465-2*'Parametros'!$B$7)*'Parametros'!$B$4))</f>
        <v>0</v>
      </c>
      <c r="AW465" s="10">
        <f>AV465*2*((H465-2*'Parametros'!$B$7)+(I465-2*'Parametros'!$B$7))*'Parametros'!$B$4/'Parametros'!$B$3</f>
        <v>0</v>
      </c>
      <c r="AX465" s="17" t="n">
        <v>0</v>
      </c>
      <c r="AY465" s="10" t="str">
        <f>IF(AV465=0,"DESPRECIABLE",IF('Parametros'!$B$11/AP465&gt;=AV465,"CUMPLE","NO CUMPLE"))</f>
        <v>DESPRECIABLE</v>
      </c>
      <c r="AZ465" s="10" t="str">
        <f>IF(AND(X465="CUMPLE",AE465="CUMPLE",AS465="CUMPLE",OR(AY465="CUMPLE",AY465="DESPRECIABLE")),IF(OR(F465&lt;&gt;H465,G465&lt;&gt;I465),"CUMPLE - REANALIZAR SAP","CUMPLE"),"NO CUMPLE")</f>
        <v>CUMPLE</v>
      </c>
    </row>
    <row r="466">
      <c r="A466" s="26" t="inlineStr">
        <is>
          <t>VR2</t>
        </is>
      </c>
      <c r="B466" s="26" t="inlineStr">
        <is>
          <t>961</t>
        </is>
      </c>
      <c r="C466" s="10" t="n">
        <v>1</v>
      </c>
      <c r="D466" s="10" t="n">
        <v>4.17612</v>
      </c>
      <c r="E466" s="10" t="n">
        <v>4.17612</v>
      </c>
      <c r="F466" s="10" t="n">
        <v>350</v>
      </c>
      <c r="G466" s="10" t="n">
        <v>400</v>
      </c>
      <c r="H466" s="15" t="n">
        <v>350</v>
      </c>
      <c r="I466" s="15" t="n">
        <v>400</v>
      </c>
      <c r="J466" s="16" t="n">
        <v>55.3062</v>
      </c>
      <c r="K466" s="10" t="inlineStr">
        <is>
          <t>961</t>
        </is>
      </c>
      <c r="L466" s="16" t="n">
        <v>22.6306</v>
      </c>
      <c r="M466" s="10" t="inlineStr">
        <is>
          <t>961</t>
        </is>
      </c>
      <c r="N466" s="16" t="n">
        <v>56.125</v>
      </c>
      <c r="O466" s="16" t="n">
        <v>100.804</v>
      </c>
      <c r="P466" s="10" t="inlineStr">
        <is>
          <t>961</t>
        </is>
      </c>
      <c r="Q466" s="16" t="n">
        <v>0.3865</v>
      </c>
      <c r="R466" s="10">
        <f>MAX(MAX(1.4/'Parametros'!$B$3,0.25*SQRT('Parametros'!$B$2)/'Parametros'!$B$3)*H466*U466,(0.85*'Parametros'!$B$2/'Parametros'!$B$3)*(1-SQRT(1-2*(J466*1000000/('Parametros'!$B$5*H466*U466^2))/(0.85*'Parametros'!$B$2)))*H466*U466)</f>
        <v>441.471524934601</v>
      </c>
      <c r="S466" s="17" t="n">
        <v>3</v>
      </c>
      <c r="T466" s="18" t="n">
        <v>1</v>
      </c>
      <c r="U466" s="10">
        <f>IF(T466=1,I466-('Parametros'!$B$7+'Parametros'!$B$9+'Parametros'!$B$12/2),I466-(ROUNDUP(S466/2,0)*('Parametros'!$B$7+'Parametros'!$B$9+'Parametros'!$B$12/2)+ROUNDDOWN(S466/2,0)*('Parametros'!$B$7+'Parametros'!$B$9+'Parametros'!$B$12/2+'Parametros'!$B$12+'Parametros'!$B$10))/S466)</f>
        <v>342.55</v>
      </c>
      <c r="V466" s="10">
        <f>S466*'Parametros'!$B$8</f>
        <v>597</v>
      </c>
      <c r="W466" s="10">
        <f>'Parametros'!$B$5*V466*'Parametros'!$B$3*(U466-(V466*'Parametros'!$B$3/(0.85*'Parametros'!$B$2*H466))/2)/1000000</f>
        <v>73.905520182353</v>
      </c>
      <c r="X466" s="10" t="str">
        <f>IF(W466&gt;=J466,"CUMPLE","NO CUMPLE")</f>
        <v>CUMPLE</v>
      </c>
      <c r="Y466" s="10">
        <f>MAX(MAX(1.4/'Parametros'!$B$3,0.25*SQRT('Parametros'!$B$2)/'Parametros'!$B$3)*H466*AB466,(0.85*'Parametros'!$B$2/'Parametros'!$B$3)*(1-SQRT(1-2*(L466*1000000/('Parametros'!$B$5*H466*AB466^2))/(0.85*'Parametros'!$B$2)))*H466*AB466)</f>
        <v>399.641666666667</v>
      </c>
      <c r="Z466" s="17" t="n">
        <v>3</v>
      </c>
      <c r="AA466" s="18" t="n">
        <v>1</v>
      </c>
      <c r="AB466" s="10">
        <f>IF(AA466=1,I466-('Parametros'!$B$7+'Parametros'!$B$9+'Parametros'!$B$12/2),I466-(ROUNDUP(Z466/2,0)*('Parametros'!$B$7+'Parametros'!$B$9+'Parametros'!$B$12/2)+ROUNDDOWN(Z466/2,0)*('Parametros'!$B$7+'Parametros'!$B$9+'Parametros'!$B$12/2+'Parametros'!$B$12+'Parametros'!$B$10))/Z466)</f>
        <v>342.55</v>
      </c>
      <c r="AC466" s="10">
        <f>Z466*'Parametros'!$B$8</f>
        <v>597</v>
      </c>
      <c r="AD466" s="10">
        <f>'Parametros'!$B$5*AC466*'Parametros'!$B$3*(AB466-(AC466*'Parametros'!$B$3/(0.85*'Parametros'!$B$2*H466))/2)/1000000</f>
        <v>73.905520182353</v>
      </c>
      <c r="AE466" s="10" t="str">
        <f>IF(AD466&gt;=L466,"CUMPLE","NO CUMPLE")</f>
        <v>CUMPLE</v>
      </c>
      <c r="AF466" s="10">
        <f>V466*1.25*'Parametros'!$B$3*(U466-(V466*1.25*'Parametros'!$B$3/(0.85*'Parametros'!$B$2*H466))/2)/1000000</f>
        <v>101.467261323529</v>
      </c>
      <c r="AG466" s="10">
        <f>AC466*1.25*'Parametros'!$B$3*(AB466-(AC466*1.25*'Parametros'!$B$3/(0.85*'Parametros'!$B$2*H466))/2)/1000000</f>
        <v>101.467261323529</v>
      </c>
      <c r="AH466" s="10">
        <f>N466+(AF466+AG466)/D466</f>
        <v>104.719035288033</v>
      </c>
      <c r="AI466" s="10">
        <f>MIN(O466,MAX(N466,AH466))</f>
        <v>100.804</v>
      </c>
      <c r="AJ466" s="10">
        <f>0.17*SQRT('Parametros'!$B$2)*H466*MIN(U466,AB466)/1000</f>
        <v>107.849951281016</v>
      </c>
      <c r="AK466" s="10">
        <f>MAX(AI466/'Parametros'!$B$6-AJ466,0)</f>
        <v>26.5553820523174</v>
      </c>
      <c r="AL466" s="10">
        <f>0.66*SQRT('Parametros'!$B$2)*H466*MIN(U466,AB466)/1000</f>
        <v>418.711575561591</v>
      </c>
      <c r="AM466" s="10" t="str">
        <f>IF(AK466&lt;=AL466,"CUMPLE","NO CUMPLE")</f>
        <v>CUMPLE</v>
      </c>
      <c r="AN466" s="15" t="inlineStr">
        <is>
          <t>Nº3 cerrado</t>
        </is>
      </c>
      <c r="AO466" s="17" t="n">
        <v>2</v>
      </c>
      <c r="AP466" s="10">
        <f>ROUNDDOWN(MIN(IF(AK466=0,1000000000,AO466*'Parametros'!$B$11*'Parametros'!$B$4*MIN(U466,AB466)/(AK466*1000)),IF(AV466=0,1000000000,'Parametros'!$B$11/AV466),MIN(U466,AB466)/4,8*'Parametros'!$B$12,24*'Parametros'!$B$9,300)/10,0)*10</f>
        <v>80</v>
      </c>
      <c r="AQ466" s="10">
        <f>ROUNDDOWN(MIN(IF(AK466=0,1000000000,AO466*'Parametros'!$B$11*'Parametros'!$B$4*MIN(U466,AB466)/(AK466*1000)),IF(AV466=0,1000000000,'Parametros'!$B$11/AV466),MIN(U466,AB466)/2,600)/10,0)*10</f>
        <v>170</v>
      </c>
      <c r="AR466" s="10">
        <f>'Parametros'!$B$6*(AJ466+AO466*'Parametros'!$B$11*'Parametros'!$B$4*MIN(U466,AB466)/AP466/1000)</f>
        <v>272.415732210762</v>
      </c>
      <c r="AS466" s="10" t="str">
        <f>IF(AND(AM466="CUMPLE",AR466&gt;=AI466),"CUMPLE","NO CUMPLE")</f>
        <v>CUMPLE</v>
      </c>
      <c r="AT466" s="10">
        <f>'Parametros'!$B$6*0.083*SQRT('Parametros'!$B$2)*(H466*I466)^2/(2*(H466+I466))/1000000</f>
        <v>4.30410823283988</v>
      </c>
      <c r="AU466" s="10" t="str">
        <f>IF(Q466&lt;=AT466,"DESPRECIABLE","DISEÑAR")</f>
        <v>DESPRECIABLE</v>
      </c>
      <c r="AV466" s="10">
        <f>IF(Q466&lt;=AT466,0,Q466*1000000/('Parametros'!$B$6*2*0.85*(H466-2*'Parametros'!$B$7)*(I466-2*'Parametros'!$B$7)*'Parametros'!$B$4))</f>
        <v>0</v>
      </c>
      <c r="AW466" s="10">
        <f>AV466*2*((H466-2*'Parametros'!$B$7)+(I466-2*'Parametros'!$B$7))*'Parametros'!$B$4/'Parametros'!$B$3</f>
        <v>0</v>
      </c>
      <c r="AX466" s="17" t="n">
        <v>0</v>
      </c>
      <c r="AY466" s="10" t="str">
        <f>IF(AV466=0,"DESPRECIABLE",IF('Parametros'!$B$11/AP466&gt;=AV466,"CUMPLE","NO CUMPLE"))</f>
        <v>DESPRECIABLE</v>
      </c>
      <c r="AZ466" s="10" t="str">
        <f>IF(AND(X466="CUMPLE",AE466="CUMPLE",AS466="CUMPLE",OR(AY466="CUMPLE",AY466="DESPRECIABLE")),IF(OR(F466&lt;&gt;H466,G466&lt;&gt;I466),"CUMPLE - REANALIZAR SAP","CUMPLE"),"NO CUMPLE")</f>
        <v>CUMPLE</v>
      </c>
    </row>
    <row r="467">
      <c r="A467" s="26" t="inlineStr">
        <is>
          <t>VR2</t>
        </is>
      </c>
      <c r="B467" s="26" t="inlineStr">
        <is>
          <t>962</t>
        </is>
      </c>
      <c r="C467" s="10" t="n">
        <v>1</v>
      </c>
      <c r="D467" s="10" t="n">
        <v>2.7</v>
      </c>
      <c r="E467" s="10" t="n">
        <v>2.7</v>
      </c>
      <c r="F467" s="10" t="n">
        <v>350</v>
      </c>
      <c r="G467" s="10" t="n">
        <v>400</v>
      </c>
      <c r="H467" s="15" t="n">
        <v>350</v>
      </c>
      <c r="I467" s="15" t="n">
        <v>400</v>
      </c>
      <c r="J467" s="16" t="n">
        <v>45.3737</v>
      </c>
      <c r="K467" s="10" t="inlineStr">
        <is>
          <t>962</t>
        </is>
      </c>
      <c r="L467" s="16" t="n">
        <v>20.6891</v>
      </c>
      <c r="M467" s="10" t="inlineStr">
        <is>
          <t>962</t>
        </is>
      </c>
      <c r="N467" s="16" t="n">
        <v>51.749</v>
      </c>
      <c r="O467" s="16" t="n">
        <v>94.73399999999999</v>
      </c>
      <c r="P467" s="10" t="inlineStr">
        <is>
          <t>962</t>
        </is>
      </c>
      <c r="Q467" s="16" t="n">
        <v>1.2735</v>
      </c>
      <c r="R467" s="10">
        <f>MAX(MAX(1.4/'Parametros'!$B$3,0.25*SQRT('Parametros'!$B$2)/'Parametros'!$B$3)*H467*U467,(0.85*'Parametros'!$B$2/'Parametros'!$B$3)*(1-SQRT(1-2*(J467*1000000/('Parametros'!$B$5*H467*U467^2))/(0.85*'Parametros'!$B$2)))*H467*U467)</f>
        <v>399.641666666667</v>
      </c>
      <c r="S467" s="17" t="n">
        <v>3</v>
      </c>
      <c r="T467" s="18" t="n">
        <v>1</v>
      </c>
      <c r="U467" s="10">
        <f>IF(T467=1,I467-('Parametros'!$B$7+'Parametros'!$B$9+'Parametros'!$B$12/2),I467-(ROUNDUP(S467/2,0)*('Parametros'!$B$7+'Parametros'!$B$9+'Parametros'!$B$12/2)+ROUNDDOWN(S467/2,0)*('Parametros'!$B$7+'Parametros'!$B$9+'Parametros'!$B$12/2+'Parametros'!$B$12+'Parametros'!$B$10))/S467)</f>
        <v>342.55</v>
      </c>
      <c r="V467" s="10">
        <f>S467*'Parametros'!$B$8</f>
        <v>597</v>
      </c>
      <c r="W467" s="10">
        <f>'Parametros'!$B$5*V467*'Parametros'!$B$3*(U467-(V467*'Parametros'!$B$3/(0.85*'Parametros'!$B$2*H467))/2)/1000000</f>
        <v>73.905520182353</v>
      </c>
      <c r="X467" s="10" t="str">
        <f>IF(W467&gt;=J467,"CUMPLE","NO CUMPLE")</f>
        <v>CUMPLE</v>
      </c>
      <c r="Y467" s="10">
        <f>MAX(MAX(1.4/'Parametros'!$B$3,0.25*SQRT('Parametros'!$B$2)/'Parametros'!$B$3)*H467*AB467,(0.85*'Parametros'!$B$2/'Parametros'!$B$3)*(1-SQRT(1-2*(L467*1000000/('Parametros'!$B$5*H467*AB467^2))/(0.85*'Parametros'!$B$2)))*H467*AB467)</f>
        <v>399.641666666667</v>
      </c>
      <c r="Z467" s="17" t="n">
        <v>3</v>
      </c>
      <c r="AA467" s="18" t="n">
        <v>1</v>
      </c>
      <c r="AB467" s="10">
        <f>IF(AA467=1,I467-('Parametros'!$B$7+'Parametros'!$B$9+'Parametros'!$B$12/2),I467-(ROUNDUP(Z467/2,0)*('Parametros'!$B$7+'Parametros'!$B$9+'Parametros'!$B$12/2)+ROUNDDOWN(Z467/2,0)*('Parametros'!$B$7+'Parametros'!$B$9+'Parametros'!$B$12/2+'Parametros'!$B$12+'Parametros'!$B$10))/Z467)</f>
        <v>342.55</v>
      </c>
      <c r="AC467" s="10">
        <f>Z467*'Parametros'!$B$8</f>
        <v>597</v>
      </c>
      <c r="AD467" s="10">
        <f>'Parametros'!$B$5*AC467*'Parametros'!$B$3*(AB467-(AC467*'Parametros'!$B$3/(0.85*'Parametros'!$B$2*H467))/2)/1000000</f>
        <v>73.905520182353</v>
      </c>
      <c r="AE467" s="10" t="str">
        <f>IF(AD467&gt;=L467,"CUMPLE","NO CUMPLE")</f>
        <v>CUMPLE</v>
      </c>
      <c r="AF467" s="10">
        <f>V467*1.25*'Parametros'!$B$3*(U467-(V467*1.25*'Parametros'!$B$3/(0.85*'Parametros'!$B$2*H467))/2)/1000000</f>
        <v>101.467261323529</v>
      </c>
      <c r="AG467" s="10">
        <f>AC467*1.25*'Parametros'!$B$3*(AB467-(AC467*1.25*'Parametros'!$B$3/(0.85*'Parametros'!$B$2*H467))/2)/1000000</f>
        <v>101.467261323529</v>
      </c>
      <c r="AH467" s="10">
        <f>N467+(AF467+AG467)/D467</f>
        <v>126.909934313726</v>
      </c>
      <c r="AI467" s="10">
        <f>MIN(O467,MAX(N467,AH467))</f>
        <v>94.734</v>
      </c>
      <c r="AJ467" s="10">
        <f>0.17*SQRT('Parametros'!$B$2)*H467*MIN(U467,AB467)/1000</f>
        <v>107.849951281016</v>
      </c>
      <c r="AK467" s="10">
        <f>MAX(AI467/'Parametros'!$B$6-AJ467,0)</f>
        <v>18.4620487189841</v>
      </c>
      <c r="AL467" s="10">
        <f>0.66*SQRT('Parametros'!$B$2)*H467*MIN(U467,AB467)/1000</f>
        <v>418.711575561591</v>
      </c>
      <c r="AM467" s="10" t="str">
        <f>IF(AK467&lt;=AL467,"CUMPLE","NO CUMPLE")</f>
        <v>CUMPLE</v>
      </c>
      <c r="AN467" s="15" t="inlineStr">
        <is>
          <t>Nº3 cerrado</t>
        </is>
      </c>
      <c r="AO467" s="17" t="n">
        <v>2</v>
      </c>
      <c r="AP467" s="10">
        <f>ROUNDDOWN(MIN(IF(AK467=0,1000000000,AO467*'Parametros'!$B$11*'Parametros'!$B$4*MIN(U467,AB467)/(AK467*1000)),IF(AV467=0,1000000000,'Parametros'!$B$11/AV467),MIN(U467,AB467)/4,8*'Parametros'!$B$12,24*'Parametros'!$B$9,300)/10,0)*10</f>
        <v>80</v>
      </c>
      <c r="AQ467" s="10">
        <f>ROUNDDOWN(MIN(IF(AK467=0,1000000000,AO467*'Parametros'!$B$11*'Parametros'!$B$4*MIN(U467,AB467)/(AK467*1000)),IF(AV467=0,1000000000,'Parametros'!$B$11/AV467),MIN(U467,AB467)/2,600)/10,0)*10</f>
        <v>170</v>
      </c>
      <c r="AR467" s="10">
        <f>'Parametros'!$B$6*(AJ467+AO467*'Parametros'!$B$11*'Parametros'!$B$4*MIN(U467,AB467)/AP467/1000)</f>
        <v>272.415732210762</v>
      </c>
      <c r="AS467" s="10" t="str">
        <f>IF(AND(AM467="CUMPLE",AR467&gt;=AI467),"CUMPLE","NO CUMPLE")</f>
        <v>CUMPLE</v>
      </c>
      <c r="AT467" s="10">
        <f>'Parametros'!$B$6*0.083*SQRT('Parametros'!$B$2)*(H467*I467)^2/(2*(H467+I467))/1000000</f>
        <v>4.30410823283988</v>
      </c>
      <c r="AU467" s="10" t="str">
        <f>IF(Q467&lt;=AT467,"DESPRECIABLE","DISEÑAR")</f>
        <v>DESPRECIABLE</v>
      </c>
      <c r="AV467" s="10">
        <f>IF(Q467&lt;=AT467,0,Q467*1000000/('Parametros'!$B$6*2*0.85*(H467-2*'Parametros'!$B$7)*(I467-2*'Parametros'!$B$7)*'Parametros'!$B$4))</f>
        <v>0</v>
      </c>
      <c r="AW467" s="10">
        <f>AV467*2*((H467-2*'Parametros'!$B$7)+(I467-2*'Parametros'!$B$7))*'Parametros'!$B$4/'Parametros'!$B$3</f>
        <v>0</v>
      </c>
      <c r="AX467" s="17" t="n">
        <v>0</v>
      </c>
      <c r="AY467" s="10" t="str">
        <f>IF(AV467=0,"DESPRECIABLE",IF('Parametros'!$B$11/AP467&gt;=AV467,"CUMPLE","NO CUMPLE"))</f>
        <v>DESPRECIABLE</v>
      </c>
      <c r="AZ467" s="10" t="str">
        <f>IF(AND(X467="CUMPLE",AE467="CUMPLE",AS467="CUMPLE",OR(AY467="CUMPLE",AY467="DESPRECIABLE")),IF(OR(F467&lt;&gt;H467,G467&lt;&gt;I467),"CUMPLE - REANALIZAR SAP","CUMPLE"),"NO CUMPLE")</f>
        <v>CUMPLE</v>
      </c>
    </row>
    <row r="468">
      <c r="A468" s="26" t="inlineStr">
        <is>
          <t>VR2</t>
        </is>
      </c>
      <c r="B468" s="26" t="inlineStr">
        <is>
          <t>963</t>
        </is>
      </c>
      <c r="C468" s="10" t="n">
        <v>1</v>
      </c>
      <c r="D468" s="10" t="n">
        <v>2.8</v>
      </c>
      <c r="E468" s="10" t="n">
        <v>2.8</v>
      </c>
      <c r="F468" s="10" t="n">
        <v>350</v>
      </c>
      <c r="G468" s="10" t="n">
        <v>400</v>
      </c>
      <c r="H468" s="15" t="n">
        <v>350</v>
      </c>
      <c r="I468" s="15" t="n">
        <v>400</v>
      </c>
      <c r="J468" s="16" t="n">
        <v>46.7716</v>
      </c>
      <c r="K468" s="10" t="inlineStr">
        <is>
          <t>963</t>
        </is>
      </c>
      <c r="L468" s="16" t="n">
        <v>20.7918</v>
      </c>
      <c r="M468" s="10" t="inlineStr">
        <is>
          <t>963</t>
        </is>
      </c>
      <c r="N468" s="16" t="n">
        <v>52.233</v>
      </c>
      <c r="O468" s="16" t="n">
        <v>96.25</v>
      </c>
      <c r="P468" s="10" t="inlineStr">
        <is>
          <t>963</t>
        </is>
      </c>
      <c r="Q468" s="16" t="n">
        <v>1.238</v>
      </c>
      <c r="R468" s="10">
        <f>MAX(MAX(1.4/'Parametros'!$B$3,0.25*SQRT('Parametros'!$B$2)/'Parametros'!$B$3)*H468*U468,(0.85*'Parametros'!$B$2/'Parametros'!$B$3)*(1-SQRT(1-2*(J468*1000000/('Parametros'!$B$5*H468*U468^2))/(0.85*'Parametros'!$B$2)))*H468*U468)</f>
        <v>399.641666666667</v>
      </c>
      <c r="S468" s="17" t="n">
        <v>3</v>
      </c>
      <c r="T468" s="18" t="n">
        <v>1</v>
      </c>
      <c r="U468" s="10">
        <f>IF(T468=1,I468-('Parametros'!$B$7+'Parametros'!$B$9+'Parametros'!$B$12/2),I468-(ROUNDUP(S468/2,0)*('Parametros'!$B$7+'Parametros'!$B$9+'Parametros'!$B$12/2)+ROUNDDOWN(S468/2,0)*('Parametros'!$B$7+'Parametros'!$B$9+'Parametros'!$B$12/2+'Parametros'!$B$12+'Parametros'!$B$10))/S468)</f>
        <v>342.55</v>
      </c>
      <c r="V468" s="10">
        <f>S468*'Parametros'!$B$8</f>
        <v>597</v>
      </c>
      <c r="W468" s="10">
        <f>'Parametros'!$B$5*V468*'Parametros'!$B$3*(U468-(V468*'Parametros'!$B$3/(0.85*'Parametros'!$B$2*H468))/2)/1000000</f>
        <v>73.905520182353</v>
      </c>
      <c r="X468" s="10" t="str">
        <f>IF(W468&gt;=J468,"CUMPLE","NO CUMPLE")</f>
        <v>CUMPLE</v>
      </c>
      <c r="Y468" s="10">
        <f>MAX(MAX(1.4/'Parametros'!$B$3,0.25*SQRT('Parametros'!$B$2)/'Parametros'!$B$3)*H468*AB468,(0.85*'Parametros'!$B$2/'Parametros'!$B$3)*(1-SQRT(1-2*(L468*1000000/('Parametros'!$B$5*H468*AB468^2))/(0.85*'Parametros'!$B$2)))*H468*AB468)</f>
        <v>399.641666666667</v>
      </c>
      <c r="Z468" s="17" t="n">
        <v>3</v>
      </c>
      <c r="AA468" s="18" t="n">
        <v>1</v>
      </c>
      <c r="AB468" s="10">
        <f>IF(AA468=1,I468-('Parametros'!$B$7+'Parametros'!$B$9+'Parametros'!$B$12/2),I468-(ROUNDUP(Z468/2,0)*('Parametros'!$B$7+'Parametros'!$B$9+'Parametros'!$B$12/2)+ROUNDDOWN(Z468/2,0)*('Parametros'!$B$7+'Parametros'!$B$9+'Parametros'!$B$12/2+'Parametros'!$B$12+'Parametros'!$B$10))/Z468)</f>
        <v>342.55</v>
      </c>
      <c r="AC468" s="10">
        <f>Z468*'Parametros'!$B$8</f>
        <v>597</v>
      </c>
      <c r="AD468" s="10">
        <f>'Parametros'!$B$5*AC468*'Parametros'!$B$3*(AB468-(AC468*'Parametros'!$B$3/(0.85*'Parametros'!$B$2*H468))/2)/1000000</f>
        <v>73.905520182353</v>
      </c>
      <c r="AE468" s="10" t="str">
        <f>IF(AD468&gt;=L468,"CUMPLE","NO CUMPLE")</f>
        <v>CUMPLE</v>
      </c>
      <c r="AF468" s="10">
        <f>V468*1.25*'Parametros'!$B$3*(U468-(V468*1.25*'Parametros'!$B$3/(0.85*'Parametros'!$B$2*H468))/2)/1000000</f>
        <v>101.467261323529</v>
      </c>
      <c r="AG468" s="10">
        <f>AC468*1.25*'Parametros'!$B$3*(AB468-(AC468*1.25*'Parametros'!$B$3/(0.85*'Parametros'!$B$2*H468))/2)/1000000</f>
        <v>101.467261323529</v>
      </c>
      <c r="AH468" s="10">
        <f>N468+(AF468+AG468)/D468</f>
        <v>124.709615231092</v>
      </c>
      <c r="AI468" s="10">
        <f>MIN(O468,MAX(N468,AH468))</f>
        <v>96.25</v>
      </c>
      <c r="AJ468" s="10">
        <f>0.17*SQRT('Parametros'!$B$2)*H468*MIN(U468,AB468)/1000</f>
        <v>107.849951281016</v>
      </c>
      <c r="AK468" s="10">
        <f>MAX(AI468/'Parametros'!$B$6-AJ468,0)</f>
        <v>20.4833820523174</v>
      </c>
      <c r="AL468" s="10">
        <f>0.66*SQRT('Parametros'!$B$2)*H468*MIN(U468,AB468)/1000</f>
        <v>418.711575561591</v>
      </c>
      <c r="AM468" s="10" t="str">
        <f>IF(AK468&lt;=AL468,"CUMPLE","NO CUMPLE")</f>
        <v>CUMPLE</v>
      </c>
      <c r="AN468" s="15" t="inlineStr">
        <is>
          <t>Nº3 cerrado</t>
        </is>
      </c>
      <c r="AO468" s="17" t="n">
        <v>2</v>
      </c>
      <c r="AP468" s="10">
        <f>ROUNDDOWN(MIN(IF(AK468=0,1000000000,AO468*'Parametros'!$B$11*'Parametros'!$B$4*MIN(U468,AB468)/(AK468*1000)),IF(AV468=0,1000000000,'Parametros'!$B$11/AV468),MIN(U468,AB468)/4,8*'Parametros'!$B$12,24*'Parametros'!$B$9,300)/10,0)*10</f>
        <v>80</v>
      </c>
      <c r="AQ468" s="10">
        <f>ROUNDDOWN(MIN(IF(AK468=0,1000000000,AO468*'Parametros'!$B$11*'Parametros'!$B$4*MIN(U468,AB468)/(AK468*1000)),IF(AV468=0,1000000000,'Parametros'!$B$11/AV468),MIN(U468,AB468)/2,600)/10,0)*10</f>
        <v>170</v>
      </c>
      <c r="AR468" s="10">
        <f>'Parametros'!$B$6*(AJ468+AO468*'Parametros'!$B$11*'Parametros'!$B$4*MIN(U468,AB468)/AP468/1000)</f>
        <v>272.415732210762</v>
      </c>
      <c r="AS468" s="10" t="str">
        <f>IF(AND(AM468="CUMPLE",AR468&gt;=AI468),"CUMPLE","NO CUMPLE")</f>
        <v>CUMPLE</v>
      </c>
      <c r="AT468" s="10">
        <f>'Parametros'!$B$6*0.083*SQRT('Parametros'!$B$2)*(H468*I468)^2/(2*(H468+I468))/1000000</f>
        <v>4.30410823283988</v>
      </c>
      <c r="AU468" s="10" t="str">
        <f>IF(Q468&lt;=AT468,"DESPRECIABLE","DISEÑAR")</f>
        <v>DESPRECIABLE</v>
      </c>
      <c r="AV468" s="10">
        <f>IF(Q468&lt;=AT468,0,Q468*1000000/('Parametros'!$B$6*2*0.85*(H468-2*'Parametros'!$B$7)*(I468-2*'Parametros'!$B$7)*'Parametros'!$B$4))</f>
        <v>0</v>
      </c>
      <c r="AW468" s="10">
        <f>AV468*2*((H468-2*'Parametros'!$B$7)+(I468-2*'Parametros'!$B$7))*'Parametros'!$B$4/'Parametros'!$B$3</f>
        <v>0</v>
      </c>
      <c r="AX468" s="17" t="n">
        <v>0</v>
      </c>
      <c r="AY468" s="10" t="str">
        <f>IF(AV468=0,"DESPRECIABLE",IF('Parametros'!$B$11/AP468&gt;=AV468,"CUMPLE","NO CUMPLE"))</f>
        <v>DESPRECIABLE</v>
      </c>
      <c r="AZ468" s="10" t="str">
        <f>IF(AND(X468="CUMPLE",AE468="CUMPLE",AS468="CUMPLE",OR(AY468="CUMPLE",AY468="DESPRECIABLE")),IF(OR(F468&lt;&gt;H468,G468&lt;&gt;I468),"CUMPLE - REANALIZAR SAP","CUMPLE"),"NO CUMPLE")</f>
        <v>CUMPLE</v>
      </c>
    </row>
    <row r="469">
      <c r="A469" s="26" t="inlineStr">
        <is>
          <t>VR2</t>
        </is>
      </c>
      <c r="B469" s="26" t="inlineStr">
        <is>
          <t>964</t>
        </is>
      </c>
      <c r="C469" s="10" t="n">
        <v>1</v>
      </c>
      <c r="D469" s="10" t="n">
        <v>4.17612</v>
      </c>
      <c r="E469" s="10" t="n">
        <v>4.17612</v>
      </c>
      <c r="F469" s="10" t="n">
        <v>350</v>
      </c>
      <c r="G469" s="10" t="n">
        <v>400</v>
      </c>
      <c r="H469" s="15" t="n">
        <v>350</v>
      </c>
      <c r="I469" s="15" t="n">
        <v>400</v>
      </c>
      <c r="J469" s="16" t="n">
        <v>55.1492</v>
      </c>
      <c r="K469" s="10" t="inlineStr">
        <is>
          <t>964</t>
        </is>
      </c>
      <c r="L469" s="16" t="n">
        <v>22.4061</v>
      </c>
      <c r="M469" s="10" t="inlineStr">
        <is>
          <t>964</t>
        </is>
      </c>
      <c r="N469" s="16" t="n">
        <v>55.988</v>
      </c>
      <c r="O469" s="16" t="n">
        <v>100.173</v>
      </c>
      <c r="P469" s="10" t="inlineStr">
        <is>
          <t>964</t>
        </is>
      </c>
      <c r="Q469" s="16" t="n">
        <v>0.3723</v>
      </c>
      <c r="R469" s="10">
        <f>MAX(MAX(1.4/'Parametros'!$B$3,0.25*SQRT('Parametros'!$B$2)/'Parametros'!$B$3)*H469*U469,(0.85*'Parametros'!$B$2/'Parametros'!$B$3)*(1-SQRT(1-2*(J469*1000000/('Parametros'!$B$5*H469*U469^2))/(0.85*'Parametros'!$B$2)))*H469*U469)</f>
        <v>440.174886505315</v>
      </c>
      <c r="S469" s="17" t="n">
        <v>3</v>
      </c>
      <c r="T469" s="18" t="n">
        <v>1</v>
      </c>
      <c r="U469" s="10">
        <f>IF(T469=1,I469-('Parametros'!$B$7+'Parametros'!$B$9+'Parametros'!$B$12/2),I469-(ROUNDUP(S469/2,0)*('Parametros'!$B$7+'Parametros'!$B$9+'Parametros'!$B$12/2)+ROUNDDOWN(S469/2,0)*('Parametros'!$B$7+'Parametros'!$B$9+'Parametros'!$B$12/2+'Parametros'!$B$12+'Parametros'!$B$10))/S469)</f>
        <v>342.55</v>
      </c>
      <c r="V469" s="10">
        <f>S469*'Parametros'!$B$8</f>
        <v>597</v>
      </c>
      <c r="W469" s="10">
        <f>'Parametros'!$B$5*V469*'Parametros'!$B$3*(U469-(V469*'Parametros'!$B$3/(0.85*'Parametros'!$B$2*H469))/2)/1000000</f>
        <v>73.905520182353</v>
      </c>
      <c r="X469" s="10" t="str">
        <f>IF(W469&gt;=J469,"CUMPLE","NO CUMPLE")</f>
        <v>CUMPLE</v>
      </c>
      <c r="Y469" s="10">
        <f>MAX(MAX(1.4/'Parametros'!$B$3,0.25*SQRT('Parametros'!$B$2)/'Parametros'!$B$3)*H469*AB469,(0.85*'Parametros'!$B$2/'Parametros'!$B$3)*(1-SQRT(1-2*(L469*1000000/('Parametros'!$B$5*H469*AB469^2))/(0.85*'Parametros'!$B$2)))*H469*AB469)</f>
        <v>399.641666666667</v>
      </c>
      <c r="Z469" s="17" t="n">
        <v>3</v>
      </c>
      <c r="AA469" s="18" t="n">
        <v>1</v>
      </c>
      <c r="AB469" s="10">
        <f>IF(AA469=1,I469-('Parametros'!$B$7+'Parametros'!$B$9+'Parametros'!$B$12/2),I469-(ROUNDUP(Z469/2,0)*('Parametros'!$B$7+'Parametros'!$B$9+'Parametros'!$B$12/2)+ROUNDDOWN(Z469/2,0)*('Parametros'!$B$7+'Parametros'!$B$9+'Parametros'!$B$12/2+'Parametros'!$B$12+'Parametros'!$B$10))/Z469)</f>
        <v>342.55</v>
      </c>
      <c r="AC469" s="10">
        <f>Z469*'Parametros'!$B$8</f>
        <v>597</v>
      </c>
      <c r="AD469" s="10">
        <f>'Parametros'!$B$5*AC469*'Parametros'!$B$3*(AB469-(AC469*'Parametros'!$B$3/(0.85*'Parametros'!$B$2*H469))/2)/1000000</f>
        <v>73.905520182353</v>
      </c>
      <c r="AE469" s="10" t="str">
        <f>IF(AD469&gt;=L469,"CUMPLE","NO CUMPLE")</f>
        <v>CUMPLE</v>
      </c>
      <c r="AF469" s="10">
        <f>V469*1.25*'Parametros'!$B$3*(U469-(V469*1.25*'Parametros'!$B$3/(0.85*'Parametros'!$B$2*H469))/2)/1000000</f>
        <v>101.467261323529</v>
      </c>
      <c r="AG469" s="10">
        <f>AC469*1.25*'Parametros'!$B$3*(AB469-(AC469*1.25*'Parametros'!$B$3/(0.85*'Parametros'!$B$2*H469))/2)/1000000</f>
        <v>101.467261323529</v>
      </c>
      <c r="AH469" s="10">
        <f>N469+(AF469+AG469)/D469</f>
        <v>104.582035288033</v>
      </c>
      <c r="AI469" s="10">
        <f>MIN(O469,MAX(N469,AH469))</f>
        <v>100.173</v>
      </c>
      <c r="AJ469" s="10">
        <f>0.17*SQRT('Parametros'!$B$2)*H469*MIN(U469,AB469)/1000</f>
        <v>107.849951281016</v>
      </c>
      <c r="AK469" s="10">
        <f>MAX(AI469/'Parametros'!$B$6-AJ469,0)</f>
        <v>25.7140487189841</v>
      </c>
      <c r="AL469" s="10">
        <f>0.66*SQRT('Parametros'!$B$2)*H469*MIN(U469,AB469)/1000</f>
        <v>418.711575561591</v>
      </c>
      <c r="AM469" s="10" t="str">
        <f>IF(AK469&lt;=AL469,"CUMPLE","NO CUMPLE")</f>
        <v>CUMPLE</v>
      </c>
      <c r="AN469" s="15" t="inlineStr">
        <is>
          <t>Nº3 cerrado</t>
        </is>
      </c>
      <c r="AO469" s="17" t="n">
        <v>2</v>
      </c>
      <c r="AP469" s="10">
        <f>ROUNDDOWN(MIN(IF(AK469=0,1000000000,AO469*'Parametros'!$B$11*'Parametros'!$B$4*MIN(U469,AB469)/(AK469*1000)),IF(AV469=0,1000000000,'Parametros'!$B$11/AV469),MIN(U469,AB469)/4,8*'Parametros'!$B$12,24*'Parametros'!$B$9,300)/10,0)*10</f>
        <v>80</v>
      </c>
      <c r="AQ469" s="10">
        <f>ROUNDDOWN(MIN(IF(AK469=0,1000000000,AO469*'Parametros'!$B$11*'Parametros'!$B$4*MIN(U469,AB469)/(AK469*1000)),IF(AV469=0,1000000000,'Parametros'!$B$11/AV469),MIN(U469,AB469)/2,600)/10,0)*10</f>
        <v>170</v>
      </c>
      <c r="AR469" s="10">
        <f>'Parametros'!$B$6*(AJ469+AO469*'Parametros'!$B$11*'Parametros'!$B$4*MIN(U469,AB469)/AP469/1000)</f>
        <v>272.415732210762</v>
      </c>
      <c r="AS469" s="10" t="str">
        <f>IF(AND(AM469="CUMPLE",AR469&gt;=AI469),"CUMPLE","NO CUMPLE")</f>
        <v>CUMPLE</v>
      </c>
      <c r="AT469" s="10">
        <f>'Parametros'!$B$6*0.083*SQRT('Parametros'!$B$2)*(H469*I469)^2/(2*(H469+I469))/1000000</f>
        <v>4.30410823283988</v>
      </c>
      <c r="AU469" s="10" t="str">
        <f>IF(Q469&lt;=AT469,"DESPRECIABLE","DISEÑAR")</f>
        <v>DESPRECIABLE</v>
      </c>
      <c r="AV469" s="10">
        <f>IF(Q469&lt;=AT469,0,Q469*1000000/('Parametros'!$B$6*2*0.85*(H469-2*'Parametros'!$B$7)*(I469-2*'Parametros'!$B$7)*'Parametros'!$B$4))</f>
        <v>0</v>
      </c>
      <c r="AW469" s="10">
        <f>AV469*2*((H469-2*'Parametros'!$B$7)+(I469-2*'Parametros'!$B$7))*'Parametros'!$B$4/'Parametros'!$B$3</f>
        <v>0</v>
      </c>
      <c r="AX469" s="17" t="n">
        <v>0</v>
      </c>
      <c r="AY469" s="10" t="str">
        <f>IF(AV469=0,"DESPRECIABLE",IF('Parametros'!$B$11/AP469&gt;=AV469,"CUMPLE","NO CUMPLE"))</f>
        <v>DESPRECIABLE</v>
      </c>
      <c r="AZ469" s="10" t="str">
        <f>IF(AND(X469="CUMPLE",AE469="CUMPLE",AS469="CUMPLE",OR(AY469="CUMPLE",AY469="DESPRECIABLE")),IF(OR(F469&lt;&gt;H469,G469&lt;&gt;I469),"CUMPLE - REANALIZAR SAP","CUMPLE"),"NO CUMPLE")</f>
        <v>CUMPLE</v>
      </c>
    </row>
    <row r="470">
      <c r="A470" s="26" t="inlineStr">
        <is>
          <t>VR2</t>
        </is>
      </c>
      <c r="B470" s="26" t="inlineStr">
        <is>
          <t>965</t>
        </is>
      </c>
      <c r="C470" s="10" t="n">
        <v>1</v>
      </c>
      <c r="D470" s="10" t="n">
        <v>2.5</v>
      </c>
      <c r="E470" s="10" t="n">
        <v>2.5</v>
      </c>
      <c r="F470" s="10" t="n">
        <v>350</v>
      </c>
      <c r="G470" s="10" t="n">
        <v>400</v>
      </c>
      <c r="H470" s="15" t="n">
        <v>350</v>
      </c>
      <c r="I470" s="15" t="n">
        <v>400</v>
      </c>
      <c r="J470" s="16" t="n">
        <v>39.0811</v>
      </c>
      <c r="K470" s="10" t="inlineStr">
        <is>
          <t>965</t>
        </is>
      </c>
      <c r="L470" s="16" t="n">
        <v>16.362</v>
      </c>
      <c r="M470" s="10" t="inlineStr">
        <is>
          <t>965</t>
        </is>
      </c>
      <c r="N470" s="16" t="n">
        <v>46.032</v>
      </c>
      <c r="O470" s="16" t="n">
        <v>101.3</v>
      </c>
      <c r="P470" s="10" t="inlineStr">
        <is>
          <t>965</t>
        </is>
      </c>
      <c r="Q470" s="16" t="n">
        <v>1.5895</v>
      </c>
      <c r="R470" s="10">
        <f>MAX(MAX(1.4/'Parametros'!$B$3,0.25*SQRT('Parametros'!$B$2)/'Parametros'!$B$3)*H470*U470,(0.85*'Parametros'!$B$2/'Parametros'!$B$3)*(1-SQRT(1-2*(J470*1000000/('Parametros'!$B$5*H470*U470^2))/(0.85*'Parametros'!$B$2)))*H470*U470)</f>
        <v>399.641666666667</v>
      </c>
      <c r="S470" s="17" t="n">
        <v>3</v>
      </c>
      <c r="T470" s="18" t="n">
        <v>1</v>
      </c>
      <c r="U470" s="10">
        <f>IF(T470=1,I470-('Parametros'!$B$7+'Parametros'!$B$9+'Parametros'!$B$12/2),I470-(ROUNDUP(S470/2,0)*('Parametros'!$B$7+'Parametros'!$B$9+'Parametros'!$B$12/2)+ROUNDDOWN(S470/2,0)*('Parametros'!$B$7+'Parametros'!$B$9+'Parametros'!$B$12/2+'Parametros'!$B$12+'Parametros'!$B$10))/S470)</f>
        <v>342.55</v>
      </c>
      <c r="V470" s="10">
        <f>S470*'Parametros'!$B$8</f>
        <v>597</v>
      </c>
      <c r="W470" s="10">
        <f>'Parametros'!$B$5*V470*'Parametros'!$B$3*(U470-(V470*'Parametros'!$B$3/(0.85*'Parametros'!$B$2*H470))/2)/1000000</f>
        <v>73.905520182353</v>
      </c>
      <c r="X470" s="10" t="str">
        <f>IF(W470&gt;=J470,"CUMPLE","NO CUMPLE")</f>
        <v>CUMPLE</v>
      </c>
      <c r="Y470" s="10">
        <f>MAX(MAX(1.4/'Parametros'!$B$3,0.25*SQRT('Parametros'!$B$2)/'Parametros'!$B$3)*H470*AB470,(0.85*'Parametros'!$B$2/'Parametros'!$B$3)*(1-SQRT(1-2*(L470*1000000/('Parametros'!$B$5*H470*AB470^2))/(0.85*'Parametros'!$B$2)))*H470*AB470)</f>
        <v>399.641666666667</v>
      </c>
      <c r="Z470" s="17" t="n">
        <v>3</v>
      </c>
      <c r="AA470" s="18" t="n">
        <v>1</v>
      </c>
      <c r="AB470" s="10">
        <f>IF(AA470=1,I470-('Parametros'!$B$7+'Parametros'!$B$9+'Parametros'!$B$12/2),I470-(ROUNDUP(Z470/2,0)*('Parametros'!$B$7+'Parametros'!$B$9+'Parametros'!$B$12/2)+ROUNDDOWN(Z470/2,0)*('Parametros'!$B$7+'Parametros'!$B$9+'Parametros'!$B$12/2+'Parametros'!$B$12+'Parametros'!$B$10))/Z470)</f>
        <v>342.55</v>
      </c>
      <c r="AC470" s="10">
        <f>Z470*'Parametros'!$B$8</f>
        <v>597</v>
      </c>
      <c r="AD470" s="10">
        <f>'Parametros'!$B$5*AC470*'Parametros'!$B$3*(AB470-(AC470*'Parametros'!$B$3/(0.85*'Parametros'!$B$2*H470))/2)/1000000</f>
        <v>73.905520182353</v>
      </c>
      <c r="AE470" s="10" t="str">
        <f>IF(AD470&gt;=L470,"CUMPLE","NO CUMPLE")</f>
        <v>CUMPLE</v>
      </c>
      <c r="AF470" s="10">
        <f>V470*1.25*'Parametros'!$B$3*(U470-(V470*1.25*'Parametros'!$B$3/(0.85*'Parametros'!$B$2*H470))/2)/1000000</f>
        <v>101.467261323529</v>
      </c>
      <c r="AG470" s="10">
        <f>AC470*1.25*'Parametros'!$B$3*(AB470-(AC470*1.25*'Parametros'!$B$3/(0.85*'Parametros'!$B$2*H470))/2)/1000000</f>
        <v>101.467261323529</v>
      </c>
      <c r="AH470" s="10">
        <f>N470+(AF470+AG470)/D470</f>
        <v>127.205809058824</v>
      </c>
      <c r="AI470" s="10">
        <f>MIN(O470,MAX(N470,AH470))</f>
        <v>101.3</v>
      </c>
      <c r="AJ470" s="10">
        <f>0.17*SQRT('Parametros'!$B$2)*H470*MIN(U470,AB470)/1000</f>
        <v>107.849951281016</v>
      </c>
      <c r="AK470" s="10">
        <f>MAX(AI470/'Parametros'!$B$6-AJ470,0)</f>
        <v>27.2167153856508</v>
      </c>
      <c r="AL470" s="10">
        <f>0.66*SQRT('Parametros'!$B$2)*H470*MIN(U470,AB470)/1000</f>
        <v>418.711575561591</v>
      </c>
      <c r="AM470" s="10" t="str">
        <f>IF(AK470&lt;=AL470,"CUMPLE","NO CUMPLE")</f>
        <v>CUMPLE</v>
      </c>
      <c r="AN470" s="15" t="inlineStr">
        <is>
          <t>Nº3 cerrado</t>
        </is>
      </c>
      <c r="AO470" s="17" t="n">
        <v>2</v>
      </c>
      <c r="AP470" s="10">
        <f>ROUNDDOWN(MIN(IF(AK470=0,1000000000,AO470*'Parametros'!$B$11*'Parametros'!$B$4*MIN(U470,AB470)/(AK470*1000)),IF(AV470=0,1000000000,'Parametros'!$B$11/AV470),MIN(U470,AB470)/4,8*'Parametros'!$B$12,24*'Parametros'!$B$9,300)/10,0)*10</f>
        <v>80</v>
      </c>
      <c r="AQ470" s="10">
        <f>ROUNDDOWN(MIN(IF(AK470=0,1000000000,AO470*'Parametros'!$B$11*'Parametros'!$B$4*MIN(U470,AB470)/(AK470*1000)),IF(AV470=0,1000000000,'Parametros'!$B$11/AV470),MIN(U470,AB470)/2,600)/10,0)*10</f>
        <v>170</v>
      </c>
      <c r="AR470" s="10">
        <f>'Parametros'!$B$6*(AJ470+AO470*'Parametros'!$B$11*'Parametros'!$B$4*MIN(U470,AB470)/AP470/1000)</f>
        <v>272.415732210762</v>
      </c>
      <c r="AS470" s="10" t="str">
        <f>IF(AND(AM470="CUMPLE",AR470&gt;=AI470),"CUMPLE","NO CUMPLE")</f>
        <v>CUMPLE</v>
      </c>
      <c r="AT470" s="10">
        <f>'Parametros'!$B$6*0.083*SQRT('Parametros'!$B$2)*(H470*I470)^2/(2*(H470+I470))/1000000</f>
        <v>4.30410823283988</v>
      </c>
      <c r="AU470" s="10" t="str">
        <f>IF(Q470&lt;=AT470,"DESPRECIABLE","DISEÑAR")</f>
        <v>DESPRECIABLE</v>
      </c>
      <c r="AV470" s="10">
        <f>IF(Q470&lt;=AT470,0,Q470*1000000/('Parametros'!$B$6*2*0.85*(H470-2*'Parametros'!$B$7)*(I470-2*'Parametros'!$B$7)*'Parametros'!$B$4))</f>
        <v>0</v>
      </c>
      <c r="AW470" s="10">
        <f>AV470*2*((H470-2*'Parametros'!$B$7)+(I470-2*'Parametros'!$B$7))*'Parametros'!$B$4/'Parametros'!$B$3</f>
        <v>0</v>
      </c>
      <c r="AX470" s="17" t="n">
        <v>0</v>
      </c>
      <c r="AY470" s="10" t="str">
        <f>IF(AV470=0,"DESPRECIABLE",IF('Parametros'!$B$11/AP470&gt;=AV470,"CUMPLE","NO CUMPLE"))</f>
        <v>DESPRECIABLE</v>
      </c>
      <c r="AZ470" s="10" t="str">
        <f>IF(AND(X470="CUMPLE",AE470="CUMPLE",AS470="CUMPLE",OR(AY470="CUMPLE",AY470="DESPRECIABLE")),IF(OR(F470&lt;&gt;H470,G470&lt;&gt;I470),"CUMPLE - REANALIZAR SAP","CUMPLE"),"NO CUMPLE")</f>
        <v>CUMPLE</v>
      </c>
    </row>
    <row r="471">
      <c r="A471" s="26" t="inlineStr">
        <is>
          <t>VR2</t>
        </is>
      </c>
      <c r="B471" s="26" t="inlineStr">
        <is>
          <t>966</t>
        </is>
      </c>
      <c r="C471" s="10" t="n">
        <v>1</v>
      </c>
      <c r="D471" s="10" t="n">
        <v>2.6</v>
      </c>
      <c r="E471" s="10" t="n">
        <v>2.6</v>
      </c>
      <c r="F471" s="10" t="n">
        <v>350</v>
      </c>
      <c r="G471" s="10" t="n">
        <v>400</v>
      </c>
      <c r="H471" s="15" t="n">
        <v>350</v>
      </c>
      <c r="I471" s="15" t="n">
        <v>400</v>
      </c>
      <c r="J471" s="16" t="n">
        <v>42.668</v>
      </c>
      <c r="K471" s="10" t="inlineStr">
        <is>
          <t>966</t>
        </is>
      </c>
      <c r="L471" s="16" t="n">
        <v>13.7359</v>
      </c>
      <c r="M471" s="10" t="inlineStr">
        <is>
          <t>966</t>
        </is>
      </c>
      <c r="N471" s="16" t="n">
        <v>53.731</v>
      </c>
      <c r="O471" s="16" t="n">
        <v>123.366</v>
      </c>
      <c r="P471" s="10" t="inlineStr">
        <is>
          <t>966</t>
        </is>
      </c>
      <c r="Q471" s="16" t="n">
        <v>6.6767</v>
      </c>
      <c r="R471" s="10">
        <f>MAX(MAX(1.4/'Parametros'!$B$3,0.25*SQRT('Parametros'!$B$2)/'Parametros'!$B$3)*H471*U471,(0.85*'Parametros'!$B$2/'Parametros'!$B$3)*(1-SQRT(1-2*(J471*1000000/('Parametros'!$B$5*H471*U471^2))/(0.85*'Parametros'!$B$2)))*H471*U471)</f>
        <v>399.641666666667</v>
      </c>
      <c r="S471" s="17" t="n">
        <v>3</v>
      </c>
      <c r="T471" s="18" t="n">
        <v>1</v>
      </c>
      <c r="U471" s="10">
        <f>IF(T471=1,I471-('Parametros'!$B$7+'Parametros'!$B$9+'Parametros'!$B$12/2),I471-(ROUNDUP(S471/2,0)*('Parametros'!$B$7+'Parametros'!$B$9+'Parametros'!$B$12/2)+ROUNDDOWN(S471/2,0)*('Parametros'!$B$7+'Parametros'!$B$9+'Parametros'!$B$12/2+'Parametros'!$B$12+'Parametros'!$B$10))/S471)</f>
        <v>342.55</v>
      </c>
      <c r="V471" s="10">
        <f>S471*'Parametros'!$B$8</f>
        <v>597</v>
      </c>
      <c r="W471" s="10">
        <f>'Parametros'!$B$5*V471*'Parametros'!$B$3*(U471-(V471*'Parametros'!$B$3/(0.85*'Parametros'!$B$2*H471))/2)/1000000</f>
        <v>73.905520182353</v>
      </c>
      <c r="X471" s="10" t="str">
        <f>IF(W471&gt;=J471,"CUMPLE","NO CUMPLE")</f>
        <v>CUMPLE</v>
      </c>
      <c r="Y471" s="10">
        <f>MAX(MAX(1.4/'Parametros'!$B$3,0.25*SQRT('Parametros'!$B$2)/'Parametros'!$B$3)*H471*AB471,(0.85*'Parametros'!$B$2/'Parametros'!$B$3)*(1-SQRT(1-2*(L471*1000000/('Parametros'!$B$5*H471*AB471^2))/(0.85*'Parametros'!$B$2)))*H471*AB471)</f>
        <v>399.641666666667</v>
      </c>
      <c r="Z471" s="17" t="n">
        <v>3</v>
      </c>
      <c r="AA471" s="18" t="n">
        <v>1</v>
      </c>
      <c r="AB471" s="10">
        <f>IF(AA471=1,I471-('Parametros'!$B$7+'Parametros'!$B$9+'Parametros'!$B$12/2),I471-(ROUNDUP(Z471/2,0)*('Parametros'!$B$7+'Parametros'!$B$9+'Parametros'!$B$12/2)+ROUNDDOWN(Z471/2,0)*('Parametros'!$B$7+'Parametros'!$B$9+'Parametros'!$B$12/2+'Parametros'!$B$12+'Parametros'!$B$10))/Z471)</f>
        <v>342.55</v>
      </c>
      <c r="AC471" s="10">
        <f>Z471*'Parametros'!$B$8</f>
        <v>597</v>
      </c>
      <c r="AD471" s="10">
        <f>'Parametros'!$B$5*AC471*'Parametros'!$B$3*(AB471-(AC471*'Parametros'!$B$3/(0.85*'Parametros'!$B$2*H471))/2)/1000000</f>
        <v>73.905520182353</v>
      </c>
      <c r="AE471" s="10" t="str">
        <f>IF(AD471&gt;=L471,"CUMPLE","NO CUMPLE")</f>
        <v>CUMPLE</v>
      </c>
      <c r="AF471" s="10">
        <f>V471*1.25*'Parametros'!$B$3*(U471-(V471*1.25*'Parametros'!$B$3/(0.85*'Parametros'!$B$2*H471))/2)/1000000</f>
        <v>101.467261323529</v>
      </c>
      <c r="AG471" s="10">
        <f>AC471*1.25*'Parametros'!$B$3*(AB471-(AC471*1.25*'Parametros'!$B$3/(0.85*'Parametros'!$B$2*H471))/2)/1000000</f>
        <v>101.467261323529</v>
      </c>
      <c r="AH471" s="10">
        <f>N471+(AF471+AG471)/D471</f>
        <v>131.782739479638</v>
      </c>
      <c r="AI471" s="10">
        <f>MIN(O471,MAX(N471,AH471))</f>
        <v>123.366</v>
      </c>
      <c r="AJ471" s="10">
        <f>0.17*SQRT('Parametros'!$B$2)*H471*MIN(U471,AB471)/1000</f>
        <v>107.849951281016</v>
      </c>
      <c r="AK471" s="10">
        <f>MAX(AI471/'Parametros'!$B$6-AJ471,0)</f>
        <v>56.6380487189841</v>
      </c>
      <c r="AL471" s="10">
        <f>0.66*SQRT('Parametros'!$B$2)*H471*MIN(U471,AB471)/1000</f>
        <v>418.711575561591</v>
      </c>
      <c r="AM471" s="10" t="str">
        <f>IF(AK471&lt;=AL471,"CUMPLE","NO CUMPLE")</f>
        <v>CUMPLE</v>
      </c>
      <c r="AN471" s="15" t="inlineStr">
        <is>
          <t>Nº3 cerrado</t>
        </is>
      </c>
      <c r="AO471" s="17" t="n">
        <v>2</v>
      </c>
      <c r="AP471" s="10">
        <f>ROUNDDOWN(MIN(IF(AK471=0,1000000000,AO471*'Parametros'!$B$11*'Parametros'!$B$4*MIN(U471,AB471)/(AK471*1000)),IF(AV471=0,1000000000,'Parametros'!$B$11/AV471),MIN(U471,AB471)/4,8*'Parametros'!$B$12,24*'Parametros'!$B$9,300)/10,0)*10</f>
        <v>80</v>
      </c>
      <c r="AQ471" s="10">
        <f>ROUNDDOWN(MIN(IF(AK471=0,1000000000,AO471*'Parametros'!$B$11*'Parametros'!$B$4*MIN(U471,AB471)/(AK471*1000)),IF(AV471=0,1000000000,'Parametros'!$B$11/AV471),MIN(U471,AB471)/2,600)/10,0)*10</f>
        <v>170</v>
      </c>
      <c r="AR471" s="10">
        <f>'Parametros'!$B$6*(AJ471+AO471*'Parametros'!$B$11*'Parametros'!$B$4*MIN(U471,AB471)/AP471/1000)</f>
        <v>272.415732210762</v>
      </c>
      <c r="AS471" s="10" t="str">
        <f>IF(AND(AM471="CUMPLE",AR471&gt;=AI471),"CUMPLE","NO CUMPLE")</f>
        <v>CUMPLE</v>
      </c>
      <c r="AT471" s="10">
        <f>'Parametros'!$B$6*0.083*SQRT('Parametros'!$B$2)*(H471*I471)^2/(2*(H471+I471))/1000000</f>
        <v>4.30410823283988</v>
      </c>
      <c r="AU471" s="10" t="str">
        <f>IF(Q471&lt;=AT471,"DESPRECIABLE","DISEÑAR")</f>
        <v>DISEÑAR</v>
      </c>
      <c r="AV471" s="10">
        <f>IF(Q471&lt;=AT471,0,Q471*1000000/('Parametros'!$B$6*2*0.85*(H471-2*'Parametros'!$B$7)*(I471-2*'Parametros'!$B$7)*'Parametros'!$B$4))</f>
        <v>0.144307414323754</v>
      </c>
      <c r="AW471" s="10">
        <f>AV471*2*((H471-2*'Parametros'!$B$7)+(I471-2*'Parametros'!$B$7))*'Parametros'!$B$4/'Parametros'!$B$3</f>
        <v>170.28274890203</v>
      </c>
      <c r="AX471" s="17" t="n">
        <v>1</v>
      </c>
      <c r="AY471" s="10" t="str">
        <f>IF(AV471=0,"DESPRECIABLE",IF('Parametros'!$B$11/AP471&gt;=AV471,"CUMPLE","NO CUMPLE"))</f>
        <v>CUMPLE</v>
      </c>
      <c r="AZ471" s="10" t="str">
        <f>IF(AND(X471="CUMPLE",AE471="CUMPLE",AS471="CUMPLE",OR(AY471="CUMPLE",AY471="DESPRECIABLE")),IF(OR(F471&lt;&gt;H471,G471&lt;&gt;I471),"CUMPLE - REANALIZAR SAP","CUMPLE"),"NO CUMPLE")</f>
        <v>CUMPLE</v>
      </c>
    </row>
    <row r="472">
      <c r="A472" s="26" t="inlineStr">
        <is>
          <t>VR2</t>
        </is>
      </c>
      <c r="B472" s="26" t="inlineStr">
        <is>
          <t>967</t>
        </is>
      </c>
      <c r="C472" s="10" t="n">
        <v>1</v>
      </c>
      <c r="D472" s="10" t="n">
        <v>3.65308</v>
      </c>
      <c r="E472" s="10" t="n">
        <v>3.65308</v>
      </c>
      <c r="F472" s="10" t="n">
        <v>350</v>
      </c>
      <c r="G472" s="10" t="n">
        <v>400</v>
      </c>
      <c r="H472" s="15" t="n">
        <v>350</v>
      </c>
      <c r="I472" s="15" t="n">
        <v>400</v>
      </c>
      <c r="J472" s="16" t="n">
        <v>50.5688</v>
      </c>
      <c r="K472" s="10" t="inlineStr">
        <is>
          <t>967</t>
        </is>
      </c>
      <c r="L472" s="16" t="n">
        <v>24.2828</v>
      </c>
      <c r="M472" s="10" t="inlineStr">
        <is>
          <t>967</t>
        </is>
      </c>
      <c r="N472" s="16" t="n">
        <v>51.696</v>
      </c>
      <c r="O472" s="16" t="n">
        <v>93.117</v>
      </c>
      <c r="P472" s="10" t="inlineStr">
        <is>
          <t>967</t>
        </is>
      </c>
      <c r="Q472" s="16" t="n">
        <v>7.2558</v>
      </c>
      <c r="R472" s="10">
        <f>MAX(MAX(1.4/'Parametros'!$B$3,0.25*SQRT('Parametros'!$B$2)/'Parametros'!$B$3)*H472*U472,(0.85*'Parametros'!$B$2/'Parametros'!$B$3)*(1-SQRT(1-2*(J472*1000000/('Parametros'!$B$5*H472*U472^2))/(0.85*'Parametros'!$B$2)))*H472*U472)</f>
        <v>402.461863824236</v>
      </c>
      <c r="S472" s="17" t="n">
        <v>3</v>
      </c>
      <c r="T472" s="18" t="n">
        <v>1</v>
      </c>
      <c r="U472" s="10">
        <f>IF(T472=1,I472-('Parametros'!$B$7+'Parametros'!$B$9+'Parametros'!$B$12/2),I472-(ROUNDUP(S472/2,0)*('Parametros'!$B$7+'Parametros'!$B$9+'Parametros'!$B$12/2)+ROUNDDOWN(S472/2,0)*('Parametros'!$B$7+'Parametros'!$B$9+'Parametros'!$B$12/2+'Parametros'!$B$12+'Parametros'!$B$10))/S472)</f>
        <v>342.55</v>
      </c>
      <c r="V472" s="10">
        <f>S472*'Parametros'!$B$8</f>
        <v>597</v>
      </c>
      <c r="W472" s="10">
        <f>'Parametros'!$B$5*V472*'Parametros'!$B$3*(U472-(V472*'Parametros'!$B$3/(0.85*'Parametros'!$B$2*H472))/2)/1000000</f>
        <v>73.905520182353</v>
      </c>
      <c r="X472" s="10" t="str">
        <f>IF(W472&gt;=J472,"CUMPLE","NO CUMPLE")</f>
        <v>CUMPLE</v>
      </c>
      <c r="Y472" s="10">
        <f>MAX(MAX(1.4/'Parametros'!$B$3,0.25*SQRT('Parametros'!$B$2)/'Parametros'!$B$3)*H472*AB472,(0.85*'Parametros'!$B$2/'Parametros'!$B$3)*(1-SQRT(1-2*(L472*1000000/('Parametros'!$B$5*H472*AB472^2))/(0.85*'Parametros'!$B$2)))*H472*AB472)</f>
        <v>399.641666666667</v>
      </c>
      <c r="Z472" s="17" t="n">
        <v>3</v>
      </c>
      <c r="AA472" s="18" t="n">
        <v>1</v>
      </c>
      <c r="AB472" s="10">
        <f>IF(AA472=1,I472-('Parametros'!$B$7+'Parametros'!$B$9+'Parametros'!$B$12/2),I472-(ROUNDUP(Z472/2,0)*('Parametros'!$B$7+'Parametros'!$B$9+'Parametros'!$B$12/2)+ROUNDDOWN(Z472/2,0)*('Parametros'!$B$7+'Parametros'!$B$9+'Parametros'!$B$12/2+'Parametros'!$B$12+'Parametros'!$B$10))/Z472)</f>
        <v>342.55</v>
      </c>
      <c r="AC472" s="10">
        <f>Z472*'Parametros'!$B$8</f>
        <v>597</v>
      </c>
      <c r="AD472" s="10">
        <f>'Parametros'!$B$5*AC472*'Parametros'!$B$3*(AB472-(AC472*'Parametros'!$B$3/(0.85*'Parametros'!$B$2*H472))/2)/1000000</f>
        <v>73.905520182353</v>
      </c>
      <c r="AE472" s="10" t="str">
        <f>IF(AD472&gt;=L472,"CUMPLE","NO CUMPLE")</f>
        <v>CUMPLE</v>
      </c>
      <c r="AF472" s="10">
        <f>V472*1.25*'Parametros'!$B$3*(U472-(V472*1.25*'Parametros'!$B$3/(0.85*'Parametros'!$B$2*H472))/2)/1000000</f>
        <v>101.467261323529</v>
      </c>
      <c r="AG472" s="10">
        <f>AC472*1.25*'Parametros'!$B$3*(AB472-(AC472*1.25*'Parametros'!$B$3/(0.85*'Parametros'!$B$2*H472))/2)/1000000</f>
        <v>101.467261323529</v>
      </c>
      <c r="AH472" s="10">
        <f>N472+(AF472+AG472)/D472</f>
        <v>107.24762291739</v>
      </c>
      <c r="AI472" s="10">
        <f>MIN(O472,MAX(N472,AH472))</f>
        <v>93.117</v>
      </c>
      <c r="AJ472" s="10">
        <f>0.17*SQRT('Parametros'!$B$2)*H472*MIN(U472,AB472)/1000</f>
        <v>107.849951281016</v>
      </c>
      <c r="AK472" s="10">
        <f>MAX(AI472/'Parametros'!$B$6-AJ472,0)</f>
        <v>16.3060487189841</v>
      </c>
      <c r="AL472" s="10">
        <f>0.66*SQRT('Parametros'!$B$2)*H472*MIN(U472,AB472)/1000</f>
        <v>418.711575561591</v>
      </c>
      <c r="AM472" s="10" t="str">
        <f>IF(AK472&lt;=AL472,"CUMPLE","NO CUMPLE")</f>
        <v>CUMPLE</v>
      </c>
      <c r="AN472" s="15" t="inlineStr">
        <is>
          <t>Nº3 cerrado</t>
        </is>
      </c>
      <c r="AO472" s="17" t="n">
        <v>2</v>
      </c>
      <c r="AP472" s="10">
        <f>ROUNDDOWN(MIN(IF(AK472=0,1000000000,AO472*'Parametros'!$B$11*'Parametros'!$B$4*MIN(U472,AB472)/(AK472*1000)),IF(AV472=0,1000000000,'Parametros'!$B$11/AV472),MIN(U472,AB472)/4,8*'Parametros'!$B$12,24*'Parametros'!$B$9,300)/10,0)*10</f>
        <v>80</v>
      </c>
      <c r="AQ472" s="10">
        <f>ROUNDDOWN(MIN(IF(AK472=0,1000000000,AO472*'Parametros'!$B$11*'Parametros'!$B$4*MIN(U472,AB472)/(AK472*1000)),IF(AV472=0,1000000000,'Parametros'!$B$11/AV472),MIN(U472,AB472)/2,600)/10,0)*10</f>
        <v>170</v>
      </c>
      <c r="AR472" s="10">
        <f>'Parametros'!$B$6*(AJ472+AO472*'Parametros'!$B$11*'Parametros'!$B$4*MIN(U472,AB472)/AP472/1000)</f>
        <v>272.415732210762</v>
      </c>
      <c r="AS472" s="10" t="str">
        <f>IF(AND(AM472="CUMPLE",AR472&gt;=AI472),"CUMPLE","NO CUMPLE")</f>
        <v>CUMPLE</v>
      </c>
      <c r="AT472" s="10">
        <f>'Parametros'!$B$6*0.083*SQRT('Parametros'!$B$2)*(H472*I472)^2/(2*(H472+I472))/1000000</f>
        <v>4.30410823283988</v>
      </c>
      <c r="AU472" s="10" t="str">
        <f>IF(Q472&lt;=AT472,"DESPRECIABLE","DISEÑAR")</f>
        <v>DISEÑAR</v>
      </c>
      <c r="AV472" s="10">
        <f>IF(Q472&lt;=AT472,0,Q472*1000000/('Parametros'!$B$6*2*0.85*(H472-2*'Parametros'!$B$7)*(I472-2*'Parametros'!$B$7)*'Parametros'!$B$4))</f>
        <v>0.15682384064737</v>
      </c>
      <c r="AW472" s="10">
        <f>AV472*2*((H472-2*'Parametros'!$B$7)+(I472-2*'Parametros'!$B$7))*'Parametros'!$B$4/'Parametros'!$B$3</f>
        <v>185.052131963897</v>
      </c>
      <c r="AX472" s="17" t="n">
        <v>1</v>
      </c>
      <c r="AY472" s="10" t="str">
        <f>IF(AV472=0,"DESPRECIABLE",IF('Parametros'!$B$11/AP472&gt;=AV472,"CUMPLE","NO CUMPLE"))</f>
        <v>CUMPLE</v>
      </c>
      <c r="AZ472" s="10" t="str">
        <f>IF(AND(X472="CUMPLE",AE472="CUMPLE",AS472="CUMPLE",OR(AY472="CUMPLE",AY472="DESPRECIABLE")),IF(OR(F472&lt;&gt;H472,G472&lt;&gt;I472),"CUMPLE - REANALIZAR SAP","CUMPLE"),"NO CUMPLE")</f>
        <v>CUMPLE</v>
      </c>
    </row>
    <row r="473">
      <c r="A473" s="26" t="inlineStr">
        <is>
          <t>VR2</t>
        </is>
      </c>
      <c r="B473" s="26" t="inlineStr">
        <is>
          <t>968</t>
        </is>
      </c>
      <c r="C473" s="10" t="n">
        <v>1</v>
      </c>
      <c r="D473" s="10" t="n">
        <v>2.6</v>
      </c>
      <c r="E473" s="10" t="n">
        <v>2.6</v>
      </c>
      <c r="F473" s="10" t="n">
        <v>350</v>
      </c>
      <c r="G473" s="10" t="n">
        <v>400</v>
      </c>
      <c r="H473" s="15" t="n">
        <v>350</v>
      </c>
      <c r="I473" s="15" t="n">
        <v>400</v>
      </c>
      <c r="J473" s="16" t="n">
        <v>45.7737</v>
      </c>
      <c r="K473" s="10" t="inlineStr">
        <is>
          <t>968</t>
        </is>
      </c>
      <c r="L473" s="16" t="n">
        <v>12.0302</v>
      </c>
      <c r="M473" s="10" t="inlineStr">
        <is>
          <t>968</t>
        </is>
      </c>
      <c r="N473" s="16" t="n">
        <v>46.886</v>
      </c>
      <c r="O473" s="16" t="n">
        <v>90.227</v>
      </c>
      <c r="P473" s="10" t="inlineStr">
        <is>
          <t>968</t>
        </is>
      </c>
      <c r="Q473" s="16" t="n">
        <v>1.545</v>
      </c>
      <c r="R473" s="10">
        <f>MAX(MAX(1.4/'Parametros'!$B$3,0.25*SQRT('Parametros'!$B$2)/'Parametros'!$B$3)*H473*U473,(0.85*'Parametros'!$B$2/'Parametros'!$B$3)*(1-SQRT(1-2*(J473*1000000/('Parametros'!$B$5*H473*U473^2))/(0.85*'Parametros'!$B$2)))*H473*U473)</f>
        <v>399.641666666667</v>
      </c>
      <c r="S473" s="17" t="n">
        <v>3</v>
      </c>
      <c r="T473" s="18" t="n">
        <v>1</v>
      </c>
      <c r="U473" s="10">
        <f>IF(T473=1,I473-('Parametros'!$B$7+'Parametros'!$B$9+'Parametros'!$B$12/2),I473-(ROUNDUP(S473/2,0)*('Parametros'!$B$7+'Parametros'!$B$9+'Parametros'!$B$12/2)+ROUNDDOWN(S473/2,0)*('Parametros'!$B$7+'Parametros'!$B$9+'Parametros'!$B$12/2+'Parametros'!$B$12+'Parametros'!$B$10))/S473)</f>
        <v>342.55</v>
      </c>
      <c r="V473" s="10">
        <f>S473*'Parametros'!$B$8</f>
        <v>597</v>
      </c>
      <c r="W473" s="10">
        <f>'Parametros'!$B$5*V473*'Parametros'!$B$3*(U473-(V473*'Parametros'!$B$3/(0.85*'Parametros'!$B$2*H473))/2)/1000000</f>
        <v>73.905520182353</v>
      </c>
      <c r="X473" s="10" t="str">
        <f>IF(W473&gt;=J473,"CUMPLE","NO CUMPLE")</f>
        <v>CUMPLE</v>
      </c>
      <c r="Y473" s="10">
        <f>MAX(MAX(1.4/'Parametros'!$B$3,0.25*SQRT('Parametros'!$B$2)/'Parametros'!$B$3)*H473*AB473,(0.85*'Parametros'!$B$2/'Parametros'!$B$3)*(1-SQRT(1-2*(L473*1000000/('Parametros'!$B$5*H473*AB473^2))/(0.85*'Parametros'!$B$2)))*H473*AB473)</f>
        <v>399.641666666667</v>
      </c>
      <c r="Z473" s="17" t="n">
        <v>3</v>
      </c>
      <c r="AA473" s="18" t="n">
        <v>1</v>
      </c>
      <c r="AB473" s="10">
        <f>IF(AA473=1,I473-('Parametros'!$B$7+'Parametros'!$B$9+'Parametros'!$B$12/2),I473-(ROUNDUP(Z473/2,0)*('Parametros'!$B$7+'Parametros'!$B$9+'Parametros'!$B$12/2)+ROUNDDOWN(Z473/2,0)*('Parametros'!$B$7+'Parametros'!$B$9+'Parametros'!$B$12/2+'Parametros'!$B$12+'Parametros'!$B$10))/Z473)</f>
        <v>342.55</v>
      </c>
      <c r="AC473" s="10">
        <f>Z473*'Parametros'!$B$8</f>
        <v>597</v>
      </c>
      <c r="AD473" s="10">
        <f>'Parametros'!$B$5*AC473*'Parametros'!$B$3*(AB473-(AC473*'Parametros'!$B$3/(0.85*'Parametros'!$B$2*H473))/2)/1000000</f>
        <v>73.905520182353</v>
      </c>
      <c r="AE473" s="10" t="str">
        <f>IF(AD473&gt;=L473,"CUMPLE","NO CUMPLE")</f>
        <v>CUMPLE</v>
      </c>
      <c r="AF473" s="10">
        <f>V473*1.25*'Parametros'!$B$3*(U473-(V473*1.25*'Parametros'!$B$3/(0.85*'Parametros'!$B$2*H473))/2)/1000000</f>
        <v>101.467261323529</v>
      </c>
      <c r="AG473" s="10">
        <f>AC473*1.25*'Parametros'!$B$3*(AB473-(AC473*1.25*'Parametros'!$B$3/(0.85*'Parametros'!$B$2*H473))/2)/1000000</f>
        <v>101.467261323529</v>
      </c>
      <c r="AH473" s="10">
        <f>N473+(AF473+AG473)/D473</f>
        <v>124.937739479638</v>
      </c>
      <c r="AI473" s="10">
        <f>MIN(O473,MAX(N473,AH473))</f>
        <v>90.227</v>
      </c>
      <c r="AJ473" s="10">
        <f>0.17*SQRT('Parametros'!$B$2)*H473*MIN(U473,AB473)/1000</f>
        <v>107.849951281016</v>
      </c>
      <c r="AK473" s="10">
        <f>MAX(AI473/'Parametros'!$B$6-AJ473,0)</f>
        <v>12.4527153856508</v>
      </c>
      <c r="AL473" s="10">
        <f>0.66*SQRT('Parametros'!$B$2)*H473*MIN(U473,AB473)/1000</f>
        <v>418.711575561591</v>
      </c>
      <c r="AM473" s="10" t="str">
        <f>IF(AK473&lt;=AL473,"CUMPLE","NO CUMPLE")</f>
        <v>CUMPLE</v>
      </c>
      <c r="AN473" s="15" t="inlineStr">
        <is>
          <t>Nº3 cerrado</t>
        </is>
      </c>
      <c r="AO473" s="17" t="n">
        <v>2</v>
      </c>
      <c r="AP473" s="10">
        <f>ROUNDDOWN(MIN(IF(AK473=0,1000000000,AO473*'Parametros'!$B$11*'Parametros'!$B$4*MIN(U473,AB473)/(AK473*1000)),IF(AV473=0,1000000000,'Parametros'!$B$11/AV473),MIN(U473,AB473)/4,8*'Parametros'!$B$12,24*'Parametros'!$B$9,300)/10,0)*10</f>
        <v>80</v>
      </c>
      <c r="AQ473" s="10">
        <f>ROUNDDOWN(MIN(IF(AK473=0,1000000000,AO473*'Parametros'!$B$11*'Parametros'!$B$4*MIN(U473,AB473)/(AK473*1000)),IF(AV473=0,1000000000,'Parametros'!$B$11/AV473),MIN(U473,AB473)/2,600)/10,0)*10</f>
        <v>170</v>
      </c>
      <c r="AR473" s="10">
        <f>'Parametros'!$B$6*(AJ473+AO473*'Parametros'!$B$11*'Parametros'!$B$4*MIN(U473,AB473)/AP473/1000)</f>
        <v>272.415732210762</v>
      </c>
      <c r="AS473" s="10" t="str">
        <f>IF(AND(AM473="CUMPLE",AR473&gt;=AI473),"CUMPLE","NO CUMPLE")</f>
        <v>CUMPLE</v>
      </c>
      <c r="AT473" s="10">
        <f>'Parametros'!$B$6*0.083*SQRT('Parametros'!$B$2)*(H473*I473)^2/(2*(H473+I473))/1000000</f>
        <v>4.30410823283988</v>
      </c>
      <c r="AU473" s="10" t="str">
        <f>IF(Q473&lt;=AT473,"DESPRECIABLE","DISEÑAR")</f>
        <v>DESPRECIABLE</v>
      </c>
      <c r="AV473" s="10">
        <f>IF(Q473&lt;=AT473,0,Q473*1000000/('Parametros'!$B$6*2*0.85*(H473-2*'Parametros'!$B$7)*(I473-2*'Parametros'!$B$7)*'Parametros'!$B$4))</f>
        <v>0</v>
      </c>
      <c r="AW473" s="10">
        <f>AV473*2*((H473-2*'Parametros'!$B$7)+(I473-2*'Parametros'!$B$7))*'Parametros'!$B$4/'Parametros'!$B$3</f>
        <v>0</v>
      </c>
      <c r="AX473" s="17" t="n">
        <v>0</v>
      </c>
      <c r="AY473" s="10" t="str">
        <f>IF(AV473=0,"DESPRECIABLE",IF('Parametros'!$B$11/AP473&gt;=AV473,"CUMPLE","NO CUMPLE"))</f>
        <v>DESPRECIABLE</v>
      </c>
      <c r="AZ473" s="10" t="str">
        <f>IF(AND(X473="CUMPLE",AE473="CUMPLE",AS473="CUMPLE",OR(AY473="CUMPLE",AY473="DESPRECIABLE")),IF(OR(F473&lt;&gt;H473,G473&lt;&gt;I473),"CUMPLE - REANALIZAR SAP","CUMPLE"),"NO CUMPLE")</f>
        <v>CUMPLE</v>
      </c>
    </row>
    <row r="474">
      <c r="A474" s="26" t="inlineStr">
        <is>
          <t>VR2</t>
        </is>
      </c>
      <c r="B474" s="26" t="inlineStr">
        <is>
          <t>979</t>
        </is>
      </c>
      <c r="C474" s="10" t="n">
        <v>1</v>
      </c>
      <c r="D474" s="10" t="n">
        <v>2.6</v>
      </c>
      <c r="E474" s="10" t="n">
        <v>2.6</v>
      </c>
      <c r="F474" s="10" t="n">
        <v>350</v>
      </c>
      <c r="G474" s="10" t="n">
        <v>400</v>
      </c>
      <c r="H474" s="15" t="n">
        <v>350</v>
      </c>
      <c r="I474" s="15" t="n">
        <v>400</v>
      </c>
      <c r="J474" s="16" t="n">
        <v>45.8526</v>
      </c>
      <c r="K474" s="10" t="inlineStr">
        <is>
          <t>979</t>
        </is>
      </c>
      <c r="L474" s="16" t="n">
        <v>12.0664</v>
      </c>
      <c r="M474" s="10" t="inlineStr">
        <is>
          <t>979</t>
        </is>
      </c>
      <c r="N474" s="16" t="n">
        <v>46.942</v>
      </c>
      <c r="O474" s="16" t="n">
        <v>90.285</v>
      </c>
      <c r="P474" s="10" t="inlineStr">
        <is>
          <t>979</t>
        </is>
      </c>
      <c r="Q474" s="16" t="n">
        <v>1.5456</v>
      </c>
      <c r="R474" s="10">
        <f>MAX(MAX(1.4/'Parametros'!$B$3,0.25*SQRT('Parametros'!$B$2)/'Parametros'!$B$3)*H474*U474,(0.85*'Parametros'!$B$2/'Parametros'!$B$3)*(1-SQRT(1-2*(J474*1000000/('Parametros'!$B$5*H474*U474^2))/(0.85*'Parametros'!$B$2)))*H474*U474)</f>
        <v>399.641666666667</v>
      </c>
      <c r="S474" s="17" t="n">
        <v>3</v>
      </c>
      <c r="T474" s="18" t="n">
        <v>1</v>
      </c>
      <c r="U474" s="10">
        <f>IF(T474=1,I474-('Parametros'!$B$7+'Parametros'!$B$9+'Parametros'!$B$12/2),I474-(ROUNDUP(S474/2,0)*('Parametros'!$B$7+'Parametros'!$B$9+'Parametros'!$B$12/2)+ROUNDDOWN(S474/2,0)*('Parametros'!$B$7+'Parametros'!$B$9+'Parametros'!$B$12/2+'Parametros'!$B$12+'Parametros'!$B$10))/S474)</f>
        <v>342.55</v>
      </c>
      <c r="V474" s="10">
        <f>S474*'Parametros'!$B$8</f>
        <v>597</v>
      </c>
      <c r="W474" s="10">
        <f>'Parametros'!$B$5*V474*'Parametros'!$B$3*(U474-(V474*'Parametros'!$B$3/(0.85*'Parametros'!$B$2*H474))/2)/1000000</f>
        <v>73.905520182353</v>
      </c>
      <c r="X474" s="10" t="str">
        <f>IF(W474&gt;=J474,"CUMPLE","NO CUMPLE")</f>
        <v>CUMPLE</v>
      </c>
      <c r="Y474" s="10">
        <f>MAX(MAX(1.4/'Parametros'!$B$3,0.25*SQRT('Parametros'!$B$2)/'Parametros'!$B$3)*H474*AB474,(0.85*'Parametros'!$B$2/'Parametros'!$B$3)*(1-SQRT(1-2*(L474*1000000/('Parametros'!$B$5*H474*AB474^2))/(0.85*'Parametros'!$B$2)))*H474*AB474)</f>
        <v>399.641666666667</v>
      </c>
      <c r="Z474" s="17" t="n">
        <v>3</v>
      </c>
      <c r="AA474" s="18" t="n">
        <v>1</v>
      </c>
      <c r="AB474" s="10">
        <f>IF(AA474=1,I474-('Parametros'!$B$7+'Parametros'!$B$9+'Parametros'!$B$12/2),I474-(ROUNDUP(Z474/2,0)*('Parametros'!$B$7+'Parametros'!$B$9+'Parametros'!$B$12/2)+ROUNDDOWN(Z474/2,0)*('Parametros'!$B$7+'Parametros'!$B$9+'Parametros'!$B$12/2+'Parametros'!$B$12+'Parametros'!$B$10))/Z474)</f>
        <v>342.55</v>
      </c>
      <c r="AC474" s="10">
        <f>Z474*'Parametros'!$B$8</f>
        <v>597</v>
      </c>
      <c r="AD474" s="10">
        <f>'Parametros'!$B$5*AC474*'Parametros'!$B$3*(AB474-(AC474*'Parametros'!$B$3/(0.85*'Parametros'!$B$2*H474))/2)/1000000</f>
        <v>73.905520182353</v>
      </c>
      <c r="AE474" s="10" t="str">
        <f>IF(AD474&gt;=L474,"CUMPLE","NO CUMPLE")</f>
        <v>CUMPLE</v>
      </c>
      <c r="AF474" s="10">
        <f>V474*1.25*'Parametros'!$B$3*(U474-(V474*1.25*'Parametros'!$B$3/(0.85*'Parametros'!$B$2*H474))/2)/1000000</f>
        <v>101.467261323529</v>
      </c>
      <c r="AG474" s="10">
        <f>AC474*1.25*'Parametros'!$B$3*(AB474-(AC474*1.25*'Parametros'!$B$3/(0.85*'Parametros'!$B$2*H474))/2)/1000000</f>
        <v>101.467261323529</v>
      </c>
      <c r="AH474" s="10">
        <f>N474+(AF474+AG474)/D474</f>
        <v>124.993739479638</v>
      </c>
      <c r="AI474" s="10">
        <f>MIN(O474,MAX(N474,AH474))</f>
        <v>90.285</v>
      </c>
      <c r="AJ474" s="10">
        <f>0.17*SQRT('Parametros'!$B$2)*H474*MIN(U474,AB474)/1000</f>
        <v>107.849951281016</v>
      </c>
      <c r="AK474" s="10">
        <f>MAX(AI474/'Parametros'!$B$6-AJ474,0)</f>
        <v>12.5300487189841</v>
      </c>
      <c r="AL474" s="10">
        <f>0.66*SQRT('Parametros'!$B$2)*H474*MIN(U474,AB474)/1000</f>
        <v>418.711575561591</v>
      </c>
      <c r="AM474" s="10" t="str">
        <f>IF(AK474&lt;=AL474,"CUMPLE","NO CUMPLE")</f>
        <v>CUMPLE</v>
      </c>
      <c r="AN474" s="15" t="inlineStr">
        <is>
          <t>Nº3 cerrado</t>
        </is>
      </c>
      <c r="AO474" s="17" t="n">
        <v>2</v>
      </c>
      <c r="AP474" s="10">
        <f>ROUNDDOWN(MIN(IF(AK474=0,1000000000,AO474*'Parametros'!$B$11*'Parametros'!$B$4*MIN(U474,AB474)/(AK474*1000)),IF(AV474=0,1000000000,'Parametros'!$B$11/AV474),MIN(U474,AB474)/4,8*'Parametros'!$B$12,24*'Parametros'!$B$9,300)/10,0)*10</f>
        <v>80</v>
      </c>
      <c r="AQ474" s="10">
        <f>ROUNDDOWN(MIN(IF(AK474=0,1000000000,AO474*'Parametros'!$B$11*'Parametros'!$B$4*MIN(U474,AB474)/(AK474*1000)),IF(AV474=0,1000000000,'Parametros'!$B$11/AV474),MIN(U474,AB474)/2,600)/10,0)*10</f>
        <v>170</v>
      </c>
      <c r="AR474" s="10">
        <f>'Parametros'!$B$6*(AJ474+AO474*'Parametros'!$B$11*'Parametros'!$B$4*MIN(U474,AB474)/AP474/1000)</f>
        <v>272.415732210762</v>
      </c>
      <c r="AS474" s="10" t="str">
        <f>IF(AND(AM474="CUMPLE",AR474&gt;=AI474),"CUMPLE","NO CUMPLE")</f>
        <v>CUMPLE</v>
      </c>
      <c r="AT474" s="10">
        <f>'Parametros'!$B$6*0.083*SQRT('Parametros'!$B$2)*(H474*I474)^2/(2*(H474+I474))/1000000</f>
        <v>4.30410823283988</v>
      </c>
      <c r="AU474" s="10" t="str">
        <f>IF(Q474&lt;=AT474,"DESPRECIABLE","DISEÑAR")</f>
        <v>DESPRECIABLE</v>
      </c>
      <c r="AV474" s="10">
        <f>IF(Q474&lt;=AT474,0,Q474*1000000/('Parametros'!$B$6*2*0.85*(H474-2*'Parametros'!$B$7)*(I474-2*'Parametros'!$B$7)*'Parametros'!$B$4))</f>
        <v>0</v>
      </c>
      <c r="AW474" s="10">
        <f>AV474*2*((H474-2*'Parametros'!$B$7)+(I474-2*'Parametros'!$B$7))*'Parametros'!$B$4/'Parametros'!$B$3</f>
        <v>0</v>
      </c>
      <c r="AX474" s="17" t="n">
        <v>0</v>
      </c>
      <c r="AY474" s="10" t="str">
        <f>IF(AV474=0,"DESPRECIABLE",IF('Parametros'!$B$11/AP474&gt;=AV474,"CUMPLE","NO CUMPLE"))</f>
        <v>DESPRECIABLE</v>
      </c>
      <c r="AZ474" s="10" t="str">
        <f>IF(AND(X474="CUMPLE",AE474="CUMPLE",AS474="CUMPLE",OR(AY474="CUMPLE",AY474="DESPRECIABLE")),IF(OR(F474&lt;&gt;H474,G474&lt;&gt;I474),"CUMPLE - REANALIZAR SAP","CUMPLE"),"NO CUMPLE")</f>
        <v>CUMPLE</v>
      </c>
    </row>
    <row r="475">
      <c r="A475" s="26" t="inlineStr">
        <is>
          <t>VR2</t>
        </is>
      </c>
      <c r="B475" s="26" t="inlineStr">
        <is>
          <t>980</t>
        </is>
      </c>
      <c r="C475" s="10" t="n">
        <v>1</v>
      </c>
      <c r="D475" s="10" t="n">
        <v>3.65308</v>
      </c>
      <c r="E475" s="10" t="n">
        <v>3.65308</v>
      </c>
      <c r="F475" s="10" t="n">
        <v>350</v>
      </c>
      <c r="G475" s="10" t="n">
        <v>400</v>
      </c>
      <c r="H475" s="15" t="n">
        <v>350</v>
      </c>
      <c r="I475" s="15" t="n">
        <v>400</v>
      </c>
      <c r="J475" s="16" t="n">
        <v>50.4979</v>
      </c>
      <c r="K475" s="10" t="inlineStr">
        <is>
          <t>980</t>
        </is>
      </c>
      <c r="L475" s="16" t="n">
        <v>24.2408</v>
      </c>
      <c r="M475" s="10" t="inlineStr">
        <is>
          <t>980</t>
        </is>
      </c>
      <c r="N475" s="16" t="n">
        <v>51.665</v>
      </c>
      <c r="O475" s="16" t="n">
        <v>93.087</v>
      </c>
      <c r="P475" s="10" t="inlineStr">
        <is>
          <t>980</t>
        </is>
      </c>
      <c r="Q475" s="16" t="n">
        <v>7.2568</v>
      </c>
      <c r="R475" s="10">
        <f>MAX(MAX(1.4/'Parametros'!$B$3,0.25*SQRT('Parametros'!$B$2)/'Parametros'!$B$3)*H475*U475,(0.85*'Parametros'!$B$2/'Parametros'!$B$3)*(1-SQRT(1-2*(J475*1000000/('Parametros'!$B$5*H475*U475^2))/(0.85*'Parametros'!$B$2)))*H475*U475)</f>
        <v>401.879852791566</v>
      </c>
      <c r="S475" s="17" t="n">
        <v>3</v>
      </c>
      <c r="T475" s="18" t="n">
        <v>1</v>
      </c>
      <c r="U475" s="10">
        <f>IF(T475=1,I475-('Parametros'!$B$7+'Parametros'!$B$9+'Parametros'!$B$12/2),I475-(ROUNDUP(S475/2,0)*('Parametros'!$B$7+'Parametros'!$B$9+'Parametros'!$B$12/2)+ROUNDDOWN(S475/2,0)*('Parametros'!$B$7+'Parametros'!$B$9+'Parametros'!$B$12/2+'Parametros'!$B$12+'Parametros'!$B$10))/S475)</f>
        <v>342.55</v>
      </c>
      <c r="V475" s="10">
        <f>S475*'Parametros'!$B$8</f>
        <v>597</v>
      </c>
      <c r="W475" s="10">
        <f>'Parametros'!$B$5*V475*'Parametros'!$B$3*(U475-(V475*'Parametros'!$B$3/(0.85*'Parametros'!$B$2*H475))/2)/1000000</f>
        <v>73.905520182353</v>
      </c>
      <c r="X475" s="10" t="str">
        <f>IF(W475&gt;=J475,"CUMPLE","NO CUMPLE")</f>
        <v>CUMPLE</v>
      </c>
      <c r="Y475" s="10">
        <f>MAX(MAX(1.4/'Parametros'!$B$3,0.25*SQRT('Parametros'!$B$2)/'Parametros'!$B$3)*H475*AB475,(0.85*'Parametros'!$B$2/'Parametros'!$B$3)*(1-SQRT(1-2*(L475*1000000/('Parametros'!$B$5*H475*AB475^2))/(0.85*'Parametros'!$B$2)))*H475*AB475)</f>
        <v>399.641666666667</v>
      </c>
      <c r="Z475" s="17" t="n">
        <v>3</v>
      </c>
      <c r="AA475" s="18" t="n">
        <v>1</v>
      </c>
      <c r="AB475" s="10">
        <f>IF(AA475=1,I475-('Parametros'!$B$7+'Parametros'!$B$9+'Parametros'!$B$12/2),I475-(ROUNDUP(Z475/2,0)*('Parametros'!$B$7+'Parametros'!$B$9+'Parametros'!$B$12/2)+ROUNDDOWN(Z475/2,0)*('Parametros'!$B$7+'Parametros'!$B$9+'Parametros'!$B$12/2+'Parametros'!$B$12+'Parametros'!$B$10))/Z475)</f>
        <v>342.55</v>
      </c>
      <c r="AC475" s="10">
        <f>Z475*'Parametros'!$B$8</f>
        <v>597</v>
      </c>
      <c r="AD475" s="10">
        <f>'Parametros'!$B$5*AC475*'Parametros'!$B$3*(AB475-(AC475*'Parametros'!$B$3/(0.85*'Parametros'!$B$2*H475))/2)/1000000</f>
        <v>73.905520182353</v>
      </c>
      <c r="AE475" s="10" t="str">
        <f>IF(AD475&gt;=L475,"CUMPLE","NO CUMPLE")</f>
        <v>CUMPLE</v>
      </c>
      <c r="AF475" s="10">
        <f>V475*1.25*'Parametros'!$B$3*(U475-(V475*1.25*'Parametros'!$B$3/(0.85*'Parametros'!$B$2*H475))/2)/1000000</f>
        <v>101.467261323529</v>
      </c>
      <c r="AG475" s="10">
        <f>AC475*1.25*'Parametros'!$B$3*(AB475-(AC475*1.25*'Parametros'!$B$3/(0.85*'Parametros'!$B$2*H475))/2)/1000000</f>
        <v>101.467261323529</v>
      </c>
      <c r="AH475" s="10">
        <f>N475+(AF475+AG475)/D475</f>
        <v>107.21662291739</v>
      </c>
      <c r="AI475" s="10">
        <f>MIN(O475,MAX(N475,AH475))</f>
        <v>93.087</v>
      </c>
      <c r="AJ475" s="10">
        <f>0.17*SQRT('Parametros'!$B$2)*H475*MIN(U475,AB475)/1000</f>
        <v>107.849951281016</v>
      </c>
      <c r="AK475" s="10">
        <f>MAX(AI475/'Parametros'!$B$6-AJ475,0)</f>
        <v>16.2660487189841</v>
      </c>
      <c r="AL475" s="10">
        <f>0.66*SQRT('Parametros'!$B$2)*H475*MIN(U475,AB475)/1000</f>
        <v>418.711575561591</v>
      </c>
      <c r="AM475" s="10" t="str">
        <f>IF(AK475&lt;=AL475,"CUMPLE","NO CUMPLE")</f>
        <v>CUMPLE</v>
      </c>
      <c r="AN475" s="15" t="inlineStr">
        <is>
          <t>Nº3 cerrado</t>
        </is>
      </c>
      <c r="AO475" s="17" t="n">
        <v>2</v>
      </c>
      <c r="AP475" s="10">
        <f>ROUNDDOWN(MIN(IF(AK475=0,1000000000,AO475*'Parametros'!$B$11*'Parametros'!$B$4*MIN(U475,AB475)/(AK475*1000)),IF(AV475=0,1000000000,'Parametros'!$B$11/AV475),MIN(U475,AB475)/4,8*'Parametros'!$B$12,24*'Parametros'!$B$9,300)/10,0)*10</f>
        <v>80</v>
      </c>
      <c r="AQ475" s="10">
        <f>ROUNDDOWN(MIN(IF(AK475=0,1000000000,AO475*'Parametros'!$B$11*'Parametros'!$B$4*MIN(U475,AB475)/(AK475*1000)),IF(AV475=0,1000000000,'Parametros'!$B$11/AV475),MIN(U475,AB475)/2,600)/10,0)*10</f>
        <v>170</v>
      </c>
      <c r="AR475" s="10">
        <f>'Parametros'!$B$6*(AJ475+AO475*'Parametros'!$B$11*'Parametros'!$B$4*MIN(U475,AB475)/AP475/1000)</f>
        <v>272.415732210762</v>
      </c>
      <c r="AS475" s="10" t="str">
        <f>IF(AND(AM475="CUMPLE",AR475&gt;=AI475),"CUMPLE","NO CUMPLE")</f>
        <v>CUMPLE</v>
      </c>
      <c r="AT475" s="10">
        <f>'Parametros'!$B$6*0.083*SQRT('Parametros'!$B$2)*(H475*I475)^2/(2*(H475+I475))/1000000</f>
        <v>4.30410823283988</v>
      </c>
      <c r="AU475" s="10" t="str">
        <f>IF(Q475&lt;=AT475,"DESPRECIABLE","DISEÑAR")</f>
        <v>DISEÑAR</v>
      </c>
      <c r="AV475" s="10">
        <f>IF(Q475&lt;=AT475,0,Q475*1000000/('Parametros'!$B$6*2*0.85*(H475-2*'Parametros'!$B$7)*(I475-2*'Parametros'!$B$7)*'Parametros'!$B$4))</f>
        <v>0.156845454231075</v>
      </c>
      <c r="AW475" s="10">
        <f>AV475*2*((H475-2*'Parametros'!$B$7)+(I475-2*'Parametros'!$B$7))*'Parametros'!$B$4/'Parametros'!$B$3</f>
        <v>185.077635992669</v>
      </c>
      <c r="AX475" s="17" t="n">
        <v>1</v>
      </c>
      <c r="AY475" s="10" t="str">
        <f>IF(AV475=0,"DESPRECIABLE",IF('Parametros'!$B$11/AP475&gt;=AV475,"CUMPLE","NO CUMPLE"))</f>
        <v>CUMPLE</v>
      </c>
      <c r="AZ475" s="10" t="str">
        <f>IF(AND(X475="CUMPLE",AE475="CUMPLE",AS475="CUMPLE",OR(AY475="CUMPLE",AY475="DESPRECIABLE")),IF(OR(F475&lt;&gt;H475,G475&lt;&gt;I475),"CUMPLE - REANALIZAR SAP","CUMPLE"),"NO CUMPLE")</f>
        <v>CUMPLE</v>
      </c>
    </row>
    <row r="476">
      <c r="A476" s="26" t="inlineStr">
        <is>
          <t>VR2</t>
        </is>
      </c>
      <c r="B476" s="26" t="inlineStr">
        <is>
          <t>981</t>
        </is>
      </c>
      <c r="C476" s="10" t="n">
        <v>1</v>
      </c>
      <c r="D476" s="10" t="n">
        <v>2.6</v>
      </c>
      <c r="E476" s="10" t="n">
        <v>2.6</v>
      </c>
      <c r="F476" s="10" t="n">
        <v>350</v>
      </c>
      <c r="G476" s="10" t="n">
        <v>400</v>
      </c>
      <c r="H476" s="15" t="n">
        <v>350</v>
      </c>
      <c r="I476" s="15" t="n">
        <v>400</v>
      </c>
      <c r="J476" s="16" t="n">
        <v>42.5833</v>
      </c>
      <c r="K476" s="10" t="inlineStr">
        <is>
          <t>981</t>
        </is>
      </c>
      <c r="L476" s="16" t="n">
        <v>13.6876</v>
      </c>
      <c r="M476" s="10" t="inlineStr">
        <is>
          <t>981</t>
        </is>
      </c>
      <c r="N476" s="16" t="n">
        <v>53.797</v>
      </c>
      <c r="O476" s="16" t="n">
        <v>123.432</v>
      </c>
      <c r="P476" s="10" t="inlineStr">
        <is>
          <t>981</t>
        </is>
      </c>
      <c r="Q476" s="16" t="n">
        <v>6.6759</v>
      </c>
      <c r="R476" s="10">
        <f>MAX(MAX(1.4/'Parametros'!$B$3,0.25*SQRT('Parametros'!$B$2)/'Parametros'!$B$3)*H476*U476,(0.85*'Parametros'!$B$2/'Parametros'!$B$3)*(1-SQRT(1-2*(J476*1000000/('Parametros'!$B$5*H476*U476^2))/(0.85*'Parametros'!$B$2)))*H476*U476)</f>
        <v>399.641666666667</v>
      </c>
      <c r="S476" s="17" t="n">
        <v>3</v>
      </c>
      <c r="T476" s="18" t="n">
        <v>1</v>
      </c>
      <c r="U476" s="10">
        <f>IF(T476=1,I476-('Parametros'!$B$7+'Parametros'!$B$9+'Parametros'!$B$12/2),I476-(ROUNDUP(S476/2,0)*('Parametros'!$B$7+'Parametros'!$B$9+'Parametros'!$B$12/2)+ROUNDDOWN(S476/2,0)*('Parametros'!$B$7+'Parametros'!$B$9+'Parametros'!$B$12/2+'Parametros'!$B$12+'Parametros'!$B$10))/S476)</f>
        <v>342.55</v>
      </c>
      <c r="V476" s="10">
        <f>S476*'Parametros'!$B$8</f>
        <v>597</v>
      </c>
      <c r="W476" s="10">
        <f>'Parametros'!$B$5*V476*'Parametros'!$B$3*(U476-(V476*'Parametros'!$B$3/(0.85*'Parametros'!$B$2*H476))/2)/1000000</f>
        <v>73.905520182353</v>
      </c>
      <c r="X476" s="10" t="str">
        <f>IF(W476&gt;=J476,"CUMPLE","NO CUMPLE")</f>
        <v>CUMPLE</v>
      </c>
      <c r="Y476" s="10">
        <f>MAX(MAX(1.4/'Parametros'!$B$3,0.25*SQRT('Parametros'!$B$2)/'Parametros'!$B$3)*H476*AB476,(0.85*'Parametros'!$B$2/'Parametros'!$B$3)*(1-SQRT(1-2*(L476*1000000/('Parametros'!$B$5*H476*AB476^2))/(0.85*'Parametros'!$B$2)))*H476*AB476)</f>
        <v>399.641666666667</v>
      </c>
      <c r="Z476" s="17" t="n">
        <v>3</v>
      </c>
      <c r="AA476" s="18" t="n">
        <v>1</v>
      </c>
      <c r="AB476" s="10">
        <f>IF(AA476=1,I476-('Parametros'!$B$7+'Parametros'!$B$9+'Parametros'!$B$12/2),I476-(ROUNDUP(Z476/2,0)*('Parametros'!$B$7+'Parametros'!$B$9+'Parametros'!$B$12/2)+ROUNDDOWN(Z476/2,0)*('Parametros'!$B$7+'Parametros'!$B$9+'Parametros'!$B$12/2+'Parametros'!$B$12+'Parametros'!$B$10))/Z476)</f>
        <v>342.55</v>
      </c>
      <c r="AC476" s="10">
        <f>Z476*'Parametros'!$B$8</f>
        <v>597</v>
      </c>
      <c r="AD476" s="10">
        <f>'Parametros'!$B$5*AC476*'Parametros'!$B$3*(AB476-(AC476*'Parametros'!$B$3/(0.85*'Parametros'!$B$2*H476))/2)/1000000</f>
        <v>73.905520182353</v>
      </c>
      <c r="AE476" s="10" t="str">
        <f>IF(AD476&gt;=L476,"CUMPLE","NO CUMPLE")</f>
        <v>CUMPLE</v>
      </c>
      <c r="AF476" s="10">
        <f>V476*1.25*'Parametros'!$B$3*(U476-(V476*1.25*'Parametros'!$B$3/(0.85*'Parametros'!$B$2*H476))/2)/1000000</f>
        <v>101.467261323529</v>
      </c>
      <c r="AG476" s="10">
        <f>AC476*1.25*'Parametros'!$B$3*(AB476-(AC476*1.25*'Parametros'!$B$3/(0.85*'Parametros'!$B$2*H476))/2)/1000000</f>
        <v>101.467261323529</v>
      </c>
      <c r="AH476" s="10">
        <f>N476+(AF476+AG476)/D476</f>
        <v>131.848739479638</v>
      </c>
      <c r="AI476" s="10">
        <f>MIN(O476,MAX(N476,AH476))</f>
        <v>123.432</v>
      </c>
      <c r="AJ476" s="10">
        <f>0.17*SQRT('Parametros'!$B$2)*H476*MIN(U476,AB476)/1000</f>
        <v>107.849951281016</v>
      </c>
      <c r="AK476" s="10">
        <f>MAX(AI476/'Parametros'!$B$6-AJ476,0)</f>
        <v>56.7260487189841</v>
      </c>
      <c r="AL476" s="10">
        <f>0.66*SQRT('Parametros'!$B$2)*H476*MIN(U476,AB476)/1000</f>
        <v>418.711575561591</v>
      </c>
      <c r="AM476" s="10" t="str">
        <f>IF(AK476&lt;=AL476,"CUMPLE","NO CUMPLE")</f>
        <v>CUMPLE</v>
      </c>
      <c r="AN476" s="15" t="inlineStr">
        <is>
          <t>Nº3 cerrado</t>
        </is>
      </c>
      <c r="AO476" s="17" t="n">
        <v>2</v>
      </c>
      <c r="AP476" s="10">
        <f>ROUNDDOWN(MIN(IF(AK476=0,1000000000,AO476*'Parametros'!$B$11*'Parametros'!$B$4*MIN(U476,AB476)/(AK476*1000)),IF(AV476=0,1000000000,'Parametros'!$B$11/AV476),MIN(U476,AB476)/4,8*'Parametros'!$B$12,24*'Parametros'!$B$9,300)/10,0)*10</f>
        <v>80</v>
      </c>
      <c r="AQ476" s="10">
        <f>ROUNDDOWN(MIN(IF(AK476=0,1000000000,AO476*'Parametros'!$B$11*'Parametros'!$B$4*MIN(U476,AB476)/(AK476*1000)),IF(AV476=0,1000000000,'Parametros'!$B$11/AV476),MIN(U476,AB476)/2,600)/10,0)*10</f>
        <v>170</v>
      </c>
      <c r="AR476" s="10">
        <f>'Parametros'!$B$6*(AJ476+AO476*'Parametros'!$B$11*'Parametros'!$B$4*MIN(U476,AB476)/AP476/1000)</f>
        <v>272.415732210762</v>
      </c>
      <c r="AS476" s="10" t="str">
        <f>IF(AND(AM476="CUMPLE",AR476&gt;=AI476),"CUMPLE","NO CUMPLE")</f>
        <v>CUMPLE</v>
      </c>
      <c r="AT476" s="10">
        <f>'Parametros'!$B$6*0.083*SQRT('Parametros'!$B$2)*(H476*I476)^2/(2*(H476+I476))/1000000</f>
        <v>4.30410823283988</v>
      </c>
      <c r="AU476" s="10" t="str">
        <f>IF(Q476&lt;=AT476,"DESPRECIABLE","DISEÑAR")</f>
        <v>DISEÑAR</v>
      </c>
      <c r="AV476" s="10">
        <f>IF(Q476&lt;=AT476,0,Q476*1000000/('Parametros'!$B$6*2*0.85*(H476-2*'Parametros'!$B$7)*(I476-2*'Parametros'!$B$7)*'Parametros'!$B$4))</f>
        <v>0.14429012345679</v>
      </c>
      <c r="AW476" s="10">
        <f>AV476*2*((H476-2*'Parametros'!$B$7)+(I476-2*'Parametros'!$B$7))*'Parametros'!$B$4/'Parametros'!$B$3</f>
        <v>170.262345679012</v>
      </c>
      <c r="AX476" s="17" t="n">
        <v>1</v>
      </c>
      <c r="AY476" s="10" t="str">
        <f>IF(AV476=0,"DESPRECIABLE",IF('Parametros'!$B$11/AP476&gt;=AV476,"CUMPLE","NO CUMPLE"))</f>
        <v>CUMPLE</v>
      </c>
      <c r="AZ476" s="10" t="str">
        <f>IF(AND(X476="CUMPLE",AE476="CUMPLE",AS476="CUMPLE",OR(AY476="CUMPLE",AY476="DESPRECIABLE")),IF(OR(F476&lt;&gt;H476,G476&lt;&gt;I476),"CUMPLE - REANALIZAR SAP","CUMPLE"),"NO CUMPLE")</f>
        <v>CUMPLE</v>
      </c>
    </row>
    <row r="477">
      <c r="A477" s="26" t="inlineStr">
        <is>
          <t>VR2</t>
        </is>
      </c>
      <c r="B477" s="26" t="inlineStr">
        <is>
          <t>982</t>
        </is>
      </c>
      <c r="C477" s="10" t="n">
        <v>1</v>
      </c>
      <c r="D477" s="10" t="n">
        <v>2.5</v>
      </c>
      <c r="E477" s="10" t="n">
        <v>2.5</v>
      </c>
      <c r="F477" s="10" t="n">
        <v>350</v>
      </c>
      <c r="G477" s="10" t="n">
        <v>400</v>
      </c>
      <c r="H477" s="15" t="n">
        <v>350</v>
      </c>
      <c r="I477" s="15" t="n">
        <v>400</v>
      </c>
      <c r="J477" s="16" t="n">
        <v>39.1571</v>
      </c>
      <c r="K477" s="10" t="inlineStr">
        <is>
          <t>982</t>
        </is>
      </c>
      <c r="L477" s="16" t="n">
        <v>16.3859</v>
      </c>
      <c r="M477" s="10" t="inlineStr">
        <is>
          <t>982</t>
        </is>
      </c>
      <c r="N477" s="16" t="n">
        <v>46.089</v>
      </c>
      <c r="O477" s="16" t="n">
        <v>101.304</v>
      </c>
      <c r="P477" s="10" t="inlineStr">
        <is>
          <t>982</t>
        </is>
      </c>
      <c r="Q477" s="16" t="n">
        <v>1.5929</v>
      </c>
      <c r="R477" s="10">
        <f>MAX(MAX(1.4/'Parametros'!$B$3,0.25*SQRT('Parametros'!$B$2)/'Parametros'!$B$3)*H477*U477,(0.85*'Parametros'!$B$2/'Parametros'!$B$3)*(1-SQRT(1-2*(J477*1000000/('Parametros'!$B$5*H477*U477^2))/(0.85*'Parametros'!$B$2)))*H477*U477)</f>
        <v>399.641666666667</v>
      </c>
      <c r="S477" s="17" t="n">
        <v>3</v>
      </c>
      <c r="T477" s="18" t="n">
        <v>1</v>
      </c>
      <c r="U477" s="10">
        <f>IF(T477=1,I477-('Parametros'!$B$7+'Parametros'!$B$9+'Parametros'!$B$12/2),I477-(ROUNDUP(S477/2,0)*('Parametros'!$B$7+'Parametros'!$B$9+'Parametros'!$B$12/2)+ROUNDDOWN(S477/2,0)*('Parametros'!$B$7+'Parametros'!$B$9+'Parametros'!$B$12/2+'Parametros'!$B$12+'Parametros'!$B$10))/S477)</f>
        <v>342.55</v>
      </c>
      <c r="V477" s="10">
        <f>S477*'Parametros'!$B$8</f>
        <v>597</v>
      </c>
      <c r="W477" s="10">
        <f>'Parametros'!$B$5*V477*'Parametros'!$B$3*(U477-(V477*'Parametros'!$B$3/(0.85*'Parametros'!$B$2*H477))/2)/1000000</f>
        <v>73.905520182353</v>
      </c>
      <c r="X477" s="10" t="str">
        <f>IF(W477&gt;=J477,"CUMPLE","NO CUMPLE")</f>
        <v>CUMPLE</v>
      </c>
      <c r="Y477" s="10">
        <f>MAX(MAX(1.4/'Parametros'!$B$3,0.25*SQRT('Parametros'!$B$2)/'Parametros'!$B$3)*H477*AB477,(0.85*'Parametros'!$B$2/'Parametros'!$B$3)*(1-SQRT(1-2*(L477*1000000/('Parametros'!$B$5*H477*AB477^2))/(0.85*'Parametros'!$B$2)))*H477*AB477)</f>
        <v>399.641666666667</v>
      </c>
      <c r="Z477" s="17" t="n">
        <v>3</v>
      </c>
      <c r="AA477" s="18" t="n">
        <v>1</v>
      </c>
      <c r="AB477" s="10">
        <f>IF(AA477=1,I477-('Parametros'!$B$7+'Parametros'!$B$9+'Parametros'!$B$12/2),I477-(ROUNDUP(Z477/2,0)*('Parametros'!$B$7+'Parametros'!$B$9+'Parametros'!$B$12/2)+ROUNDDOWN(Z477/2,0)*('Parametros'!$B$7+'Parametros'!$B$9+'Parametros'!$B$12/2+'Parametros'!$B$12+'Parametros'!$B$10))/Z477)</f>
        <v>342.55</v>
      </c>
      <c r="AC477" s="10">
        <f>Z477*'Parametros'!$B$8</f>
        <v>597</v>
      </c>
      <c r="AD477" s="10">
        <f>'Parametros'!$B$5*AC477*'Parametros'!$B$3*(AB477-(AC477*'Parametros'!$B$3/(0.85*'Parametros'!$B$2*H477))/2)/1000000</f>
        <v>73.905520182353</v>
      </c>
      <c r="AE477" s="10" t="str">
        <f>IF(AD477&gt;=L477,"CUMPLE","NO CUMPLE")</f>
        <v>CUMPLE</v>
      </c>
      <c r="AF477" s="10">
        <f>V477*1.25*'Parametros'!$B$3*(U477-(V477*1.25*'Parametros'!$B$3/(0.85*'Parametros'!$B$2*H477))/2)/1000000</f>
        <v>101.467261323529</v>
      </c>
      <c r="AG477" s="10">
        <f>AC477*1.25*'Parametros'!$B$3*(AB477-(AC477*1.25*'Parametros'!$B$3/(0.85*'Parametros'!$B$2*H477))/2)/1000000</f>
        <v>101.467261323529</v>
      </c>
      <c r="AH477" s="10">
        <f>N477+(AF477+AG477)/D477</f>
        <v>127.262809058824</v>
      </c>
      <c r="AI477" s="10">
        <f>MIN(O477,MAX(N477,AH477))</f>
        <v>101.304</v>
      </c>
      <c r="AJ477" s="10">
        <f>0.17*SQRT('Parametros'!$B$2)*H477*MIN(U477,AB477)/1000</f>
        <v>107.849951281016</v>
      </c>
      <c r="AK477" s="10">
        <f>MAX(AI477/'Parametros'!$B$6-AJ477,0)</f>
        <v>27.2220487189841</v>
      </c>
      <c r="AL477" s="10">
        <f>0.66*SQRT('Parametros'!$B$2)*H477*MIN(U477,AB477)/1000</f>
        <v>418.711575561591</v>
      </c>
      <c r="AM477" s="10" t="str">
        <f>IF(AK477&lt;=AL477,"CUMPLE","NO CUMPLE")</f>
        <v>CUMPLE</v>
      </c>
      <c r="AN477" s="15" t="inlineStr">
        <is>
          <t>Nº3 cerrado</t>
        </is>
      </c>
      <c r="AO477" s="17" t="n">
        <v>2</v>
      </c>
      <c r="AP477" s="10">
        <f>ROUNDDOWN(MIN(IF(AK477=0,1000000000,AO477*'Parametros'!$B$11*'Parametros'!$B$4*MIN(U477,AB477)/(AK477*1000)),IF(AV477=0,1000000000,'Parametros'!$B$11/AV477),MIN(U477,AB477)/4,8*'Parametros'!$B$12,24*'Parametros'!$B$9,300)/10,0)*10</f>
        <v>80</v>
      </c>
      <c r="AQ477" s="10">
        <f>ROUNDDOWN(MIN(IF(AK477=0,1000000000,AO477*'Parametros'!$B$11*'Parametros'!$B$4*MIN(U477,AB477)/(AK477*1000)),IF(AV477=0,1000000000,'Parametros'!$B$11/AV477),MIN(U477,AB477)/2,600)/10,0)*10</f>
        <v>170</v>
      </c>
      <c r="AR477" s="10">
        <f>'Parametros'!$B$6*(AJ477+AO477*'Parametros'!$B$11*'Parametros'!$B$4*MIN(U477,AB477)/AP477/1000)</f>
        <v>272.415732210762</v>
      </c>
      <c r="AS477" s="10" t="str">
        <f>IF(AND(AM477="CUMPLE",AR477&gt;=AI477),"CUMPLE","NO CUMPLE")</f>
        <v>CUMPLE</v>
      </c>
      <c r="AT477" s="10">
        <f>'Parametros'!$B$6*0.083*SQRT('Parametros'!$B$2)*(H477*I477)^2/(2*(H477+I477))/1000000</f>
        <v>4.30410823283988</v>
      </c>
      <c r="AU477" s="10" t="str">
        <f>IF(Q477&lt;=AT477,"DESPRECIABLE","DISEÑAR")</f>
        <v>DESPRECIABLE</v>
      </c>
      <c r="AV477" s="10">
        <f>IF(Q477&lt;=AT477,0,Q477*1000000/('Parametros'!$B$6*2*0.85*(H477-2*'Parametros'!$B$7)*(I477-2*'Parametros'!$B$7)*'Parametros'!$B$4))</f>
        <v>0</v>
      </c>
      <c r="AW477" s="10">
        <f>AV477*2*((H477-2*'Parametros'!$B$7)+(I477-2*'Parametros'!$B$7))*'Parametros'!$B$4/'Parametros'!$B$3</f>
        <v>0</v>
      </c>
      <c r="AX477" s="17" t="n">
        <v>0</v>
      </c>
      <c r="AY477" s="10" t="str">
        <f>IF(AV477=0,"DESPRECIABLE",IF('Parametros'!$B$11/AP477&gt;=AV477,"CUMPLE","NO CUMPLE"))</f>
        <v>DESPRECIABLE</v>
      </c>
      <c r="AZ477" s="10" t="str">
        <f>IF(AND(X477="CUMPLE",AE477="CUMPLE",AS477="CUMPLE",OR(AY477="CUMPLE",AY477="DESPRECIABLE")),IF(OR(F477&lt;&gt;H477,G477&lt;&gt;I477),"CUMPLE - REANALIZAR SAP","CUMPLE"),"NO CUMPLE")</f>
        <v>CUMPLE</v>
      </c>
    </row>
    <row r="478">
      <c r="A478" s="26" t="inlineStr">
        <is>
          <t>VR2</t>
        </is>
      </c>
      <c r="B478" s="26" t="inlineStr">
        <is>
          <t>983</t>
        </is>
      </c>
      <c r="C478" s="10" t="n">
        <v>1</v>
      </c>
      <c r="D478" s="10" t="n">
        <v>4.17612</v>
      </c>
      <c r="E478" s="10" t="n">
        <v>4.17612</v>
      </c>
      <c r="F478" s="10" t="n">
        <v>350</v>
      </c>
      <c r="G478" s="10" t="n">
        <v>400</v>
      </c>
      <c r="H478" s="15" t="n">
        <v>350</v>
      </c>
      <c r="I478" s="15" t="n">
        <v>400</v>
      </c>
      <c r="J478" s="16" t="n">
        <v>55.312</v>
      </c>
      <c r="K478" s="10" t="inlineStr">
        <is>
          <t>983</t>
        </is>
      </c>
      <c r="L478" s="16" t="n">
        <v>22.6334</v>
      </c>
      <c r="M478" s="10" t="inlineStr">
        <is>
          <t>983</t>
        </is>
      </c>
      <c r="N478" s="16" t="n">
        <v>56.128</v>
      </c>
      <c r="O478" s="16" t="n">
        <v>100.807</v>
      </c>
      <c r="P478" s="10" t="inlineStr">
        <is>
          <t>983</t>
        </is>
      </c>
      <c r="Q478" s="16" t="n">
        <v>0.3878</v>
      </c>
      <c r="R478" s="10">
        <f>MAX(MAX(1.4/'Parametros'!$B$3,0.25*SQRT('Parametros'!$B$2)/'Parametros'!$B$3)*H478*U478,(0.85*'Parametros'!$B$2/'Parametros'!$B$3)*(1-SQRT(1-2*(J478*1000000/('Parametros'!$B$5*H478*U478^2))/(0.85*'Parametros'!$B$2)))*H478*U478)</f>
        <v>441.519431296261</v>
      </c>
      <c r="S478" s="17" t="n">
        <v>3</v>
      </c>
      <c r="T478" s="18" t="n">
        <v>1</v>
      </c>
      <c r="U478" s="10">
        <f>IF(T478=1,I478-('Parametros'!$B$7+'Parametros'!$B$9+'Parametros'!$B$12/2),I478-(ROUNDUP(S478/2,0)*('Parametros'!$B$7+'Parametros'!$B$9+'Parametros'!$B$12/2)+ROUNDDOWN(S478/2,0)*('Parametros'!$B$7+'Parametros'!$B$9+'Parametros'!$B$12/2+'Parametros'!$B$12+'Parametros'!$B$10))/S478)</f>
        <v>342.55</v>
      </c>
      <c r="V478" s="10">
        <f>S478*'Parametros'!$B$8</f>
        <v>597</v>
      </c>
      <c r="W478" s="10">
        <f>'Parametros'!$B$5*V478*'Parametros'!$B$3*(U478-(V478*'Parametros'!$B$3/(0.85*'Parametros'!$B$2*H478))/2)/1000000</f>
        <v>73.905520182353</v>
      </c>
      <c r="X478" s="10" t="str">
        <f>IF(W478&gt;=J478,"CUMPLE","NO CUMPLE")</f>
        <v>CUMPLE</v>
      </c>
      <c r="Y478" s="10">
        <f>MAX(MAX(1.4/'Parametros'!$B$3,0.25*SQRT('Parametros'!$B$2)/'Parametros'!$B$3)*H478*AB478,(0.85*'Parametros'!$B$2/'Parametros'!$B$3)*(1-SQRT(1-2*(L478*1000000/('Parametros'!$B$5*H478*AB478^2))/(0.85*'Parametros'!$B$2)))*H478*AB478)</f>
        <v>399.641666666667</v>
      </c>
      <c r="Z478" s="17" t="n">
        <v>3</v>
      </c>
      <c r="AA478" s="18" t="n">
        <v>1</v>
      </c>
      <c r="AB478" s="10">
        <f>IF(AA478=1,I478-('Parametros'!$B$7+'Parametros'!$B$9+'Parametros'!$B$12/2),I478-(ROUNDUP(Z478/2,0)*('Parametros'!$B$7+'Parametros'!$B$9+'Parametros'!$B$12/2)+ROUNDDOWN(Z478/2,0)*('Parametros'!$B$7+'Parametros'!$B$9+'Parametros'!$B$12/2+'Parametros'!$B$12+'Parametros'!$B$10))/Z478)</f>
        <v>342.55</v>
      </c>
      <c r="AC478" s="10">
        <f>Z478*'Parametros'!$B$8</f>
        <v>597</v>
      </c>
      <c r="AD478" s="10">
        <f>'Parametros'!$B$5*AC478*'Parametros'!$B$3*(AB478-(AC478*'Parametros'!$B$3/(0.85*'Parametros'!$B$2*H478))/2)/1000000</f>
        <v>73.905520182353</v>
      </c>
      <c r="AE478" s="10" t="str">
        <f>IF(AD478&gt;=L478,"CUMPLE","NO CUMPLE")</f>
        <v>CUMPLE</v>
      </c>
      <c r="AF478" s="10">
        <f>V478*1.25*'Parametros'!$B$3*(U478-(V478*1.25*'Parametros'!$B$3/(0.85*'Parametros'!$B$2*H478))/2)/1000000</f>
        <v>101.467261323529</v>
      </c>
      <c r="AG478" s="10">
        <f>AC478*1.25*'Parametros'!$B$3*(AB478-(AC478*1.25*'Parametros'!$B$3/(0.85*'Parametros'!$B$2*H478))/2)/1000000</f>
        <v>101.467261323529</v>
      </c>
      <c r="AH478" s="10">
        <f>N478+(AF478+AG478)/D478</f>
        <v>104.722035288033</v>
      </c>
      <c r="AI478" s="10">
        <f>MIN(O478,MAX(N478,AH478))</f>
        <v>100.807</v>
      </c>
      <c r="AJ478" s="10">
        <f>0.17*SQRT('Parametros'!$B$2)*H478*MIN(U478,AB478)/1000</f>
        <v>107.849951281016</v>
      </c>
      <c r="AK478" s="10">
        <f>MAX(AI478/'Parametros'!$B$6-AJ478,0)</f>
        <v>26.5593820523174</v>
      </c>
      <c r="AL478" s="10">
        <f>0.66*SQRT('Parametros'!$B$2)*H478*MIN(U478,AB478)/1000</f>
        <v>418.711575561591</v>
      </c>
      <c r="AM478" s="10" t="str">
        <f>IF(AK478&lt;=AL478,"CUMPLE","NO CUMPLE")</f>
        <v>CUMPLE</v>
      </c>
      <c r="AN478" s="15" t="inlineStr">
        <is>
          <t>Nº3 cerrado</t>
        </is>
      </c>
      <c r="AO478" s="17" t="n">
        <v>2</v>
      </c>
      <c r="AP478" s="10">
        <f>ROUNDDOWN(MIN(IF(AK478=0,1000000000,AO478*'Parametros'!$B$11*'Parametros'!$B$4*MIN(U478,AB478)/(AK478*1000)),IF(AV478=0,1000000000,'Parametros'!$B$11/AV478),MIN(U478,AB478)/4,8*'Parametros'!$B$12,24*'Parametros'!$B$9,300)/10,0)*10</f>
        <v>80</v>
      </c>
      <c r="AQ478" s="10">
        <f>ROUNDDOWN(MIN(IF(AK478=0,1000000000,AO478*'Parametros'!$B$11*'Parametros'!$B$4*MIN(U478,AB478)/(AK478*1000)),IF(AV478=0,1000000000,'Parametros'!$B$11/AV478),MIN(U478,AB478)/2,600)/10,0)*10</f>
        <v>170</v>
      </c>
      <c r="AR478" s="10">
        <f>'Parametros'!$B$6*(AJ478+AO478*'Parametros'!$B$11*'Parametros'!$B$4*MIN(U478,AB478)/AP478/1000)</f>
        <v>272.415732210762</v>
      </c>
      <c r="AS478" s="10" t="str">
        <f>IF(AND(AM478="CUMPLE",AR478&gt;=AI478),"CUMPLE","NO CUMPLE")</f>
        <v>CUMPLE</v>
      </c>
      <c r="AT478" s="10">
        <f>'Parametros'!$B$6*0.083*SQRT('Parametros'!$B$2)*(H478*I478)^2/(2*(H478+I478))/1000000</f>
        <v>4.30410823283988</v>
      </c>
      <c r="AU478" s="10" t="str">
        <f>IF(Q478&lt;=AT478,"DESPRECIABLE","DISEÑAR")</f>
        <v>DESPRECIABLE</v>
      </c>
      <c r="AV478" s="10">
        <f>IF(Q478&lt;=AT478,0,Q478*1000000/('Parametros'!$B$6*2*0.85*(H478-2*'Parametros'!$B$7)*(I478-2*'Parametros'!$B$7)*'Parametros'!$B$4))</f>
        <v>0</v>
      </c>
      <c r="AW478" s="10">
        <f>AV478*2*((H478-2*'Parametros'!$B$7)+(I478-2*'Parametros'!$B$7))*'Parametros'!$B$4/'Parametros'!$B$3</f>
        <v>0</v>
      </c>
      <c r="AX478" s="17" t="n">
        <v>0</v>
      </c>
      <c r="AY478" s="10" t="str">
        <f>IF(AV478=0,"DESPRECIABLE",IF('Parametros'!$B$11/AP478&gt;=AV478,"CUMPLE","NO CUMPLE"))</f>
        <v>DESPRECIABLE</v>
      </c>
      <c r="AZ478" s="10" t="str">
        <f>IF(AND(X478="CUMPLE",AE478="CUMPLE",AS478="CUMPLE",OR(AY478="CUMPLE",AY478="DESPRECIABLE")),IF(OR(F478&lt;&gt;H478,G478&lt;&gt;I478),"CUMPLE - REANALIZAR SAP","CUMPLE"),"NO CUMPLE")</f>
        <v>CUMPLE</v>
      </c>
    </row>
    <row r="479">
      <c r="A479" s="26" t="inlineStr">
        <is>
          <t>VR2</t>
        </is>
      </c>
      <c r="B479" s="26" t="inlineStr">
        <is>
          <t>984</t>
        </is>
      </c>
      <c r="C479" s="10" t="n">
        <v>1</v>
      </c>
      <c r="D479" s="10" t="n">
        <v>2.7</v>
      </c>
      <c r="E479" s="10" t="n">
        <v>2.7</v>
      </c>
      <c r="F479" s="10" t="n">
        <v>350</v>
      </c>
      <c r="G479" s="10" t="n">
        <v>400</v>
      </c>
      <c r="H479" s="15" t="n">
        <v>350</v>
      </c>
      <c r="I479" s="15" t="n">
        <v>400</v>
      </c>
      <c r="J479" s="16" t="n">
        <v>45.3674</v>
      </c>
      <c r="K479" s="10" t="inlineStr">
        <is>
          <t>984</t>
        </is>
      </c>
      <c r="L479" s="16" t="n">
        <v>20.6793</v>
      </c>
      <c r="M479" s="10" t="inlineStr">
        <is>
          <t>984</t>
        </is>
      </c>
      <c r="N479" s="16" t="n">
        <v>51.743</v>
      </c>
      <c r="O479" s="16" t="n">
        <v>94.72799999999999</v>
      </c>
      <c r="P479" s="10" t="inlineStr">
        <is>
          <t>984</t>
        </is>
      </c>
      <c r="Q479" s="16" t="n">
        <v>1.2747</v>
      </c>
      <c r="R479" s="10">
        <f>MAX(MAX(1.4/'Parametros'!$B$3,0.25*SQRT('Parametros'!$B$2)/'Parametros'!$B$3)*H479*U479,(0.85*'Parametros'!$B$2/'Parametros'!$B$3)*(1-SQRT(1-2*(J479*1000000/('Parametros'!$B$5*H479*U479^2))/(0.85*'Parametros'!$B$2)))*H479*U479)</f>
        <v>399.641666666667</v>
      </c>
      <c r="S479" s="17" t="n">
        <v>3</v>
      </c>
      <c r="T479" s="18" t="n">
        <v>1</v>
      </c>
      <c r="U479" s="10">
        <f>IF(T479=1,I479-('Parametros'!$B$7+'Parametros'!$B$9+'Parametros'!$B$12/2),I479-(ROUNDUP(S479/2,0)*('Parametros'!$B$7+'Parametros'!$B$9+'Parametros'!$B$12/2)+ROUNDDOWN(S479/2,0)*('Parametros'!$B$7+'Parametros'!$B$9+'Parametros'!$B$12/2+'Parametros'!$B$12+'Parametros'!$B$10))/S479)</f>
        <v>342.55</v>
      </c>
      <c r="V479" s="10">
        <f>S479*'Parametros'!$B$8</f>
        <v>597</v>
      </c>
      <c r="W479" s="10">
        <f>'Parametros'!$B$5*V479*'Parametros'!$B$3*(U479-(V479*'Parametros'!$B$3/(0.85*'Parametros'!$B$2*H479))/2)/1000000</f>
        <v>73.905520182353</v>
      </c>
      <c r="X479" s="10" t="str">
        <f>IF(W479&gt;=J479,"CUMPLE","NO CUMPLE")</f>
        <v>CUMPLE</v>
      </c>
      <c r="Y479" s="10">
        <f>MAX(MAX(1.4/'Parametros'!$B$3,0.25*SQRT('Parametros'!$B$2)/'Parametros'!$B$3)*H479*AB479,(0.85*'Parametros'!$B$2/'Parametros'!$B$3)*(1-SQRT(1-2*(L479*1000000/('Parametros'!$B$5*H479*AB479^2))/(0.85*'Parametros'!$B$2)))*H479*AB479)</f>
        <v>399.641666666667</v>
      </c>
      <c r="Z479" s="17" t="n">
        <v>3</v>
      </c>
      <c r="AA479" s="18" t="n">
        <v>1</v>
      </c>
      <c r="AB479" s="10">
        <f>IF(AA479=1,I479-('Parametros'!$B$7+'Parametros'!$B$9+'Parametros'!$B$12/2),I479-(ROUNDUP(Z479/2,0)*('Parametros'!$B$7+'Parametros'!$B$9+'Parametros'!$B$12/2)+ROUNDDOWN(Z479/2,0)*('Parametros'!$B$7+'Parametros'!$B$9+'Parametros'!$B$12/2+'Parametros'!$B$12+'Parametros'!$B$10))/Z479)</f>
        <v>342.55</v>
      </c>
      <c r="AC479" s="10">
        <f>Z479*'Parametros'!$B$8</f>
        <v>597</v>
      </c>
      <c r="AD479" s="10">
        <f>'Parametros'!$B$5*AC479*'Parametros'!$B$3*(AB479-(AC479*'Parametros'!$B$3/(0.85*'Parametros'!$B$2*H479))/2)/1000000</f>
        <v>73.905520182353</v>
      </c>
      <c r="AE479" s="10" t="str">
        <f>IF(AD479&gt;=L479,"CUMPLE","NO CUMPLE")</f>
        <v>CUMPLE</v>
      </c>
      <c r="AF479" s="10">
        <f>V479*1.25*'Parametros'!$B$3*(U479-(V479*1.25*'Parametros'!$B$3/(0.85*'Parametros'!$B$2*H479))/2)/1000000</f>
        <v>101.467261323529</v>
      </c>
      <c r="AG479" s="10">
        <f>AC479*1.25*'Parametros'!$B$3*(AB479-(AC479*1.25*'Parametros'!$B$3/(0.85*'Parametros'!$B$2*H479))/2)/1000000</f>
        <v>101.467261323529</v>
      </c>
      <c r="AH479" s="10">
        <f>N479+(AF479+AG479)/D479</f>
        <v>126.903934313726</v>
      </c>
      <c r="AI479" s="10">
        <f>MIN(O479,MAX(N479,AH479))</f>
        <v>94.728</v>
      </c>
      <c r="AJ479" s="10">
        <f>0.17*SQRT('Parametros'!$B$2)*H479*MIN(U479,AB479)/1000</f>
        <v>107.849951281016</v>
      </c>
      <c r="AK479" s="10">
        <f>MAX(AI479/'Parametros'!$B$6-AJ479,0)</f>
        <v>18.4540487189841</v>
      </c>
      <c r="AL479" s="10">
        <f>0.66*SQRT('Parametros'!$B$2)*H479*MIN(U479,AB479)/1000</f>
        <v>418.711575561591</v>
      </c>
      <c r="AM479" s="10" t="str">
        <f>IF(AK479&lt;=AL479,"CUMPLE","NO CUMPLE")</f>
        <v>CUMPLE</v>
      </c>
      <c r="AN479" s="15" t="inlineStr">
        <is>
          <t>Nº3 cerrado</t>
        </is>
      </c>
      <c r="AO479" s="17" t="n">
        <v>2</v>
      </c>
      <c r="AP479" s="10">
        <f>ROUNDDOWN(MIN(IF(AK479=0,1000000000,AO479*'Parametros'!$B$11*'Parametros'!$B$4*MIN(U479,AB479)/(AK479*1000)),IF(AV479=0,1000000000,'Parametros'!$B$11/AV479),MIN(U479,AB479)/4,8*'Parametros'!$B$12,24*'Parametros'!$B$9,300)/10,0)*10</f>
        <v>80</v>
      </c>
      <c r="AQ479" s="10">
        <f>ROUNDDOWN(MIN(IF(AK479=0,1000000000,AO479*'Parametros'!$B$11*'Parametros'!$B$4*MIN(U479,AB479)/(AK479*1000)),IF(AV479=0,1000000000,'Parametros'!$B$11/AV479),MIN(U479,AB479)/2,600)/10,0)*10</f>
        <v>170</v>
      </c>
      <c r="AR479" s="10">
        <f>'Parametros'!$B$6*(AJ479+AO479*'Parametros'!$B$11*'Parametros'!$B$4*MIN(U479,AB479)/AP479/1000)</f>
        <v>272.415732210762</v>
      </c>
      <c r="AS479" s="10" t="str">
        <f>IF(AND(AM479="CUMPLE",AR479&gt;=AI479),"CUMPLE","NO CUMPLE")</f>
        <v>CUMPLE</v>
      </c>
      <c r="AT479" s="10">
        <f>'Parametros'!$B$6*0.083*SQRT('Parametros'!$B$2)*(H479*I479)^2/(2*(H479+I479))/1000000</f>
        <v>4.30410823283988</v>
      </c>
      <c r="AU479" s="10" t="str">
        <f>IF(Q479&lt;=AT479,"DESPRECIABLE","DISEÑAR")</f>
        <v>DESPRECIABLE</v>
      </c>
      <c r="AV479" s="10">
        <f>IF(Q479&lt;=AT479,0,Q479*1000000/('Parametros'!$B$6*2*0.85*(H479-2*'Parametros'!$B$7)*(I479-2*'Parametros'!$B$7)*'Parametros'!$B$4))</f>
        <v>0</v>
      </c>
      <c r="AW479" s="10">
        <f>AV479*2*((H479-2*'Parametros'!$B$7)+(I479-2*'Parametros'!$B$7))*'Parametros'!$B$4/'Parametros'!$B$3</f>
        <v>0</v>
      </c>
      <c r="AX479" s="17" t="n">
        <v>0</v>
      </c>
      <c r="AY479" s="10" t="str">
        <f>IF(AV479=0,"DESPRECIABLE",IF('Parametros'!$B$11/AP479&gt;=AV479,"CUMPLE","NO CUMPLE"))</f>
        <v>DESPRECIABLE</v>
      </c>
      <c r="AZ479" s="10" t="str">
        <f>IF(AND(X479="CUMPLE",AE479="CUMPLE",AS479="CUMPLE",OR(AY479="CUMPLE",AY479="DESPRECIABLE")),IF(OR(F479&lt;&gt;H479,G479&lt;&gt;I479),"CUMPLE - REANALIZAR SAP","CUMPLE"),"NO CUMPLE")</f>
        <v>CUMPLE</v>
      </c>
    </row>
    <row r="480">
      <c r="A480" s="26" t="inlineStr">
        <is>
          <t>VR2</t>
        </is>
      </c>
      <c r="B480" s="26" t="inlineStr">
        <is>
          <t>985</t>
        </is>
      </c>
      <c r="C480" s="10" t="n">
        <v>1</v>
      </c>
      <c r="D480" s="10" t="n">
        <v>2.8</v>
      </c>
      <c r="E480" s="10" t="n">
        <v>2.8</v>
      </c>
      <c r="F480" s="10" t="n">
        <v>350</v>
      </c>
      <c r="G480" s="10" t="n">
        <v>400</v>
      </c>
      <c r="H480" s="15" t="n">
        <v>350</v>
      </c>
      <c r="I480" s="15" t="n">
        <v>400</v>
      </c>
      <c r="J480" s="16" t="n">
        <v>46.7778</v>
      </c>
      <c r="K480" s="10" t="inlineStr">
        <is>
          <t>985</t>
        </is>
      </c>
      <c r="L480" s="16" t="n">
        <v>20.7964</v>
      </c>
      <c r="M480" s="10" t="inlineStr">
        <is>
          <t>985</t>
        </is>
      </c>
      <c r="N480" s="16" t="n">
        <v>52.239</v>
      </c>
      <c r="O480" s="16" t="n">
        <v>96.256</v>
      </c>
      <c r="P480" s="10" t="inlineStr">
        <is>
          <t>985</t>
        </is>
      </c>
      <c r="Q480" s="16" t="n">
        <v>1.2373</v>
      </c>
      <c r="R480" s="10">
        <f>MAX(MAX(1.4/'Parametros'!$B$3,0.25*SQRT('Parametros'!$B$2)/'Parametros'!$B$3)*H480*U480,(0.85*'Parametros'!$B$2/'Parametros'!$B$3)*(1-SQRT(1-2*(J480*1000000/('Parametros'!$B$5*H480*U480^2))/(0.85*'Parametros'!$B$2)))*H480*U480)</f>
        <v>399.641666666667</v>
      </c>
      <c r="S480" s="17" t="n">
        <v>3</v>
      </c>
      <c r="T480" s="18" t="n">
        <v>1</v>
      </c>
      <c r="U480" s="10">
        <f>IF(T480=1,I480-('Parametros'!$B$7+'Parametros'!$B$9+'Parametros'!$B$12/2),I480-(ROUNDUP(S480/2,0)*('Parametros'!$B$7+'Parametros'!$B$9+'Parametros'!$B$12/2)+ROUNDDOWN(S480/2,0)*('Parametros'!$B$7+'Parametros'!$B$9+'Parametros'!$B$12/2+'Parametros'!$B$12+'Parametros'!$B$10))/S480)</f>
        <v>342.55</v>
      </c>
      <c r="V480" s="10">
        <f>S480*'Parametros'!$B$8</f>
        <v>597</v>
      </c>
      <c r="W480" s="10">
        <f>'Parametros'!$B$5*V480*'Parametros'!$B$3*(U480-(V480*'Parametros'!$B$3/(0.85*'Parametros'!$B$2*H480))/2)/1000000</f>
        <v>73.905520182353</v>
      </c>
      <c r="X480" s="10" t="str">
        <f>IF(W480&gt;=J480,"CUMPLE","NO CUMPLE")</f>
        <v>CUMPLE</v>
      </c>
      <c r="Y480" s="10">
        <f>MAX(MAX(1.4/'Parametros'!$B$3,0.25*SQRT('Parametros'!$B$2)/'Parametros'!$B$3)*H480*AB480,(0.85*'Parametros'!$B$2/'Parametros'!$B$3)*(1-SQRT(1-2*(L480*1000000/('Parametros'!$B$5*H480*AB480^2))/(0.85*'Parametros'!$B$2)))*H480*AB480)</f>
        <v>399.641666666667</v>
      </c>
      <c r="Z480" s="17" t="n">
        <v>3</v>
      </c>
      <c r="AA480" s="18" t="n">
        <v>1</v>
      </c>
      <c r="AB480" s="10">
        <f>IF(AA480=1,I480-('Parametros'!$B$7+'Parametros'!$B$9+'Parametros'!$B$12/2),I480-(ROUNDUP(Z480/2,0)*('Parametros'!$B$7+'Parametros'!$B$9+'Parametros'!$B$12/2)+ROUNDDOWN(Z480/2,0)*('Parametros'!$B$7+'Parametros'!$B$9+'Parametros'!$B$12/2+'Parametros'!$B$12+'Parametros'!$B$10))/Z480)</f>
        <v>342.55</v>
      </c>
      <c r="AC480" s="10">
        <f>Z480*'Parametros'!$B$8</f>
        <v>597</v>
      </c>
      <c r="AD480" s="10">
        <f>'Parametros'!$B$5*AC480*'Parametros'!$B$3*(AB480-(AC480*'Parametros'!$B$3/(0.85*'Parametros'!$B$2*H480))/2)/1000000</f>
        <v>73.905520182353</v>
      </c>
      <c r="AE480" s="10" t="str">
        <f>IF(AD480&gt;=L480,"CUMPLE","NO CUMPLE")</f>
        <v>CUMPLE</v>
      </c>
      <c r="AF480" s="10">
        <f>V480*1.25*'Parametros'!$B$3*(U480-(V480*1.25*'Parametros'!$B$3/(0.85*'Parametros'!$B$2*H480))/2)/1000000</f>
        <v>101.467261323529</v>
      </c>
      <c r="AG480" s="10">
        <f>AC480*1.25*'Parametros'!$B$3*(AB480-(AC480*1.25*'Parametros'!$B$3/(0.85*'Parametros'!$B$2*H480))/2)/1000000</f>
        <v>101.467261323529</v>
      </c>
      <c r="AH480" s="10">
        <f>N480+(AF480+AG480)/D480</f>
        <v>124.715615231092</v>
      </c>
      <c r="AI480" s="10">
        <f>MIN(O480,MAX(N480,AH480))</f>
        <v>96.256</v>
      </c>
      <c r="AJ480" s="10">
        <f>0.17*SQRT('Parametros'!$B$2)*H480*MIN(U480,AB480)/1000</f>
        <v>107.849951281016</v>
      </c>
      <c r="AK480" s="10">
        <f>MAX(AI480/'Parametros'!$B$6-AJ480,0)</f>
        <v>20.4913820523174</v>
      </c>
      <c r="AL480" s="10">
        <f>0.66*SQRT('Parametros'!$B$2)*H480*MIN(U480,AB480)/1000</f>
        <v>418.711575561591</v>
      </c>
      <c r="AM480" s="10" t="str">
        <f>IF(AK480&lt;=AL480,"CUMPLE","NO CUMPLE")</f>
        <v>CUMPLE</v>
      </c>
      <c r="AN480" s="15" t="inlineStr">
        <is>
          <t>Nº3 cerrado</t>
        </is>
      </c>
      <c r="AO480" s="17" t="n">
        <v>2</v>
      </c>
      <c r="AP480" s="10">
        <f>ROUNDDOWN(MIN(IF(AK480=0,1000000000,AO480*'Parametros'!$B$11*'Parametros'!$B$4*MIN(U480,AB480)/(AK480*1000)),IF(AV480=0,1000000000,'Parametros'!$B$11/AV480),MIN(U480,AB480)/4,8*'Parametros'!$B$12,24*'Parametros'!$B$9,300)/10,0)*10</f>
        <v>80</v>
      </c>
      <c r="AQ480" s="10">
        <f>ROUNDDOWN(MIN(IF(AK480=0,1000000000,AO480*'Parametros'!$B$11*'Parametros'!$B$4*MIN(U480,AB480)/(AK480*1000)),IF(AV480=0,1000000000,'Parametros'!$B$11/AV480),MIN(U480,AB480)/2,600)/10,0)*10</f>
        <v>170</v>
      </c>
      <c r="AR480" s="10">
        <f>'Parametros'!$B$6*(AJ480+AO480*'Parametros'!$B$11*'Parametros'!$B$4*MIN(U480,AB480)/AP480/1000)</f>
        <v>272.415732210762</v>
      </c>
      <c r="AS480" s="10" t="str">
        <f>IF(AND(AM480="CUMPLE",AR480&gt;=AI480),"CUMPLE","NO CUMPLE")</f>
        <v>CUMPLE</v>
      </c>
      <c r="AT480" s="10">
        <f>'Parametros'!$B$6*0.083*SQRT('Parametros'!$B$2)*(H480*I480)^2/(2*(H480+I480))/1000000</f>
        <v>4.30410823283988</v>
      </c>
      <c r="AU480" s="10" t="str">
        <f>IF(Q480&lt;=AT480,"DESPRECIABLE","DISEÑAR")</f>
        <v>DESPRECIABLE</v>
      </c>
      <c r="AV480" s="10">
        <f>IF(Q480&lt;=AT480,0,Q480*1000000/('Parametros'!$B$6*2*0.85*(H480-2*'Parametros'!$B$7)*(I480-2*'Parametros'!$B$7)*'Parametros'!$B$4))</f>
        <v>0</v>
      </c>
      <c r="AW480" s="10">
        <f>AV480*2*((H480-2*'Parametros'!$B$7)+(I480-2*'Parametros'!$B$7))*'Parametros'!$B$4/'Parametros'!$B$3</f>
        <v>0</v>
      </c>
      <c r="AX480" s="17" t="n">
        <v>0</v>
      </c>
      <c r="AY480" s="10" t="str">
        <f>IF(AV480=0,"DESPRECIABLE",IF('Parametros'!$B$11/AP480&gt;=AV480,"CUMPLE","NO CUMPLE"))</f>
        <v>DESPRECIABLE</v>
      </c>
      <c r="AZ480" s="10" t="str">
        <f>IF(AND(X480="CUMPLE",AE480="CUMPLE",AS480="CUMPLE",OR(AY480="CUMPLE",AY480="DESPRECIABLE")),IF(OR(F480&lt;&gt;H480,G480&lt;&gt;I480),"CUMPLE - REANALIZAR SAP","CUMPLE"),"NO CUMPLE")</f>
        <v>CUMPLE</v>
      </c>
    </row>
    <row r="481">
      <c r="A481" s="26" t="inlineStr">
        <is>
          <t>VR2</t>
        </is>
      </c>
      <c r="B481" s="26" t="inlineStr">
        <is>
          <t>986</t>
        </is>
      </c>
      <c r="C481" s="10" t="n">
        <v>1</v>
      </c>
      <c r="D481" s="10" t="n">
        <v>4.17612</v>
      </c>
      <c r="E481" s="10" t="n">
        <v>4.17612</v>
      </c>
      <c r="F481" s="10" t="n">
        <v>350</v>
      </c>
      <c r="G481" s="10" t="n">
        <v>400</v>
      </c>
      <c r="H481" s="15" t="n">
        <v>350</v>
      </c>
      <c r="I481" s="15" t="n">
        <v>400</v>
      </c>
      <c r="J481" s="16" t="n">
        <v>55.14</v>
      </c>
      <c r="K481" s="10" t="inlineStr">
        <is>
          <t>986</t>
        </is>
      </c>
      <c r="L481" s="16" t="n">
        <v>22.4021</v>
      </c>
      <c r="M481" s="10" t="inlineStr">
        <is>
          <t>986</t>
        </is>
      </c>
      <c r="N481" s="16" t="n">
        <v>55.983</v>
      </c>
      <c r="O481" s="16" t="n">
        <v>100.169</v>
      </c>
      <c r="P481" s="10" t="inlineStr">
        <is>
          <t>986</t>
        </is>
      </c>
      <c r="Q481" s="16" t="n">
        <v>0.3711</v>
      </c>
      <c r="R481" s="10">
        <f>MAX(MAX(1.4/'Parametros'!$B$3,0.25*SQRT('Parametros'!$B$2)/'Parametros'!$B$3)*H481*U481,(0.85*'Parametros'!$B$2/'Parametros'!$B$3)*(1-SQRT(1-2*(J481*1000000/('Parametros'!$B$5*H481*U481^2))/(0.85*'Parametros'!$B$2)))*H481*U481)</f>
        <v>440.098913352292</v>
      </c>
      <c r="S481" s="17" t="n">
        <v>3</v>
      </c>
      <c r="T481" s="18" t="n">
        <v>1</v>
      </c>
      <c r="U481" s="10">
        <f>IF(T481=1,I481-('Parametros'!$B$7+'Parametros'!$B$9+'Parametros'!$B$12/2),I481-(ROUNDUP(S481/2,0)*('Parametros'!$B$7+'Parametros'!$B$9+'Parametros'!$B$12/2)+ROUNDDOWN(S481/2,0)*('Parametros'!$B$7+'Parametros'!$B$9+'Parametros'!$B$12/2+'Parametros'!$B$12+'Parametros'!$B$10))/S481)</f>
        <v>342.55</v>
      </c>
      <c r="V481" s="10">
        <f>S481*'Parametros'!$B$8</f>
        <v>597</v>
      </c>
      <c r="W481" s="10">
        <f>'Parametros'!$B$5*V481*'Parametros'!$B$3*(U481-(V481*'Parametros'!$B$3/(0.85*'Parametros'!$B$2*H481))/2)/1000000</f>
        <v>73.905520182353</v>
      </c>
      <c r="X481" s="10" t="str">
        <f>IF(W481&gt;=J481,"CUMPLE","NO CUMPLE")</f>
        <v>CUMPLE</v>
      </c>
      <c r="Y481" s="10">
        <f>MAX(MAX(1.4/'Parametros'!$B$3,0.25*SQRT('Parametros'!$B$2)/'Parametros'!$B$3)*H481*AB481,(0.85*'Parametros'!$B$2/'Parametros'!$B$3)*(1-SQRT(1-2*(L481*1000000/('Parametros'!$B$5*H481*AB481^2))/(0.85*'Parametros'!$B$2)))*H481*AB481)</f>
        <v>399.641666666667</v>
      </c>
      <c r="Z481" s="17" t="n">
        <v>3</v>
      </c>
      <c r="AA481" s="18" t="n">
        <v>1</v>
      </c>
      <c r="AB481" s="10">
        <f>IF(AA481=1,I481-('Parametros'!$B$7+'Parametros'!$B$9+'Parametros'!$B$12/2),I481-(ROUNDUP(Z481/2,0)*('Parametros'!$B$7+'Parametros'!$B$9+'Parametros'!$B$12/2)+ROUNDDOWN(Z481/2,0)*('Parametros'!$B$7+'Parametros'!$B$9+'Parametros'!$B$12/2+'Parametros'!$B$12+'Parametros'!$B$10))/Z481)</f>
        <v>342.55</v>
      </c>
      <c r="AC481" s="10">
        <f>Z481*'Parametros'!$B$8</f>
        <v>597</v>
      </c>
      <c r="AD481" s="10">
        <f>'Parametros'!$B$5*AC481*'Parametros'!$B$3*(AB481-(AC481*'Parametros'!$B$3/(0.85*'Parametros'!$B$2*H481))/2)/1000000</f>
        <v>73.905520182353</v>
      </c>
      <c r="AE481" s="10" t="str">
        <f>IF(AD481&gt;=L481,"CUMPLE","NO CUMPLE")</f>
        <v>CUMPLE</v>
      </c>
      <c r="AF481" s="10">
        <f>V481*1.25*'Parametros'!$B$3*(U481-(V481*1.25*'Parametros'!$B$3/(0.85*'Parametros'!$B$2*H481))/2)/1000000</f>
        <v>101.467261323529</v>
      </c>
      <c r="AG481" s="10">
        <f>AC481*1.25*'Parametros'!$B$3*(AB481-(AC481*1.25*'Parametros'!$B$3/(0.85*'Parametros'!$B$2*H481))/2)/1000000</f>
        <v>101.467261323529</v>
      </c>
      <c r="AH481" s="10">
        <f>N481+(AF481+AG481)/D481</f>
        <v>104.577035288033</v>
      </c>
      <c r="AI481" s="10">
        <f>MIN(O481,MAX(N481,AH481))</f>
        <v>100.169</v>
      </c>
      <c r="AJ481" s="10">
        <f>0.17*SQRT('Parametros'!$B$2)*H481*MIN(U481,AB481)/1000</f>
        <v>107.849951281016</v>
      </c>
      <c r="AK481" s="10">
        <f>MAX(AI481/'Parametros'!$B$6-AJ481,0)</f>
        <v>25.7087153856507</v>
      </c>
      <c r="AL481" s="10">
        <f>0.66*SQRT('Parametros'!$B$2)*H481*MIN(U481,AB481)/1000</f>
        <v>418.711575561591</v>
      </c>
      <c r="AM481" s="10" t="str">
        <f>IF(AK481&lt;=AL481,"CUMPLE","NO CUMPLE")</f>
        <v>CUMPLE</v>
      </c>
      <c r="AN481" s="15" t="inlineStr">
        <is>
          <t>Nº3 cerrado</t>
        </is>
      </c>
      <c r="AO481" s="17" t="n">
        <v>2</v>
      </c>
      <c r="AP481" s="10">
        <f>ROUNDDOWN(MIN(IF(AK481=0,1000000000,AO481*'Parametros'!$B$11*'Parametros'!$B$4*MIN(U481,AB481)/(AK481*1000)),IF(AV481=0,1000000000,'Parametros'!$B$11/AV481),MIN(U481,AB481)/4,8*'Parametros'!$B$12,24*'Parametros'!$B$9,300)/10,0)*10</f>
        <v>80</v>
      </c>
      <c r="AQ481" s="10">
        <f>ROUNDDOWN(MIN(IF(AK481=0,1000000000,AO481*'Parametros'!$B$11*'Parametros'!$B$4*MIN(U481,AB481)/(AK481*1000)),IF(AV481=0,1000000000,'Parametros'!$B$11/AV481),MIN(U481,AB481)/2,600)/10,0)*10</f>
        <v>170</v>
      </c>
      <c r="AR481" s="10">
        <f>'Parametros'!$B$6*(AJ481+AO481*'Parametros'!$B$11*'Parametros'!$B$4*MIN(U481,AB481)/AP481/1000)</f>
        <v>272.415732210762</v>
      </c>
      <c r="AS481" s="10" t="str">
        <f>IF(AND(AM481="CUMPLE",AR481&gt;=AI481),"CUMPLE","NO CUMPLE")</f>
        <v>CUMPLE</v>
      </c>
      <c r="AT481" s="10">
        <f>'Parametros'!$B$6*0.083*SQRT('Parametros'!$B$2)*(H481*I481)^2/(2*(H481+I481))/1000000</f>
        <v>4.30410823283988</v>
      </c>
      <c r="AU481" s="10" t="str">
        <f>IF(Q481&lt;=AT481,"DESPRECIABLE","DISEÑAR")</f>
        <v>DESPRECIABLE</v>
      </c>
      <c r="AV481" s="10">
        <f>IF(Q481&lt;=AT481,0,Q481*1000000/('Parametros'!$B$6*2*0.85*(H481-2*'Parametros'!$B$7)*(I481-2*'Parametros'!$B$7)*'Parametros'!$B$4))</f>
        <v>0</v>
      </c>
      <c r="AW481" s="10">
        <f>AV481*2*((H481-2*'Parametros'!$B$7)+(I481-2*'Parametros'!$B$7))*'Parametros'!$B$4/'Parametros'!$B$3</f>
        <v>0</v>
      </c>
      <c r="AX481" s="17" t="n">
        <v>0</v>
      </c>
      <c r="AY481" s="10" t="str">
        <f>IF(AV481=0,"DESPRECIABLE",IF('Parametros'!$B$11/AP481&gt;=AV481,"CUMPLE","NO CUMPLE"))</f>
        <v>DESPRECIABLE</v>
      </c>
      <c r="AZ481" s="10" t="str">
        <f>IF(AND(X481="CUMPLE",AE481="CUMPLE",AS481="CUMPLE",OR(AY481="CUMPLE",AY481="DESPRECIABLE")),IF(OR(F481&lt;&gt;H481,G481&lt;&gt;I481),"CUMPLE - REANALIZAR SAP","CUMPLE"),"NO CUMPLE")</f>
        <v>CUMPLE</v>
      </c>
    </row>
    <row r="482">
      <c r="A482" s="26" t="inlineStr">
        <is>
          <t>VR2</t>
        </is>
      </c>
      <c r="B482" s="26" t="inlineStr">
        <is>
          <t>987</t>
        </is>
      </c>
      <c r="C482" s="10" t="n">
        <v>1</v>
      </c>
      <c r="D482" s="10" t="n">
        <v>2.5</v>
      </c>
      <c r="E482" s="10" t="n">
        <v>2.5</v>
      </c>
      <c r="F482" s="10" t="n">
        <v>350</v>
      </c>
      <c r="G482" s="10" t="n">
        <v>400</v>
      </c>
      <c r="H482" s="15" t="n">
        <v>350</v>
      </c>
      <c r="I482" s="15" t="n">
        <v>400</v>
      </c>
      <c r="J482" s="16" t="n">
        <v>39.0458</v>
      </c>
      <c r="K482" s="10" t="inlineStr">
        <is>
          <t>987</t>
        </is>
      </c>
      <c r="L482" s="16" t="n">
        <v>16.3474</v>
      </c>
      <c r="M482" s="10" t="inlineStr">
        <is>
          <t>987</t>
        </is>
      </c>
      <c r="N482" s="16" t="n">
        <v>46.007</v>
      </c>
      <c r="O482" s="16" t="n">
        <v>101.275</v>
      </c>
      <c r="P482" s="10" t="inlineStr">
        <is>
          <t>987</t>
        </is>
      </c>
      <c r="Q482" s="16" t="n">
        <v>1.5898</v>
      </c>
      <c r="R482" s="10">
        <f>MAX(MAX(1.4/'Parametros'!$B$3,0.25*SQRT('Parametros'!$B$2)/'Parametros'!$B$3)*H482*U482,(0.85*'Parametros'!$B$2/'Parametros'!$B$3)*(1-SQRT(1-2*(J482*1000000/('Parametros'!$B$5*H482*U482^2))/(0.85*'Parametros'!$B$2)))*H482*U482)</f>
        <v>399.641666666667</v>
      </c>
      <c r="S482" s="17" t="n">
        <v>3</v>
      </c>
      <c r="T482" s="18" t="n">
        <v>1</v>
      </c>
      <c r="U482" s="10">
        <f>IF(T482=1,I482-('Parametros'!$B$7+'Parametros'!$B$9+'Parametros'!$B$12/2),I482-(ROUNDUP(S482/2,0)*('Parametros'!$B$7+'Parametros'!$B$9+'Parametros'!$B$12/2)+ROUNDDOWN(S482/2,0)*('Parametros'!$B$7+'Parametros'!$B$9+'Parametros'!$B$12/2+'Parametros'!$B$12+'Parametros'!$B$10))/S482)</f>
        <v>342.55</v>
      </c>
      <c r="V482" s="10">
        <f>S482*'Parametros'!$B$8</f>
        <v>597</v>
      </c>
      <c r="W482" s="10">
        <f>'Parametros'!$B$5*V482*'Parametros'!$B$3*(U482-(V482*'Parametros'!$B$3/(0.85*'Parametros'!$B$2*H482))/2)/1000000</f>
        <v>73.905520182353</v>
      </c>
      <c r="X482" s="10" t="str">
        <f>IF(W482&gt;=J482,"CUMPLE","NO CUMPLE")</f>
        <v>CUMPLE</v>
      </c>
      <c r="Y482" s="10">
        <f>MAX(MAX(1.4/'Parametros'!$B$3,0.25*SQRT('Parametros'!$B$2)/'Parametros'!$B$3)*H482*AB482,(0.85*'Parametros'!$B$2/'Parametros'!$B$3)*(1-SQRT(1-2*(L482*1000000/('Parametros'!$B$5*H482*AB482^2))/(0.85*'Parametros'!$B$2)))*H482*AB482)</f>
        <v>399.641666666667</v>
      </c>
      <c r="Z482" s="17" t="n">
        <v>3</v>
      </c>
      <c r="AA482" s="18" t="n">
        <v>1</v>
      </c>
      <c r="AB482" s="10">
        <f>IF(AA482=1,I482-('Parametros'!$B$7+'Parametros'!$B$9+'Parametros'!$B$12/2),I482-(ROUNDUP(Z482/2,0)*('Parametros'!$B$7+'Parametros'!$B$9+'Parametros'!$B$12/2)+ROUNDDOWN(Z482/2,0)*('Parametros'!$B$7+'Parametros'!$B$9+'Parametros'!$B$12/2+'Parametros'!$B$12+'Parametros'!$B$10))/Z482)</f>
        <v>342.55</v>
      </c>
      <c r="AC482" s="10">
        <f>Z482*'Parametros'!$B$8</f>
        <v>597</v>
      </c>
      <c r="AD482" s="10">
        <f>'Parametros'!$B$5*AC482*'Parametros'!$B$3*(AB482-(AC482*'Parametros'!$B$3/(0.85*'Parametros'!$B$2*H482))/2)/1000000</f>
        <v>73.905520182353</v>
      </c>
      <c r="AE482" s="10" t="str">
        <f>IF(AD482&gt;=L482,"CUMPLE","NO CUMPLE")</f>
        <v>CUMPLE</v>
      </c>
      <c r="AF482" s="10">
        <f>V482*1.25*'Parametros'!$B$3*(U482-(V482*1.25*'Parametros'!$B$3/(0.85*'Parametros'!$B$2*H482))/2)/1000000</f>
        <v>101.467261323529</v>
      </c>
      <c r="AG482" s="10">
        <f>AC482*1.25*'Parametros'!$B$3*(AB482-(AC482*1.25*'Parametros'!$B$3/(0.85*'Parametros'!$B$2*H482))/2)/1000000</f>
        <v>101.467261323529</v>
      </c>
      <c r="AH482" s="10">
        <f>N482+(AF482+AG482)/D482</f>
        <v>127.180809058824</v>
      </c>
      <c r="AI482" s="10">
        <f>MIN(O482,MAX(N482,AH482))</f>
        <v>101.275</v>
      </c>
      <c r="AJ482" s="10">
        <f>0.17*SQRT('Parametros'!$B$2)*H482*MIN(U482,AB482)/1000</f>
        <v>107.849951281016</v>
      </c>
      <c r="AK482" s="10">
        <f>MAX(AI482/'Parametros'!$B$6-AJ482,0)</f>
        <v>27.1833820523174</v>
      </c>
      <c r="AL482" s="10">
        <f>0.66*SQRT('Parametros'!$B$2)*H482*MIN(U482,AB482)/1000</f>
        <v>418.711575561591</v>
      </c>
      <c r="AM482" s="10" t="str">
        <f>IF(AK482&lt;=AL482,"CUMPLE","NO CUMPLE")</f>
        <v>CUMPLE</v>
      </c>
      <c r="AN482" s="15" t="inlineStr">
        <is>
          <t>Nº3 cerrado</t>
        </is>
      </c>
      <c r="AO482" s="17" t="n">
        <v>2</v>
      </c>
      <c r="AP482" s="10">
        <f>ROUNDDOWN(MIN(IF(AK482=0,1000000000,AO482*'Parametros'!$B$11*'Parametros'!$B$4*MIN(U482,AB482)/(AK482*1000)),IF(AV482=0,1000000000,'Parametros'!$B$11/AV482),MIN(U482,AB482)/4,8*'Parametros'!$B$12,24*'Parametros'!$B$9,300)/10,0)*10</f>
        <v>80</v>
      </c>
      <c r="AQ482" s="10">
        <f>ROUNDDOWN(MIN(IF(AK482=0,1000000000,AO482*'Parametros'!$B$11*'Parametros'!$B$4*MIN(U482,AB482)/(AK482*1000)),IF(AV482=0,1000000000,'Parametros'!$B$11/AV482),MIN(U482,AB482)/2,600)/10,0)*10</f>
        <v>170</v>
      </c>
      <c r="AR482" s="10">
        <f>'Parametros'!$B$6*(AJ482+AO482*'Parametros'!$B$11*'Parametros'!$B$4*MIN(U482,AB482)/AP482/1000)</f>
        <v>272.415732210762</v>
      </c>
      <c r="AS482" s="10" t="str">
        <f>IF(AND(AM482="CUMPLE",AR482&gt;=AI482),"CUMPLE","NO CUMPLE")</f>
        <v>CUMPLE</v>
      </c>
      <c r="AT482" s="10">
        <f>'Parametros'!$B$6*0.083*SQRT('Parametros'!$B$2)*(H482*I482)^2/(2*(H482+I482))/1000000</f>
        <v>4.30410823283988</v>
      </c>
      <c r="AU482" s="10" t="str">
        <f>IF(Q482&lt;=AT482,"DESPRECIABLE","DISEÑAR")</f>
        <v>DESPRECIABLE</v>
      </c>
      <c r="AV482" s="10">
        <f>IF(Q482&lt;=AT482,0,Q482*1000000/('Parametros'!$B$6*2*0.85*(H482-2*'Parametros'!$B$7)*(I482-2*'Parametros'!$B$7)*'Parametros'!$B$4))</f>
        <v>0</v>
      </c>
      <c r="AW482" s="10">
        <f>AV482*2*((H482-2*'Parametros'!$B$7)+(I482-2*'Parametros'!$B$7))*'Parametros'!$B$4/'Parametros'!$B$3</f>
        <v>0</v>
      </c>
      <c r="AX482" s="17" t="n">
        <v>0</v>
      </c>
      <c r="AY482" s="10" t="str">
        <f>IF(AV482=0,"DESPRECIABLE",IF('Parametros'!$B$11/AP482&gt;=AV482,"CUMPLE","NO CUMPLE"))</f>
        <v>DESPRECIABLE</v>
      </c>
      <c r="AZ482" s="10" t="str">
        <f>IF(AND(X482="CUMPLE",AE482="CUMPLE",AS482="CUMPLE",OR(AY482="CUMPLE",AY482="DESPRECIABLE")),IF(OR(F482&lt;&gt;H482,G482&lt;&gt;I482),"CUMPLE - REANALIZAR SAP","CUMPLE"),"NO CUMPLE")</f>
        <v>CUMPLE</v>
      </c>
    </row>
    <row r="483">
      <c r="A483" s="26" t="inlineStr">
        <is>
          <t>VR2</t>
        </is>
      </c>
      <c r="B483" s="26" t="inlineStr">
        <is>
          <t>988</t>
        </is>
      </c>
      <c r="C483" s="10" t="n">
        <v>1</v>
      </c>
      <c r="D483" s="10" t="n">
        <v>2.6</v>
      </c>
      <c r="E483" s="10" t="n">
        <v>2.6</v>
      </c>
      <c r="F483" s="10" t="n">
        <v>350</v>
      </c>
      <c r="G483" s="10" t="n">
        <v>400</v>
      </c>
      <c r="H483" s="15" t="n">
        <v>350</v>
      </c>
      <c r="I483" s="15" t="n">
        <v>400</v>
      </c>
      <c r="J483" s="16" t="n">
        <v>42.5679</v>
      </c>
      <c r="K483" s="10" t="inlineStr">
        <is>
          <t>988</t>
        </is>
      </c>
      <c r="L483" s="16" t="n">
        <v>13.7348</v>
      </c>
      <c r="M483" s="10" t="inlineStr">
        <is>
          <t>988</t>
        </is>
      </c>
      <c r="N483" s="16" t="n">
        <v>53.614</v>
      </c>
      <c r="O483" s="16" t="n">
        <v>123.224</v>
      </c>
      <c r="P483" s="10" t="inlineStr">
        <is>
          <t>988</t>
        </is>
      </c>
      <c r="Q483" s="16" t="n">
        <v>6.5761</v>
      </c>
      <c r="R483" s="10">
        <f>MAX(MAX(1.4/'Parametros'!$B$3,0.25*SQRT('Parametros'!$B$2)/'Parametros'!$B$3)*H483*U483,(0.85*'Parametros'!$B$2/'Parametros'!$B$3)*(1-SQRT(1-2*(J483*1000000/('Parametros'!$B$5*H483*U483^2))/(0.85*'Parametros'!$B$2)))*H483*U483)</f>
        <v>399.641666666667</v>
      </c>
      <c r="S483" s="17" t="n">
        <v>3</v>
      </c>
      <c r="T483" s="18" t="n">
        <v>1</v>
      </c>
      <c r="U483" s="10">
        <f>IF(T483=1,I483-('Parametros'!$B$7+'Parametros'!$B$9+'Parametros'!$B$12/2),I483-(ROUNDUP(S483/2,0)*('Parametros'!$B$7+'Parametros'!$B$9+'Parametros'!$B$12/2)+ROUNDDOWN(S483/2,0)*('Parametros'!$B$7+'Parametros'!$B$9+'Parametros'!$B$12/2+'Parametros'!$B$12+'Parametros'!$B$10))/S483)</f>
        <v>342.55</v>
      </c>
      <c r="V483" s="10">
        <f>S483*'Parametros'!$B$8</f>
        <v>597</v>
      </c>
      <c r="W483" s="10">
        <f>'Parametros'!$B$5*V483*'Parametros'!$B$3*(U483-(V483*'Parametros'!$B$3/(0.85*'Parametros'!$B$2*H483))/2)/1000000</f>
        <v>73.905520182353</v>
      </c>
      <c r="X483" s="10" t="str">
        <f>IF(W483&gt;=J483,"CUMPLE","NO CUMPLE")</f>
        <v>CUMPLE</v>
      </c>
      <c r="Y483" s="10">
        <f>MAX(MAX(1.4/'Parametros'!$B$3,0.25*SQRT('Parametros'!$B$2)/'Parametros'!$B$3)*H483*AB483,(0.85*'Parametros'!$B$2/'Parametros'!$B$3)*(1-SQRT(1-2*(L483*1000000/('Parametros'!$B$5*H483*AB483^2))/(0.85*'Parametros'!$B$2)))*H483*AB483)</f>
        <v>399.641666666667</v>
      </c>
      <c r="Z483" s="17" t="n">
        <v>3</v>
      </c>
      <c r="AA483" s="18" t="n">
        <v>1</v>
      </c>
      <c r="AB483" s="10">
        <f>IF(AA483=1,I483-('Parametros'!$B$7+'Parametros'!$B$9+'Parametros'!$B$12/2),I483-(ROUNDUP(Z483/2,0)*('Parametros'!$B$7+'Parametros'!$B$9+'Parametros'!$B$12/2)+ROUNDDOWN(Z483/2,0)*('Parametros'!$B$7+'Parametros'!$B$9+'Parametros'!$B$12/2+'Parametros'!$B$12+'Parametros'!$B$10))/Z483)</f>
        <v>342.55</v>
      </c>
      <c r="AC483" s="10">
        <f>Z483*'Parametros'!$B$8</f>
        <v>597</v>
      </c>
      <c r="AD483" s="10">
        <f>'Parametros'!$B$5*AC483*'Parametros'!$B$3*(AB483-(AC483*'Parametros'!$B$3/(0.85*'Parametros'!$B$2*H483))/2)/1000000</f>
        <v>73.905520182353</v>
      </c>
      <c r="AE483" s="10" t="str">
        <f>IF(AD483&gt;=L483,"CUMPLE","NO CUMPLE")</f>
        <v>CUMPLE</v>
      </c>
      <c r="AF483" s="10">
        <f>V483*1.25*'Parametros'!$B$3*(U483-(V483*1.25*'Parametros'!$B$3/(0.85*'Parametros'!$B$2*H483))/2)/1000000</f>
        <v>101.467261323529</v>
      </c>
      <c r="AG483" s="10">
        <f>AC483*1.25*'Parametros'!$B$3*(AB483-(AC483*1.25*'Parametros'!$B$3/(0.85*'Parametros'!$B$2*H483))/2)/1000000</f>
        <v>101.467261323529</v>
      </c>
      <c r="AH483" s="10">
        <f>N483+(AF483+AG483)/D483</f>
        <v>131.665739479638</v>
      </c>
      <c r="AI483" s="10">
        <f>MIN(O483,MAX(N483,AH483))</f>
        <v>123.224</v>
      </c>
      <c r="AJ483" s="10">
        <f>0.17*SQRT('Parametros'!$B$2)*H483*MIN(U483,AB483)/1000</f>
        <v>107.849951281016</v>
      </c>
      <c r="AK483" s="10">
        <f>MAX(AI483/'Parametros'!$B$6-AJ483,0)</f>
        <v>56.4487153856508</v>
      </c>
      <c r="AL483" s="10">
        <f>0.66*SQRT('Parametros'!$B$2)*H483*MIN(U483,AB483)/1000</f>
        <v>418.711575561591</v>
      </c>
      <c r="AM483" s="10" t="str">
        <f>IF(AK483&lt;=AL483,"CUMPLE","NO CUMPLE")</f>
        <v>CUMPLE</v>
      </c>
      <c r="AN483" s="15" t="inlineStr">
        <is>
          <t>Nº3 cerrado</t>
        </is>
      </c>
      <c r="AO483" s="17" t="n">
        <v>2</v>
      </c>
      <c r="AP483" s="10">
        <f>ROUNDDOWN(MIN(IF(AK483=0,1000000000,AO483*'Parametros'!$B$11*'Parametros'!$B$4*MIN(U483,AB483)/(AK483*1000)),IF(AV483=0,1000000000,'Parametros'!$B$11/AV483),MIN(U483,AB483)/4,8*'Parametros'!$B$12,24*'Parametros'!$B$9,300)/10,0)*10</f>
        <v>80</v>
      </c>
      <c r="AQ483" s="10">
        <f>ROUNDDOWN(MIN(IF(AK483=0,1000000000,AO483*'Parametros'!$B$11*'Parametros'!$B$4*MIN(U483,AB483)/(AK483*1000)),IF(AV483=0,1000000000,'Parametros'!$B$11/AV483),MIN(U483,AB483)/2,600)/10,0)*10</f>
        <v>170</v>
      </c>
      <c r="AR483" s="10">
        <f>'Parametros'!$B$6*(AJ483+AO483*'Parametros'!$B$11*'Parametros'!$B$4*MIN(U483,AB483)/AP483/1000)</f>
        <v>272.415732210762</v>
      </c>
      <c r="AS483" s="10" t="str">
        <f>IF(AND(AM483="CUMPLE",AR483&gt;=AI483),"CUMPLE","NO CUMPLE")</f>
        <v>CUMPLE</v>
      </c>
      <c r="AT483" s="10">
        <f>'Parametros'!$B$6*0.083*SQRT('Parametros'!$B$2)*(H483*I483)^2/(2*(H483+I483))/1000000</f>
        <v>4.30410823283988</v>
      </c>
      <c r="AU483" s="10" t="str">
        <f>IF(Q483&lt;=AT483,"DESPRECIABLE","DISEÑAR")</f>
        <v>DISEÑAR</v>
      </c>
      <c r="AV483" s="10">
        <f>IF(Q483&lt;=AT483,0,Q483*1000000/('Parametros'!$B$6*2*0.85*(H483-2*'Parametros'!$B$7)*(I483-2*'Parametros'!$B$7)*'Parametros'!$B$4))</f>
        <v>0.142133087803022</v>
      </c>
      <c r="AW483" s="10">
        <f>AV483*2*((H483-2*'Parametros'!$B$7)+(I483-2*'Parametros'!$B$7))*'Parametros'!$B$4/'Parametros'!$B$3</f>
        <v>167.717043607567</v>
      </c>
      <c r="AX483" s="17" t="n">
        <v>1</v>
      </c>
      <c r="AY483" s="10" t="str">
        <f>IF(AV483=0,"DESPRECIABLE",IF('Parametros'!$B$11/AP483&gt;=AV483,"CUMPLE","NO CUMPLE"))</f>
        <v>CUMPLE</v>
      </c>
      <c r="AZ483" s="10" t="str">
        <f>IF(AND(X483="CUMPLE",AE483="CUMPLE",AS483="CUMPLE",OR(AY483="CUMPLE",AY483="DESPRECIABLE")),IF(OR(F483&lt;&gt;H483,G483&lt;&gt;I483),"CUMPLE - REANALIZAR SAP","CUMPLE"),"NO CUMPLE")</f>
        <v>CUMPLE</v>
      </c>
    </row>
    <row r="484">
      <c r="A484" s="26" t="inlineStr">
        <is>
          <t>VR2</t>
        </is>
      </c>
      <c r="B484" s="26" t="inlineStr">
        <is>
          <t>989</t>
        </is>
      </c>
      <c r="C484" s="10" t="n">
        <v>1</v>
      </c>
      <c r="D484" s="10" t="n">
        <v>3.65308</v>
      </c>
      <c r="E484" s="10" t="n">
        <v>3.65308</v>
      </c>
      <c r="F484" s="10" t="n">
        <v>350</v>
      </c>
      <c r="G484" s="10" t="n">
        <v>400</v>
      </c>
      <c r="H484" s="15" t="n">
        <v>350</v>
      </c>
      <c r="I484" s="15" t="n">
        <v>400</v>
      </c>
      <c r="J484" s="16" t="n">
        <v>50.6363</v>
      </c>
      <c r="K484" s="10" t="inlineStr">
        <is>
          <t>989</t>
        </is>
      </c>
      <c r="L484" s="16" t="n">
        <v>24.3021</v>
      </c>
      <c r="M484" s="10" t="inlineStr">
        <is>
          <t>989</t>
        </is>
      </c>
      <c r="N484" s="16" t="n">
        <v>51.817</v>
      </c>
      <c r="O484" s="16" t="n">
        <v>93.221</v>
      </c>
      <c r="P484" s="10" t="inlineStr">
        <is>
          <t>989</t>
        </is>
      </c>
      <c r="Q484" s="16" t="n">
        <v>7.2389</v>
      </c>
      <c r="R484" s="10">
        <f>MAX(MAX(1.4/'Parametros'!$B$3,0.25*SQRT('Parametros'!$B$2)/'Parametros'!$B$3)*H484*U484,(0.85*'Parametros'!$B$2/'Parametros'!$B$3)*(1-SQRT(1-2*(J484*1000000/('Parametros'!$B$5*H484*U484^2))/(0.85*'Parametros'!$B$2)))*H484*U484)</f>
        <v>403.01601384719</v>
      </c>
      <c r="S484" s="17" t="n">
        <v>3</v>
      </c>
      <c r="T484" s="18" t="n">
        <v>1</v>
      </c>
      <c r="U484" s="10">
        <f>IF(T484=1,I484-('Parametros'!$B$7+'Parametros'!$B$9+'Parametros'!$B$12/2),I484-(ROUNDUP(S484/2,0)*('Parametros'!$B$7+'Parametros'!$B$9+'Parametros'!$B$12/2)+ROUNDDOWN(S484/2,0)*('Parametros'!$B$7+'Parametros'!$B$9+'Parametros'!$B$12/2+'Parametros'!$B$12+'Parametros'!$B$10))/S484)</f>
        <v>342.55</v>
      </c>
      <c r="V484" s="10">
        <f>S484*'Parametros'!$B$8</f>
        <v>597</v>
      </c>
      <c r="W484" s="10">
        <f>'Parametros'!$B$5*V484*'Parametros'!$B$3*(U484-(V484*'Parametros'!$B$3/(0.85*'Parametros'!$B$2*H484))/2)/1000000</f>
        <v>73.905520182353</v>
      </c>
      <c r="X484" s="10" t="str">
        <f>IF(W484&gt;=J484,"CUMPLE","NO CUMPLE")</f>
        <v>CUMPLE</v>
      </c>
      <c r="Y484" s="10">
        <f>MAX(MAX(1.4/'Parametros'!$B$3,0.25*SQRT('Parametros'!$B$2)/'Parametros'!$B$3)*H484*AB484,(0.85*'Parametros'!$B$2/'Parametros'!$B$3)*(1-SQRT(1-2*(L484*1000000/('Parametros'!$B$5*H484*AB484^2))/(0.85*'Parametros'!$B$2)))*H484*AB484)</f>
        <v>399.641666666667</v>
      </c>
      <c r="Z484" s="17" t="n">
        <v>3</v>
      </c>
      <c r="AA484" s="18" t="n">
        <v>1</v>
      </c>
      <c r="AB484" s="10">
        <f>IF(AA484=1,I484-('Parametros'!$B$7+'Parametros'!$B$9+'Parametros'!$B$12/2),I484-(ROUNDUP(Z484/2,0)*('Parametros'!$B$7+'Parametros'!$B$9+'Parametros'!$B$12/2)+ROUNDDOWN(Z484/2,0)*('Parametros'!$B$7+'Parametros'!$B$9+'Parametros'!$B$12/2+'Parametros'!$B$12+'Parametros'!$B$10))/Z484)</f>
        <v>342.55</v>
      </c>
      <c r="AC484" s="10">
        <f>Z484*'Parametros'!$B$8</f>
        <v>597</v>
      </c>
      <c r="AD484" s="10">
        <f>'Parametros'!$B$5*AC484*'Parametros'!$B$3*(AB484-(AC484*'Parametros'!$B$3/(0.85*'Parametros'!$B$2*H484))/2)/1000000</f>
        <v>73.905520182353</v>
      </c>
      <c r="AE484" s="10" t="str">
        <f>IF(AD484&gt;=L484,"CUMPLE","NO CUMPLE")</f>
        <v>CUMPLE</v>
      </c>
      <c r="AF484" s="10">
        <f>V484*1.25*'Parametros'!$B$3*(U484-(V484*1.25*'Parametros'!$B$3/(0.85*'Parametros'!$B$2*H484))/2)/1000000</f>
        <v>101.467261323529</v>
      </c>
      <c r="AG484" s="10">
        <f>AC484*1.25*'Parametros'!$B$3*(AB484-(AC484*1.25*'Parametros'!$B$3/(0.85*'Parametros'!$B$2*H484))/2)/1000000</f>
        <v>101.467261323529</v>
      </c>
      <c r="AH484" s="10">
        <f>N484+(AF484+AG484)/D484</f>
        <v>107.36862291739</v>
      </c>
      <c r="AI484" s="10">
        <f>MIN(O484,MAX(N484,AH484))</f>
        <v>93.221</v>
      </c>
      <c r="AJ484" s="10">
        <f>0.17*SQRT('Parametros'!$B$2)*H484*MIN(U484,AB484)/1000</f>
        <v>107.849951281016</v>
      </c>
      <c r="AK484" s="10">
        <f>MAX(AI484/'Parametros'!$B$6-AJ484,0)</f>
        <v>16.4447153856508</v>
      </c>
      <c r="AL484" s="10">
        <f>0.66*SQRT('Parametros'!$B$2)*H484*MIN(U484,AB484)/1000</f>
        <v>418.711575561591</v>
      </c>
      <c r="AM484" s="10" t="str">
        <f>IF(AK484&lt;=AL484,"CUMPLE","NO CUMPLE")</f>
        <v>CUMPLE</v>
      </c>
      <c r="AN484" s="15" t="inlineStr">
        <is>
          <t>Nº3 cerrado</t>
        </is>
      </c>
      <c r="AO484" s="17" t="n">
        <v>2</v>
      </c>
      <c r="AP484" s="10">
        <f>ROUNDDOWN(MIN(IF(AK484=0,1000000000,AO484*'Parametros'!$B$11*'Parametros'!$B$4*MIN(U484,AB484)/(AK484*1000)),IF(AV484=0,1000000000,'Parametros'!$B$11/AV484),MIN(U484,AB484)/4,8*'Parametros'!$B$12,24*'Parametros'!$B$9,300)/10,0)*10</f>
        <v>80</v>
      </c>
      <c r="AQ484" s="10">
        <f>ROUNDDOWN(MIN(IF(AK484=0,1000000000,AO484*'Parametros'!$B$11*'Parametros'!$B$4*MIN(U484,AB484)/(AK484*1000)),IF(AV484=0,1000000000,'Parametros'!$B$11/AV484),MIN(U484,AB484)/2,600)/10,0)*10</f>
        <v>170</v>
      </c>
      <c r="AR484" s="10">
        <f>'Parametros'!$B$6*(AJ484+AO484*'Parametros'!$B$11*'Parametros'!$B$4*MIN(U484,AB484)/AP484/1000)</f>
        <v>272.415732210762</v>
      </c>
      <c r="AS484" s="10" t="str">
        <f>IF(AND(AM484="CUMPLE",AR484&gt;=AI484),"CUMPLE","NO CUMPLE")</f>
        <v>CUMPLE</v>
      </c>
      <c r="AT484" s="10">
        <f>'Parametros'!$B$6*0.083*SQRT('Parametros'!$B$2)*(H484*I484)^2/(2*(H484+I484))/1000000</f>
        <v>4.30410823283988</v>
      </c>
      <c r="AU484" s="10" t="str">
        <f>IF(Q484&lt;=AT484,"DESPRECIABLE","DISEÑAR")</f>
        <v>DISEÑAR</v>
      </c>
      <c r="AV484" s="10">
        <f>IF(Q484&lt;=AT484,0,Q484*1000000/('Parametros'!$B$6*2*0.85*(H484-2*'Parametros'!$B$7)*(I484-2*'Parametros'!$B$7)*'Parametros'!$B$4))</f>
        <v>0.156458571082754</v>
      </c>
      <c r="AW484" s="10">
        <f>AV484*2*((H484-2*'Parametros'!$B$7)+(I484-2*'Parametros'!$B$7))*'Parametros'!$B$4/'Parametros'!$B$3</f>
        <v>184.62111387765</v>
      </c>
      <c r="AX484" s="17" t="n">
        <v>1</v>
      </c>
      <c r="AY484" s="10" t="str">
        <f>IF(AV484=0,"DESPRECIABLE",IF('Parametros'!$B$11/AP484&gt;=AV484,"CUMPLE","NO CUMPLE"))</f>
        <v>CUMPLE</v>
      </c>
      <c r="AZ484" s="10" t="str">
        <f>IF(AND(X484="CUMPLE",AE484="CUMPLE",AS484="CUMPLE",OR(AY484="CUMPLE",AY484="DESPRECIABLE")),IF(OR(F484&lt;&gt;H484,G484&lt;&gt;I484),"CUMPLE - REANALIZAR SAP","CUMPLE"),"NO CUMPLE")</f>
        <v>CUMPLE</v>
      </c>
    </row>
    <row r="485">
      <c r="A485" s="26" t="inlineStr">
        <is>
          <t>VR2</t>
        </is>
      </c>
      <c r="B485" s="26" t="inlineStr">
        <is>
          <t>990</t>
        </is>
      </c>
      <c r="C485" s="10" t="n">
        <v>1</v>
      </c>
      <c r="D485" s="10" t="n">
        <v>2.6</v>
      </c>
      <c r="E485" s="10" t="n">
        <v>2.6</v>
      </c>
      <c r="F485" s="10" t="n">
        <v>350</v>
      </c>
      <c r="G485" s="10" t="n">
        <v>400</v>
      </c>
      <c r="H485" s="15" t="n">
        <v>350</v>
      </c>
      <c r="I485" s="15" t="n">
        <v>400</v>
      </c>
      <c r="J485" s="16" t="n">
        <v>45.7718</v>
      </c>
      <c r="K485" s="10" t="inlineStr">
        <is>
          <t>990</t>
        </is>
      </c>
      <c r="L485" s="16" t="n">
        <v>12.0345</v>
      </c>
      <c r="M485" s="10" t="inlineStr">
        <is>
          <t>990</t>
        </is>
      </c>
      <c r="N485" s="16" t="n">
        <v>46.889</v>
      </c>
      <c r="O485" s="16" t="n">
        <v>90.23099999999999</v>
      </c>
      <c r="P485" s="10" t="inlineStr">
        <is>
          <t>990</t>
        </is>
      </c>
      <c r="Q485" s="16" t="n">
        <v>1.5447</v>
      </c>
      <c r="R485" s="10">
        <f>MAX(MAX(1.4/'Parametros'!$B$3,0.25*SQRT('Parametros'!$B$2)/'Parametros'!$B$3)*H485*U485,(0.85*'Parametros'!$B$2/'Parametros'!$B$3)*(1-SQRT(1-2*(J485*1000000/('Parametros'!$B$5*H485*U485^2))/(0.85*'Parametros'!$B$2)))*H485*U485)</f>
        <v>399.641666666667</v>
      </c>
      <c r="S485" s="17" t="n">
        <v>3</v>
      </c>
      <c r="T485" s="18" t="n">
        <v>1</v>
      </c>
      <c r="U485" s="10">
        <f>IF(T485=1,I485-('Parametros'!$B$7+'Parametros'!$B$9+'Parametros'!$B$12/2),I485-(ROUNDUP(S485/2,0)*('Parametros'!$B$7+'Parametros'!$B$9+'Parametros'!$B$12/2)+ROUNDDOWN(S485/2,0)*('Parametros'!$B$7+'Parametros'!$B$9+'Parametros'!$B$12/2+'Parametros'!$B$12+'Parametros'!$B$10))/S485)</f>
        <v>342.55</v>
      </c>
      <c r="V485" s="10">
        <f>S485*'Parametros'!$B$8</f>
        <v>597</v>
      </c>
      <c r="W485" s="10">
        <f>'Parametros'!$B$5*V485*'Parametros'!$B$3*(U485-(V485*'Parametros'!$B$3/(0.85*'Parametros'!$B$2*H485))/2)/1000000</f>
        <v>73.905520182353</v>
      </c>
      <c r="X485" s="10" t="str">
        <f>IF(W485&gt;=J485,"CUMPLE","NO CUMPLE")</f>
        <v>CUMPLE</v>
      </c>
      <c r="Y485" s="10">
        <f>MAX(MAX(1.4/'Parametros'!$B$3,0.25*SQRT('Parametros'!$B$2)/'Parametros'!$B$3)*H485*AB485,(0.85*'Parametros'!$B$2/'Parametros'!$B$3)*(1-SQRT(1-2*(L485*1000000/('Parametros'!$B$5*H485*AB485^2))/(0.85*'Parametros'!$B$2)))*H485*AB485)</f>
        <v>399.641666666667</v>
      </c>
      <c r="Z485" s="17" t="n">
        <v>3</v>
      </c>
      <c r="AA485" s="18" t="n">
        <v>1</v>
      </c>
      <c r="AB485" s="10">
        <f>IF(AA485=1,I485-('Parametros'!$B$7+'Parametros'!$B$9+'Parametros'!$B$12/2),I485-(ROUNDUP(Z485/2,0)*('Parametros'!$B$7+'Parametros'!$B$9+'Parametros'!$B$12/2)+ROUNDDOWN(Z485/2,0)*('Parametros'!$B$7+'Parametros'!$B$9+'Parametros'!$B$12/2+'Parametros'!$B$12+'Parametros'!$B$10))/Z485)</f>
        <v>342.55</v>
      </c>
      <c r="AC485" s="10">
        <f>Z485*'Parametros'!$B$8</f>
        <v>597</v>
      </c>
      <c r="AD485" s="10">
        <f>'Parametros'!$B$5*AC485*'Parametros'!$B$3*(AB485-(AC485*'Parametros'!$B$3/(0.85*'Parametros'!$B$2*H485))/2)/1000000</f>
        <v>73.905520182353</v>
      </c>
      <c r="AE485" s="10" t="str">
        <f>IF(AD485&gt;=L485,"CUMPLE","NO CUMPLE")</f>
        <v>CUMPLE</v>
      </c>
      <c r="AF485" s="10">
        <f>V485*1.25*'Parametros'!$B$3*(U485-(V485*1.25*'Parametros'!$B$3/(0.85*'Parametros'!$B$2*H485))/2)/1000000</f>
        <v>101.467261323529</v>
      </c>
      <c r="AG485" s="10">
        <f>AC485*1.25*'Parametros'!$B$3*(AB485-(AC485*1.25*'Parametros'!$B$3/(0.85*'Parametros'!$B$2*H485))/2)/1000000</f>
        <v>101.467261323529</v>
      </c>
      <c r="AH485" s="10">
        <f>N485+(AF485+AG485)/D485</f>
        <v>124.940739479638</v>
      </c>
      <c r="AI485" s="10">
        <f>MIN(O485,MAX(N485,AH485))</f>
        <v>90.231</v>
      </c>
      <c r="AJ485" s="10">
        <f>0.17*SQRT('Parametros'!$B$2)*H485*MIN(U485,AB485)/1000</f>
        <v>107.849951281016</v>
      </c>
      <c r="AK485" s="10">
        <f>MAX(AI485/'Parametros'!$B$6-AJ485,0)</f>
        <v>12.4580487189841</v>
      </c>
      <c r="AL485" s="10">
        <f>0.66*SQRT('Parametros'!$B$2)*H485*MIN(U485,AB485)/1000</f>
        <v>418.711575561591</v>
      </c>
      <c r="AM485" s="10" t="str">
        <f>IF(AK485&lt;=AL485,"CUMPLE","NO CUMPLE")</f>
        <v>CUMPLE</v>
      </c>
      <c r="AN485" s="15" t="inlineStr">
        <is>
          <t>Nº3 cerrado</t>
        </is>
      </c>
      <c r="AO485" s="17" t="n">
        <v>2</v>
      </c>
      <c r="AP485" s="10">
        <f>ROUNDDOWN(MIN(IF(AK485=0,1000000000,AO485*'Parametros'!$B$11*'Parametros'!$B$4*MIN(U485,AB485)/(AK485*1000)),IF(AV485=0,1000000000,'Parametros'!$B$11/AV485),MIN(U485,AB485)/4,8*'Parametros'!$B$12,24*'Parametros'!$B$9,300)/10,0)*10</f>
        <v>80</v>
      </c>
      <c r="AQ485" s="10">
        <f>ROUNDDOWN(MIN(IF(AK485=0,1000000000,AO485*'Parametros'!$B$11*'Parametros'!$B$4*MIN(U485,AB485)/(AK485*1000)),IF(AV485=0,1000000000,'Parametros'!$B$11/AV485),MIN(U485,AB485)/2,600)/10,0)*10</f>
        <v>170</v>
      </c>
      <c r="AR485" s="10">
        <f>'Parametros'!$B$6*(AJ485+AO485*'Parametros'!$B$11*'Parametros'!$B$4*MIN(U485,AB485)/AP485/1000)</f>
        <v>272.415732210762</v>
      </c>
      <c r="AS485" s="10" t="str">
        <f>IF(AND(AM485="CUMPLE",AR485&gt;=AI485),"CUMPLE","NO CUMPLE")</f>
        <v>CUMPLE</v>
      </c>
      <c r="AT485" s="10">
        <f>'Parametros'!$B$6*0.083*SQRT('Parametros'!$B$2)*(H485*I485)^2/(2*(H485+I485))/1000000</f>
        <v>4.30410823283988</v>
      </c>
      <c r="AU485" s="10" t="str">
        <f>IF(Q485&lt;=AT485,"DESPRECIABLE","DISEÑAR")</f>
        <v>DESPRECIABLE</v>
      </c>
      <c r="AV485" s="10">
        <f>IF(Q485&lt;=AT485,0,Q485*1000000/('Parametros'!$B$6*2*0.85*(H485-2*'Parametros'!$B$7)*(I485-2*'Parametros'!$B$7)*'Parametros'!$B$4))</f>
        <v>0</v>
      </c>
      <c r="AW485" s="10">
        <f>AV485*2*((H485-2*'Parametros'!$B$7)+(I485-2*'Parametros'!$B$7))*'Parametros'!$B$4/'Parametros'!$B$3</f>
        <v>0</v>
      </c>
      <c r="AX485" s="17" t="n">
        <v>0</v>
      </c>
      <c r="AY485" s="10" t="str">
        <f>IF(AV485=0,"DESPRECIABLE",IF('Parametros'!$B$11/AP485&gt;=AV485,"CUMPLE","NO CUMPLE"))</f>
        <v>DESPRECIABLE</v>
      </c>
      <c r="AZ485" s="10" t="str">
        <f>IF(AND(X485="CUMPLE",AE485="CUMPLE",AS485="CUMPLE",OR(AY485="CUMPLE",AY485="DESPRECIABLE")),IF(OR(F485&lt;&gt;H485,G485&lt;&gt;I485),"CUMPLE - REANALIZAR SAP","CUMPLE"),"NO CUMPLE")</f>
        <v>CUMPLE</v>
      </c>
    </row>
    <row r="486">
      <c r="A486" s="27" t="inlineStr">
        <is>
          <t>VR3</t>
        </is>
      </c>
      <c r="B486" s="27" t="inlineStr">
        <is>
          <t>23</t>
        </is>
      </c>
      <c r="C486" s="10" t="n">
        <v>1</v>
      </c>
      <c r="D486" s="10" t="n">
        <v>2.95</v>
      </c>
      <c r="E486" s="10" t="n">
        <v>2.95</v>
      </c>
      <c r="F486" s="10" t="n">
        <v>350</v>
      </c>
      <c r="G486" s="10" t="n">
        <v>400</v>
      </c>
      <c r="H486" s="28" t="n">
        <v>400</v>
      </c>
      <c r="I486" s="28" t="n">
        <v>550</v>
      </c>
      <c r="J486" s="16" t="n">
        <v>189.7169</v>
      </c>
      <c r="K486" s="10" t="inlineStr">
        <is>
          <t>23</t>
        </is>
      </c>
      <c r="L486" s="16" t="n">
        <v>109.6665</v>
      </c>
      <c r="M486" s="10" t="inlineStr">
        <is>
          <t>23</t>
        </is>
      </c>
      <c r="N486" s="16" t="n">
        <v>167.162</v>
      </c>
      <c r="O486" s="16" t="n">
        <v>243.749</v>
      </c>
      <c r="P486" s="10" t="inlineStr">
        <is>
          <t>23</t>
        </is>
      </c>
      <c r="Q486" s="16" t="n">
        <v>2.5185</v>
      </c>
      <c r="R486" s="10">
        <f>MAX(MAX(1.4/'Parametros'!$B$3,0.25*SQRT('Parametros'!$B$2)/'Parametros'!$B$3)*H486*U486,(0.85*'Parametros'!$B$2/'Parametros'!$B$3)*(1-SQRT(1-2*(J486*1000000/('Parametros'!$B$5*H486*U486^2))/(0.85*'Parametros'!$B$2)))*H486*U486)</f>
        <v>1070.27666154984</v>
      </c>
      <c r="S486" s="17" t="n">
        <v>6</v>
      </c>
      <c r="T486" s="18" t="n">
        <v>1</v>
      </c>
      <c r="U486" s="10">
        <f>IF(T486=1,I486-('Parametros'!$B$7+'Parametros'!$B$9+'Parametros'!$B$12/2),I486-(ROUNDUP(S486/2,0)*('Parametros'!$B$7+'Parametros'!$B$9+'Parametros'!$B$12/2)+ROUNDDOWN(S486/2,0)*('Parametros'!$B$7+'Parametros'!$B$9+'Parametros'!$B$12/2+'Parametros'!$B$12+'Parametros'!$B$10))/S486)</f>
        <v>492.55</v>
      </c>
      <c r="V486" s="10">
        <f>S486*'Parametros'!$B$8</f>
        <v>1194</v>
      </c>
      <c r="W486" s="10">
        <f>'Parametros'!$B$5*V486*'Parametros'!$B$3*(U486-(V486*'Parametros'!$B$3/(0.85*'Parametros'!$B$2*H486))/2)/1000000</f>
        <v>210.416288188235</v>
      </c>
      <c r="X486" s="10" t="str">
        <f>IF(W486&gt;=J486,"CUMPLE","NO CUMPLE")</f>
        <v>CUMPLE</v>
      </c>
      <c r="Y486" s="10">
        <f>MAX(MAX(1.4/'Parametros'!$B$3,0.25*SQRT('Parametros'!$B$2)/'Parametros'!$B$3)*H486*AB486,(0.85*'Parametros'!$B$2/'Parametros'!$B$3)*(1-SQRT(1-2*(L486*1000000/('Parametros'!$B$5*H486*AB486^2))/(0.85*'Parametros'!$B$2)))*H486*AB486)</f>
        <v>656.733333333333</v>
      </c>
      <c r="Z486" s="17" t="n">
        <v>4</v>
      </c>
      <c r="AA486" s="18" t="n">
        <v>1</v>
      </c>
      <c r="AB486" s="10">
        <f>IF(AA486=1,I486-('Parametros'!$B$7+'Parametros'!$B$9+'Parametros'!$B$12/2),I486-(ROUNDUP(Z486/2,0)*('Parametros'!$B$7+'Parametros'!$B$9+'Parametros'!$B$12/2)+ROUNDDOWN(Z486/2,0)*('Parametros'!$B$7+'Parametros'!$B$9+'Parametros'!$B$12/2+'Parametros'!$B$12+'Parametros'!$B$10))/Z486)</f>
        <v>492.55</v>
      </c>
      <c r="AC486" s="10">
        <f>Z486*'Parametros'!$B$8</f>
        <v>796</v>
      </c>
      <c r="AD486" s="10">
        <f>'Parametros'!$B$5*AC486*'Parametros'!$B$3*(AB486-(AC486*'Parametros'!$B$3/(0.85*'Parametros'!$B$2*H486))/2)/1000000</f>
        <v>142.919145105882</v>
      </c>
      <c r="AE486" s="10" t="str">
        <f>IF(AD486&gt;=L486,"CUMPLE","NO CUMPLE")</f>
        <v>CUMPLE</v>
      </c>
      <c r="AF486" s="10">
        <f>V486*1.25*'Parametros'!$B$3*(U486-(V486*1.25*'Parametros'!$B$3/(0.85*'Parametros'!$B$2*H486))/2)/1000000</f>
        <v>288.117314007353</v>
      </c>
      <c r="AG486" s="10">
        <f>AC486*1.25*'Parametros'!$B$3*(AB486-(AC486*1.25*'Parametros'!$B$3/(0.85*'Parametros'!$B$2*H486))/2)/1000000</f>
        <v>196.664354558824</v>
      </c>
      <c r="AH486" s="10">
        <f>N486+(AF486+AG486)/D486</f>
        <v>331.494769005484</v>
      </c>
      <c r="AI486" s="10">
        <f>MIN(O486,MAX(N486,AH486))</f>
        <v>243.749</v>
      </c>
      <c r="AJ486" s="10">
        <f>0.17*SQRT('Parametros'!$B$2)*H486*MIN(U486,AB486)/1000</f>
        <v>177.230413924022</v>
      </c>
      <c r="AK486" s="10">
        <f>MAX(AI486/'Parametros'!$B$6-AJ486,0)</f>
        <v>147.768252742645</v>
      </c>
      <c r="AL486" s="10">
        <f>0.66*SQRT('Parametros'!$B$2)*H486*MIN(U486,AB486)/1000</f>
        <v>688.071018763848</v>
      </c>
      <c r="AM486" s="10" t="str">
        <f>IF(AK486&lt;=AL486,"CUMPLE","NO CUMPLE")</f>
        <v>CUMPLE</v>
      </c>
      <c r="AN486" s="15" t="inlineStr">
        <is>
          <t>Nº3 cerrado</t>
        </is>
      </c>
      <c r="AO486" s="17" t="n">
        <v>2</v>
      </c>
      <c r="AP486" s="10">
        <f>ROUNDDOWN(MIN(IF(AK486=0,1000000000,AO486*'Parametros'!$B$11*'Parametros'!$B$4*MIN(U486,AB486)/(AK486*1000)),IF(AV486=0,1000000000,'Parametros'!$B$11/AV486),MIN(U486,AB486)/4,8*'Parametros'!$B$12,24*'Parametros'!$B$9,300)/10,0)*10</f>
        <v>120</v>
      </c>
      <c r="AQ486" s="10">
        <f>ROUNDDOWN(MIN(IF(AK486=0,1000000000,AO486*'Parametros'!$B$11*'Parametros'!$B$4*MIN(U486,AB486)/(AK486*1000)),IF(AV486=0,1000000000,'Parametros'!$B$11/AV486),MIN(U486,AB486)/2,600)/10,0)*10</f>
        <v>190</v>
      </c>
      <c r="AR486" s="10">
        <f>'Parametros'!$B$6*(AJ486+AO486*'Parametros'!$B$11*'Parametros'!$B$4*MIN(U486,AB486)/AP486/1000)</f>
        <v>316.520822943016</v>
      </c>
      <c r="AS486" s="10" t="str">
        <f>IF(AND(AM486="CUMPLE",AR486&gt;=AI486),"CUMPLE","NO CUMPLE")</f>
        <v>CUMPLE</v>
      </c>
      <c r="AT486" s="10">
        <f>'Parametros'!$B$6*0.083*SQRT('Parametros'!$B$2)*(H486*I486)^2/(2*(H486+I486))/1000000</f>
        <v>8.39093065800685</v>
      </c>
      <c r="AU486" s="10" t="str">
        <f>IF(Q486&lt;=AT486,"DESPRECIABLE","DISEÑAR")</f>
        <v>DESPRECIABLE</v>
      </c>
      <c r="AV486" s="10">
        <f>IF(Q486&lt;=AT486,0,Q486*1000000/('Parametros'!$B$6*2*0.85*(H486-2*'Parametros'!$B$7)*(I486-2*'Parametros'!$B$7)*'Parametros'!$B$4))</f>
        <v>0</v>
      </c>
      <c r="AW486" s="10">
        <f>AV486*2*((H486-2*'Parametros'!$B$7)+(I486-2*'Parametros'!$B$7))*'Parametros'!$B$4/'Parametros'!$B$3</f>
        <v>0</v>
      </c>
      <c r="AX486" s="17" t="n">
        <v>0</v>
      </c>
      <c r="AY486" s="10" t="str">
        <f>IF(AV486=0,"DESPRECIABLE",IF('Parametros'!$B$11/AP486&gt;=AV486,"CUMPLE","NO CUMPLE"))</f>
        <v>DESPRECIABLE</v>
      </c>
      <c r="AZ486" s="10" t="str">
        <f>IF(AND(X486="CUMPLE",AE486="CUMPLE",AS486="CUMPLE",OR(AY486="CUMPLE",AY486="DESPRECIABLE")),IF(OR(F486&lt;&gt;H486,G486&lt;&gt;I486),"CUMPLE - REANALIZAR SAP","CUMPLE"),"NO CUMPLE")</f>
        <v>CUMPLE - REANALIZAR SAP</v>
      </c>
    </row>
    <row r="487">
      <c r="A487" s="27" t="inlineStr">
        <is>
          <t>VR3</t>
        </is>
      </c>
      <c r="B487" s="27" t="inlineStr">
        <is>
          <t>24</t>
        </is>
      </c>
      <c r="C487" s="10" t="n">
        <v>1</v>
      </c>
      <c r="D487" s="10" t="n">
        <v>2.6</v>
      </c>
      <c r="E487" s="10" t="n">
        <v>2.6</v>
      </c>
      <c r="F487" s="10" t="n">
        <v>350</v>
      </c>
      <c r="G487" s="10" t="n">
        <v>400</v>
      </c>
      <c r="H487" s="28" t="n">
        <v>400</v>
      </c>
      <c r="I487" s="28" t="n">
        <v>550</v>
      </c>
      <c r="J487" s="16" t="n">
        <v>216.2221</v>
      </c>
      <c r="K487" s="10" t="inlineStr">
        <is>
          <t>24</t>
        </is>
      </c>
      <c r="L487" s="16" t="n">
        <v>97.86490000000001</v>
      </c>
      <c r="M487" s="10" t="inlineStr">
        <is>
          <t>24</t>
        </is>
      </c>
      <c r="N487" s="16" t="n">
        <v>171.68</v>
      </c>
      <c r="O487" s="16" t="n">
        <v>248.723</v>
      </c>
      <c r="P487" s="10" t="inlineStr">
        <is>
          <t>24</t>
        </is>
      </c>
      <c r="Q487" s="16" t="n">
        <v>4.9175</v>
      </c>
      <c r="R487" s="10">
        <f>MAX(MAX(1.4/'Parametros'!$B$3,0.25*SQRT('Parametros'!$B$2)/'Parametros'!$B$3)*H487*U487,(0.85*'Parametros'!$B$2/'Parametros'!$B$3)*(1-SQRT(1-2*(J487*1000000/('Parametros'!$B$5*H487*U487^2))/(0.85*'Parametros'!$B$2)))*H487*U487)</f>
        <v>1228.97887216057</v>
      </c>
      <c r="S487" s="17" t="n">
        <v>7</v>
      </c>
      <c r="T487" s="18" t="n">
        <v>1</v>
      </c>
      <c r="U487" s="10">
        <f>IF(T487=1,I487-('Parametros'!$B$7+'Parametros'!$B$9+'Parametros'!$B$12/2),I487-(ROUNDUP(S487/2,0)*('Parametros'!$B$7+'Parametros'!$B$9+'Parametros'!$B$12/2)+ROUNDDOWN(S487/2,0)*('Parametros'!$B$7+'Parametros'!$B$9+'Parametros'!$B$12/2+'Parametros'!$B$12+'Parametros'!$B$10))/S487)</f>
        <v>492.55</v>
      </c>
      <c r="V487" s="10">
        <f>S487*'Parametros'!$B$8</f>
        <v>1393</v>
      </c>
      <c r="W487" s="10">
        <f>'Parametros'!$B$5*V487*'Parametros'!$B$3*(U487-(V487*'Parametros'!$B$3/(0.85*'Parametros'!$B$2*H487))/2)/1000000</f>
        <v>243.174252361765</v>
      </c>
      <c r="X487" s="10" t="str">
        <f>IF(W487&gt;=J487,"CUMPLE","NO CUMPLE")</f>
        <v>CUMPLE</v>
      </c>
      <c r="Y487" s="10">
        <f>MAX(MAX(1.4/'Parametros'!$B$3,0.25*SQRT('Parametros'!$B$2)/'Parametros'!$B$3)*H487*AB487,(0.85*'Parametros'!$B$2/'Parametros'!$B$3)*(1-SQRT(1-2*(L487*1000000/('Parametros'!$B$5*H487*AB487^2))/(0.85*'Parametros'!$B$2)))*H487*AB487)</f>
        <v>656.733333333333</v>
      </c>
      <c r="Z487" s="17" t="n">
        <v>4</v>
      </c>
      <c r="AA487" s="18" t="n">
        <v>1</v>
      </c>
      <c r="AB487" s="10">
        <f>IF(AA487=1,I487-('Parametros'!$B$7+'Parametros'!$B$9+'Parametros'!$B$12/2),I487-(ROUNDUP(Z487/2,0)*('Parametros'!$B$7+'Parametros'!$B$9+'Parametros'!$B$12/2)+ROUNDDOWN(Z487/2,0)*('Parametros'!$B$7+'Parametros'!$B$9+'Parametros'!$B$12/2+'Parametros'!$B$12+'Parametros'!$B$10))/Z487)</f>
        <v>492.55</v>
      </c>
      <c r="AC487" s="10">
        <f>Z487*'Parametros'!$B$8</f>
        <v>796</v>
      </c>
      <c r="AD487" s="10">
        <f>'Parametros'!$B$5*AC487*'Parametros'!$B$3*(AB487-(AC487*'Parametros'!$B$3/(0.85*'Parametros'!$B$2*H487))/2)/1000000</f>
        <v>142.919145105882</v>
      </c>
      <c r="AE487" s="10" t="str">
        <f>IF(AD487&gt;=L487,"CUMPLE","NO CUMPLE")</f>
        <v>CUMPLE</v>
      </c>
      <c r="AF487" s="10">
        <f>V487*1.25*'Parametros'!$B$3*(U487-(V487*1.25*'Parametros'!$B$3/(0.85*'Parametros'!$B$2*H487))/2)/1000000</f>
        <v>332.123989273897</v>
      </c>
      <c r="AG487" s="10">
        <f>AC487*1.25*'Parametros'!$B$3*(AB487-(AC487*1.25*'Parametros'!$B$3/(0.85*'Parametros'!$B$2*H487))/2)/1000000</f>
        <v>196.664354558824</v>
      </c>
      <c r="AH487" s="10">
        <f>N487+(AF487+AG487)/D487</f>
        <v>375.060132243354</v>
      </c>
      <c r="AI487" s="10">
        <f>MIN(O487,MAX(N487,AH487))</f>
        <v>248.723</v>
      </c>
      <c r="AJ487" s="10">
        <f>0.17*SQRT('Parametros'!$B$2)*H487*MIN(U487,AB487)/1000</f>
        <v>177.230413924022</v>
      </c>
      <c r="AK487" s="10">
        <f>MAX(AI487/'Parametros'!$B$6-AJ487,0)</f>
        <v>154.400252742645</v>
      </c>
      <c r="AL487" s="10">
        <f>0.66*SQRT('Parametros'!$B$2)*H487*MIN(U487,AB487)/1000</f>
        <v>688.071018763848</v>
      </c>
      <c r="AM487" s="10" t="str">
        <f>IF(AK487&lt;=AL487,"CUMPLE","NO CUMPLE")</f>
        <v>CUMPLE</v>
      </c>
      <c r="AN487" s="15" t="inlineStr">
        <is>
          <t>Nº3 cerrado</t>
        </is>
      </c>
      <c r="AO487" s="17" t="n">
        <v>2</v>
      </c>
      <c r="AP487" s="10">
        <f>ROUNDDOWN(MIN(IF(AK487=0,1000000000,AO487*'Parametros'!$B$11*'Parametros'!$B$4*MIN(U487,AB487)/(AK487*1000)),IF(AV487=0,1000000000,'Parametros'!$B$11/AV487),MIN(U487,AB487)/4,8*'Parametros'!$B$12,24*'Parametros'!$B$9,300)/10,0)*10</f>
        <v>120</v>
      </c>
      <c r="AQ487" s="10">
        <f>ROUNDDOWN(MIN(IF(AK487=0,1000000000,AO487*'Parametros'!$B$11*'Parametros'!$B$4*MIN(U487,AB487)/(AK487*1000)),IF(AV487=0,1000000000,'Parametros'!$B$11/AV487),MIN(U487,AB487)/2,600)/10,0)*10</f>
        <v>190</v>
      </c>
      <c r="AR487" s="10">
        <f>'Parametros'!$B$6*(AJ487+AO487*'Parametros'!$B$11*'Parametros'!$B$4*MIN(U487,AB487)/AP487/1000)</f>
        <v>316.520822943016</v>
      </c>
      <c r="AS487" s="10" t="str">
        <f>IF(AND(AM487="CUMPLE",AR487&gt;=AI487),"CUMPLE","NO CUMPLE")</f>
        <v>CUMPLE</v>
      </c>
      <c r="AT487" s="10">
        <f>'Parametros'!$B$6*0.083*SQRT('Parametros'!$B$2)*(H487*I487)^2/(2*(H487+I487))/1000000</f>
        <v>8.39093065800685</v>
      </c>
      <c r="AU487" s="10" t="str">
        <f>IF(Q487&lt;=AT487,"DESPRECIABLE","DISEÑAR")</f>
        <v>DESPRECIABLE</v>
      </c>
      <c r="AV487" s="10">
        <f>IF(Q487&lt;=AT487,0,Q487*1000000/('Parametros'!$B$6*2*0.85*(H487-2*'Parametros'!$B$7)*(I487-2*'Parametros'!$B$7)*'Parametros'!$B$4))</f>
        <v>0</v>
      </c>
      <c r="AW487" s="10">
        <f>AV487*2*((H487-2*'Parametros'!$B$7)+(I487-2*'Parametros'!$B$7))*'Parametros'!$B$4/'Parametros'!$B$3</f>
        <v>0</v>
      </c>
      <c r="AX487" s="17" t="n">
        <v>0</v>
      </c>
      <c r="AY487" s="10" t="str">
        <f>IF(AV487=0,"DESPRECIABLE",IF('Parametros'!$B$11/AP487&gt;=AV487,"CUMPLE","NO CUMPLE"))</f>
        <v>DESPRECIABLE</v>
      </c>
      <c r="AZ487" s="10" t="str">
        <f>IF(AND(X487="CUMPLE",AE487="CUMPLE",AS487="CUMPLE",OR(AY487="CUMPLE",AY487="DESPRECIABLE")),IF(OR(F487&lt;&gt;H487,G487&lt;&gt;I487),"CUMPLE - REANALIZAR SAP","CUMPLE"),"NO CUMPLE")</f>
        <v>CUMPLE - REANALIZAR SAP</v>
      </c>
    </row>
    <row r="488">
      <c r="A488" s="27" t="inlineStr">
        <is>
          <t>VR3</t>
        </is>
      </c>
      <c r="B488" s="27" t="inlineStr">
        <is>
          <t>25</t>
        </is>
      </c>
      <c r="C488" s="10" t="n">
        <v>1</v>
      </c>
      <c r="D488" s="10" t="n">
        <v>2.5</v>
      </c>
      <c r="E488" s="10" t="n">
        <v>2.5</v>
      </c>
      <c r="F488" s="10" t="n">
        <v>350</v>
      </c>
      <c r="G488" s="10" t="n">
        <v>400</v>
      </c>
      <c r="H488" s="28" t="n">
        <v>400</v>
      </c>
      <c r="I488" s="28" t="n">
        <v>550</v>
      </c>
      <c r="J488" s="16" t="n">
        <v>144.766</v>
      </c>
      <c r="K488" s="10" t="inlineStr">
        <is>
          <t>25</t>
        </is>
      </c>
      <c r="L488" s="16" t="n">
        <v>103.6729</v>
      </c>
      <c r="M488" s="10" t="inlineStr">
        <is>
          <t>25</t>
        </is>
      </c>
      <c r="N488" s="16" t="n">
        <v>130.292</v>
      </c>
      <c r="O488" s="16" t="n">
        <v>490.443</v>
      </c>
      <c r="P488" s="10" t="inlineStr">
        <is>
          <t>25</t>
        </is>
      </c>
      <c r="Q488" s="16" t="n">
        <v>0.0618</v>
      </c>
      <c r="R488" s="10">
        <f>MAX(MAX(1.4/'Parametros'!$B$3,0.25*SQRT('Parametros'!$B$2)/'Parametros'!$B$3)*H488*U488,(0.85*'Parametros'!$B$2/'Parametros'!$B$3)*(1-SQRT(1-2*(J488*1000000/('Parametros'!$B$5*H488*U488^2))/(0.85*'Parametros'!$B$2)))*H488*U488)</f>
        <v>806.686560868391</v>
      </c>
      <c r="S488" s="17" t="n">
        <v>5</v>
      </c>
      <c r="T488" s="18" t="n">
        <v>1</v>
      </c>
      <c r="U488" s="10">
        <f>IF(T488=1,I488-('Parametros'!$B$7+'Parametros'!$B$9+'Parametros'!$B$12/2),I488-(ROUNDUP(S488/2,0)*('Parametros'!$B$7+'Parametros'!$B$9+'Parametros'!$B$12/2)+ROUNDDOWN(S488/2,0)*('Parametros'!$B$7+'Parametros'!$B$9+'Parametros'!$B$12/2+'Parametros'!$B$12+'Parametros'!$B$10))/S488)</f>
        <v>492.55</v>
      </c>
      <c r="V488" s="10">
        <f>S488*'Parametros'!$B$8</f>
        <v>995</v>
      </c>
      <c r="W488" s="10">
        <f>'Parametros'!$B$5*V488*'Parametros'!$B$3*(U488-(V488*'Parametros'!$B$3/(0.85*'Parametros'!$B$2*H488))/2)/1000000</f>
        <v>176.997919102941</v>
      </c>
      <c r="X488" s="10" t="str">
        <f>IF(W488&gt;=J488,"CUMPLE","NO CUMPLE")</f>
        <v>CUMPLE</v>
      </c>
      <c r="Y488" s="10">
        <f>MAX(MAX(1.4/'Parametros'!$B$3,0.25*SQRT('Parametros'!$B$2)/'Parametros'!$B$3)*H488*AB488,(0.85*'Parametros'!$B$2/'Parametros'!$B$3)*(1-SQRT(1-2*(L488*1000000/('Parametros'!$B$5*H488*AB488^2))/(0.85*'Parametros'!$B$2)))*H488*AB488)</f>
        <v>656.733333333333</v>
      </c>
      <c r="Z488" s="17" t="n">
        <v>4</v>
      </c>
      <c r="AA488" s="18" t="n">
        <v>1</v>
      </c>
      <c r="AB488" s="10">
        <f>IF(AA488=1,I488-('Parametros'!$B$7+'Parametros'!$B$9+'Parametros'!$B$12/2),I488-(ROUNDUP(Z488/2,0)*('Parametros'!$B$7+'Parametros'!$B$9+'Parametros'!$B$12/2)+ROUNDDOWN(Z488/2,0)*('Parametros'!$B$7+'Parametros'!$B$9+'Parametros'!$B$12/2+'Parametros'!$B$12+'Parametros'!$B$10))/Z488)</f>
        <v>492.55</v>
      </c>
      <c r="AC488" s="10">
        <f>Z488*'Parametros'!$B$8</f>
        <v>796</v>
      </c>
      <c r="AD488" s="10">
        <f>'Parametros'!$B$5*AC488*'Parametros'!$B$3*(AB488-(AC488*'Parametros'!$B$3/(0.85*'Parametros'!$B$2*H488))/2)/1000000</f>
        <v>142.919145105882</v>
      </c>
      <c r="AE488" s="10" t="str">
        <f>IF(AD488&gt;=L488,"CUMPLE","NO CUMPLE")</f>
        <v>CUMPLE</v>
      </c>
      <c r="AF488" s="10">
        <f>V488*1.25*'Parametros'!$B$3*(U488-(V488*1.25*'Parametros'!$B$3/(0.85*'Parametros'!$B$2*H488))/2)/1000000</f>
        <v>242.964102435662</v>
      </c>
      <c r="AG488" s="10">
        <f>AC488*1.25*'Parametros'!$B$3*(AB488-(AC488*1.25*'Parametros'!$B$3/(0.85*'Parametros'!$B$2*H488))/2)/1000000</f>
        <v>196.664354558824</v>
      </c>
      <c r="AH488" s="10">
        <f>N488+(AF488+AG488)/D488</f>
        <v>306.143382797794</v>
      </c>
      <c r="AI488" s="10">
        <f>MIN(O488,MAX(N488,AH488))</f>
        <v>306.143382797794</v>
      </c>
      <c r="AJ488" s="10">
        <f>0.17*SQRT('Parametros'!$B$2)*H488*MIN(U488,AB488)/1000</f>
        <v>177.230413924022</v>
      </c>
      <c r="AK488" s="10">
        <f>MAX(AI488/'Parametros'!$B$6-AJ488,0)</f>
        <v>230.960763139704</v>
      </c>
      <c r="AL488" s="10">
        <f>0.66*SQRT('Parametros'!$B$2)*H488*MIN(U488,AB488)/1000</f>
        <v>688.071018763848</v>
      </c>
      <c r="AM488" s="10" t="str">
        <f>IF(AK488&lt;=AL488,"CUMPLE","NO CUMPLE")</f>
        <v>CUMPLE</v>
      </c>
      <c r="AN488" s="15" t="inlineStr">
        <is>
          <t>Nº3 cerrado</t>
        </is>
      </c>
      <c r="AO488" s="17" t="n">
        <v>2</v>
      </c>
      <c r="AP488" s="10">
        <f>ROUNDDOWN(MIN(IF(AK488=0,1000000000,AO488*'Parametros'!$B$11*'Parametros'!$B$4*MIN(U488,AB488)/(AK488*1000)),IF(AV488=0,1000000000,'Parametros'!$B$11/AV488),MIN(U488,AB488)/4,8*'Parametros'!$B$12,24*'Parametros'!$B$9,300)/10,0)*10</f>
        <v>120</v>
      </c>
      <c r="AQ488" s="10">
        <f>ROUNDDOWN(MIN(IF(AK488=0,1000000000,AO488*'Parametros'!$B$11*'Parametros'!$B$4*MIN(U488,AB488)/(AK488*1000)),IF(AV488=0,1000000000,'Parametros'!$B$11/AV488),MIN(U488,AB488)/2,600)/10,0)*10</f>
        <v>120</v>
      </c>
      <c r="AR488" s="10">
        <f>'Parametros'!$B$6*(AJ488+AO488*'Parametros'!$B$11*'Parametros'!$B$4*MIN(U488,AB488)/AP488/1000)</f>
        <v>316.520822943016</v>
      </c>
      <c r="AS488" s="10" t="str">
        <f>IF(AND(AM488="CUMPLE",AR488&gt;=AI488),"CUMPLE","NO CUMPLE")</f>
        <v>CUMPLE</v>
      </c>
      <c r="AT488" s="10">
        <f>'Parametros'!$B$6*0.083*SQRT('Parametros'!$B$2)*(H488*I488)^2/(2*(H488+I488))/1000000</f>
        <v>8.39093065800685</v>
      </c>
      <c r="AU488" s="10" t="str">
        <f>IF(Q488&lt;=AT488,"DESPRECIABLE","DISEÑAR")</f>
        <v>DESPRECIABLE</v>
      </c>
      <c r="AV488" s="10">
        <f>IF(Q488&lt;=AT488,0,Q488*1000000/('Parametros'!$B$6*2*0.85*(H488-2*'Parametros'!$B$7)*(I488-2*'Parametros'!$B$7)*'Parametros'!$B$4))</f>
        <v>0</v>
      </c>
      <c r="AW488" s="10">
        <f>AV488*2*((H488-2*'Parametros'!$B$7)+(I488-2*'Parametros'!$B$7))*'Parametros'!$B$4/'Parametros'!$B$3</f>
        <v>0</v>
      </c>
      <c r="AX488" s="17" t="n">
        <v>0</v>
      </c>
      <c r="AY488" s="10" t="str">
        <f>IF(AV488=0,"DESPRECIABLE",IF('Parametros'!$B$11/AP488&gt;=AV488,"CUMPLE","NO CUMPLE"))</f>
        <v>DESPRECIABLE</v>
      </c>
      <c r="AZ488" s="10" t="str">
        <f>IF(AND(X488="CUMPLE",AE488="CUMPLE",AS488="CUMPLE",OR(AY488="CUMPLE",AY488="DESPRECIABLE")),IF(OR(F488&lt;&gt;H488,G488&lt;&gt;I488),"CUMPLE - REANALIZAR SAP","CUMPLE"),"NO CUMPLE")</f>
        <v>CUMPLE - REANALIZAR SAP</v>
      </c>
    </row>
    <row r="489">
      <c r="A489" s="27" t="inlineStr">
        <is>
          <t>VR3</t>
        </is>
      </c>
      <c r="B489" s="27" t="inlineStr">
        <is>
          <t>26</t>
        </is>
      </c>
      <c r="C489" s="10" t="n">
        <v>1</v>
      </c>
      <c r="D489" s="10" t="n">
        <v>4</v>
      </c>
      <c r="E489" s="10" t="n">
        <v>4</v>
      </c>
      <c r="F489" s="10" t="n">
        <v>350</v>
      </c>
      <c r="G489" s="10" t="n">
        <v>400</v>
      </c>
      <c r="H489" s="28" t="n">
        <v>400</v>
      </c>
      <c r="I489" s="28" t="n">
        <v>550</v>
      </c>
      <c r="J489" s="16" t="n">
        <v>119.1916</v>
      </c>
      <c r="K489" s="10" t="inlineStr">
        <is>
          <t>26</t>
        </is>
      </c>
      <c r="L489" s="16" t="n">
        <v>62.2765</v>
      </c>
      <c r="M489" s="10" t="inlineStr">
        <is>
          <t>26</t>
        </is>
      </c>
      <c r="N489" s="16" t="n">
        <v>95.119</v>
      </c>
      <c r="O489" s="16" t="n">
        <v>258.811</v>
      </c>
      <c r="P489" s="10" t="inlineStr">
        <is>
          <t>26</t>
        </is>
      </c>
      <c r="Q489" s="16" t="n">
        <v>0.3922</v>
      </c>
      <c r="R489" s="10">
        <f>MAX(MAX(1.4/'Parametros'!$B$3,0.25*SQRT('Parametros'!$B$2)/'Parametros'!$B$3)*H489*U489,(0.85*'Parametros'!$B$2/'Parametros'!$B$3)*(1-SQRT(1-2*(J489*1000000/('Parametros'!$B$5*H489*U489^2))/(0.85*'Parametros'!$B$2)))*H489*U489)</f>
        <v>659.670974717473</v>
      </c>
      <c r="S489" s="17" t="n">
        <v>4</v>
      </c>
      <c r="T489" s="18" t="n">
        <v>1</v>
      </c>
      <c r="U489" s="10">
        <f>IF(T489=1,I489-('Parametros'!$B$7+'Parametros'!$B$9+'Parametros'!$B$12/2),I489-(ROUNDUP(S489/2,0)*('Parametros'!$B$7+'Parametros'!$B$9+'Parametros'!$B$12/2)+ROUNDDOWN(S489/2,0)*('Parametros'!$B$7+'Parametros'!$B$9+'Parametros'!$B$12/2+'Parametros'!$B$12+'Parametros'!$B$10))/S489)</f>
        <v>492.55</v>
      </c>
      <c r="V489" s="10">
        <f>S489*'Parametros'!$B$8</f>
        <v>796</v>
      </c>
      <c r="W489" s="10">
        <f>'Parametros'!$B$5*V489*'Parametros'!$B$3*(U489-(V489*'Parametros'!$B$3/(0.85*'Parametros'!$B$2*H489))/2)/1000000</f>
        <v>142.919145105882</v>
      </c>
      <c r="X489" s="10" t="str">
        <f>IF(W489&gt;=J489,"CUMPLE","NO CUMPLE")</f>
        <v>CUMPLE</v>
      </c>
      <c r="Y489" s="10">
        <f>MAX(MAX(1.4/'Parametros'!$B$3,0.25*SQRT('Parametros'!$B$2)/'Parametros'!$B$3)*H489*AB489,(0.85*'Parametros'!$B$2/'Parametros'!$B$3)*(1-SQRT(1-2*(L489*1000000/('Parametros'!$B$5*H489*AB489^2))/(0.85*'Parametros'!$B$2)))*H489*AB489)</f>
        <v>656.733333333333</v>
      </c>
      <c r="Z489" s="17" t="n">
        <v>4</v>
      </c>
      <c r="AA489" s="18" t="n">
        <v>1</v>
      </c>
      <c r="AB489" s="10">
        <f>IF(AA489=1,I489-('Parametros'!$B$7+'Parametros'!$B$9+'Parametros'!$B$12/2),I489-(ROUNDUP(Z489/2,0)*('Parametros'!$B$7+'Parametros'!$B$9+'Parametros'!$B$12/2)+ROUNDDOWN(Z489/2,0)*('Parametros'!$B$7+'Parametros'!$B$9+'Parametros'!$B$12/2+'Parametros'!$B$12+'Parametros'!$B$10))/Z489)</f>
        <v>492.55</v>
      </c>
      <c r="AC489" s="10">
        <f>Z489*'Parametros'!$B$8</f>
        <v>796</v>
      </c>
      <c r="AD489" s="10">
        <f>'Parametros'!$B$5*AC489*'Parametros'!$B$3*(AB489-(AC489*'Parametros'!$B$3/(0.85*'Parametros'!$B$2*H489))/2)/1000000</f>
        <v>142.919145105882</v>
      </c>
      <c r="AE489" s="10" t="str">
        <f>IF(AD489&gt;=L489,"CUMPLE","NO CUMPLE")</f>
        <v>CUMPLE</v>
      </c>
      <c r="AF489" s="10">
        <f>V489*1.25*'Parametros'!$B$3*(U489-(V489*1.25*'Parametros'!$B$3/(0.85*'Parametros'!$B$2*H489))/2)/1000000</f>
        <v>196.664354558824</v>
      </c>
      <c r="AG489" s="10">
        <f>AC489*1.25*'Parametros'!$B$3*(AB489-(AC489*1.25*'Parametros'!$B$3/(0.85*'Parametros'!$B$2*H489))/2)/1000000</f>
        <v>196.664354558824</v>
      </c>
      <c r="AH489" s="10">
        <f>N489+(AF489+AG489)/D489</f>
        <v>193.451177279412</v>
      </c>
      <c r="AI489" s="10">
        <f>MIN(O489,MAX(N489,AH489))</f>
        <v>193.451177279412</v>
      </c>
      <c r="AJ489" s="10">
        <f>0.17*SQRT('Parametros'!$B$2)*H489*MIN(U489,AB489)/1000</f>
        <v>177.230413924022</v>
      </c>
      <c r="AK489" s="10">
        <f>MAX(AI489/'Parametros'!$B$6-AJ489,0)</f>
        <v>80.7044891151941</v>
      </c>
      <c r="AL489" s="10">
        <f>0.66*SQRT('Parametros'!$B$2)*H489*MIN(U489,AB489)/1000</f>
        <v>688.071018763848</v>
      </c>
      <c r="AM489" s="10" t="str">
        <f>IF(AK489&lt;=AL489,"CUMPLE","NO CUMPLE")</f>
        <v>CUMPLE</v>
      </c>
      <c r="AN489" s="15" t="inlineStr">
        <is>
          <t>Nº3 cerrado</t>
        </is>
      </c>
      <c r="AO489" s="17" t="n">
        <v>2</v>
      </c>
      <c r="AP489" s="10">
        <f>ROUNDDOWN(MIN(IF(AK489=0,1000000000,AO489*'Parametros'!$B$11*'Parametros'!$B$4*MIN(U489,AB489)/(AK489*1000)),IF(AV489=0,1000000000,'Parametros'!$B$11/AV489),MIN(U489,AB489)/4,8*'Parametros'!$B$12,24*'Parametros'!$B$9,300)/10,0)*10</f>
        <v>120</v>
      </c>
      <c r="AQ489" s="10">
        <f>ROUNDDOWN(MIN(IF(AK489=0,1000000000,AO489*'Parametros'!$B$11*'Parametros'!$B$4*MIN(U489,AB489)/(AK489*1000)),IF(AV489=0,1000000000,'Parametros'!$B$11/AV489),MIN(U489,AB489)/2,600)/10,0)*10</f>
        <v>240</v>
      </c>
      <c r="AR489" s="10">
        <f>'Parametros'!$B$6*(AJ489+AO489*'Parametros'!$B$11*'Parametros'!$B$4*MIN(U489,AB489)/AP489/1000)</f>
        <v>316.520822943016</v>
      </c>
      <c r="AS489" s="10" t="str">
        <f>IF(AND(AM489="CUMPLE",AR489&gt;=AI489),"CUMPLE","NO CUMPLE")</f>
        <v>CUMPLE</v>
      </c>
      <c r="AT489" s="10">
        <f>'Parametros'!$B$6*0.083*SQRT('Parametros'!$B$2)*(H489*I489)^2/(2*(H489+I489))/1000000</f>
        <v>8.39093065800685</v>
      </c>
      <c r="AU489" s="10" t="str">
        <f>IF(Q489&lt;=AT489,"DESPRECIABLE","DISEÑAR")</f>
        <v>DESPRECIABLE</v>
      </c>
      <c r="AV489" s="10">
        <f>IF(Q489&lt;=AT489,0,Q489*1000000/('Parametros'!$B$6*2*0.85*(H489-2*'Parametros'!$B$7)*(I489-2*'Parametros'!$B$7)*'Parametros'!$B$4))</f>
        <v>0</v>
      </c>
      <c r="AW489" s="10">
        <f>AV489*2*((H489-2*'Parametros'!$B$7)+(I489-2*'Parametros'!$B$7))*'Parametros'!$B$4/'Parametros'!$B$3</f>
        <v>0</v>
      </c>
      <c r="AX489" s="17" t="n">
        <v>0</v>
      </c>
      <c r="AY489" s="10" t="str">
        <f>IF(AV489=0,"DESPRECIABLE",IF('Parametros'!$B$11/AP489&gt;=AV489,"CUMPLE","NO CUMPLE"))</f>
        <v>DESPRECIABLE</v>
      </c>
      <c r="AZ489" s="10" t="str">
        <f>IF(AND(X489="CUMPLE",AE489="CUMPLE",AS489="CUMPLE",OR(AY489="CUMPLE",AY489="DESPRECIABLE")),IF(OR(F489&lt;&gt;H489,G489&lt;&gt;I489),"CUMPLE - REANALIZAR SAP","CUMPLE"),"NO CUMPLE")</f>
        <v>CUMPLE - REANALIZAR SAP</v>
      </c>
    </row>
    <row r="490">
      <c r="A490" s="27" t="inlineStr">
        <is>
          <t>VR3</t>
        </is>
      </c>
      <c r="B490" s="27" t="inlineStr">
        <is>
          <t>27</t>
        </is>
      </c>
      <c r="C490" s="10" t="n">
        <v>1</v>
      </c>
      <c r="D490" s="10" t="n">
        <v>2.8</v>
      </c>
      <c r="E490" s="10" t="n">
        <v>2.8</v>
      </c>
      <c r="F490" s="10" t="n">
        <v>350</v>
      </c>
      <c r="G490" s="10" t="n">
        <v>400</v>
      </c>
      <c r="H490" s="28" t="n">
        <v>400</v>
      </c>
      <c r="I490" s="28" t="n">
        <v>550</v>
      </c>
      <c r="J490" s="16" t="n">
        <v>102.0697</v>
      </c>
      <c r="K490" s="10" t="inlineStr">
        <is>
          <t>27</t>
        </is>
      </c>
      <c r="L490" s="16" t="n">
        <v>41.9453</v>
      </c>
      <c r="M490" s="10" t="inlineStr">
        <is>
          <t>27</t>
        </is>
      </c>
      <c r="N490" s="16" t="n">
        <v>75.79600000000001</v>
      </c>
      <c r="O490" s="16" t="n">
        <v>166.788</v>
      </c>
      <c r="P490" s="10" t="inlineStr">
        <is>
          <t>27</t>
        </is>
      </c>
      <c r="Q490" s="16" t="n">
        <v>0.0005202</v>
      </c>
      <c r="R490" s="10">
        <f>MAX(MAX(1.4/'Parametros'!$B$3,0.25*SQRT('Parametros'!$B$2)/'Parametros'!$B$3)*H490*U490,(0.85*'Parametros'!$B$2/'Parametros'!$B$3)*(1-SQRT(1-2*(J490*1000000/('Parametros'!$B$5*H490*U490^2))/(0.85*'Parametros'!$B$2)))*H490*U490)</f>
        <v>656.733333333333</v>
      </c>
      <c r="S490" s="17" t="n">
        <v>4</v>
      </c>
      <c r="T490" s="18" t="n">
        <v>1</v>
      </c>
      <c r="U490" s="10">
        <f>IF(T490=1,I490-('Parametros'!$B$7+'Parametros'!$B$9+'Parametros'!$B$12/2),I490-(ROUNDUP(S490/2,0)*('Parametros'!$B$7+'Parametros'!$B$9+'Parametros'!$B$12/2)+ROUNDDOWN(S490/2,0)*('Parametros'!$B$7+'Parametros'!$B$9+'Parametros'!$B$12/2+'Parametros'!$B$12+'Parametros'!$B$10))/S490)</f>
        <v>492.55</v>
      </c>
      <c r="V490" s="10">
        <f>S490*'Parametros'!$B$8</f>
        <v>796</v>
      </c>
      <c r="W490" s="10">
        <f>'Parametros'!$B$5*V490*'Parametros'!$B$3*(U490-(V490*'Parametros'!$B$3/(0.85*'Parametros'!$B$2*H490))/2)/1000000</f>
        <v>142.919145105882</v>
      </c>
      <c r="X490" s="10" t="str">
        <f>IF(W490&gt;=J490,"CUMPLE","NO CUMPLE")</f>
        <v>CUMPLE</v>
      </c>
      <c r="Y490" s="10">
        <f>MAX(MAX(1.4/'Parametros'!$B$3,0.25*SQRT('Parametros'!$B$2)/'Parametros'!$B$3)*H490*AB490,(0.85*'Parametros'!$B$2/'Parametros'!$B$3)*(1-SQRT(1-2*(L490*1000000/('Parametros'!$B$5*H490*AB490^2))/(0.85*'Parametros'!$B$2)))*H490*AB490)</f>
        <v>656.733333333333</v>
      </c>
      <c r="Z490" s="17" t="n">
        <v>4</v>
      </c>
      <c r="AA490" s="18" t="n">
        <v>1</v>
      </c>
      <c r="AB490" s="10">
        <f>IF(AA490=1,I490-('Parametros'!$B$7+'Parametros'!$B$9+'Parametros'!$B$12/2),I490-(ROUNDUP(Z490/2,0)*('Parametros'!$B$7+'Parametros'!$B$9+'Parametros'!$B$12/2)+ROUNDDOWN(Z490/2,0)*('Parametros'!$B$7+'Parametros'!$B$9+'Parametros'!$B$12/2+'Parametros'!$B$12+'Parametros'!$B$10))/Z490)</f>
        <v>492.55</v>
      </c>
      <c r="AC490" s="10">
        <f>Z490*'Parametros'!$B$8</f>
        <v>796</v>
      </c>
      <c r="AD490" s="10">
        <f>'Parametros'!$B$5*AC490*'Parametros'!$B$3*(AB490-(AC490*'Parametros'!$B$3/(0.85*'Parametros'!$B$2*H490))/2)/1000000</f>
        <v>142.919145105882</v>
      </c>
      <c r="AE490" s="10" t="str">
        <f>IF(AD490&gt;=L490,"CUMPLE","NO CUMPLE")</f>
        <v>CUMPLE</v>
      </c>
      <c r="AF490" s="10">
        <f>V490*1.25*'Parametros'!$B$3*(U490-(V490*1.25*'Parametros'!$B$3/(0.85*'Parametros'!$B$2*H490))/2)/1000000</f>
        <v>196.664354558824</v>
      </c>
      <c r="AG490" s="10">
        <f>AC490*1.25*'Parametros'!$B$3*(AB490-(AC490*1.25*'Parametros'!$B$3/(0.85*'Parametros'!$B$2*H490))/2)/1000000</f>
        <v>196.664354558824</v>
      </c>
      <c r="AH490" s="10">
        <f>N490+(AF490+AG490)/D490</f>
        <v>216.270538970588</v>
      </c>
      <c r="AI490" s="10">
        <f>MIN(O490,MAX(N490,AH490))</f>
        <v>166.788</v>
      </c>
      <c r="AJ490" s="10">
        <f>0.17*SQRT('Parametros'!$B$2)*H490*MIN(U490,AB490)/1000</f>
        <v>177.230413924022</v>
      </c>
      <c r="AK490" s="10">
        <f>MAX(AI490/'Parametros'!$B$6-AJ490,0)</f>
        <v>45.1535860759785</v>
      </c>
      <c r="AL490" s="10">
        <f>0.66*SQRT('Parametros'!$B$2)*H490*MIN(U490,AB490)/1000</f>
        <v>688.071018763848</v>
      </c>
      <c r="AM490" s="10" t="str">
        <f>IF(AK490&lt;=AL490,"CUMPLE","NO CUMPLE")</f>
        <v>CUMPLE</v>
      </c>
      <c r="AN490" s="15" t="inlineStr">
        <is>
          <t>Nº3 cerrado</t>
        </is>
      </c>
      <c r="AO490" s="17" t="n">
        <v>2</v>
      </c>
      <c r="AP490" s="10">
        <f>ROUNDDOWN(MIN(IF(AK490=0,1000000000,AO490*'Parametros'!$B$11*'Parametros'!$B$4*MIN(U490,AB490)/(AK490*1000)),IF(AV490=0,1000000000,'Parametros'!$B$11/AV490),MIN(U490,AB490)/4,8*'Parametros'!$B$12,24*'Parametros'!$B$9,300)/10,0)*10</f>
        <v>120</v>
      </c>
      <c r="AQ490" s="10">
        <f>ROUNDDOWN(MIN(IF(AK490=0,1000000000,AO490*'Parametros'!$B$11*'Parametros'!$B$4*MIN(U490,AB490)/(AK490*1000)),IF(AV490=0,1000000000,'Parametros'!$B$11/AV490),MIN(U490,AB490)/2,600)/10,0)*10</f>
        <v>240</v>
      </c>
      <c r="AR490" s="10">
        <f>'Parametros'!$B$6*(AJ490+AO490*'Parametros'!$B$11*'Parametros'!$B$4*MIN(U490,AB490)/AP490/1000)</f>
        <v>316.520822943016</v>
      </c>
      <c r="AS490" s="10" t="str">
        <f>IF(AND(AM490="CUMPLE",AR490&gt;=AI490),"CUMPLE","NO CUMPLE")</f>
        <v>CUMPLE</v>
      </c>
      <c r="AT490" s="10">
        <f>'Parametros'!$B$6*0.083*SQRT('Parametros'!$B$2)*(H490*I490)^2/(2*(H490+I490))/1000000</f>
        <v>8.39093065800685</v>
      </c>
      <c r="AU490" s="10" t="str">
        <f>IF(Q490&lt;=AT490,"DESPRECIABLE","DISEÑAR")</f>
        <v>DESPRECIABLE</v>
      </c>
      <c r="AV490" s="10">
        <f>IF(Q490&lt;=AT490,0,Q490*1000000/('Parametros'!$B$6*2*0.85*(H490-2*'Parametros'!$B$7)*(I490-2*'Parametros'!$B$7)*'Parametros'!$B$4))</f>
        <v>0</v>
      </c>
      <c r="AW490" s="10">
        <f>AV490*2*((H490-2*'Parametros'!$B$7)+(I490-2*'Parametros'!$B$7))*'Parametros'!$B$4/'Parametros'!$B$3</f>
        <v>0</v>
      </c>
      <c r="AX490" s="17" t="n">
        <v>0</v>
      </c>
      <c r="AY490" s="10" t="str">
        <f>IF(AV490=0,"DESPRECIABLE",IF('Parametros'!$B$11/AP490&gt;=AV490,"CUMPLE","NO CUMPLE"))</f>
        <v>DESPRECIABLE</v>
      </c>
      <c r="AZ490" s="10" t="str">
        <f>IF(AND(X490="CUMPLE",AE490="CUMPLE",AS490="CUMPLE",OR(AY490="CUMPLE",AY490="DESPRECIABLE")),IF(OR(F490&lt;&gt;H490,G490&lt;&gt;I490),"CUMPLE - REANALIZAR SAP","CUMPLE"),"NO CUMPLE")</f>
        <v>CUMPLE - REANALIZAR SAP</v>
      </c>
    </row>
    <row r="491">
      <c r="A491" s="27" t="inlineStr">
        <is>
          <t>VR3</t>
        </is>
      </c>
      <c r="B491" s="27" t="inlineStr">
        <is>
          <t>28</t>
        </is>
      </c>
      <c r="C491" s="10" t="n">
        <v>1</v>
      </c>
      <c r="D491" s="10" t="n">
        <v>2.7</v>
      </c>
      <c r="E491" s="10" t="n">
        <v>2.7</v>
      </c>
      <c r="F491" s="10" t="n">
        <v>350</v>
      </c>
      <c r="G491" s="10" t="n">
        <v>400</v>
      </c>
      <c r="H491" s="28" t="n">
        <v>400</v>
      </c>
      <c r="I491" s="28" t="n">
        <v>550</v>
      </c>
      <c r="J491" s="16" t="n">
        <v>101.4086</v>
      </c>
      <c r="K491" s="10" t="inlineStr">
        <is>
          <t>28</t>
        </is>
      </c>
      <c r="L491" s="16" t="n">
        <v>42.0528</v>
      </c>
      <c r="M491" s="10" t="inlineStr">
        <is>
          <t>28</t>
        </is>
      </c>
      <c r="N491" s="16" t="n">
        <v>75.033</v>
      </c>
      <c r="O491" s="16" t="n">
        <v>165.816</v>
      </c>
      <c r="P491" s="10" t="inlineStr">
        <is>
          <t>28</t>
        </is>
      </c>
      <c r="Q491" s="16" t="n">
        <v>0.0005202</v>
      </c>
      <c r="R491" s="10">
        <f>MAX(MAX(1.4/'Parametros'!$B$3,0.25*SQRT('Parametros'!$B$2)/'Parametros'!$B$3)*H491*U491,(0.85*'Parametros'!$B$2/'Parametros'!$B$3)*(1-SQRT(1-2*(J491*1000000/('Parametros'!$B$5*H491*U491^2))/(0.85*'Parametros'!$B$2)))*H491*U491)</f>
        <v>656.733333333333</v>
      </c>
      <c r="S491" s="17" t="n">
        <v>4</v>
      </c>
      <c r="T491" s="18" t="n">
        <v>1</v>
      </c>
      <c r="U491" s="10">
        <f>IF(T491=1,I491-('Parametros'!$B$7+'Parametros'!$B$9+'Parametros'!$B$12/2),I491-(ROUNDUP(S491/2,0)*('Parametros'!$B$7+'Parametros'!$B$9+'Parametros'!$B$12/2)+ROUNDDOWN(S491/2,0)*('Parametros'!$B$7+'Parametros'!$B$9+'Parametros'!$B$12/2+'Parametros'!$B$12+'Parametros'!$B$10))/S491)</f>
        <v>492.55</v>
      </c>
      <c r="V491" s="10">
        <f>S491*'Parametros'!$B$8</f>
        <v>796</v>
      </c>
      <c r="W491" s="10">
        <f>'Parametros'!$B$5*V491*'Parametros'!$B$3*(U491-(V491*'Parametros'!$B$3/(0.85*'Parametros'!$B$2*H491))/2)/1000000</f>
        <v>142.919145105882</v>
      </c>
      <c r="X491" s="10" t="str">
        <f>IF(W491&gt;=J491,"CUMPLE","NO CUMPLE")</f>
        <v>CUMPLE</v>
      </c>
      <c r="Y491" s="10">
        <f>MAX(MAX(1.4/'Parametros'!$B$3,0.25*SQRT('Parametros'!$B$2)/'Parametros'!$B$3)*H491*AB491,(0.85*'Parametros'!$B$2/'Parametros'!$B$3)*(1-SQRT(1-2*(L491*1000000/('Parametros'!$B$5*H491*AB491^2))/(0.85*'Parametros'!$B$2)))*H491*AB491)</f>
        <v>656.733333333333</v>
      </c>
      <c r="Z491" s="17" t="n">
        <v>4</v>
      </c>
      <c r="AA491" s="18" t="n">
        <v>1</v>
      </c>
      <c r="AB491" s="10">
        <f>IF(AA491=1,I491-('Parametros'!$B$7+'Parametros'!$B$9+'Parametros'!$B$12/2),I491-(ROUNDUP(Z491/2,0)*('Parametros'!$B$7+'Parametros'!$B$9+'Parametros'!$B$12/2)+ROUNDDOWN(Z491/2,0)*('Parametros'!$B$7+'Parametros'!$B$9+'Parametros'!$B$12/2+'Parametros'!$B$12+'Parametros'!$B$10))/Z491)</f>
        <v>492.55</v>
      </c>
      <c r="AC491" s="10">
        <f>Z491*'Parametros'!$B$8</f>
        <v>796</v>
      </c>
      <c r="AD491" s="10">
        <f>'Parametros'!$B$5*AC491*'Parametros'!$B$3*(AB491-(AC491*'Parametros'!$B$3/(0.85*'Parametros'!$B$2*H491))/2)/1000000</f>
        <v>142.919145105882</v>
      </c>
      <c r="AE491" s="10" t="str">
        <f>IF(AD491&gt;=L491,"CUMPLE","NO CUMPLE")</f>
        <v>CUMPLE</v>
      </c>
      <c r="AF491" s="10">
        <f>V491*1.25*'Parametros'!$B$3*(U491-(V491*1.25*'Parametros'!$B$3/(0.85*'Parametros'!$B$2*H491))/2)/1000000</f>
        <v>196.664354558824</v>
      </c>
      <c r="AG491" s="10">
        <f>AC491*1.25*'Parametros'!$B$3*(AB491-(AC491*1.25*'Parametros'!$B$3/(0.85*'Parametros'!$B$2*H491))/2)/1000000</f>
        <v>196.664354558824</v>
      </c>
      <c r="AH491" s="10">
        <f>N491+(AF491+AG491)/D491</f>
        <v>220.710299673203</v>
      </c>
      <c r="AI491" s="10">
        <f>MIN(O491,MAX(N491,AH491))</f>
        <v>165.816</v>
      </c>
      <c r="AJ491" s="10">
        <f>0.17*SQRT('Parametros'!$B$2)*H491*MIN(U491,AB491)/1000</f>
        <v>177.230413924022</v>
      </c>
      <c r="AK491" s="10">
        <f>MAX(AI491/'Parametros'!$B$6-AJ491,0)</f>
        <v>43.8575860759785</v>
      </c>
      <c r="AL491" s="10">
        <f>0.66*SQRT('Parametros'!$B$2)*H491*MIN(U491,AB491)/1000</f>
        <v>688.071018763848</v>
      </c>
      <c r="AM491" s="10" t="str">
        <f>IF(AK491&lt;=AL491,"CUMPLE","NO CUMPLE")</f>
        <v>CUMPLE</v>
      </c>
      <c r="AN491" s="15" t="inlineStr">
        <is>
          <t>Nº3 cerrado</t>
        </is>
      </c>
      <c r="AO491" s="17" t="n">
        <v>2</v>
      </c>
      <c r="AP491" s="10">
        <f>ROUNDDOWN(MIN(IF(AK491=0,1000000000,AO491*'Parametros'!$B$11*'Parametros'!$B$4*MIN(U491,AB491)/(AK491*1000)),IF(AV491=0,1000000000,'Parametros'!$B$11/AV491),MIN(U491,AB491)/4,8*'Parametros'!$B$12,24*'Parametros'!$B$9,300)/10,0)*10</f>
        <v>120</v>
      </c>
      <c r="AQ491" s="10">
        <f>ROUNDDOWN(MIN(IF(AK491=0,1000000000,AO491*'Parametros'!$B$11*'Parametros'!$B$4*MIN(U491,AB491)/(AK491*1000)),IF(AV491=0,1000000000,'Parametros'!$B$11/AV491),MIN(U491,AB491)/2,600)/10,0)*10</f>
        <v>240</v>
      </c>
      <c r="AR491" s="10">
        <f>'Parametros'!$B$6*(AJ491+AO491*'Parametros'!$B$11*'Parametros'!$B$4*MIN(U491,AB491)/AP491/1000)</f>
        <v>316.520822943016</v>
      </c>
      <c r="AS491" s="10" t="str">
        <f>IF(AND(AM491="CUMPLE",AR491&gt;=AI491),"CUMPLE","NO CUMPLE")</f>
        <v>CUMPLE</v>
      </c>
      <c r="AT491" s="10">
        <f>'Parametros'!$B$6*0.083*SQRT('Parametros'!$B$2)*(H491*I491)^2/(2*(H491+I491))/1000000</f>
        <v>8.39093065800685</v>
      </c>
      <c r="AU491" s="10" t="str">
        <f>IF(Q491&lt;=AT491,"DESPRECIABLE","DISEÑAR")</f>
        <v>DESPRECIABLE</v>
      </c>
      <c r="AV491" s="10">
        <f>IF(Q491&lt;=AT491,0,Q491*1000000/('Parametros'!$B$6*2*0.85*(H491-2*'Parametros'!$B$7)*(I491-2*'Parametros'!$B$7)*'Parametros'!$B$4))</f>
        <v>0</v>
      </c>
      <c r="AW491" s="10">
        <f>AV491*2*((H491-2*'Parametros'!$B$7)+(I491-2*'Parametros'!$B$7))*'Parametros'!$B$4/'Parametros'!$B$3</f>
        <v>0</v>
      </c>
      <c r="AX491" s="17" t="n">
        <v>0</v>
      </c>
      <c r="AY491" s="10" t="str">
        <f>IF(AV491=0,"DESPRECIABLE",IF('Parametros'!$B$11/AP491&gt;=AV491,"CUMPLE","NO CUMPLE"))</f>
        <v>DESPRECIABLE</v>
      </c>
      <c r="AZ491" s="10" t="str">
        <f>IF(AND(X491="CUMPLE",AE491="CUMPLE",AS491="CUMPLE",OR(AY491="CUMPLE",AY491="DESPRECIABLE")),IF(OR(F491&lt;&gt;H491,G491&lt;&gt;I491),"CUMPLE - REANALIZAR SAP","CUMPLE"),"NO CUMPLE")</f>
        <v>CUMPLE - REANALIZAR SAP</v>
      </c>
    </row>
    <row r="492">
      <c r="A492" s="27" t="inlineStr">
        <is>
          <t>VR3</t>
        </is>
      </c>
      <c r="B492" s="27" t="inlineStr">
        <is>
          <t>29</t>
        </is>
      </c>
      <c r="C492" s="10" t="n">
        <v>1</v>
      </c>
      <c r="D492" s="10" t="n">
        <v>4</v>
      </c>
      <c r="E492" s="10" t="n">
        <v>4</v>
      </c>
      <c r="F492" s="10" t="n">
        <v>350</v>
      </c>
      <c r="G492" s="10" t="n">
        <v>400</v>
      </c>
      <c r="H492" s="28" t="n">
        <v>400</v>
      </c>
      <c r="I492" s="28" t="n">
        <v>550</v>
      </c>
      <c r="J492" s="16" t="n">
        <v>119.237</v>
      </c>
      <c r="K492" s="10" t="inlineStr">
        <is>
          <t>29</t>
        </is>
      </c>
      <c r="L492" s="16" t="n">
        <v>62.3016</v>
      </c>
      <c r="M492" s="10" t="inlineStr">
        <is>
          <t>29</t>
        </is>
      </c>
      <c r="N492" s="16" t="n">
        <v>95.142</v>
      </c>
      <c r="O492" s="16" t="n">
        <v>258.83</v>
      </c>
      <c r="P492" s="10" t="inlineStr">
        <is>
          <t>29</t>
        </is>
      </c>
      <c r="Q492" s="16" t="n">
        <v>0.3919</v>
      </c>
      <c r="R492" s="10">
        <f>MAX(MAX(1.4/'Parametros'!$B$3,0.25*SQRT('Parametros'!$B$2)/'Parametros'!$B$3)*H492*U492,(0.85*'Parametros'!$B$2/'Parametros'!$B$3)*(1-SQRT(1-2*(J492*1000000/('Parametros'!$B$5*H492*U492^2))/(0.85*'Parametros'!$B$2)))*H492*U492)</f>
        <v>659.93013560466</v>
      </c>
      <c r="S492" s="17" t="n">
        <v>4</v>
      </c>
      <c r="T492" s="18" t="n">
        <v>1</v>
      </c>
      <c r="U492" s="10">
        <f>IF(T492=1,I492-('Parametros'!$B$7+'Parametros'!$B$9+'Parametros'!$B$12/2),I492-(ROUNDUP(S492/2,0)*('Parametros'!$B$7+'Parametros'!$B$9+'Parametros'!$B$12/2)+ROUNDDOWN(S492/2,0)*('Parametros'!$B$7+'Parametros'!$B$9+'Parametros'!$B$12/2+'Parametros'!$B$12+'Parametros'!$B$10))/S492)</f>
        <v>492.55</v>
      </c>
      <c r="V492" s="10">
        <f>S492*'Parametros'!$B$8</f>
        <v>796</v>
      </c>
      <c r="W492" s="10">
        <f>'Parametros'!$B$5*V492*'Parametros'!$B$3*(U492-(V492*'Parametros'!$B$3/(0.85*'Parametros'!$B$2*H492))/2)/1000000</f>
        <v>142.919145105882</v>
      </c>
      <c r="X492" s="10" t="str">
        <f>IF(W492&gt;=J492,"CUMPLE","NO CUMPLE")</f>
        <v>CUMPLE</v>
      </c>
      <c r="Y492" s="10">
        <f>MAX(MAX(1.4/'Parametros'!$B$3,0.25*SQRT('Parametros'!$B$2)/'Parametros'!$B$3)*H492*AB492,(0.85*'Parametros'!$B$2/'Parametros'!$B$3)*(1-SQRT(1-2*(L492*1000000/('Parametros'!$B$5*H492*AB492^2))/(0.85*'Parametros'!$B$2)))*H492*AB492)</f>
        <v>656.733333333333</v>
      </c>
      <c r="Z492" s="17" t="n">
        <v>4</v>
      </c>
      <c r="AA492" s="18" t="n">
        <v>1</v>
      </c>
      <c r="AB492" s="10">
        <f>IF(AA492=1,I492-('Parametros'!$B$7+'Parametros'!$B$9+'Parametros'!$B$12/2),I492-(ROUNDUP(Z492/2,0)*('Parametros'!$B$7+'Parametros'!$B$9+'Parametros'!$B$12/2)+ROUNDDOWN(Z492/2,0)*('Parametros'!$B$7+'Parametros'!$B$9+'Parametros'!$B$12/2+'Parametros'!$B$12+'Parametros'!$B$10))/Z492)</f>
        <v>492.55</v>
      </c>
      <c r="AC492" s="10">
        <f>Z492*'Parametros'!$B$8</f>
        <v>796</v>
      </c>
      <c r="AD492" s="10">
        <f>'Parametros'!$B$5*AC492*'Parametros'!$B$3*(AB492-(AC492*'Parametros'!$B$3/(0.85*'Parametros'!$B$2*H492))/2)/1000000</f>
        <v>142.919145105882</v>
      </c>
      <c r="AE492" s="10" t="str">
        <f>IF(AD492&gt;=L492,"CUMPLE","NO CUMPLE")</f>
        <v>CUMPLE</v>
      </c>
      <c r="AF492" s="10">
        <f>V492*1.25*'Parametros'!$B$3*(U492-(V492*1.25*'Parametros'!$B$3/(0.85*'Parametros'!$B$2*H492))/2)/1000000</f>
        <v>196.664354558824</v>
      </c>
      <c r="AG492" s="10">
        <f>AC492*1.25*'Parametros'!$B$3*(AB492-(AC492*1.25*'Parametros'!$B$3/(0.85*'Parametros'!$B$2*H492))/2)/1000000</f>
        <v>196.664354558824</v>
      </c>
      <c r="AH492" s="10">
        <f>N492+(AF492+AG492)/D492</f>
        <v>193.474177279412</v>
      </c>
      <c r="AI492" s="10">
        <f>MIN(O492,MAX(N492,AH492))</f>
        <v>193.474177279412</v>
      </c>
      <c r="AJ492" s="10">
        <f>0.17*SQRT('Parametros'!$B$2)*H492*MIN(U492,AB492)/1000</f>
        <v>177.230413924022</v>
      </c>
      <c r="AK492" s="10">
        <f>MAX(AI492/'Parametros'!$B$6-AJ492,0)</f>
        <v>80.7351557818609</v>
      </c>
      <c r="AL492" s="10">
        <f>0.66*SQRT('Parametros'!$B$2)*H492*MIN(U492,AB492)/1000</f>
        <v>688.071018763848</v>
      </c>
      <c r="AM492" s="10" t="str">
        <f>IF(AK492&lt;=AL492,"CUMPLE","NO CUMPLE")</f>
        <v>CUMPLE</v>
      </c>
      <c r="AN492" s="15" t="inlineStr">
        <is>
          <t>Nº3 cerrado</t>
        </is>
      </c>
      <c r="AO492" s="17" t="n">
        <v>2</v>
      </c>
      <c r="AP492" s="10">
        <f>ROUNDDOWN(MIN(IF(AK492=0,1000000000,AO492*'Parametros'!$B$11*'Parametros'!$B$4*MIN(U492,AB492)/(AK492*1000)),IF(AV492=0,1000000000,'Parametros'!$B$11/AV492),MIN(U492,AB492)/4,8*'Parametros'!$B$12,24*'Parametros'!$B$9,300)/10,0)*10</f>
        <v>120</v>
      </c>
      <c r="AQ492" s="10">
        <f>ROUNDDOWN(MIN(IF(AK492=0,1000000000,AO492*'Parametros'!$B$11*'Parametros'!$B$4*MIN(U492,AB492)/(AK492*1000)),IF(AV492=0,1000000000,'Parametros'!$B$11/AV492),MIN(U492,AB492)/2,600)/10,0)*10</f>
        <v>240</v>
      </c>
      <c r="AR492" s="10">
        <f>'Parametros'!$B$6*(AJ492+AO492*'Parametros'!$B$11*'Parametros'!$B$4*MIN(U492,AB492)/AP492/1000)</f>
        <v>316.520822943016</v>
      </c>
      <c r="AS492" s="10" t="str">
        <f>IF(AND(AM492="CUMPLE",AR492&gt;=AI492),"CUMPLE","NO CUMPLE")</f>
        <v>CUMPLE</v>
      </c>
      <c r="AT492" s="10">
        <f>'Parametros'!$B$6*0.083*SQRT('Parametros'!$B$2)*(H492*I492)^2/(2*(H492+I492))/1000000</f>
        <v>8.39093065800685</v>
      </c>
      <c r="AU492" s="10" t="str">
        <f>IF(Q492&lt;=AT492,"DESPRECIABLE","DISEÑAR")</f>
        <v>DESPRECIABLE</v>
      </c>
      <c r="AV492" s="10">
        <f>IF(Q492&lt;=AT492,0,Q492*1000000/('Parametros'!$B$6*2*0.85*(H492-2*'Parametros'!$B$7)*(I492-2*'Parametros'!$B$7)*'Parametros'!$B$4))</f>
        <v>0</v>
      </c>
      <c r="AW492" s="10">
        <f>AV492*2*((H492-2*'Parametros'!$B$7)+(I492-2*'Parametros'!$B$7))*'Parametros'!$B$4/'Parametros'!$B$3</f>
        <v>0</v>
      </c>
      <c r="AX492" s="17" t="n">
        <v>0</v>
      </c>
      <c r="AY492" s="10" t="str">
        <f>IF(AV492=0,"DESPRECIABLE",IF('Parametros'!$B$11/AP492&gt;=AV492,"CUMPLE","NO CUMPLE"))</f>
        <v>DESPRECIABLE</v>
      </c>
      <c r="AZ492" s="10" t="str">
        <f>IF(AND(X492="CUMPLE",AE492="CUMPLE",AS492="CUMPLE",OR(AY492="CUMPLE",AY492="DESPRECIABLE")),IF(OR(F492&lt;&gt;H492,G492&lt;&gt;I492),"CUMPLE - REANALIZAR SAP","CUMPLE"),"NO CUMPLE")</f>
        <v>CUMPLE - REANALIZAR SAP</v>
      </c>
    </row>
    <row r="493">
      <c r="A493" s="27" t="inlineStr">
        <is>
          <t>VR3</t>
        </is>
      </c>
      <c r="B493" s="27" t="inlineStr">
        <is>
          <t>30</t>
        </is>
      </c>
      <c r="C493" s="10" t="n">
        <v>1</v>
      </c>
      <c r="D493" s="10" t="n">
        <v>2.5</v>
      </c>
      <c r="E493" s="10" t="n">
        <v>2.5</v>
      </c>
      <c r="F493" s="10" t="n">
        <v>350</v>
      </c>
      <c r="G493" s="10" t="n">
        <v>400</v>
      </c>
      <c r="H493" s="28" t="n">
        <v>400</v>
      </c>
      <c r="I493" s="28" t="n">
        <v>550</v>
      </c>
      <c r="J493" s="16" t="n">
        <v>144.7981</v>
      </c>
      <c r="K493" s="10" t="inlineStr">
        <is>
          <t>30</t>
        </is>
      </c>
      <c r="L493" s="16" t="n">
        <v>103.7023</v>
      </c>
      <c r="M493" s="10" t="inlineStr">
        <is>
          <t>30</t>
        </is>
      </c>
      <c r="N493" s="16" t="n">
        <v>130.324</v>
      </c>
      <c r="O493" s="16" t="n">
        <v>490.48</v>
      </c>
      <c r="P493" s="10" t="inlineStr">
        <is>
          <t>30</t>
        </is>
      </c>
      <c r="Q493" s="16" t="n">
        <v>0.0587</v>
      </c>
      <c r="R493" s="10">
        <f>MAX(MAX(1.4/'Parametros'!$B$3,0.25*SQRT('Parametros'!$B$2)/'Parametros'!$B$3)*H493*U493,(0.85*'Parametros'!$B$2/'Parametros'!$B$3)*(1-SQRT(1-2*(J493*1000000/('Parametros'!$B$5*H493*U493^2))/(0.85*'Parametros'!$B$2)))*H493*U493)</f>
        <v>806.872400399002</v>
      </c>
      <c r="S493" s="17" t="n">
        <v>5</v>
      </c>
      <c r="T493" s="18" t="n">
        <v>1</v>
      </c>
      <c r="U493" s="10">
        <f>IF(T493=1,I493-('Parametros'!$B$7+'Parametros'!$B$9+'Parametros'!$B$12/2),I493-(ROUNDUP(S493/2,0)*('Parametros'!$B$7+'Parametros'!$B$9+'Parametros'!$B$12/2)+ROUNDDOWN(S493/2,0)*('Parametros'!$B$7+'Parametros'!$B$9+'Parametros'!$B$12/2+'Parametros'!$B$12+'Parametros'!$B$10))/S493)</f>
        <v>492.55</v>
      </c>
      <c r="V493" s="10">
        <f>S493*'Parametros'!$B$8</f>
        <v>995</v>
      </c>
      <c r="W493" s="10">
        <f>'Parametros'!$B$5*V493*'Parametros'!$B$3*(U493-(V493*'Parametros'!$B$3/(0.85*'Parametros'!$B$2*H493))/2)/1000000</f>
        <v>176.997919102941</v>
      </c>
      <c r="X493" s="10" t="str">
        <f>IF(W493&gt;=J493,"CUMPLE","NO CUMPLE")</f>
        <v>CUMPLE</v>
      </c>
      <c r="Y493" s="10">
        <f>MAX(MAX(1.4/'Parametros'!$B$3,0.25*SQRT('Parametros'!$B$2)/'Parametros'!$B$3)*H493*AB493,(0.85*'Parametros'!$B$2/'Parametros'!$B$3)*(1-SQRT(1-2*(L493*1000000/('Parametros'!$B$5*H493*AB493^2))/(0.85*'Parametros'!$B$2)))*H493*AB493)</f>
        <v>656.733333333333</v>
      </c>
      <c r="Z493" s="17" t="n">
        <v>4</v>
      </c>
      <c r="AA493" s="18" t="n">
        <v>1</v>
      </c>
      <c r="AB493" s="10">
        <f>IF(AA493=1,I493-('Parametros'!$B$7+'Parametros'!$B$9+'Parametros'!$B$12/2),I493-(ROUNDUP(Z493/2,0)*('Parametros'!$B$7+'Parametros'!$B$9+'Parametros'!$B$12/2)+ROUNDDOWN(Z493/2,0)*('Parametros'!$B$7+'Parametros'!$B$9+'Parametros'!$B$12/2+'Parametros'!$B$12+'Parametros'!$B$10))/Z493)</f>
        <v>492.55</v>
      </c>
      <c r="AC493" s="10">
        <f>Z493*'Parametros'!$B$8</f>
        <v>796</v>
      </c>
      <c r="AD493" s="10">
        <f>'Parametros'!$B$5*AC493*'Parametros'!$B$3*(AB493-(AC493*'Parametros'!$B$3/(0.85*'Parametros'!$B$2*H493))/2)/1000000</f>
        <v>142.919145105882</v>
      </c>
      <c r="AE493" s="10" t="str">
        <f>IF(AD493&gt;=L493,"CUMPLE","NO CUMPLE")</f>
        <v>CUMPLE</v>
      </c>
      <c r="AF493" s="10">
        <f>V493*1.25*'Parametros'!$B$3*(U493-(V493*1.25*'Parametros'!$B$3/(0.85*'Parametros'!$B$2*H493))/2)/1000000</f>
        <v>242.964102435662</v>
      </c>
      <c r="AG493" s="10">
        <f>AC493*1.25*'Parametros'!$B$3*(AB493-(AC493*1.25*'Parametros'!$B$3/(0.85*'Parametros'!$B$2*H493))/2)/1000000</f>
        <v>196.664354558824</v>
      </c>
      <c r="AH493" s="10">
        <f>N493+(AF493+AG493)/D493</f>
        <v>306.175382797794</v>
      </c>
      <c r="AI493" s="10">
        <f>MIN(O493,MAX(N493,AH493))</f>
        <v>306.175382797794</v>
      </c>
      <c r="AJ493" s="10">
        <f>0.17*SQRT('Parametros'!$B$2)*H493*MIN(U493,AB493)/1000</f>
        <v>177.230413924022</v>
      </c>
      <c r="AK493" s="10">
        <f>MAX(AI493/'Parametros'!$B$6-AJ493,0)</f>
        <v>231.003429806371</v>
      </c>
      <c r="AL493" s="10">
        <f>0.66*SQRT('Parametros'!$B$2)*H493*MIN(U493,AB493)/1000</f>
        <v>688.071018763848</v>
      </c>
      <c r="AM493" s="10" t="str">
        <f>IF(AK493&lt;=AL493,"CUMPLE","NO CUMPLE")</f>
        <v>CUMPLE</v>
      </c>
      <c r="AN493" s="15" t="inlineStr">
        <is>
          <t>Nº3 cerrado</t>
        </is>
      </c>
      <c r="AO493" s="17" t="n">
        <v>2</v>
      </c>
      <c r="AP493" s="10">
        <f>ROUNDDOWN(MIN(IF(AK493=0,1000000000,AO493*'Parametros'!$B$11*'Parametros'!$B$4*MIN(U493,AB493)/(AK493*1000)),IF(AV493=0,1000000000,'Parametros'!$B$11/AV493),MIN(U493,AB493)/4,8*'Parametros'!$B$12,24*'Parametros'!$B$9,300)/10,0)*10</f>
        <v>120</v>
      </c>
      <c r="AQ493" s="10">
        <f>ROUNDDOWN(MIN(IF(AK493=0,1000000000,AO493*'Parametros'!$B$11*'Parametros'!$B$4*MIN(U493,AB493)/(AK493*1000)),IF(AV493=0,1000000000,'Parametros'!$B$11/AV493),MIN(U493,AB493)/2,600)/10,0)*10</f>
        <v>120</v>
      </c>
      <c r="AR493" s="10">
        <f>'Parametros'!$B$6*(AJ493+AO493*'Parametros'!$B$11*'Parametros'!$B$4*MIN(U493,AB493)/AP493/1000)</f>
        <v>316.520822943016</v>
      </c>
      <c r="AS493" s="10" t="str">
        <f>IF(AND(AM493="CUMPLE",AR493&gt;=AI493),"CUMPLE","NO CUMPLE")</f>
        <v>CUMPLE</v>
      </c>
      <c r="AT493" s="10">
        <f>'Parametros'!$B$6*0.083*SQRT('Parametros'!$B$2)*(H493*I493)^2/(2*(H493+I493))/1000000</f>
        <v>8.39093065800685</v>
      </c>
      <c r="AU493" s="10" t="str">
        <f>IF(Q493&lt;=AT493,"DESPRECIABLE","DISEÑAR")</f>
        <v>DESPRECIABLE</v>
      </c>
      <c r="AV493" s="10">
        <f>IF(Q493&lt;=AT493,0,Q493*1000000/('Parametros'!$B$6*2*0.85*(H493-2*'Parametros'!$B$7)*(I493-2*'Parametros'!$B$7)*'Parametros'!$B$4))</f>
        <v>0</v>
      </c>
      <c r="AW493" s="10">
        <f>AV493*2*((H493-2*'Parametros'!$B$7)+(I493-2*'Parametros'!$B$7))*'Parametros'!$B$4/'Parametros'!$B$3</f>
        <v>0</v>
      </c>
      <c r="AX493" s="17" t="n">
        <v>0</v>
      </c>
      <c r="AY493" s="10" t="str">
        <f>IF(AV493=0,"DESPRECIABLE",IF('Parametros'!$B$11/AP493&gt;=AV493,"CUMPLE","NO CUMPLE"))</f>
        <v>DESPRECIABLE</v>
      </c>
      <c r="AZ493" s="10" t="str">
        <f>IF(AND(X493="CUMPLE",AE493="CUMPLE",AS493="CUMPLE",OR(AY493="CUMPLE",AY493="DESPRECIABLE")),IF(OR(F493&lt;&gt;H493,G493&lt;&gt;I493),"CUMPLE - REANALIZAR SAP","CUMPLE"),"NO CUMPLE")</f>
        <v>CUMPLE - REANALIZAR SAP</v>
      </c>
    </row>
    <row r="494">
      <c r="A494" s="27" t="inlineStr">
        <is>
          <t>VR3</t>
        </is>
      </c>
      <c r="B494" s="27" t="inlineStr">
        <is>
          <t>31</t>
        </is>
      </c>
      <c r="C494" s="10" t="n">
        <v>1</v>
      </c>
      <c r="D494" s="10" t="n">
        <v>2.6</v>
      </c>
      <c r="E494" s="10" t="n">
        <v>2.6</v>
      </c>
      <c r="F494" s="10" t="n">
        <v>350</v>
      </c>
      <c r="G494" s="10" t="n">
        <v>400</v>
      </c>
      <c r="H494" s="28" t="n">
        <v>400</v>
      </c>
      <c r="I494" s="28" t="n">
        <v>550</v>
      </c>
      <c r="J494" s="16" t="n">
        <v>216.019</v>
      </c>
      <c r="K494" s="10" t="inlineStr">
        <is>
          <t>31</t>
        </is>
      </c>
      <c r="L494" s="16" t="n">
        <v>97.7359</v>
      </c>
      <c r="M494" s="10" t="inlineStr">
        <is>
          <t>31</t>
        </is>
      </c>
      <c r="N494" s="16" t="n">
        <v>171.507</v>
      </c>
      <c r="O494" s="16" t="n">
        <v>248.563</v>
      </c>
      <c r="P494" s="10" t="inlineStr">
        <is>
          <t>31</t>
        </is>
      </c>
      <c r="Q494" s="16" t="n">
        <v>4.8041</v>
      </c>
      <c r="R494" s="10">
        <f>MAX(MAX(1.4/'Parametros'!$B$3,0.25*SQRT('Parametros'!$B$2)/'Parametros'!$B$3)*H494*U494,(0.85*'Parametros'!$B$2/'Parametros'!$B$3)*(1-SQRT(1-2*(J494*1000000/('Parametros'!$B$5*H494*U494^2))/(0.85*'Parametros'!$B$2)))*H494*U494)</f>
        <v>1227.75315631843</v>
      </c>
      <c r="S494" s="17" t="n">
        <v>7</v>
      </c>
      <c r="T494" s="18" t="n">
        <v>1</v>
      </c>
      <c r="U494" s="10">
        <f>IF(T494=1,I494-('Parametros'!$B$7+'Parametros'!$B$9+'Parametros'!$B$12/2),I494-(ROUNDUP(S494/2,0)*('Parametros'!$B$7+'Parametros'!$B$9+'Parametros'!$B$12/2)+ROUNDDOWN(S494/2,0)*('Parametros'!$B$7+'Parametros'!$B$9+'Parametros'!$B$12/2+'Parametros'!$B$12+'Parametros'!$B$10))/S494)</f>
        <v>492.55</v>
      </c>
      <c r="V494" s="10">
        <f>S494*'Parametros'!$B$8</f>
        <v>1393</v>
      </c>
      <c r="W494" s="10">
        <f>'Parametros'!$B$5*V494*'Parametros'!$B$3*(U494-(V494*'Parametros'!$B$3/(0.85*'Parametros'!$B$2*H494))/2)/1000000</f>
        <v>243.174252361765</v>
      </c>
      <c r="X494" s="10" t="str">
        <f>IF(W494&gt;=J494,"CUMPLE","NO CUMPLE")</f>
        <v>CUMPLE</v>
      </c>
      <c r="Y494" s="10">
        <f>MAX(MAX(1.4/'Parametros'!$B$3,0.25*SQRT('Parametros'!$B$2)/'Parametros'!$B$3)*H494*AB494,(0.85*'Parametros'!$B$2/'Parametros'!$B$3)*(1-SQRT(1-2*(L494*1000000/('Parametros'!$B$5*H494*AB494^2))/(0.85*'Parametros'!$B$2)))*H494*AB494)</f>
        <v>656.733333333333</v>
      </c>
      <c r="Z494" s="17" t="n">
        <v>4</v>
      </c>
      <c r="AA494" s="18" t="n">
        <v>1</v>
      </c>
      <c r="AB494" s="10">
        <f>IF(AA494=1,I494-('Parametros'!$B$7+'Parametros'!$B$9+'Parametros'!$B$12/2),I494-(ROUNDUP(Z494/2,0)*('Parametros'!$B$7+'Parametros'!$B$9+'Parametros'!$B$12/2)+ROUNDDOWN(Z494/2,0)*('Parametros'!$B$7+'Parametros'!$B$9+'Parametros'!$B$12/2+'Parametros'!$B$12+'Parametros'!$B$10))/Z494)</f>
        <v>492.55</v>
      </c>
      <c r="AC494" s="10">
        <f>Z494*'Parametros'!$B$8</f>
        <v>796</v>
      </c>
      <c r="AD494" s="10">
        <f>'Parametros'!$B$5*AC494*'Parametros'!$B$3*(AB494-(AC494*'Parametros'!$B$3/(0.85*'Parametros'!$B$2*H494))/2)/1000000</f>
        <v>142.919145105882</v>
      </c>
      <c r="AE494" s="10" t="str">
        <f>IF(AD494&gt;=L494,"CUMPLE","NO CUMPLE")</f>
        <v>CUMPLE</v>
      </c>
      <c r="AF494" s="10">
        <f>V494*1.25*'Parametros'!$B$3*(U494-(V494*1.25*'Parametros'!$B$3/(0.85*'Parametros'!$B$2*H494))/2)/1000000</f>
        <v>332.123989273897</v>
      </c>
      <c r="AG494" s="10">
        <f>AC494*1.25*'Parametros'!$B$3*(AB494-(AC494*1.25*'Parametros'!$B$3/(0.85*'Parametros'!$B$2*H494))/2)/1000000</f>
        <v>196.664354558824</v>
      </c>
      <c r="AH494" s="10">
        <f>N494+(AF494+AG494)/D494</f>
        <v>374.887132243354</v>
      </c>
      <c r="AI494" s="10">
        <f>MIN(O494,MAX(N494,AH494))</f>
        <v>248.563</v>
      </c>
      <c r="AJ494" s="10">
        <f>0.17*SQRT('Parametros'!$B$2)*H494*MIN(U494,AB494)/1000</f>
        <v>177.230413924022</v>
      </c>
      <c r="AK494" s="10">
        <f>MAX(AI494/'Parametros'!$B$6-AJ494,0)</f>
        <v>154.186919409312</v>
      </c>
      <c r="AL494" s="10">
        <f>0.66*SQRT('Parametros'!$B$2)*H494*MIN(U494,AB494)/1000</f>
        <v>688.071018763848</v>
      </c>
      <c r="AM494" s="10" t="str">
        <f>IF(AK494&lt;=AL494,"CUMPLE","NO CUMPLE")</f>
        <v>CUMPLE</v>
      </c>
      <c r="AN494" s="15" t="inlineStr">
        <is>
          <t>Nº3 cerrado</t>
        </is>
      </c>
      <c r="AO494" s="17" t="n">
        <v>2</v>
      </c>
      <c r="AP494" s="10">
        <f>ROUNDDOWN(MIN(IF(AK494=0,1000000000,AO494*'Parametros'!$B$11*'Parametros'!$B$4*MIN(U494,AB494)/(AK494*1000)),IF(AV494=0,1000000000,'Parametros'!$B$11/AV494),MIN(U494,AB494)/4,8*'Parametros'!$B$12,24*'Parametros'!$B$9,300)/10,0)*10</f>
        <v>120</v>
      </c>
      <c r="AQ494" s="10">
        <f>ROUNDDOWN(MIN(IF(AK494=0,1000000000,AO494*'Parametros'!$B$11*'Parametros'!$B$4*MIN(U494,AB494)/(AK494*1000)),IF(AV494=0,1000000000,'Parametros'!$B$11/AV494),MIN(U494,AB494)/2,600)/10,0)*10</f>
        <v>190</v>
      </c>
      <c r="AR494" s="10">
        <f>'Parametros'!$B$6*(AJ494+AO494*'Parametros'!$B$11*'Parametros'!$B$4*MIN(U494,AB494)/AP494/1000)</f>
        <v>316.520822943016</v>
      </c>
      <c r="AS494" s="10" t="str">
        <f>IF(AND(AM494="CUMPLE",AR494&gt;=AI494),"CUMPLE","NO CUMPLE")</f>
        <v>CUMPLE</v>
      </c>
      <c r="AT494" s="10">
        <f>'Parametros'!$B$6*0.083*SQRT('Parametros'!$B$2)*(H494*I494)^2/(2*(H494+I494))/1000000</f>
        <v>8.39093065800685</v>
      </c>
      <c r="AU494" s="10" t="str">
        <f>IF(Q494&lt;=AT494,"DESPRECIABLE","DISEÑAR")</f>
        <v>DESPRECIABLE</v>
      </c>
      <c r="AV494" s="10">
        <f>IF(Q494&lt;=AT494,0,Q494*1000000/('Parametros'!$B$6*2*0.85*(H494-2*'Parametros'!$B$7)*(I494-2*'Parametros'!$B$7)*'Parametros'!$B$4))</f>
        <v>0</v>
      </c>
      <c r="AW494" s="10">
        <f>AV494*2*((H494-2*'Parametros'!$B$7)+(I494-2*'Parametros'!$B$7))*'Parametros'!$B$4/'Parametros'!$B$3</f>
        <v>0</v>
      </c>
      <c r="AX494" s="17" t="n">
        <v>0</v>
      </c>
      <c r="AY494" s="10" t="str">
        <f>IF(AV494=0,"DESPRECIABLE",IF('Parametros'!$B$11/AP494&gt;=AV494,"CUMPLE","NO CUMPLE"))</f>
        <v>DESPRECIABLE</v>
      </c>
      <c r="AZ494" s="10" t="str">
        <f>IF(AND(X494="CUMPLE",AE494="CUMPLE",AS494="CUMPLE",OR(AY494="CUMPLE",AY494="DESPRECIABLE")),IF(OR(F494&lt;&gt;H494,G494&lt;&gt;I494),"CUMPLE - REANALIZAR SAP","CUMPLE"),"NO CUMPLE")</f>
        <v>CUMPLE - REANALIZAR SAP</v>
      </c>
    </row>
    <row r="495">
      <c r="A495" s="27" t="inlineStr">
        <is>
          <t>VR3</t>
        </is>
      </c>
      <c r="B495" s="27" t="inlineStr">
        <is>
          <t>32</t>
        </is>
      </c>
      <c r="C495" s="10" t="n">
        <v>1</v>
      </c>
      <c r="D495" s="10" t="n">
        <v>2.95</v>
      </c>
      <c r="E495" s="10" t="n">
        <v>2.95</v>
      </c>
      <c r="F495" s="10" t="n">
        <v>350</v>
      </c>
      <c r="G495" s="10" t="n">
        <v>400</v>
      </c>
      <c r="H495" s="28" t="n">
        <v>400</v>
      </c>
      <c r="I495" s="28" t="n">
        <v>550</v>
      </c>
      <c r="J495" s="16" t="n">
        <v>189.6293</v>
      </c>
      <c r="K495" s="10" t="inlineStr">
        <is>
          <t>32</t>
        </is>
      </c>
      <c r="L495" s="16" t="n">
        <v>109.5355</v>
      </c>
      <c r="M495" s="10" t="inlineStr">
        <is>
          <t>32</t>
        </is>
      </c>
      <c r="N495" s="16" t="n">
        <v>167.091</v>
      </c>
      <c r="O495" s="16" t="n">
        <v>243.699</v>
      </c>
      <c r="P495" s="10" t="inlineStr">
        <is>
          <t>32</t>
        </is>
      </c>
      <c r="Q495" s="16" t="n">
        <v>2.4413</v>
      </c>
      <c r="R495" s="10">
        <f>MAX(MAX(1.4/'Parametros'!$B$3,0.25*SQRT('Parametros'!$B$2)/'Parametros'!$B$3)*H495*U495,(0.85*'Parametros'!$B$2/'Parametros'!$B$3)*(1-SQRT(1-2*(J495*1000000/('Parametros'!$B$5*H495*U495^2))/(0.85*'Parametros'!$B$2)))*H495*U495)</f>
        <v>1069.75628550633</v>
      </c>
      <c r="S495" s="17" t="n">
        <v>6</v>
      </c>
      <c r="T495" s="18" t="n">
        <v>1</v>
      </c>
      <c r="U495" s="10">
        <f>IF(T495=1,I495-('Parametros'!$B$7+'Parametros'!$B$9+'Parametros'!$B$12/2),I495-(ROUNDUP(S495/2,0)*('Parametros'!$B$7+'Parametros'!$B$9+'Parametros'!$B$12/2)+ROUNDDOWN(S495/2,0)*('Parametros'!$B$7+'Parametros'!$B$9+'Parametros'!$B$12/2+'Parametros'!$B$12+'Parametros'!$B$10))/S495)</f>
        <v>492.55</v>
      </c>
      <c r="V495" s="10">
        <f>S495*'Parametros'!$B$8</f>
        <v>1194</v>
      </c>
      <c r="W495" s="10">
        <f>'Parametros'!$B$5*V495*'Parametros'!$B$3*(U495-(V495*'Parametros'!$B$3/(0.85*'Parametros'!$B$2*H495))/2)/1000000</f>
        <v>210.416288188235</v>
      </c>
      <c r="X495" s="10" t="str">
        <f>IF(W495&gt;=J495,"CUMPLE","NO CUMPLE")</f>
        <v>CUMPLE</v>
      </c>
      <c r="Y495" s="10">
        <f>MAX(MAX(1.4/'Parametros'!$B$3,0.25*SQRT('Parametros'!$B$2)/'Parametros'!$B$3)*H495*AB495,(0.85*'Parametros'!$B$2/'Parametros'!$B$3)*(1-SQRT(1-2*(L495*1000000/('Parametros'!$B$5*H495*AB495^2))/(0.85*'Parametros'!$B$2)))*H495*AB495)</f>
        <v>656.733333333333</v>
      </c>
      <c r="Z495" s="17" t="n">
        <v>4</v>
      </c>
      <c r="AA495" s="18" t="n">
        <v>1</v>
      </c>
      <c r="AB495" s="10">
        <f>IF(AA495=1,I495-('Parametros'!$B$7+'Parametros'!$B$9+'Parametros'!$B$12/2),I495-(ROUNDUP(Z495/2,0)*('Parametros'!$B$7+'Parametros'!$B$9+'Parametros'!$B$12/2)+ROUNDDOWN(Z495/2,0)*('Parametros'!$B$7+'Parametros'!$B$9+'Parametros'!$B$12/2+'Parametros'!$B$12+'Parametros'!$B$10))/Z495)</f>
        <v>492.55</v>
      </c>
      <c r="AC495" s="10">
        <f>Z495*'Parametros'!$B$8</f>
        <v>796</v>
      </c>
      <c r="AD495" s="10">
        <f>'Parametros'!$B$5*AC495*'Parametros'!$B$3*(AB495-(AC495*'Parametros'!$B$3/(0.85*'Parametros'!$B$2*H495))/2)/1000000</f>
        <v>142.919145105882</v>
      </c>
      <c r="AE495" s="10" t="str">
        <f>IF(AD495&gt;=L495,"CUMPLE","NO CUMPLE")</f>
        <v>CUMPLE</v>
      </c>
      <c r="AF495" s="10">
        <f>V495*1.25*'Parametros'!$B$3*(U495-(V495*1.25*'Parametros'!$B$3/(0.85*'Parametros'!$B$2*H495))/2)/1000000</f>
        <v>288.117314007353</v>
      </c>
      <c r="AG495" s="10">
        <f>AC495*1.25*'Parametros'!$B$3*(AB495-(AC495*1.25*'Parametros'!$B$3/(0.85*'Parametros'!$B$2*H495))/2)/1000000</f>
        <v>196.664354558824</v>
      </c>
      <c r="AH495" s="10">
        <f>N495+(AF495+AG495)/D495</f>
        <v>331.423769005484</v>
      </c>
      <c r="AI495" s="10">
        <f>MIN(O495,MAX(N495,AH495))</f>
        <v>243.699</v>
      </c>
      <c r="AJ495" s="10">
        <f>0.17*SQRT('Parametros'!$B$2)*H495*MIN(U495,AB495)/1000</f>
        <v>177.230413924022</v>
      </c>
      <c r="AK495" s="10">
        <f>MAX(AI495/'Parametros'!$B$6-AJ495,0)</f>
        <v>147.701586075978</v>
      </c>
      <c r="AL495" s="10">
        <f>0.66*SQRT('Parametros'!$B$2)*H495*MIN(U495,AB495)/1000</f>
        <v>688.071018763848</v>
      </c>
      <c r="AM495" s="10" t="str">
        <f>IF(AK495&lt;=AL495,"CUMPLE","NO CUMPLE")</f>
        <v>CUMPLE</v>
      </c>
      <c r="AN495" s="15" t="inlineStr">
        <is>
          <t>Nº3 cerrado</t>
        </is>
      </c>
      <c r="AO495" s="17" t="n">
        <v>2</v>
      </c>
      <c r="AP495" s="10">
        <f>ROUNDDOWN(MIN(IF(AK495=0,1000000000,AO495*'Parametros'!$B$11*'Parametros'!$B$4*MIN(U495,AB495)/(AK495*1000)),IF(AV495=0,1000000000,'Parametros'!$B$11/AV495),MIN(U495,AB495)/4,8*'Parametros'!$B$12,24*'Parametros'!$B$9,300)/10,0)*10</f>
        <v>120</v>
      </c>
      <c r="AQ495" s="10">
        <f>ROUNDDOWN(MIN(IF(AK495=0,1000000000,AO495*'Parametros'!$B$11*'Parametros'!$B$4*MIN(U495,AB495)/(AK495*1000)),IF(AV495=0,1000000000,'Parametros'!$B$11/AV495),MIN(U495,AB495)/2,600)/10,0)*10</f>
        <v>190</v>
      </c>
      <c r="AR495" s="10">
        <f>'Parametros'!$B$6*(AJ495+AO495*'Parametros'!$B$11*'Parametros'!$B$4*MIN(U495,AB495)/AP495/1000)</f>
        <v>316.520822943016</v>
      </c>
      <c r="AS495" s="10" t="str">
        <f>IF(AND(AM495="CUMPLE",AR495&gt;=AI495),"CUMPLE","NO CUMPLE")</f>
        <v>CUMPLE</v>
      </c>
      <c r="AT495" s="10">
        <f>'Parametros'!$B$6*0.083*SQRT('Parametros'!$B$2)*(H495*I495)^2/(2*(H495+I495))/1000000</f>
        <v>8.39093065800685</v>
      </c>
      <c r="AU495" s="10" t="str">
        <f>IF(Q495&lt;=AT495,"DESPRECIABLE","DISEÑAR")</f>
        <v>DESPRECIABLE</v>
      </c>
      <c r="AV495" s="10">
        <f>IF(Q495&lt;=AT495,0,Q495*1000000/('Parametros'!$B$6*2*0.85*(H495-2*'Parametros'!$B$7)*(I495-2*'Parametros'!$B$7)*'Parametros'!$B$4))</f>
        <v>0</v>
      </c>
      <c r="AW495" s="10">
        <f>AV495*2*((H495-2*'Parametros'!$B$7)+(I495-2*'Parametros'!$B$7))*'Parametros'!$B$4/'Parametros'!$B$3</f>
        <v>0</v>
      </c>
      <c r="AX495" s="17" t="n">
        <v>0</v>
      </c>
      <c r="AY495" s="10" t="str">
        <f>IF(AV495=0,"DESPRECIABLE",IF('Parametros'!$B$11/AP495&gt;=AV495,"CUMPLE","NO CUMPLE"))</f>
        <v>DESPRECIABLE</v>
      </c>
      <c r="AZ495" s="10" t="str">
        <f>IF(AND(X495="CUMPLE",AE495="CUMPLE",AS495="CUMPLE",OR(AY495="CUMPLE",AY495="DESPRECIABLE")),IF(OR(F495&lt;&gt;H495,G495&lt;&gt;I495),"CUMPLE - REANALIZAR SAP","CUMPLE"),"NO CUMPLE")</f>
        <v>CUMPLE - REANALIZAR SAP</v>
      </c>
    </row>
    <row r="496">
      <c r="A496" s="27" t="inlineStr">
        <is>
          <t>VR3</t>
        </is>
      </c>
      <c r="B496" s="27" t="inlineStr">
        <is>
          <t>146</t>
        </is>
      </c>
      <c r="C496" s="10" t="n">
        <v>1</v>
      </c>
      <c r="D496" s="10" t="n">
        <v>1.5</v>
      </c>
      <c r="E496" s="10" t="n">
        <v>1.5</v>
      </c>
      <c r="F496" s="10" t="n">
        <v>350</v>
      </c>
      <c r="G496" s="10" t="n">
        <v>400</v>
      </c>
      <c r="H496" s="28" t="n">
        <v>400</v>
      </c>
      <c r="I496" s="28" t="n">
        <v>550</v>
      </c>
      <c r="J496" s="16" t="n">
        <v>66.97150000000001</v>
      </c>
      <c r="K496" s="10" t="inlineStr">
        <is>
          <t>146</t>
        </is>
      </c>
      <c r="L496" s="16" t="n">
        <v>3.4154</v>
      </c>
      <c r="M496" s="10" t="inlineStr">
        <is>
          <t>146</t>
        </is>
      </c>
      <c r="N496" s="16" t="n">
        <v>50.388</v>
      </c>
      <c r="O496" s="16" t="n">
        <v>50.388</v>
      </c>
      <c r="P496" s="10" t="inlineStr">
        <is>
          <t>146</t>
        </is>
      </c>
      <c r="Q496" s="16" t="n">
        <v>18.9039</v>
      </c>
      <c r="R496" s="10">
        <f>MAX(MAX(1.4/'Parametros'!$B$3,0.25*SQRT('Parametros'!$B$2)/'Parametros'!$B$3)*H496*U496,(0.85*'Parametros'!$B$2/'Parametros'!$B$3)*(1-SQRT(1-2*(J496*1000000/('Parametros'!$B$5*H496*U496^2))/(0.85*'Parametros'!$B$2)))*H496*U496)</f>
        <v>656.733333333333</v>
      </c>
      <c r="S496" s="17" t="n">
        <v>4</v>
      </c>
      <c r="T496" s="18" t="n">
        <v>1</v>
      </c>
      <c r="U496" s="10">
        <f>IF(T496=1,I496-('Parametros'!$B$7+'Parametros'!$B$9+'Parametros'!$B$12/2),I496-(ROUNDUP(S496/2,0)*('Parametros'!$B$7+'Parametros'!$B$9+'Parametros'!$B$12/2)+ROUNDDOWN(S496/2,0)*('Parametros'!$B$7+'Parametros'!$B$9+'Parametros'!$B$12/2+'Parametros'!$B$12+'Parametros'!$B$10))/S496)</f>
        <v>492.55</v>
      </c>
      <c r="V496" s="10">
        <f>S496*'Parametros'!$B$8</f>
        <v>796</v>
      </c>
      <c r="W496" s="10">
        <f>'Parametros'!$B$5*V496*'Parametros'!$B$3*(U496-(V496*'Parametros'!$B$3/(0.85*'Parametros'!$B$2*H496))/2)/1000000</f>
        <v>142.919145105882</v>
      </c>
      <c r="X496" s="10" t="str">
        <f>IF(W496&gt;=J496,"CUMPLE","NO CUMPLE")</f>
        <v>CUMPLE</v>
      </c>
      <c r="Y496" s="10">
        <f>MAX(MAX(1.4/'Parametros'!$B$3,0.25*SQRT('Parametros'!$B$2)/'Parametros'!$B$3)*H496*AB496,(0.85*'Parametros'!$B$2/'Parametros'!$B$3)*(1-SQRT(1-2*(L496*1000000/('Parametros'!$B$5*H496*AB496^2))/(0.85*'Parametros'!$B$2)))*H496*AB496)</f>
        <v>656.733333333333</v>
      </c>
      <c r="Z496" s="17" t="n">
        <v>4</v>
      </c>
      <c r="AA496" s="18" t="n">
        <v>1</v>
      </c>
      <c r="AB496" s="10">
        <f>IF(AA496=1,I496-('Parametros'!$B$7+'Parametros'!$B$9+'Parametros'!$B$12/2),I496-(ROUNDUP(Z496/2,0)*('Parametros'!$B$7+'Parametros'!$B$9+'Parametros'!$B$12/2)+ROUNDDOWN(Z496/2,0)*('Parametros'!$B$7+'Parametros'!$B$9+'Parametros'!$B$12/2+'Parametros'!$B$12+'Parametros'!$B$10))/Z496)</f>
        <v>492.55</v>
      </c>
      <c r="AC496" s="10">
        <f>Z496*'Parametros'!$B$8</f>
        <v>796</v>
      </c>
      <c r="AD496" s="10">
        <f>'Parametros'!$B$5*AC496*'Parametros'!$B$3*(AB496-(AC496*'Parametros'!$B$3/(0.85*'Parametros'!$B$2*H496))/2)/1000000</f>
        <v>142.919145105882</v>
      </c>
      <c r="AE496" s="10" t="str">
        <f>IF(AD496&gt;=L496,"CUMPLE","NO CUMPLE")</f>
        <v>CUMPLE</v>
      </c>
      <c r="AF496" s="10">
        <f>V496*1.25*'Parametros'!$B$3*(U496-(V496*1.25*'Parametros'!$B$3/(0.85*'Parametros'!$B$2*H496))/2)/1000000</f>
        <v>196.664354558824</v>
      </c>
      <c r="AG496" s="10">
        <f>AC496*1.25*'Parametros'!$B$3*(AB496-(AC496*1.25*'Parametros'!$B$3/(0.85*'Parametros'!$B$2*H496))/2)/1000000</f>
        <v>196.664354558824</v>
      </c>
      <c r="AH496" s="10">
        <f>N496+(AF496+AG496)/D496</f>
        <v>312.607139411765</v>
      </c>
      <c r="AI496" s="10">
        <f>MIN(O496,MAX(N496,AH496))</f>
        <v>50.388</v>
      </c>
      <c r="AJ496" s="10">
        <f>0.17*SQRT('Parametros'!$B$2)*H496*MIN(U496,AB496)/1000</f>
        <v>177.230413924022</v>
      </c>
      <c r="AK496" s="10">
        <f>MAX(AI496/'Parametros'!$B$6-AJ496,0)</f>
        <v>0</v>
      </c>
      <c r="AL496" s="10">
        <f>0.66*SQRT('Parametros'!$B$2)*H496*MIN(U496,AB496)/1000</f>
        <v>688.071018763848</v>
      </c>
      <c r="AM496" s="10" t="str">
        <f>IF(AK496&lt;=AL496,"CUMPLE","NO CUMPLE")</f>
        <v>CUMPLE</v>
      </c>
      <c r="AN496" s="15" t="inlineStr">
        <is>
          <t>Nº3 cerrado</t>
        </is>
      </c>
      <c r="AO496" s="17" t="n">
        <v>2</v>
      </c>
      <c r="AP496" s="10">
        <f>ROUNDDOWN(MIN(IF(AK496=0,1000000000,AO496*'Parametros'!$B$11*'Parametros'!$B$4*MIN(U496,AB496)/(AK496*1000)),IF(AV496=0,1000000000,'Parametros'!$B$11/AV496),MIN(U496,AB496)/4,8*'Parametros'!$B$12,24*'Parametros'!$B$9,300)/10,0)*10</f>
        <v>120</v>
      </c>
      <c r="AQ496" s="10">
        <f>ROUNDDOWN(MIN(IF(AK496=0,1000000000,AO496*'Parametros'!$B$11*'Parametros'!$B$4*MIN(U496,AB496)/(AK496*1000)),IF(AV496=0,1000000000,'Parametros'!$B$11/AV496),MIN(U496,AB496)/2,600)/10,0)*10</f>
        <v>240</v>
      </c>
      <c r="AR496" s="10">
        <f>'Parametros'!$B$6*(AJ496+AO496*'Parametros'!$B$11*'Parametros'!$B$4*MIN(U496,AB496)/AP496/1000)</f>
        <v>316.520822943016</v>
      </c>
      <c r="AS496" s="10" t="str">
        <f>IF(AND(AM496="CUMPLE",AR496&gt;=AI496),"CUMPLE","NO CUMPLE")</f>
        <v>CUMPLE</v>
      </c>
      <c r="AT496" s="10">
        <f>'Parametros'!$B$6*0.083*SQRT('Parametros'!$B$2)*(H496*I496)^2/(2*(H496+I496))/1000000</f>
        <v>8.39093065800685</v>
      </c>
      <c r="AU496" s="10" t="str">
        <f>IF(Q496&lt;=AT496,"DESPRECIABLE","DISEÑAR")</f>
        <v>DISEÑAR</v>
      </c>
      <c r="AV496" s="10">
        <f>IF(Q496&lt;=AT496,0,Q496*1000000/('Parametros'!$B$6*2*0.85*(H496-2*'Parametros'!$B$7)*(I496-2*'Parametros'!$B$7)*'Parametros'!$B$4))</f>
        <v>0.234716759044043</v>
      </c>
      <c r="AW496" s="10">
        <f>AV496*2*((H496-2*'Parametros'!$B$7)+(I496-2*'Parametros'!$B$7))*'Parametros'!$B$4/'Parametros'!$B$3</f>
        <v>370.852479289588</v>
      </c>
      <c r="AX496" s="17" t="n">
        <v>2</v>
      </c>
      <c r="AY496" s="10" t="str">
        <f>IF(AV496=0,"DESPRECIABLE",IF('Parametros'!$B$11/AP496&gt;=AV496,"CUMPLE","NO CUMPLE"))</f>
        <v>CUMPLE</v>
      </c>
      <c r="AZ496" s="10" t="str">
        <f>IF(AND(X496="CUMPLE",AE496="CUMPLE",AS496="CUMPLE",OR(AY496="CUMPLE",AY496="DESPRECIABLE")),IF(OR(F496&lt;&gt;H496,G496&lt;&gt;I496),"CUMPLE - REANALIZAR SAP","CUMPLE"),"NO CUMPLE")</f>
        <v>CUMPLE - REANALIZAR SAP</v>
      </c>
    </row>
    <row r="497">
      <c r="A497" s="27" t="inlineStr">
        <is>
          <t>VR3</t>
        </is>
      </c>
      <c r="B497" s="27" t="inlineStr">
        <is>
          <t>151</t>
        </is>
      </c>
      <c r="C497" s="10" t="n">
        <v>1</v>
      </c>
      <c r="D497" s="10" t="n">
        <v>1.5</v>
      </c>
      <c r="E497" s="10" t="n">
        <v>1.5</v>
      </c>
      <c r="F497" s="10" t="n">
        <v>350</v>
      </c>
      <c r="G497" s="10" t="n">
        <v>400</v>
      </c>
      <c r="H497" s="28" t="n">
        <v>400</v>
      </c>
      <c r="I497" s="28" t="n">
        <v>550</v>
      </c>
      <c r="J497" s="16" t="n">
        <v>66.9705</v>
      </c>
      <c r="K497" s="10" t="inlineStr">
        <is>
          <t>151</t>
        </is>
      </c>
      <c r="L497" s="16" t="n">
        <v>3.4155</v>
      </c>
      <c r="M497" s="10" t="inlineStr">
        <is>
          <t>151</t>
        </is>
      </c>
      <c r="N497" s="16" t="n">
        <v>50.388</v>
      </c>
      <c r="O497" s="16" t="n">
        <v>50.388</v>
      </c>
      <c r="P497" s="10" t="inlineStr">
        <is>
          <t>151</t>
        </is>
      </c>
      <c r="Q497" s="16" t="n">
        <v>18.9034</v>
      </c>
      <c r="R497" s="10">
        <f>MAX(MAX(1.4/'Parametros'!$B$3,0.25*SQRT('Parametros'!$B$2)/'Parametros'!$B$3)*H497*U497,(0.85*'Parametros'!$B$2/'Parametros'!$B$3)*(1-SQRT(1-2*(J497*1000000/('Parametros'!$B$5*H497*U497^2))/(0.85*'Parametros'!$B$2)))*H497*U497)</f>
        <v>656.733333333333</v>
      </c>
      <c r="S497" s="17" t="n">
        <v>4</v>
      </c>
      <c r="T497" s="18" t="n">
        <v>1</v>
      </c>
      <c r="U497" s="10">
        <f>IF(T497=1,I497-('Parametros'!$B$7+'Parametros'!$B$9+'Parametros'!$B$12/2),I497-(ROUNDUP(S497/2,0)*('Parametros'!$B$7+'Parametros'!$B$9+'Parametros'!$B$12/2)+ROUNDDOWN(S497/2,0)*('Parametros'!$B$7+'Parametros'!$B$9+'Parametros'!$B$12/2+'Parametros'!$B$12+'Parametros'!$B$10))/S497)</f>
        <v>492.55</v>
      </c>
      <c r="V497" s="10">
        <f>S497*'Parametros'!$B$8</f>
        <v>796</v>
      </c>
      <c r="W497" s="10">
        <f>'Parametros'!$B$5*V497*'Parametros'!$B$3*(U497-(V497*'Parametros'!$B$3/(0.85*'Parametros'!$B$2*H497))/2)/1000000</f>
        <v>142.919145105882</v>
      </c>
      <c r="X497" s="10" t="str">
        <f>IF(W497&gt;=J497,"CUMPLE","NO CUMPLE")</f>
        <v>CUMPLE</v>
      </c>
      <c r="Y497" s="10">
        <f>MAX(MAX(1.4/'Parametros'!$B$3,0.25*SQRT('Parametros'!$B$2)/'Parametros'!$B$3)*H497*AB497,(0.85*'Parametros'!$B$2/'Parametros'!$B$3)*(1-SQRT(1-2*(L497*1000000/('Parametros'!$B$5*H497*AB497^2))/(0.85*'Parametros'!$B$2)))*H497*AB497)</f>
        <v>656.733333333333</v>
      </c>
      <c r="Z497" s="17" t="n">
        <v>4</v>
      </c>
      <c r="AA497" s="18" t="n">
        <v>1</v>
      </c>
      <c r="AB497" s="10">
        <f>IF(AA497=1,I497-('Parametros'!$B$7+'Parametros'!$B$9+'Parametros'!$B$12/2),I497-(ROUNDUP(Z497/2,0)*('Parametros'!$B$7+'Parametros'!$B$9+'Parametros'!$B$12/2)+ROUNDDOWN(Z497/2,0)*('Parametros'!$B$7+'Parametros'!$B$9+'Parametros'!$B$12/2+'Parametros'!$B$12+'Parametros'!$B$10))/Z497)</f>
        <v>492.55</v>
      </c>
      <c r="AC497" s="10">
        <f>Z497*'Parametros'!$B$8</f>
        <v>796</v>
      </c>
      <c r="AD497" s="10">
        <f>'Parametros'!$B$5*AC497*'Parametros'!$B$3*(AB497-(AC497*'Parametros'!$B$3/(0.85*'Parametros'!$B$2*H497))/2)/1000000</f>
        <v>142.919145105882</v>
      </c>
      <c r="AE497" s="10" t="str">
        <f>IF(AD497&gt;=L497,"CUMPLE","NO CUMPLE")</f>
        <v>CUMPLE</v>
      </c>
      <c r="AF497" s="10">
        <f>V497*1.25*'Parametros'!$B$3*(U497-(V497*1.25*'Parametros'!$B$3/(0.85*'Parametros'!$B$2*H497))/2)/1000000</f>
        <v>196.664354558824</v>
      </c>
      <c r="AG497" s="10">
        <f>AC497*1.25*'Parametros'!$B$3*(AB497-(AC497*1.25*'Parametros'!$B$3/(0.85*'Parametros'!$B$2*H497))/2)/1000000</f>
        <v>196.664354558824</v>
      </c>
      <c r="AH497" s="10">
        <f>N497+(AF497+AG497)/D497</f>
        <v>312.607139411765</v>
      </c>
      <c r="AI497" s="10">
        <f>MIN(O497,MAX(N497,AH497))</f>
        <v>50.388</v>
      </c>
      <c r="AJ497" s="10">
        <f>0.17*SQRT('Parametros'!$B$2)*H497*MIN(U497,AB497)/1000</f>
        <v>177.230413924022</v>
      </c>
      <c r="AK497" s="10">
        <f>MAX(AI497/'Parametros'!$B$6-AJ497,0)</f>
        <v>0</v>
      </c>
      <c r="AL497" s="10">
        <f>0.66*SQRT('Parametros'!$B$2)*H497*MIN(U497,AB497)/1000</f>
        <v>688.071018763848</v>
      </c>
      <c r="AM497" s="10" t="str">
        <f>IF(AK497&lt;=AL497,"CUMPLE","NO CUMPLE")</f>
        <v>CUMPLE</v>
      </c>
      <c r="AN497" s="15" t="inlineStr">
        <is>
          <t>Nº3 cerrado</t>
        </is>
      </c>
      <c r="AO497" s="17" t="n">
        <v>2</v>
      </c>
      <c r="AP497" s="10">
        <f>ROUNDDOWN(MIN(IF(AK497=0,1000000000,AO497*'Parametros'!$B$11*'Parametros'!$B$4*MIN(U497,AB497)/(AK497*1000)),IF(AV497=0,1000000000,'Parametros'!$B$11/AV497),MIN(U497,AB497)/4,8*'Parametros'!$B$12,24*'Parametros'!$B$9,300)/10,0)*10</f>
        <v>120</v>
      </c>
      <c r="AQ497" s="10">
        <f>ROUNDDOWN(MIN(IF(AK497=0,1000000000,AO497*'Parametros'!$B$11*'Parametros'!$B$4*MIN(U497,AB497)/(AK497*1000)),IF(AV497=0,1000000000,'Parametros'!$B$11/AV497),MIN(U497,AB497)/2,600)/10,0)*10</f>
        <v>240</v>
      </c>
      <c r="AR497" s="10">
        <f>'Parametros'!$B$6*(AJ497+AO497*'Parametros'!$B$11*'Parametros'!$B$4*MIN(U497,AB497)/AP497/1000)</f>
        <v>316.520822943016</v>
      </c>
      <c r="AS497" s="10" t="str">
        <f>IF(AND(AM497="CUMPLE",AR497&gt;=AI497),"CUMPLE","NO CUMPLE")</f>
        <v>CUMPLE</v>
      </c>
      <c r="AT497" s="10">
        <f>'Parametros'!$B$6*0.083*SQRT('Parametros'!$B$2)*(H497*I497)^2/(2*(H497+I497))/1000000</f>
        <v>8.39093065800685</v>
      </c>
      <c r="AU497" s="10" t="str">
        <f>IF(Q497&lt;=AT497,"DESPRECIABLE","DISEÑAR")</f>
        <v>DISEÑAR</v>
      </c>
      <c r="AV497" s="10">
        <f>IF(Q497&lt;=AT497,0,Q497*1000000/('Parametros'!$B$6*2*0.85*(H497-2*'Parametros'!$B$7)*(I497-2*'Parametros'!$B$7)*'Parametros'!$B$4))</f>
        <v>0.234710550887021</v>
      </c>
      <c r="AW497" s="10">
        <f>AV497*2*((H497-2*'Parametros'!$B$7)+(I497-2*'Parametros'!$B$7))*'Parametros'!$B$4/'Parametros'!$B$3</f>
        <v>370.842670401494</v>
      </c>
      <c r="AX497" s="17" t="n">
        <v>2</v>
      </c>
      <c r="AY497" s="10" t="str">
        <f>IF(AV497=0,"DESPRECIABLE",IF('Parametros'!$B$11/AP497&gt;=AV497,"CUMPLE","NO CUMPLE"))</f>
        <v>CUMPLE</v>
      </c>
      <c r="AZ497" s="10" t="str">
        <f>IF(AND(X497="CUMPLE",AE497="CUMPLE",AS497="CUMPLE",OR(AY497="CUMPLE",AY497="DESPRECIABLE")),IF(OR(F497&lt;&gt;H497,G497&lt;&gt;I497),"CUMPLE - REANALIZAR SAP","CUMPLE"),"NO CUMPLE")</f>
        <v>CUMPLE - REANALIZAR SAP</v>
      </c>
    </row>
    <row r="498">
      <c r="A498" s="27" t="inlineStr">
        <is>
          <t>VR3</t>
        </is>
      </c>
      <c r="B498" s="27" t="inlineStr">
        <is>
          <t>156</t>
        </is>
      </c>
      <c r="C498" s="10" t="n">
        <v>1</v>
      </c>
      <c r="D498" s="10" t="n">
        <v>1.5</v>
      </c>
      <c r="E498" s="10" t="n">
        <v>1.5</v>
      </c>
      <c r="F498" s="10" t="n">
        <v>350</v>
      </c>
      <c r="G498" s="10" t="n">
        <v>400</v>
      </c>
      <c r="H498" s="28" t="n">
        <v>400</v>
      </c>
      <c r="I498" s="28" t="n">
        <v>550</v>
      </c>
      <c r="J498" s="16" t="n">
        <v>66.7299</v>
      </c>
      <c r="K498" s="10" t="inlineStr">
        <is>
          <t>156</t>
        </is>
      </c>
      <c r="L498" s="16" t="n">
        <v>3.0348</v>
      </c>
      <c r="M498" s="10" t="inlineStr">
        <is>
          <t>156</t>
        </is>
      </c>
      <c r="N498" s="16" t="n">
        <v>49.974</v>
      </c>
      <c r="O498" s="16" t="n">
        <v>49.974</v>
      </c>
      <c r="P498" s="10" t="inlineStr">
        <is>
          <t>156</t>
        </is>
      </c>
      <c r="Q498" s="16" t="n">
        <v>19.7198</v>
      </c>
      <c r="R498" s="10">
        <f>MAX(MAX(1.4/'Parametros'!$B$3,0.25*SQRT('Parametros'!$B$2)/'Parametros'!$B$3)*H498*U498,(0.85*'Parametros'!$B$2/'Parametros'!$B$3)*(1-SQRT(1-2*(J498*1000000/('Parametros'!$B$5*H498*U498^2))/(0.85*'Parametros'!$B$2)))*H498*U498)</f>
        <v>656.733333333333</v>
      </c>
      <c r="S498" s="17" t="n">
        <v>4</v>
      </c>
      <c r="T498" s="18" t="n">
        <v>1</v>
      </c>
      <c r="U498" s="10">
        <f>IF(T498=1,I498-('Parametros'!$B$7+'Parametros'!$B$9+'Parametros'!$B$12/2),I498-(ROUNDUP(S498/2,0)*('Parametros'!$B$7+'Parametros'!$B$9+'Parametros'!$B$12/2)+ROUNDDOWN(S498/2,0)*('Parametros'!$B$7+'Parametros'!$B$9+'Parametros'!$B$12/2+'Parametros'!$B$12+'Parametros'!$B$10))/S498)</f>
        <v>492.55</v>
      </c>
      <c r="V498" s="10">
        <f>S498*'Parametros'!$B$8</f>
        <v>796</v>
      </c>
      <c r="W498" s="10">
        <f>'Parametros'!$B$5*V498*'Parametros'!$B$3*(U498-(V498*'Parametros'!$B$3/(0.85*'Parametros'!$B$2*H498))/2)/1000000</f>
        <v>142.919145105882</v>
      </c>
      <c r="X498" s="10" t="str">
        <f>IF(W498&gt;=J498,"CUMPLE","NO CUMPLE")</f>
        <v>CUMPLE</v>
      </c>
      <c r="Y498" s="10">
        <f>MAX(MAX(1.4/'Parametros'!$B$3,0.25*SQRT('Parametros'!$B$2)/'Parametros'!$B$3)*H498*AB498,(0.85*'Parametros'!$B$2/'Parametros'!$B$3)*(1-SQRT(1-2*(L498*1000000/('Parametros'!$B$5*H498*AB498^2))/(0.85*'Parametros'!$B$2)))*H498*AB498)</f>
        <v>656.733333333333</v>
      </c>
      <c r="Z498" s="17" t="n">
        <v>4</v>
      </c>
      <c r="AA498" s="18" t="n">
        <v>1</v>
      </c>
      <c r="AB498" s="10">
        <f>IF(AA498=1,I498-('Parametros'!$B$7+'Parametros'!$B$9+'Parametros'!$B$12/2),I498-(ROUNDUP(Z498/2,0)*('Parametros'!$B$7+'Parametros'!$B$9+'Parametros'!$B$12/2)+ROUNDDOWN(Z498/2,0)*('Parametros'!$B$7+'Parametros'!$B$9+'Parametros'!$B$12/2+'Parametros'!$B$12+'Parametros'!$B$10))/Z498)</f>
        <v>492.55</v>
      </c>
      <c r="AC498" s="10">
        <f>Z498*'Parametros'!$B$8</f>
        <v>796</v>
      </c>
      <c r="AD498" s="10">
        <f>'Parametros'!$B$5*AC498*'Parametros'!$B$3*(AB498-(AC498*'Parametros'!$B$3/(0.85*'Parametros'!$B$2*H498))/2)/1000000</f>
        <v>142.919145105882</v>
      </c>
      <c r="AE498" s="10" t="str">
        <f>IF(AD498&gt;=L498,"CUMPLE","NO CUMPLE")</f>
        <v>CUMPLE</v>
      </c>
      <c r="AF498" s="10">
        <f>V498*1.25*'Parametros'!$B$3*(U498-(V498*1.25*'Parametros'!$B$3/(0.85*'Parametros'!$B$2*H498))/2)/1000000</f>
        <v>196.664354558824</v>
      </c>
      <c r="AG498" s="10">
        <f>AC498*1.25*'Parametros'!$B$3*(AB498-(AC498*1.25*'Parametros'!$B$3/(0.85*'Parametros'!$B$2*H498))/2)/1000000</f>
        <v>196.664354558824</v>
      </c>
      <c r="AH498" s="10">
        <f>N498+(AF498+AG498)/D498</f>
        <v>312.193139411765</v>
      </c>
      <c r="AI498" s="10">
        <f>MIN(O498,MAX(N498,AH498))</f>
        <v>49.974</v>
      </c>
      <c r="AJ498" s="10">
        <f>0.17*SQRT('Parametros'!$B$2)*H498*MIN(U498,AB498)/1000</f>
        <v>177.230413924022</v>
      </c>
      <c r="AK498" s="10">
        <f>MAX(AI498/'Parametros'!$B$6-AJ498,0)</f>
        <v>0</v>
      </c>
      <c r="AL498" s="10">
        <f>0.66*SQRT('Parametros'!$B$2)*H498*MIN(U498,AB498)/1000</f>
        <v>688.071018763848</v>
      </c>
      <c r="AM498" s="10" t="str">
        <f>IF(AK498&lt;=AL498,"CUMPLE","NO CUMPLE")</f>
        <v>CUMPLE</v>
      </c>
      <c r="AN498" s="15" t="inlineStr">
        <is>
          <t>Nº3 cerrado</t>
        </is>
      </c>
      <c r="AO498" s="17" t="n">
        <v>2</v>
      </c>
      <c r="AP498" s="10">
        <f>ROUNDDOWN(MIN(IF(AK498=0,1000000000,AO498*'Parametros'!$B$11*'Parametros'!$B$4*MIN(U498,AB498)/(AK498*1000)),IF(AV498=0,1000000000,'Parametros'!$B$11/AV498),MIN(U498,AB498)/4,8*'Parametros'!$B$12,24*'Parametros'!$B$9,300)/10,0)*10</f>
        <v>120</v>
      </c>
      <c r="AQ498" s="10">
        <f>ROUNDDOWN(MIN(IF(AK498=0,1000000000,AO498*'Parametros'!$B$11*'Parametros'!$B$4*MIN(U498,AB498)/(AK498*1000)),IF(AV498=0,1000000000,'Parametros'!$B$11/AV498),MIN(U498,AB498)/2,600)/10,0)*10</f>
        <v>240</v>
      </c>
      <c r="AR498" s="10">
        <f>'Parametros'!$B$6*(AJ498+AO498*'Parametros'!$B$11*'Parametros'!$B$4*MIN(U498,AB498)/AP498/1000)</f>
        <v>316.520822943016</v>
      </c>
      <c r="AS498" s="10" t="str">
        <f>IF(AND(AM498="CUMPLE",AR498&gt;=AI498),"CUMPLE","NO CUMPLE")</f>
        <v>CUMPLE</v>
      </c>
      <c r="AT498" s="10">
        <f>'Parametros'!$B$6*0.083*SQRT('Parametros'!$B$2)*(H498*I498)^2/(2*(H498+I498))/1000000</f>
        <v>8.39093065800685</v>
      </c>
      <c r="AU498" s="10" t="str">
        <f>IF(Q498&lt;=AT498,"DESPRECIABLE","DISEÑAR")</f>
        <v>DISEÑAR</v>
      </c>
      <c r="AV498" s="10">
        <f>IF(Q498&lt;=AT498,0,Q498*1000000/('Parametros'!$B$6*2*0.85*(H498-2*'Parametros'!$B$7)*(I498-2*'Parametros'!$B$7)*'Parametros'!$B$4))</f>
        <v>0.244847229672011</v>
      </c>
      <c r="AW498" s="10">
        <f>AV498*2*((H498-2*'Parametros'!$B$7)+(I498-2*'Parametros'!$B$7))*'Parametros'!$B$4/'Parametros'!$B$3</f>
        <v>386.858622881777</v>
      </c>
      <c r="AX498" s="17" t="n">
        <v>2</v>
      </c>
      <c r="AY498" s="10" t="str">
        <f>IF(AV498=0,"DESPRECIABLE",IF('Parametros'!$B$11/AP498&gt;=AV498,"CUMPLE","NO CUMPLE"))</f>
        <v>CUMPLE</v>
      </c>
      <c r="AZ498" s="10" t="str">
        <f>IF(AND(X498="CUMPLE",AE498="CUMPLE",AS498="CUMPLE",OR(AY498="CUMPLE",AY498="DESPRECIABLE")),IF(OR(F498&lt;&gt;H498,G498&lt;&gt;I498),"CUMPLE - REANALIZAR SAP","CUMPLE"),"NO CUMPLE")</f>
        <v>CUMPLE - REANALIZAR SAP</v>
      </c>
    </row>
    <row r="499">
      <c r="A499" s="27" t="inlineStr">
        <is>
          <t>VR3</t>
        </is>
      </c>
      <c r="B499" s="27" t="inlineStr">
        <is>
          <t>161</t>
        </is>
      </c>
      <c r="C499" s="10" t="n">
        <v>1</v>
      </c>
      <c r="D499" s="10" t="n">
        <v>1.5</v>
      </c>
      <c r="E499" s="10" t="n">
        <v>1.5</v>
      </c>
      <c r="F499" s="10" t="n">
        <v>350</v>
      </c>
      <c r="G499" s="10" t="n">
        <v>400</v>
      </c>
      <c r="H499" s="28" t="n">
        <v>400</v>
      </c>
      <c r="I499" s="28" t="n">
        <v>550</v>
      </c>
      <c r="J499" s="16" t="n">
        <v>66.1219</v>
      </c>
      <c r="K499" s="10" t="inlineStr">
        <is>
          <t>161</t>
        </is>
      </c>
      <c r="L499" s="16" t="n">
        <v>2.9062</v>
      </c>
      <c r="M499" s="10" t="inlineStr">
        <is>
          <t>161</t>
        </is>
      </c>
      <c r="N499" s="16" t="n">
        <v>49.482</v>
      </c>
      <c r="O499" s="16" t="n">
        <v>49.482</v>
      </c>
      <c r="P499" s="10" t="inlineStr">
        <is>
          <t>161</t>
        </is>
      </c>
      <c r="Q499" s="16" t="n">
        <v>16.0398</v>
      </c>
      <c r="R499" s="10">
        <f>MAX(MAX(1.4/'Parametros'!$B$3,0.25*SQRT('Parametros'!$B$2)/'Parametros'!$B$3)*H499*U499,(0.85*'Parametros'!$B$2/'Parametros'!$B$3)*(1-SQRT(1-2*(J499*1000000/('Parametros'!$B$5*H499*U499^2))/(0.85*'Parametros'!$B$2)))*H499*U499)</f>
        <v>656.733333333333</v>
      </c>
      <c r="S499" s="17" t="n">
        <v>4</v>
      </c>
      <c r="T499" s="18" t="n">
        <v>1</v>
      </c>
      <c r="U499" s="10">
        <f>IF(T499=1,I499-('Parametros'!$B$7+'Parametros'!$B$9+'Parametros'!$B$12/2),I499-(ROUNDUP(S499/2,0)*('Parametros'!$B$7+'Parametros'!$B$9+'Parametros'!$B$12/2)+ROUNDDOWN(S499/2,0)*('Parametros'!$B$7+'Parametros'!$B$9+'Parametros'!$B$12/2+'Parametros'!$B$12+'Parametros'!$B$10))/S499)</f>
        <v>492.55</v>
      </c>
      <c r="V499" s="10">
        <f>S499*'Parametros'!$B$8</f>
        <v>796</v>
      </c>
      <c r="W499" s="10">
        <f>'Parametros'!$B$5*V499*'Parametros'!$B$3*(U499-(V499*'Parametros'!$B$3/(0.85*'Parametros'!$B$2*H499))/2)/1000000</f>
        <v>142.919145105882</v>
      </c>
      <c r="X499" s="10" t="str">
        <f>IF(W499&gt;=J499,"CUMPLE","NO CUMPLE")</f>
        <v>CUMPLE</v>
      </c>
      <c r="Y499" s="10">
        <f>MAX(MAX(1.4/'Parametros'!$B$3,0.25*SQRT('Parametros'!$B$2)/'Parametros'!$B$3)*H499*AB499,(0.85*'Parametros'!$B$2/'Parametros'!$B$3)*(1-SQRT(1-2*(L499*1000000/('Parametros'!$B$5*H499*AB499^2))/(0.85*'Parametros'!$B$2)))*H499*AB499)</f>
        <v>656.733333333333</v>
      </c>
      <c r="Z499" s="17" t="n">
        <v>4</v>
      </c>
      <c r="AA499" s="18" t="n">
        <v>1</v>
      </c>
      <c r="AB499" s="10">
        <f>IF(AA499=1,I499-('Parametros'!$B$7+'Parametros'!$B$9+'Parametros'!$B$12/2),I499-(ROUNDUP(Z499/2,0)*('Parametros'!$B$7+'Parametros'!$B$9+'Parametros'!$B$12/2)+ROUNDDOWN(Z499/2,0)*('Parametros'!$B$7+'Parametros'!$B$9+'Parametros'!$B$12/2+'Parametros'!$B$12+'Parametros'!$B$10))/Z499)</f>
        <v>492.55</v>
      </c>
      <c r="AC499" s="10">
        <f>Z499*'Parametros'!$B$8</f>
        <v>796</v>
      </c>
      <c r="AD499" s="10">
        <f>'Parametros'!$B$5*AC499*'Parametros'!$B$3*(AB499-(AC499*'Parametros'!$B$3/(0.85*'Parametros'!$B$2*H499))/2)/1000000</f>
        <v>142.919145105882</v>
      </c>
      <c r="AE499" s="10" t="str">
        <f>IF(AD499&gt;=L499,"CUMPLE","NO CUMPLE")</f>
        <v>CUMPLE</v>
      </c>
      <c r="AF499" s="10">
        <f>V499*1.25*'Parametros'!$B$3*(U499-(V499*1.25*'Parametros'!$B$3/(0.85*'Parametros'!$B$2*H499))/2)/1000000</f>
        <v>196.664354558824</v>
      </c>
      <c r="AG499" s="10">
        <f>AC499*1.25*'Parametros'!$B$3*(AB499-(AC499*1.25*'Parametros'!$B$3/(0.85*'Parametros'!$B$2*H499))/2)/1000000</f>
        <v>196.664354558824</v>
      </c>
      <c r="AH499" s="10">
        <f>N499+(AF499+AG499)/D499</f>
        <v>311.701139411765</v>
      </c>
      <c r="AI499" s="10">
        <f>MIN(O499,MAX(N499,AH499))</f>
        <v>49.482</v>
      </c>
      <c r="AJ499" s="10">
        <f>0.17*SQRT('Parametros'!$B$2)*H499*MIN(U499,AB499)/1000</f>
        <v>177.230413924022</v>
      </c>
      <c r="AK499" s="10">
        <f>MAX(AI499/'Parametros'!$B$6-AJ499,0)</f>
        <v>0</v>
      </c>
      <c r="AL499" s="10">
        <f>0.66*SQRT('Parametros'!$B$2)*H499*MIN(U499,AB499)/1000</f>
        <v>688.071018763848</v>
      </c>
      <c r="AM499" s="10" t="str">
        <f>IF(AK499&lt;=AL499,"CUMPLE","NO CUMPLE")</f>
        <v>CUMPLE</v>
      </c>
      <c r="AN499" s="15" t="inlineStr">
        <is>
          <t>Nº3 cerrado</t>
        </is>
      </c>
      <c r="AO499" s="17" t="n">
        <v>2</v>
      </c>
      <c r="AP499" s="10">
        <f>ROUNDDOWN(MIN(IF(AK499=0,1000000000,AO499*'Parametros'!$B$11*'Parametros'!$B$4*MIN(U499,AB499)/(AK499*1000)),IF(AV499=0,1000000000,'Parametros'!$B$11/AV499),MIN(U499,AB499)/4,8*'Parametros'!$B$12,24*'Parametros'!$B$9,300)/10,0)*10</f>
        <v>120</v>
      </c>
      <c r="AQ499" s="10">
        <f>ROUNDDOWN(MIN(IF(AK499=0,1000000000,AO499*'Parametros'!$B$11*'Parametros'!$B$4*MIN(U499,AB499)/(AK499*1000)),IF(AV499=0,1000000000,'Parametros'!$B$11/AV499),MIN(U499,AB499)/2,600)/10,0)*10</f>
        <v>240</v>
      </c>
      <c r="AR499" s="10">
        <f>'Parametros'!$B$6*(AJ499+AO499*'Parametros'!$B$11*'Parametros'!$B$4*MIN(U499,AB499)/AP499/1000)</f>
        <v>316.520822943016</v>
      </c>
      <c r="AS499" s="10" t="str">
        <f>IF(AND(AM499="CUMPLE",AR499&gt;=AI499),"CUMPLE","NO CUMPLE")</f>
        <v>CUMPLE</v>
      </c>
      <c r="AT499" s="10">
        <f>'Parametros'!$B$6*0.083*SQRT('Parametros'!$B$2)*(H499*I499)^2/(2*(H499+I499))/1000000</f>
        <v>8.39093065800685</v>
      </c>
      <c r="AU499" s="10" t="str">
        <f>IF(Q499&lt;=AT499,"DESPRECIABLE","DISEÑAR")</f>
        <v>DISEÑAR</v>
      </c>
      <c r="AV499" s="10">
        <f>IF(Q499&lt;=AT499,0,Q499*1000000/('Parametros'!$B$6*2*0.85*(H499-2*'Parametros'!$B$7)*(I499-2*'Parametros'!$B$7)*'Parametros'!$B$4))</f>
        <v>0.199155193992491</v>
      </c>
      <c r="AW499" s="10">
        <f>AV499*2*((H499-2*'Parametros'!$B$7)+(I499-2*'Parametros'!$B$7))*'Parametros'!$B$4/'Parametros'!$B$3</f>
        <v>314.665206508135</v>
      </c>
      <c r="AX499" s="17" t="n">
        <v>2</v>
      </c>
      <c r="AY499" s="10" t="str">
        <f>IF(AV499=0,"DESPRECIABLE",IF('Parametros'!$B$11/AP499&gt;=AV499,"CUMPLE","NO CUMPLE"))</f>
        <v>CUMPLE</v>
      </c>
      <c r="AZ499" s="10" t="str">
        <f>IF(AND(X499="CUMPLE",AE499="CUMPLE",AS499="CUMPLE",OR(AY499="CUMPLE",AY499="DESPRECIABLE")),IF(OR(F499&lt;&gt;H499,G499&lt;&gt;I499),"CUMPLE - REANALIZAR SAP","CUMPLE"),"NO CUMPLE")</f>
        <v>CUMPLE - REANALIZAR SAP</v>
      </c>
    </row>
    <row r="500">
      <c r="A500" s="27" t="inlineStr">
        <is>
          <t>VR3</t>
        </is>
      </c>
      <c r="B500" s="27" t="inlineStr">
        <is>
          <t>166</t>
        </is>
      </c>
      <c r="C500" s="10" t="n">
        <v>1</v>
      </c>
      <c r="D500" s="10" t="n">
        <v>1.5</v>
      </c>
      <c r="E500" s="10" t="n">
        <v>1.5</v>
      </c>
      <c r="F500" s="10" t="n">
        <v>350</v>
      </c>
      <c r="G500" s="10" t="n">
        <v>400</v>
      </c>
      <c r="H500" s="28" t="n">
        <v>400</v>
      </c>
      <c r="I500" s="28" t="n">
        <v>550</v>
      </c>
      <c r="J500" s="16" t="n">
        <v>84.1649</v>
      </c>
      <c r="K500" s="10" t="inlineStr">
        <is>
          <t>166</t>
        </is>
      </c>
      <c r="L500" s="16" t="n">
        <v>3.531</v>
      </c>
      <c r="M500" s="10" t="inlineStr">
        <is>
          <t>166</t>
        </is>
      </c>
      <c r="N500" s="16" t="n">
        <v>61.433</v>
      </c>
      <c r="O500" s="16" t="n">
        <v>61.523</v>
      </c>
      <c r="P500" s="10" t="inlineStr">
        <is>
          <t>166</t>
        </is>
      </c>
      <c r="Q500" s="16" t="n">
        <v>10.9485</v>
      </c>
      <c r="R500" s="10">
        <f>MAX(MAX(1.4/'Parametros'!$B$3,0.25*SQRT('Parametros'!$B$2)/'Parametros'!$B$3)*H500*U500,(0.85*'Parametros'!$B$2/'Parametros'!$B$3)*(1-SQRT(1-2*(J500*1000000/('Parametros'!$B$5*H500*U500^2))/(0.85*'Parametros'!$B$2)))*H500*U500)</f>
        <v>656.733333333333</v>
      </c>
      <c r="S500" s="17" t="n">
        <v>4</v>
      </c>
      <c r="T500" s="18" t="n">
        <v>1</v>
      </c>
      <c r="U500" s="10">
        <f>IF(T500=1,I500-('Parametros'!$B$7+'Parametros'!$B$9+'Parametros'!$B$12/2),I500-(ROUNDUP(S500/2,0)*('Parametros'!$B$7+'Parametros'!$B$9+'Parametros'!$B$12/2)+ROUNDDOWN(S500/2,0)*('Parametros'!$B$7+'Parametros'!$B$9+'Parametros'!$B$12/2+'Parametros'!$B$12+'Parametros'!$B$10))/S500)</f>
        <v>492.55</v>
      </c>
      <c r="V500" s="10">
        <f>S500*'Parametros'!$B$8</f>
        <v>796</v>
      </c>
      <c r="W500" s="10">
        <f>'Parametros'!$B$5*V500*'Parametros'!$B$3*(U500-(V500*'Parametros'!$B$3/(0.85*'Parametros'!$B$2*H500))/2)/1000000</f>
        <v>142.919145105882</v>
      </c>
      <c r="X500" s="10" t="str">
        <f>IF(W500&gt;=J500,"CUMPLE","NO CUMPLE")</f>
        <v>CUMPLE</v>
      </c>
      <c r="Y500" s="10">
        <f>MAX(MAX(1.4/'Parametros'!$B$3,0.25*SQRT('Parametros'!$B$2)/'Parametros'!$B$3)*H500*AB500,(0.85*'Parametros'!$B$2/'Parametros'!$B$3)*(1-SQRT(1-2*(L500*1000000/('Parametros'!$B$5*H500*AB500^2))/(0.85*'Parametros'!$B$2)))*H500*AB500)</f>
        <v>656.733333333333</v>
      </c>
      <c r="Z500" s="17" t="n">
        <v>4</v>
      </c>
      <c r="AA500" s="18" t="n">
        <v>1</v>
      </c>
      <c r="AB500" s="10">
        <f>IF(AA500=1,I500-('Parametros'!$B$7+'Parametros'!$B$9+'Parametros'!$B$12/2),I500-(ROUNDUP(Z500/2,0)*('Parametros'!$B$7+'Parametros'!$B$9+'Parametros'!$B$12/2)+ROUNDDOWN(Z500/2,0)*('Parametros'!$B$7+'Parametros'!$B$9+'Parametros'!$B$12/2+'Parametros'!$B$12+'Parametros'!$B$10))/Z500)</f>
        <v>492.55</v>
      </c>
      <c r="AC500" s="10">
        <f>Z500*'Parametros'!$B$8</f>
        <v>796</v>
      </c>
      <c r="AD500" s="10">
        <f>'Parametros'!$B$5*AC500*'Parametros'!$B$3*(AB500-(AC500*'Parametros'!$B$3/(0.85*'Parametros'!$B$2*H500))/2)/1000000</f>
        <v>142.919145105882</v>
      </c>
      <c r="AE500" s="10" t="str">
        <f>IF(AD500&gt;=L500,"CUMPLE","NO CUMPLE")</f>
        <v>CUMPLE</v>
      </c>
      <c r="AF500" s="10">
        <f>V500*1.25*'Parametros'!$B$3*(U500-(V500*1.25*'Parametros'!$B$3/(0.85*'Parametros'!$B$2*H500))/2)/1000000</f>
        <v>196.664354558824</v>
      </c>
      <c r="AG500" s="10">
        <f>AC500*1.25*'Parametros'!$B$3*(AB500-(AC500*1.25*'Parametros'!$B$3/(0.85*'Parametros'!$B$2*H500))/2)/1000000</f>
        <v>196.664354558824</v>
      </c>
      <c r="AH500" s="10">
        <f>N500+(AF500+AG500)/D500</f>
        <v>323.652139411765</v>
      </c>
      <c r="AI500" s="10">
        <f>MIN(O500,MAX(N500,AH500))</f>
        <v>61.523</v>
      </c>
      <c r="AJ500" s="10">
        <f>0.17*SQRT('Parametros'!$B$2)*H500*MIN(U500,AB500)/1000</f>
        <v>177.230413924022</v>
      </c>
      <c r="AK500" s="10">
        <f>MAX(AI500/'Parametros'!$B$6-AJ500,0)</f>
        <v>0</v>
      </c>
      <c r="AL500" s="10">
        <f>0.66*SQRT('Parametros'!$B$2)*H500*MIN(U500,AB500)/1000</f>
        <v>688.071018763848</v>
      </c>
      <c r="AM500" s="10" t="str">
        <f>IF(AK500&lt;=AL500,"CUMPLE","NO CUMPLE")</f>
        <v>CUMPLE</v>
      </c>
      <c r="AN500" s="15" t="inlineStr">
        <is>
          <t>Nº3 cerrado</t>
        </is>
      </c>
      <c r="AO500" s="17" t="n">
        <v>2</v>
      </c>
      <c r="AP500" s="10">
        <f>ROUNDDOWN(MIN(IF(AK500=0,1000000000,AO500*'Parametros'!$B$11*'Parametros'!$B$4*MIN(U500,AB500)/(AK500*1000)),IF(AV500=0,1000000000,'Parametros'!$B$11/AV500),MIN(U500,AB500)/4,8*'Parametros'!$B$12,24*'Parametros'!$B$9,300)/10,0)*10</f>
        <v>120</v>
      </c>
      <c r="AQ500" s="10">
        <f>ROUNDDOWN(MIN(IF(AK500=0,1000000000,AO500*'Parametros'!$B$11*'Parametros'!$B$4*MIN(U500,AB500)/(AK500*1000)),IF(AV500=0,1000000000,'Parametros'!$B$11/AV500),MIN(U500,AB500)/2,600)/10,0)*10</f>
        <v>240</v>
      </c>
      <c r="AR500" s="10">
        <f>'Parametros'!$B$6*(AJ500+AO500*'Parametros'!$B$11*'Parametros'!$B$4*MIN(U500,AB500)/AP500/1000)</f>
        <v>316.520822943016</v>
      </c>
      <c r="AS500" s="10" t="str">
        <f>IF(AND(AM500="CUMPLE",AR500&gt;=AI500),"CUMPLE","NO CUMPLE")</f>
        <v>CUMPLE</v>
      </c>
      <c r="AT500" s="10">
        <f>'Parametros'!$B$6*0.083*SQRT('Parametros'!$B$2)*(H500*I500)^2/(2*(H500+I500))/1000000</f>
        <v>8.39093065800685</v>
      </c>
      <c r="AU500" s="10" t="str">
        <f>IF(Q500&lt;=AT500,"DESPRECIABLE","DISEÑAR")</f>
        <v>DISEÑAR</v>
      </c>
      <c r="AV500" s="10">
        <f>IF(Q500&lt;=AT500,0,Q500*1000000/('Parametros'!$B$6*2*0.85*(H500-2*'Parametros'!$B$7)*(I500-2*'Parametros'!$B$7)*'Parametros'!$B$4))</f>
        <v>0.135940014303594</v>
      </c>
      <c r="AW500" s="10">
        <f>AV500*2*((H500-2*'Parametros'!$B$7)+(I500-2*'Parametros'!$B$7))*'Parametros'!$B$4/'Parametros'!$B$3</f>
        <v>214.785222599678</v>
      </c>
      <c r="AX500" s="17" t="n">
        <v>2</v>
      </c>
      <c r="AY500" s="10" t="str">
        <f>IF(AV500=0,"DESPRECIABLE",IF('Parametros'!$B$11/AP500&gt;=AV500,"CUMPLE","NO CUMPLE"))</f>
        <v>CUMPLE</v>
      </c>
      <c r="AZ500" s="10" t="str">
        <f>IF(AND(X500="CUMPLE",AE500="CUMPLE",AS500="CUMPLE",OR(AY500="CUMPLE",AY500="DESPRECIABLE")),IF(OR(F500&lt;&gt;H500,G500&lt;&gt;I500),"CUMPLE - REANALIZAR SAP","CUMPLE"),"NO CUMPLE")</f>
        <v>CUMPLE - REANALIZAR SAP</v>
      </c>
    </row>
    <row r="501">
      <c r="A501" s="27" t="inlineStr">
        <is>
          <t>VR3</t>
        </is>
      </c>
      <c r="B501" s="27" t="inlineStr">
        <is>
          <t>171</t>
        </is>
      </c>
      <c r="C501" s="10" t="n">
        <v>1</v>
      </c>
      <c r="D501" s="10" t="n">
        <v>1.5</v>
      </c>
      <c r="E501" s="10" t="n">
        <v>1.5</v>
      </c>
      <c r="F501" s="10" t="n">
        <v>350</v>
      </c>
      <c r="G501" s="10" t="n">
        <v>400</v>
      </c>
      <c r="H501" s="28" t="n">
        <v>400</v>
      </c>
      <c r="I501" s="28" t="n">
        <v>550</v>
      </c>
      <c r="J501" s="16" t="n">
        <v>71.7745</v>
      </c>
      <c r="K501" s="10" t="inlineStr">
        <is>
          <t>171</t>
        </is>
      </c>
      <c r="L501" s="16" t="n">
        <v>3.3249</v>
      </c>
      <c r="M501" s="10" t="inlineStr">
        <is>
          <t>171</t>
        </is>
      </c>
      <c r="N501" s="16" t="n">
        <v>53.035</v>
      </c>
      <c r="O501" s="16" t="n">
        <v>53.035</v>
      </c>
      <c r="P501" s="10" t="inlineStr">
        <is>
          <t>171</t>
        </is>
      </c>
      <c r="Q501" s="16" t="n">
        <v>5.4253</v>
      </c>
      <c r="R501" s="10">
        <f>MAX(MAX(1.4/'Parametros'!$B$3,0.25*SQRT('Parametros'!$B$2)/'Parametros'!$B$3)*H501*U501,(0.85*'Parametros'!$B$2/'Parametros'!$B$3)*(1-SQRT(1-2*(J501*1000000/('Parametros'!$B$5*H501*U501^2))/(0.85*'Parametros'!$B$2)))*H501*U501)</f>
        <v>656.733333333333</v>
      </c>
      <c r="S501" s="17" t="n">
        <v>4</v>
      </c>
      <c r="T501" s="18" t="n">
        <v>1</v>
      </c>
      <c r="U501" s="10">
        <f>IF(T501=1,I501-('Parametros'!$B$7+'Parametros'!$B$9+'Parametros'!$B$12/2),I501-(ROUNDUP(S501/2,0)*('Parametros'!$B$7+'Parametros'!$B$9+'Parametros'!$B$12/2)+ROUNDDOWN(S501/2,0)*('Parametros'!$B$7+'Parametros'!$B$9+'Parametros'!$B$12/2+'Parametros'!$B$12+'Parametros'!$B$10))/S501)</f>
        <v>492.55</v>
      </c>
      <c r="V501" s="10">
        <f>S501*'Parametros'!$B$8</f>
        <v>796</v>
      </c>
      <c r="W501" s="10">
        <f>'Parametros'!$B$5*V501*'Parametros'!$B$3*(U501-(V501*'Parametros'!$B$3/(0.85*'Parametros'!$B$2*H501))/2)/1000000</f>
        <v>142.919145105882</v>
      </c>
      <c r="X501" s="10" t="str">
        <f>IF(W501&gt;=J501,"CUMPLE","NO CUMPLE")</f>
        <v>CUMPLE</v>
      </c>
      <c r="Y501" s="10">
        <f>MAX(MAX(1.4/'Parametros'!$B$3,0.25*SQRT('Parametros'!$B$2)/'Parametros'!$B$3)*H501*AB501,(0.85*'Parametros'!$B$2/'Parametros'!$B$3)*(1-SQRT(1-2*(L501*1000000/('Parametros'!$B$5*H501*AB501^2))/(0.85*'Parametros'!$B$2)))*H501*AB501)</f>
        <v>656.733333333333</v>
      </c>
      <c r="Z501" s="17" t="n">
        <v>4</v>
      </c>
      <c r="AA501" s="18" t="n">
        <v>1</v>
      </c>
      <c r="AB501" s="10">
        <f>IF(AA501=1,I501-('Parametros'!$B$7+'Parametros'!$B$9+'Parametros'!$B$12/2),I501-(ROUNDUP(Z501/2,0)*('Parametros'!$B$7+'Parametros'!$B$9+'Parametros'!$B$12/2)+ROUNDDOWN(Z501/2,0)*('Parametros'!$B$7+'Parametros'!$B$9+'Parametros'!$B$12/2+'Parametros'!$B$12+'Parametros'!$B$10))/Z501)</f>
        <v>492.55</v>
      </c>
      <c r="AC501" s="10">
        <f>Z501*'Parametros'!$B$8</f>
        <v>796</v>
      </c>
      <c r="AD501" s="10">
        <f>'Parametros'!$B$5*AC501*'Parametros'!$B$3*(AB501-(AC501*'Parametros'!$B$3/(0.85*'Parametros'!$B$2*H501))/2)/1000000</f>
        <v>142.919145105882</v>
      </c>
      <c r="AE501" s="10" t="str">
        <f>IF(AD501&gt;=L501,"CUMPLE","NO CUMPLE")</f>
        <v>CUMPLE</v>
      </c>
      <c r="AF501" s="10">
        <f>V501*1.25*'Parametros'!$B$3*(U501-(V501*1.25*'Parametros'!$B$3/(0.85*'Parametros'!$B$2*H501))/2)/1000000</f>
        <v>196.664354558824</v>
      </c>
      <c r="AG501" s="10">
        <f>AC501*1.25*'Parametros'!$B$3*(AB501-(AC501*1.25*'Parametros'!$B$3/(0.85*'Parametros'!$B$2*H501))/2)/1000000</f>
        <v>196.664354558824</v>
      </c>
      <c r="AH501" s="10">
        <f>N501+(AF501+AG501)/D501</f>
        <v>315.254139411765</v>
      </c>
      <c r="AI501" s="10">
        <f>MIN(O501,MAX(N501,AH501))</f>
        <v>53.035</v>
      </c>
      <c r="AJ501" s="10">
        <f>0.17*SQRT('Parametros'!$B$2)*H501*MIN(U501,AB501)/1000</f>
        <v>177.230413924022</v>
      </c>
      <c r="AK501" s="10">
        <f>MAX(AI501/'Parametros'!$B$6-AJ501,0)</f>
        <v>0</v>
      </c>
      <c r="AL501" s="10">
        <f>0.66*SQRT('Parametros'!$B$2)*H501*MIN(U501,AB501)/1000</f>
        <v>688.071018763848</v>
      </c>
      <c r="AM501" s="10" t="str">
        <f>IF(AK501&lt;=AL501,"CUMPLE","NO CUMPLE")</f>
        <v>CUMPLE</v>
      </c>
      <c r="AN501" s="15" t="inlineStr">
        <is>
          <t>Nº3 cerrado</t>
        </is>
      </c>
      <c r="AO501" s="17" t="n">
        <v>2</v>
      </c>
      <c r="AP501" s="10">
        <f>ROUNDDOWN(MIN(IF(AK501=0,1000000000,AO501*'Parametros'!$B$11*'Parametros'!$B$4*MIN(U501,AB501)/(AK501*1000)),IF(AV501=0,1000000000,'Parametros'!$B$11/AV501),MIN(U501,AB501)/4,8*'Parametros'!$B$12,24*'Parametros'!$B$9,300)/10,0)*10</f>
        <v>120</v>
      </c>
      <c r="AQ501" s="10">
        <f>ROUNDDOWN(MIN(IF(AK501=0,1000000000,AO501*'Parametros'!$B$11*'Parametros'!$B$4*MIN(U501,AB501)/(AK501*1000)),IF(AV501=0,1000000000,'Parametros'!$B$11/AV501),MIN(U501,AB501)/2,600)/10,0)*10</f>
        <v>240</v>
      </c>
      <c r="AR501" s="10">
        <f>'Parametros'!$B$6*(AJ501+AO501*'Parametros'!$B$11*'Parametros'!$B$4*MIN(U501,AB501)/AP501/1000)</f>
        <v>316.520822943016</v>
      </c>
      <c r="AS501" s="10" t="str">
        <f>IF(AND(AM501="CUMPLE",AR501&gt;=AI501),"CUMPLE","NO CUMPLE")</f>
        <v>CUMPLE</v>
      </c>
      <c r="AT501" s="10">
        <f>'Parametros'!$B$6*0.083*SQRT('Parametros'!$B$2)*(H501*I501)^2/(2*(H501+I501))/1000000</f>
        <v>8.39093065800685</v>
      </c>
      <c r="AU501" s="10" t="str">
        <f>IF(Q501&lt;=AT501,"DESPRECIABLE","DISEÑAR")</f>
        <v>DESPRECIABLE</v>
      </c>
      <c r="AV501" s="10">
        <f>IF(Q501&lt;=AT501,0,Q501*1000000/('Parametros'!$B$6*2*0.85*(H501-2*'Parametros'!$B$7)*(I501-2*'Parametros'!$B$7)*'Parametros'!$B$4))</f>
        <v>0</v>
      </c>
      <c r="AW501" s="10">
        <f>AV501*2*((H501-2*'Parametros'!$B$7)+(I501-2*'Parametros'!$B$7))*'Parametros'!$B$4/'Parametros'!$B$3</f>
        <v>0</v>
      </c>
      <c r="AX501" s="17" t="n">
        <v>0</v>
      </c>
      <c r="AY501" s="10" t="str">
        <f>IF(AV501=0,"DESPRECIABLE",IF('Parametros'!$B$11/AP501&gt;=AV501,"CUMPLE","NO CUMPLE"))</f>
        <v>DESPRECIABLE</v>
      </c>
      <c r="AZ501" s="10" t="str">
        <f>IF(AND(X501="CUMPLE",AE501="CUMPLE",AS501="CUMPLE",OR(AY501="CUMPLE",AY501="DESPRECIABLE")),IF(OR(F501&lt;&gt;H501,G501&lt;&gt;I501),"CUMPLE - REANALIZAR SAP","CUMPLE"),"NO CUMPLE")</f>
        <v>CUMPLE - REANALIZAR SAP</v>
      </c>
    </row>
    <row r="502">
      <c r="A502" s="27" t="inlineStr">
        <is>
          <t>VR3</t>
        </is>
      </c>
      <c r="B502" s="27" t="inlineStr">
        <is>
          <t>176</t>
        </is>
      </c>
      <c r="C502" s="10" t="n">
        <v>1</v>
      </c>
      <c r="D502" s="10" t="n">
        <v>1.5</v>
      </c>
      <c r="E502" s="10" t="n">
        <v>1.5</v>
      </c>
      <c r="F502" s="10" t="n">
        <v>350</v>
      </c>
      <c r="G502" s="10" t="n">
        <v>400</v>
      </c>
      <c r="H502" s="28" t="n">
        <v>400</v>
      </c>
      <c r="I502" s="28" t="n">
        <v>550</v>
      </c>
      <c r="J502" s="16" t="n">
        <v>66.7282</v>
      </c>
      <c r="K502" s="10" t="inlineStr">
        <is>
          <t>176</t>
        </is>
      </c>
      <c r="L502" s="16" t="n">
        <v>3.0355</v>
      </c>
      <c r="M502" s="10" t="inlineStr">
        <is>
          <t>176</t>
        </is>
      </c>
      <c r="N502" s="16" t="n">
        <v>49.973</v>
      </c>
      <c r="O502" s="16" t="n">
        <v>49.973</v>
      </c>
      <c r="P502" s="10" t="inlineStr">
        <is>
          <t>176</t>
        </is>
      </c>
      <c r="Q502" s="16" t="n">
        <v>19.7225</v>
      </c>
      <c r="R502" s="10">
        <f>MAX(MAX(1.4/'Parametros'!$B$3,0.25*SQRT('Parametros'!$B$2)/'Parametros'!$B$3)*H502*U502,(0.85*'Parametros'!$B$2/'Parametros'!$B$3)*(1-SQRT(1-2*(J502*1000000/('Parametros'!$B$5*H502*U502^2))/(0.85*'Parametros'!$B$2)))*H502*U502)</f>
        <v>656.733333333333</v>
      </c>
      <c r="S502" s="17" t="n">
        <v>4</v>
      </c>
      <c r="T502" s="18" t="n">
        <v>1</v>
      </c>
      <c r="U502" s="10">
        <f>IF(T502=1,I502-('Parametros'!$B$7+'Parametros'!$B$9+'Parametros'!$B$12/2),I502-(ROUNDUP(S502/2,0)*('Parametros'!$B$7+'Parametros'!$B$9+'Parametros'!$B$12/2)+ROUNDDOWN(S502/2,0)*('Parametros'!$B$7+'Parametros'!$B$9+'Parametros'!$B$12/2+'Parametros'!$B$12+'Parametros'!$B$10))/S502)</f>
        <v>492.55</v>
      </c>
      <c r="V502" s="10">
        <f>S502*'Parametros'!$B$8</f>
        <v>796</v>
      </c>
      <c r="W502" s="10">
        <f>'Parametros'!$B$5*V502*'Parametros'!$B$3*(U502-(V502*'Parametros'!$B$3/(0.85*'Parametros'!$B$2*H502))/2)/1000000</f>
        <v>142.919145105882</v>
      </c>
      <c r="X502" s="10" t="str">
        <f>IF(W502&gt;=J502,"CUMPLE","NO CUMPLE")</f>
        <v>CUMPLE</v>
      </c>
      <c r="Y502" s="10">
        <f>MAX(MAX(1.4/'Parametros'!$B$3,0.25*SQRT('Parametros'!$B$2)/'Parametros'!$B$3)*H502*AB502,(0.85*'Parametros'!$B$2/'Parametros'!$B$3)*(1-SQRT(1-2*(L502*1000000/('Parametros'!$B$5*H502*AB502^2))/(0.85*'Parametros'!$B$2)))*H502*AB502)</f>
        <v>656.733333333333</v>
      </c>
      <c r="Z502" s="17" t="n">
        <v>4</v>
      </c>
      <c r="AA502" s="18" t="n">
        <v>1</v>
      </c>
      <c r="AB502" s="10">
        <f>IF(AA502=1,I502-('Parametros'!$B$7+'Parametros'!$B$9+'Parametros'!$B$12/2),I502-(ROUNDUP(Z502/2,0)*('Parametros'!$B$7+'Parametros'!$B$9+'Parametros'!$B$12/2)+ROUNDDOWN(Z502/2,0)*('Parametros'!$B$7+'Parametros'!$B$9+'Parametros'!$B$12/2+'Parametros'!$B$12+'Parametros'!$B$10))/Z502)</f>
        <v>492.55</v>
      </c>
      <c r="AC502" s="10">
        <f>Z502*'Parametros'!$B$8</f>
        <v>796</v>
      </c>
      <c r="AD502" s="10">
        <f>'Parametros'!$B$5*AC502*'Parametros'!$B$3*(AB502-(AC502*'Parametros'!$B$3/(0.85*'Parametros'!$B$2*H502))/2)/1000000</f>
        <v>142.919145105882</v>
      </c>
      <c r="AE502" s="10" t="str">
        <f>IF(AD502&gt;=L502,"CUMPLE","NO CUMPLE")</f>
        <v>CUMPLE</v>
      </c>
      <c r="AF502" s="10">
        <f>V502*1.25*'Parametros'!$B$3*(U502-(V502*1.25*'Parametros'!$B$3/(0.85*'Parametros'!$B$2*H502))/2)/1000000</f>
        <v>196.664354558824</v>
      </c>
      <c r="AG502" s="10">
        <f>AC502*1.25*'Parametros'!$B$3*(AB502-(AC502*1.25*'Parametros'!$B$3/(0.85*'Parametros'!$B$2*H502))/2)/1000000</f>
        <v>196.664354558824</v>
      </c>
      <c r="AH502" s="10">
        <f>N502+(AF502+AG502)/D502</f>
        <v>312.192139411765</v>
      </c>
      <c r="AI502" s="10">
        <f>MIN(O502,MAX(N502,AH502))</f>
        <v>49.973</v>
      </c>
      <c r="AJ502" s="10">
        <f>0.17*SQRT('Parametros'!$B$2)*H502*MIN(U502,AB502)/1000</f>
        <v>177.230413924022</v>
      </c>
      <c r="AK502" s="10">
        <f>MAX(AI502/'Parametros'!$B$6-AJ502,0)</f>
        <v>0</v>
      </c>
      <c r="AL502" s="10">
        <f>0.66*SQRT('Parametros'!$B$2)*H502*MIN(U502,AB502)/1000</f>
        <v>688.071018763848</v>
      </c>
      <c r="AM502" s="10" t="str">
        <f>IF(AK502&lt;=AL502,"CUMPLE","NO CUMPLE")</f>
        <v>CUMPLE</v>
      </c>
      <c r="AN502" s="15" t="inlineStr">
        <is>
          <t>Nº3 cerrado</t>
        </is>
      </c>
      <c r="AO502" s="17" t="n">
        <v>2</v>
      </c>
      <c r="AP502" s="10">
        <f>ROUNDDOWN(MIN(IF(AK502=0,1000000000,AO502*'Parametros'!$B$11*'Parametros'!$B$4*MIN(U502,AB502)/(AK502*1000)),IF(AV502=0,1000000000,'Parametros'!$B$11/AV502),MIN(U502,AB502)/4,8*'Parametros'!$B$12,24*'Parametros'!$B$9,300)/10,0)*10</f>
        <v>120</v>
      </c>
      <c r="AQ502" s="10">
        <f>ROUNDDOWN(MIN(IF(AK502=0,1000000000,AO502*'Parametros'!$B$11*'Parametros'!$B$4*MIN(U502,AB502)/(AK502*1000)),IF(AV502=0,1000000000,'Parametros'!$B$11/AV502),MIN(U502,AB502)/2,600)/10,0)*10</f>
        <v>240</v>
      </c>
      <c r="AR502" s="10">
        <f>'Parametros'!$B$6*(AJ502+AO502*'Parametros'!$B$11*'Parametros'!$B$4*MIN(U502,AB502)/AP502/1000)</f>
        <v>316.520822943016</v>
      </c>
      <c r="AS502" s="10" t="str">
        <f>IF(AND(AM502="CUMPLE",AR502&gt;=AI502),"CUMPLE","NO CUMPLE")</f>
        <v>CUMPLE</v>
      </c>
      <c r="AT502" s="10">
        <f>'Parametros'!$B$6*0.083*SQRT('Parametros'!$B$2)*(H502*I502)^2/(2*(H502+I502))/1000000</f>
        <v>8.39093065800685</v>
      </c>
      <c r="AU502" s="10" t="str">
        <f>IF(Q502&lt;=AT502,"DESPRECIABLE","DISEÑAR")</f>
        <v>DISEÑAR</v>
      </c>
      <c r="AV502" s="10">
        <f>IF(Q502&lt;=AT502,0,Q502*1000000/('Parametros'!$B$6*2*0.85*(H502-2*'Parametros'!$B$7)*(I502-2*'Parametros'!$B$7)*'Parametros'!$B$4))</f>
        <v>0.244880753719928</v>
      </c>
      <c r="AW502" s="10">
        <f>AV502*2*((H502-2*'Parametros'!$B$7)+(I502-2*'Parametros'!$B$7))*'Parametros'!$B$4/'Parametros'!$B$3</f>
        <v>386.911590877486</v>
      </c>
      <c r="AX502" s="17" t="n">
        <v>2</v>
      </c>
      <c r="AY502" s="10" t="str">
        <f>IF(AV502=0,"DESPRECIABLE",IF('Parametros'!$B$11/AP502&gt;=AV502,"CUMPLE","NO CUMPLE"))</f>
        <v>CUMPLE</v>
      </c>
      <c r="AZ502" s="10" t="str">
        <f>IF(AND(X502="CUMPLE",AE502="CUMPLE",AS502="CUMPLE",OR(AY502="CUMPLE",AY502="DESPRECIABLE")),IF(OR(F502&lt;&gt;H502,G502&lt;&gt;I502),"CUMPLE - REANALIZAR SAP","CUMPLE"),"NO CUMPLE")</f>
        <v>CUMPLE - REANALIZAR SAP</v>
      </c>
    </row>
    <row r="503">
      <c r="A503" s="27" t="inlineStr">
        <is>
          <t>VR3</t>
        </is>
      </c>
      <c r="B503" s="27" t="inlineStr">
        <is>
          <t>181</t>
        </is>
      </c>
      <c r="C503" s="10" t="n">
        <v>1</v>
      </c>
      <c r="D503" s="10" t="n">
        <v>1.5</v>
      </c>
      <c r="E503" s="10" t="n">
        <v>1.5</v>
      </c>
      <c r="F503" s="10" t="n">
        <v>350</v>
      </c>
      <c r="G503" s="10" t="n">
        <v>400</v>
      </c>
      <c r="H503" s="28" t="n">
        <v>400</v>
      </c>
      <c r="I503" s="28" t="n">
        <v>550</v>
      </c>
      <c r="J503" s="16" t="n">
        <v>66.1228</v>
      </c>
      <c r="K503" s="10" t="inlineStr">
        <is>
          <t>181</t>
        </is>
      </c>
      <c r="L503" s="16" t="n">
        <v>2.9063</v>
      </c>
      <c r="M503" s="10" t="inlineStr">
        <is>
          <t>181</t>
        </is>
      </c>
      <c r="N503" s="16" t="n">
        <v>49.483</v>
      </c>
      <c r="O503" s="16" t="n">
        <v>49.483</v>
      </c>
      <c r="P503" s="10" t="inlineStr">
        <is>
          <t>181</t>
        </is>
      </c>
      <c r="Q503" s="16" t="n">
        <v>16.0408</v>
      </c>
      <c r="R503" s="10">
        <f>MAX(MAX(1.4/'Parametros'!$B$3,0.25*SQRT('Parametros'!$B$2)/'Parametros'!$B$3)*H503*U503,(0.85*'Parametros'!$B$2/'Parametros'!$B$3)*(1-SQRT(1-2*(J503*1000000/('Parametros'!$B$5*H503*U503^2))/(0.85*'Parametros'!$B$2)))*H503*U503)</f>
        <v>656.733333333333</v>
      </c>
      <c r="S503" s="17" t="n">
        <v>4</v>
      </c>
      <c r="T503" s="18" t="n">
        <v>1</v>
      </c>
      <c r="U503" s="10">
        <f>IF(T503=1,I503-('Parametros'!$B$7+'Parametros'!$B$9+'Parametros'!$B$12/2),I503-(ROUNDUP(S503/2,0)*('Parametros'!$B$7+'Parametros'!$B$9+'Parametros'!$B$12/2)+ROUNDDOWN(S503/2,0)*('Parametros'!$B$7+'Parametros'!$B$9+'Parametros'!$B$12/2+'Parametros'!$B$12+'Parametros'!$B$10))/S503)</f>
        <v>492.55</v>
      </c>
      <c r="V503" s="10">
        <f>S503*'Parametros'!$B$8</f>
        <v>796</v>
      </c>
      <c r="W503" s="10">
        <f>'Parametros'!$B$5*V503*'Parametros'!$B$3*(U503-(V503*'Parametros'!$B$3/(0.85*'Parametros'!$B$2*H503))/2)/1000000</f>
        <v>142.919145105882</v>
      </c>
      <c r="X503" s="10" t="str">
        <f>IF(W503&gt;=J503,"CUMPLE","NO CUMPLE")</f>
        <v>CUMPLE</v>
      </c>
      <c r="Y503" s="10">
        <f>MAX(MAX(1.4/'Parametros'!$B$3,0.25*SQRT('Parametros'!$B$2)/'Parametros'!$B$3)*H503*AB503,(0.85*'Parametros'!$B$2/'Parametros'!$B$3)*(1-SQRT(1-2*(L503*1000000/('Parametros'!$B$5*H503*AB503^2))/(0.85*'Parametros'!$B$2)))*H503*AB503)</f>
        <v>656.733333333333</v>
      </c>
      <c r="Z503" s="17" t="n">
        <v>4</v>
      </c>
      <c r="AA503" s="18" t="n">
        <v>1</v>
      </c>
      <c r="AB503" s="10">
        <f>IF(AA503=1,I503-('Parametros'!$B$7+'Parametros'!$B$9+'Parametros'!$B$12/2),I503-(ROUNDUP(Z503/2,0)*('Parametros'!$B$7+'Parametros'!$B$9+'Parametros'!$B$12/2)+ROUNDDOWN(Z503/2,0)*('Parametros'!$B$7+'Parametros'!$B$9+'Parametros'!$B$12/2+'Parametros'!$B$12+'Parametros'!$B$10))/Z503)</f>
        <v>492.55</v>
      </c>
      <c r="AC503" s="10">
        <f>Z503*'Parametros'!$B$8</f>
        <v>796</v>
      </c>
      <c r="AD503" s="10">
        <f>'Parametros'!$B$5*AC503*'Parametros'!$B$3*(AB503-(AC503*'Parametros'!$B$3/(0.85*'Parametros'!$B$2*H503))/2)/1000000</f>
        <v>142.919145105882</v>
      </c>
      <c r="AE503" s="10" t="str">
        <f>IF(AD503&gt;=L503,"CUMPLE","NO CUMPLE")</f>
        <v>CUMPLE</v>
      </c>
      <c r="AF503" s="10">
        <f>V503*1.25*'Parametros'!$B$3*(U503-(V503*1.25*'Parametros'!$B$3/(0.85*'Parametros'!$B$2*H503))/2)/1000000</f>
        <v>196.664354558824</v>
      </c>
      <c r="AG503" s="10">
        <f>AC503*1.25*'Parametros'!$B$3*(AB503-(AC503*1.25*'Parametros'!$B$3/(0.85*'Parametros'!$B$2*H503))/2)/1000000</f>
        <v>196.664354558824</v>
      </c>
      <c r="AH503" s="10">
        <f>N503+(AF503+AG503)/D503</f>
        <v>311.702139411765</v>
      </c>
      <c r="AI503" s="10">
        <f>MIN(O503,MAX(N503,AH503))</f>
        <v>49.483</v>
      </c>
      <c r="AJ503" s="10">
        <f>0.17*SQRT('Parametros'!$B$2)*H503*MIN(U503,AB503)/1000</f>
        <v>177.230413924022</v>
      </c>
      <c r="AK503" s="10">
        <f>MAX(AI503/'Parametros'!$B$6-AJ503,0)</f>
        <v>0</v>
      </c>
      <c r="AL503" s="10">
        <f>0.66*SQRT('Parametros'!$B$2)*H503*MIN(U503,AB503)/1000</f>
        <v>688.071018763848</v>
      </c>
      <c r="AM503" s="10" t="str">
        <f>IF(AK503&lt;=AL503,"CUMPLE","NO CUMPLE")</f>
        <v>CUMPLE</v>
      </c>
      <c r="AN503" s="15" t="inlineStr">
        <is>
          <t>Nº3 cerrado</t>
        </is>
      </c>
      <c r="AO503" s="17" t="n">
        <v>2</v>
      </c>
      <c r="AP503" s="10">
        <f>ROUNDDOWN(MIN(IF(AK503=0,1000000000,AO503*'Parametros'!$B$11*'Parametros'!$B$4*MIN(U503,AB503)/(AK503*1000)),IF(AV503=0,1000000000,'Parametros'!$B$11/AV503),MIN(U503,AB503)/4,8*'Parametros'!$B$12,24*'Parametros'!$B$9,300)/10,0)*10</f>
        <v>120</v>
      </c>
      <c r="AQ503" s="10">
        <f>ROUNDDOWN(MIN(IF(AK503=0,1000000000,AO503*'Parametros'!$B$11*'Parametros'!$B$4*MIN(U503,AB503)/(AK503*1000)),IF(AV503=0,1000000000,'Parametros'!$B$11/AV503),MIN(U503,AB503)/2,600)/10,0)*10</f>
        <v>240</v>
      </c>
      <c r="AR503" s="10">
        <f>'Parametros'!$B$6*(AJ503+AO503*'Parametros'!$B$11*'Parametros'!$B$4*MIN(U503,AB503)/AP503/1000)</f>
        <v>316.520822943016</v>
      </c>
      <c r="AS503" s="10" t="str">
        <f>IF(AND(AM503="CUMPLE",AR503&gt;=AI503),"CUMPLE","NO CUMPLE")</f>
        <v>CUMPLE</v>
      </c>
      <c r="AT503" s="10">
        <f>'Parametros'!$B$6*0.083*SQRT('Parametros'!$B$2)*(H503*I503)^2/(2*(H503+I503))/1000000</f>
        <v>8.39093065800685</v>
      </c>
      <c r="AU503" s="10" t="str">
        <f>IF(Q503&lt;=AT503,"DESPRECIABLE","DISEÑAR")</f>
        <v>DISEÑAR</v>
      </c>
      <c r="AV503" s="10">
        <f>IF(Q503&lt;=AT503,0,Q503*1000000/('Parametros'!$B$6*2*0.85*(H503-2*'Parametros'!$B$7)*(I503-2*'Parametros'!$B$7)*'Parametros'!$B$4))</f>
        <v>0.199167610306534</v>
      </c>
      <c r="AW503" s="10">
        <f>AV503*2*((H503-2*'Parametros'!$B$7)+(I503-2*'Parametros'!$B$7))*'Parametros'!$B$4/'Parametros'!$B$3</f>
        <v>314.684824284324</v>
      </c>
      <c r="AX503" s="17" t="n">
        <v>2</v>
      </c>
      <c r="AY503" s="10" t="str">
        <f>IF(AV503=0,"DESPRECIABLE",IF('Parametros'!$B$11/AP503&gt;=AV503,"CUMPLE","NO CUMPLE"))</f>
        <v>CUMPLE</v>
      </c>
      <c r="AZ503" s="10" t="str">
        <f>IF(AND(X503="CUMPLE",AE503="CUMPLE",AS503="CUMPLE",OR(AY503="CUMPLE",AY503="DESPRECIABLE")),IF(OR(F503&lt;&gt;H503,G503&lt;&gt;I503),"CUMPLE - REANALIZAR SAP","CUMPLE"),"NO CUMPLE")</f>
        <v>CUMPLE - REANALIZAR SAP</v>
      </c>
    </row>
    <row r="504">
      <c r="A504" s="27" t="inlineStr">
        <is>
          <t>VR3</t>
        </is>
      </c>
      <c r="B504" s="27" t="inlineStr">
        <is>
          <t>186</t>
        </is>
      </c>
      <c r="C504" s="10" t="n">
        <v>1</v>
      </c>
      <c r="D504" s="10" t="n">
        <v>1.5</v>
      </c>
      <c r="E504" s="10" t="n">
        <v>1.5</v>
      </c>
      <c r="F504" s="10" t="n">
        <v>350</v>
      </c>
      <c r="G504" s="10" t="n">
        <v>400</v>
      </c>
      <c r="H504" s="28" t="n">
        <v>400</v>
      </c>
      <c r="I504" s="28" t="n">
        <v>550</v>
      </c>
      <c r="J504" s="16" t="n">
        <v>84.1647</v>
      </c>
      <c r="K504" s="10" t="inlineStr">
        <is>
          <t>186</t>
        </is>
      </c>
      <c r="L504" s="16" t="n">
        <v>3.5316</v>
      </c>
      <c r="M504" s="10" t="inlineStr">
        <is>
          <t>186</t>
        </is>
      </c>
      <c r="N504" s="16" t="n">
        <v>61.433</v>
      </c>
      <c r="O504" s="16" t="n">
        <v>61.524</v>
      </c>
      <c r="P504" s="10" t="inlineStr">
        <is>
          <t>186</t>
        </is>
      </c>
      <c r="Q504" s="16" t="n">
        <v>10.9484</v>
      </c>
      <c r="R504" s="10">
        <f>MAX(MAX(1.4/'Parametros'!$B$3,0.25*SQRT('Parametros'!$B$2)/'Parametros'!$B$3)*H504*U504,(0.85*'Parametros'!$B$2/'Parametros'!$B$3)*(1-SQRT(1-2*(J504*1000000/('Parametros'!$B$5*H504*U504^2))/(0.85*'Parametros'!$B$2)))*H504*U504)</f>
        <v>656.733333333333</v>
      </c>
      <c r="S504" s="17" t="n">
        <v>4</v>
      </c>
      <c r="T504" s="18" t="n">
        <v>1</v>
      </c>
      <c r="U504" s="10">
        <f>IF(T504=1,I504-('Parametros'!$B$7+'Parametros'!$B$9+'Parametros'!$B$12/2),I504-(ROUNDUP(S504/2,0)*('Parametros'!$B$7+'Parametros'!$B$9+'Parametros'!$B$12/2)+ROUNDDOWN(S504/2,0)*('Parametros'!$B$7+'Parametros'!$B$9+'Parametros'!$B$12/2+'Parametros'!$B$12+'Parametros'!$B$10))/S504)</f>
        <v>492.55</v>
      </c>
      <c r="V504" s="10">
        <f>S504*'Parametros'!$B$8</f>
        <v>796</v>
      </c>
      <c r="W504" s="10">
        <f>'Parametros'!$B$5*V504*'Parametros'!$B$3*(U504-(V504*'Parametros'!$B$3/(0.85*'Parametros'!$B$2*H504))/2)/1000000</f>
        <v>142.919145105882</v>
      </c>
      <c r="X504" s="10" t="str">
        <f>IF(W504&gt;=J504,"CUMPLE","NO CUMPLE")</f>
        <v>CUMPLE</v>
      </c>
      <c r="Y504" s="10">
        <f>MAX(MAX(1.4/'Parametros'!$B$3,0.25*SQRT('Parametros'!$B$2)/'Parametros'!$B$3)*H504*AB504,(0.85*'Parametros'!$B$2/'Parametros'!$B$3)*(1-SQRT(1-2*(L504*1000000/('Parametros'!$B$5*H504*AB504^2))/(0.85*'Parametros'!$B$2)))*H504*AB504)</f>
        <v>656.733333333333</v>
      </c>
      <c r="Z504" s="17" t="n">
        <v>4</v>
      </c>
      <c r="AA504" s="18" t="n">
        <v>1</v>
      </c>
      <c r="AB504" s="10">
        <f>IF(AA504=1,I504-('Parametros'!$B$7+'Parametros'!$B$9+'Parametros'!$B$12/2),I504-(ROUNDUP(Z504/2,0)*('Parametros'!$B$7+'Parametros'!$B$9+'Parametros'!$B$12/2)+ROUNDDOWN(Z504/2,0)*('Parametros'!$B$7+'Parametros'!$B$9+'Parametros'!$B$12/2+'Parametros'!$B$12+'Parametros'!$B$10))/Z504)</f>
        <v>492.55</v>
      </c>
      <c r="AC504" s="10">
        <f>Z504*'Parametros'!$B$8</f>
        <v>796</v>
      </c>
      <c r="AD504" s="10">
        <f>'Parametros'!$B$5*AC504*'Parametros'!$B$3*(AB504-(AC504*'Parametros'!$B$3/(0.85*'Parametros'!$B$2*H504))/2)/1000000</f>
        <v>142.919145105882</v>
      </c>
      <c r="AE504" s="10" t="str">
        <f>IF(AD504&gt;=L504,"CUMPLE","NO CUMPLE")</f>
        <v>CUMPLE</v>
      </c>
      <c r="AF504" s="10">
        <f>V504*1.25*'Parametros'!$B$3*(U504-(V504*1.25*'Parametros'!$B$3/(0.85*'Parametros'!$B$2*H504))/2)/1000000</f>
        <v>196.664354558824</v>
      </c>
      <c r="AG504" s="10">
        <f>AC504*1.25*'Parametros'!$B$3*(AB504-(AC504*1.25*'Parametros'!$B$3/(0.85*'Parametros'!$B$2*H504))/2)/1000000</f>
        <v>196.664354558824</v>
      </c>
      <c r="AH504" s="10">
        <f>N504+(AF504+AG504)/D504</f>
        <v>323.652139411765</v>
      </c>
      <c r="AI504" s="10">
        <f>MIN(O504,MAX(N504,AH504))</f>
        <v>61.524</v>
      </c>
      <c r="AJ504" s="10">
        <f>0.17*SQRT('Parametros'!$B$2)*H504*MIN(U504,AB504)/1000</f>
        <v>177.230413924022</v>
      </c>
      <c r="AK504" s="10">
        <f>MAX(AI504/'Parametros'!$B$6-AJ504,0)</f>
        <v>0</v>
      </c>
      <c r="AL504" s="10">
        <f>0.66*SQRT('Parametros'!$B$2)*H504*MIN(U504,AB504)/1000</f>
        <v>688.071018763848</v>
      </c>
      <c r="AM504" s="10" t="str">
        <f>IF(AK504&lt;=AL504,"CUMPLE","NO CUMPLE")</f>
        <v>CUMPLE</v>
      </c>
      <c r="AN504" s="15" t="inlineStr">
        <is>
          <t>Nº3 cerrado</t>
        </is>
      </c>
      <c r="AO504" s="17" t="n">
        <v>2</v>
      </c>
      <c r="AP504" s="10">
        <f>ROUNDDOWN(MIN(IF(AK504=0,1000000000,AO504*'Parametros'!$B$11*'Parametros'!$B$4*MIN(U504,AB504)/(AK504*1000)),IF(AV504=0,1000000000,'Parametros'!$B$11/AV504),MIN(U504,AB504)/4,8*'Parametros'!$B$12,24*'Parametros'!$B$9,300)/10,0)*10</f>
        <v>120</v>
      </c>
      <c r="AQ504" s="10">
        <f>ROUNDDOWN(MIN(IF(AK504=0,1000000000,AO504*'Parametros'!$B$11*'Parametros'!$B$4*MIN(U504,AB504)/(AK504*1000)),IF(AV504=0,1000000000,'Parametros'!$B$11/AV504),MIN(U504,AB504)/2,600)/10,0)*10</f>
        <v>240</v>
      </c>
      <c r="AR504" s="10">
        <f>'Parametros'!$B$6*(AJ504+AO504*'Parametros'!$B$11*'Parametros'!$B$4*MIN(U504,AB504)/AP504/1000)</f>
        <v>316.520822943016</v>
      </c>
      <c r="AS504" s="10" t="str">
        <f>IF(AND(AM504="CUMPLE",AR504&gt;=AI504),"CUMPLE","NO CUMPLE")</f>
        <v>CUMPLE</v>
      </c>
      <c r="AT504" s="10">
        <f>'Parametros'!$B$6*0.083*SQRT('Parametros'!$B$2)*(H504*I504)^2/(2*(H504+I504))/1000000</f>
        <v>8.39093065800685</v>
      </c>
      <c r="AU504" s="10" t="str">
        <f>IF(Q504&lt;=AT504,"DESPRECIABLE","DISEÑAR")</f>
        <v>DISEÑAR</v>
      </c>
      <c r="AV504" s="10">
        <f>IF(Q504&lt;=AT504,0,Q504*1000000/('Parametros'!$B$6*2*0.85*(H504-2*'Parametros'!$B$7)*(I504-2*'Parametros'!$B$7)*'Parametros'!$B$4))</f>
        <v>0.135938772672189</v>
      </c>
      <c r="AW504" s="10">
        <f>AV504*2*((H504-2*'Parametros'!$B$7)+(I504-2*'Parametros'!$B$7))*'Parametros'!$B$4/'Parametros'!$B$3</f>
        <v>214.783260822059</v>
      </c>
      <c r="AX504" s="17" t="n">
        <v>2</v>
      </c>
      <c r="AY504" s="10" t="str">
        <f>IF(AV504=0,"DESPRECIABLE",IF('Parametros'!$B$11/AP504&gt;=AV504,"CUMPLE","NO CUMPLE"))</f>
        <v>CUMPLE</v>
      </c>
      <c r="AZ504" s="10" t="str">
        <f>IF(AND(X504="CUMPLE",AE504="CUMPLE",AS504="CUMPLE",OR(AY504="CUMPLE",AY504="DESPRECIABLE")),IF(OR(F504&lt;&gt;H504,G504&lt;&gt;I504),"CUMPLE - REANALIZAR SAP","CUMPLE"),"NO CUMPLE")</f>
        <v>CUMPLE - REANALIZAR SAP</v>
      </c>
    </row>
    <row r="505">
      <c r="A505" s="27" t="inlineStr">
        <is>
          <t>VR3</t>
        </is>
      </c>
      <c r="B505" s="27" t="inlineStr">
        <is>
          <t>191</t>
        </is>
      </c>
      <c r="C505" s="10" t="n">
        <v>1</v>
      </c>
      <c r="D505" s="10" t="n">
        <v>1.5</v>
      </c>
      <c r="E505" s="10" t="n">
        <v>1.5</v>
      </c>
      <c r="F505" s="10" t="n">
        <v>350</v>
      </c>
      <c r="G505" s="10" t="n">
        <v>400</v>
      </c>
      <c r="H505" s="28" t="n">
        <v>400</v>
      </c>
      <c r="I505" s="28" t="n">
        <v>550</v>
      </c>
      <c r="J505" s="16" t="n">
        <v>71.7752</v>
      </c>
      <c r="K505" s="10" t="inlineStr">
        <is>
          <t>191</t>
        </is>
      </c>
      <c r="L505" s="16" t="n">
        <v>3.3253</v>
      </c>
      <c r="M505" s="10" t="inlineStr">
        <is>
          <t>191</t>
        </is>
      </c>
      <c r="N505" s="16" t="n">
        <v>53.036</v>
      </c>
      <c r="O505" s="16" t="n">
        <v>53.036</v>
      </c>
      <c r="P505" s="10" t="inlineStr">
        <is>
          <t>191</t>
        </is>
      </c>
      <c r="Q505" s="16" t="n">
        <v>5.4249</v>
      </c>
      <c r="R505" s="10">
        <f>MAX(MAX(1.4/'Parametros'!$B$3,0.25*SQRT('Parametros'!$B$2)/'Parametros'!$B$3)*H505*U505,(0.85*'Parametros'!$B$2/'Parametros'!$B$3)*(1-SQRT(1-2*(J505*1000000/('Parametros'!$B$5*H505*U505^2))/(0.85*'Parametros'!$B$2)))*H505*U505)</f>
        <v>656.733333333333</v>
      </c>
      <c r="S505" s="17" t="n">
        <v>4</v>
      </c>
      <c r="T505" s="18" t="n">
        <v>1</v>
      </c>
      <c r="U505" s="10">
        <f>IF(T505=1,I505-('Parametros'!$B$7+'Parametros'!$B$9+'Parametros'!$B$12/2),I505-(ROUNDUP(S505/2,0)*('Parametros'!$B$7+'Parametros'!$B$9+'Parametros'!$B$12/2)+ROUNDDOWN(S505/2,0)*('Parametros'!$B$7+'Parametros'!$B$9+'Parametros'!$B$12/2+'Parametros'!$B$12+'Parametros'!$B$10))/S505)</f>
        <v>492.55</v>
      </c>
      <c r="V505" s="10">
        <f>S505*'Parametros'!$B$8</f>
        <v>796</v>
      </c>
      <c r="W505" s="10">
        <f>'Parametros'!$B$5*V505*'Parametros'!$B$3*(U505-(V505*'Parametros'!$B$3/(0.85*'Parametros'!$B$2*H505))/2)/1000000</f>
        <v>142.919145105882</v>
      </c>
      <c r="X505" s="10" t="str">
        <f>IF(W505&gt;=J505,"CUMPLE","NO CUMPLE")</f>
        <v>CUMPLE</v>
      </c>
      <c r="Y505" s="10">
        <f>MAX(MAX(1.4/'Parametros'!$B$3,0.25*SQRT('Parametros'!$B$2)/'Parametros'!$B$3)*H505*AB505,(0.85*'Parametros'!$B$2/'Parametros'!$B$3)*(1-SQRT(1-2*(L505*1000000/('Parametros'!$B$5*H505*AB505^2))/(0.85*'Parametros'!$B$2)))*H505*AB505)</f>
        <v>656.733333333333</v>
      </c>
      <c r="Z505" s="17" t="n">
        <v>4</v>
      </c>
      <c r="AA505" s="18" t="n">
        <v>1</v>
      </c>
      <c r="AB505" s="10">
        <f>IF(AA505=1,I505-('Parametros'!$B$7+'Parametros'!$B$9+'Parametros'!$B$12/2),I505-(ROUNDUP(Z505/2,0)*('Parametros'!$B$7+'Parametros'!$B$9+'Parametros'!$B$12/2)+ROUNDDOWN(Z505/2,0)*('Parametros'!$B$7+'Parametros'!$B$9+'Parametros'!$B$12/2+'Parametros'!$B$12+'Parametros'!$B$10))/Z505)</f>
        <v>492.55</v>
      </c>
      <c r="AC505" s="10">
        <f>Z505*'Parametros'!$B$8</f>
        <v>796</v>
      </c>
      <c r="AD505" s="10">
        <f>'Parametros'!$B$5*AC505*'Parametros'!$B$3*(AB505-(AC505*'Parametros'!$B$3/(0.85*'Parametros'!$B$2*H505))/2)/1000000</f>
        <v>142.919145105882</v>
      </c>
      <c r="AE505" s="10" t="str">
        <f>IF(AD505&gt;=L505,"CUMPLE","NO CUMPLE")</f>
        <v>CUMPLE</v>
      </c>
      <c r="AF505" s="10">
        <f>V505*1.25*'Parametros'!$B$3*(U505-(V505*1.25*'Parametros'!$B$3/(0.85*'Parametros'!$B$2*H505))/2)/1000000</f>
        <v>196.664354558824</v>
      </c>
      <c r="AG505" s="10">
        <f>AC505*1.25*'Parametros'!$B$3*(AB505-(AC505*1.25*'Parametros'!$B$3/(0.85*'Parametros'!$B$2*H505))/2)/1000000</f>
        <v>196.664354558824</v>
      </c>
      <c r="AH505" s="10">
        <f>N505+(AF505+AG505)/D505</f>
        <v>315.255139411765</v>
      </c>
      <c r="AI505" s="10">
        <f>MIN(O505,MAX(N505,AH505))</f>
        <v>53.036</v>
      </c>
      <c r="AJ505" s="10">
        <f>0.17*SQRT('Parametros'!$B$2)*H505*MIN(U505,AB505)/1000</f>
        <v>177.230413924022</v>
      </c>
      <c r="AK505" s="10">
        <f>MAX(AI505/'Parametros'!$B$6-AJ505,0)</f>
        <v>0</v>
      </c>
      <c r="AL505" s="10">
        <f>0.66*SQRT('Parametros'!$B$2)*H505*MIN(U505,AB505)/1000</f>
        <v>688.071018763848</v>
      </c>
      <c r="AM505" s="10" t="str">
        <f>IF(AK505&lt;=AL505,"CUMPLE","NO CUMPLE")</f>
        <v>CUMPLE</v>
      </c>
      <c r="AN505" s="15" t="inlineStr">
        <is>
          <t>Nº3 cerrado</t>
        </is>
      </c>
      <c r="AO505" s="17" t="n">
        <v>2</v>
      </c>
      <c r="AP505" s="10">
        <f>ROUNDDOWN(MIN(IF(AK505=0,1000000000,AO505*'Parametros'!$B$11*'Parametros'!$B$4*MIN(U505,AB505)/(AK505*1000)),IF(AV505=0,1000000000,'Parametros'!$B$11/AV505),MIN(U505,AB505)/4,8*'Parametros'!$B$12,24*'Parametros'!$B$9,300)/10,0)*10</f>
        <v>120</v>
      </c>
      <c r="AQ505" s="10">
        <f>ROUNDDOWN(MIN(IF(AK505=0,1000000000,AO505*'Parametros'!$B$11*'Parametros'!$B$4*MIN(U505,AB505)/(AK505*1000)),IF(AV505=0,1000000000,'Parametros'!$B$11/AV505),MIN(U505,AB505)/2,600)/10,0)*10</f>
        <v>240</v>
      </c>
      <c r="AR505" s="10">
        <f>'Parametros'!$B$6*(AJ505+AO505*'Parametros'!$B$11*'Parametros'!$B$4*MIN(U505,AB505)/AP505/1000)</f>
        <v>316.520822943016</v>
      </c>
      <c r="AS505" s="10" t="str">
        <f>IF(AND(AM505="CUMPLE",AR505&gt;=AI505),"CUMPLE","NO CUMPLE")</f>
        <v>CUMPLE</v>
      </c>
      <c r="AT505" s="10">
        <f>'Parametros'!$B$6*0.083*SQRT('Parametros'!$B$2)*(H505*I505)^2/(2*(H505+I505))/1000000</f>
        <v>8.39093065800685</v>
      </c>
      <c r="AU505" s="10" t="str">
        <f>IF(Q505&lt;=AT505,"DESPRECIABLE","DISEÑAR")</f>
        <v>DESPRECIABLE</v>
      </c>
      <c r="AV505" s="10">
        <f>IF(Q505&lt;=AT505,0,Q505*1000000/('Parametros'!$B$6*2*0.85*(H505-2*'Parametros'!$B$7)*(I505-2*'Parametros'!$B$7)*'Parametros'!$B$4))</f>
        <v>0</v>
      </c>
      <c r="AW505" s="10">
        <f>AV505*2*((H505-2*'Parametros'!$B$7)+(I505-2*'Parametros'!$B$7))*'Parametros'!$B$4/'Parametros'!$B$3</f>
        <v>0</v>
      </c>
      <c r="AX505" s="17" t="n">
        <v>0</v>
      </c>
      <c r="AY505" s="10" t="str">
        <f>IF(AV505=0,"DESPRECIABLE",IF('Parametros'!$B$11/AP505&gt;=AV505,"CUMPLE","NO CUMPLE"))</f>
        <v>DESPRECIABLE</v>
      </c>
      <c r="AZ505" s="10" t="str">
        <f>IF(AND(X505="CUMPLE",AE505="CUMPLE",AS505="CUMPLE",OR(AY505="CUMPLE",AY505="DESPRECIABLE")),IF(OR(F505&lt;&gt;H505,G505&lt;&gt;I505),"CUMPLE - REANALIZAR SAP","CUMPLE"),"NO CUMPLE")</f>
        <v>CUMPLE - REANALIZAR SAP</v>
      </c>
    </row>
    <row r="506">
      <c r="A506" s="27" t="inlineStr">
        <is>
          <t>VR3</t>
        </is>
      </c>
      <c r="B506" s="27" t="inlineStr">
        <is>
          <t>223</t>
        </is>
      </c>
      <c r="C506" s="10" t="n">
        <v>1</v>
      </c>
      <c r="D506" s="10" t="n">
        <v>2.95</v>
      </c>
      <c r="E506" s="10" t="n">
        <v>2.95</v>
      </c>
      <c r="F506" s="10" t="n">
        <v>350</v>
      </c>
      <c r="G506" s="10" t="n">
        <v>400</v>
      </c>
      <c r="H506" s="28" t="n">
        <v>400</v>
      </c>
      <c r="I506" s="28" t="n">
        <v>550</v>
      </c>
      <c r="J506" s="16" t="n">
        <v>195.4608</v>
      </c>
      <c r="K506" s="10" t="inlineStr">
        <is>
          <t>223</t>
        </is>
      </c>
      <c r="L506" s="16" t="n">
        <v>118.5493</v>
      </c>
      <c r="M506" s="10" t="inlineStr">
        <is>
          <t>223</t>
        </is>
      </c>
      <c r="N506" s="16" t="n">
        <v>173.33</v>
      </c>
      <c r="O506" s="16" t="n">
        <v>247.503</v>
      </c>
      <c r="P506" s="10" t="inlineStr">
        <is>
          <t>223</t>
        </is>
      </c>
      <c r="Q506" s="16" t="n">
        <v>2.1739</v>
      </c>
      <c r="R506" s="10">
        <f>MAX(MAX(1.4/'Parametros'!$B$3,0.25*SQRT('Parametros'!$B$2)/'Parametros'!$B$3)*H506*U506,(0.85*'Parametros'!$B$2/'Parametros'!$B$3)*(1-SQRT(1-2*(J506*1000000/('Parametros'!$B$5*H506*U506^2))/(0.85*'Parametros'!$B$2)))*H506*U506)</f>
        <v>1104.45627537958</v>
      </c>
      <c r="S506" s="17" t="n">
        <v>6</v>
      </c>
      <c r="T506" s="18" t="n">
        <v>1</v>
      </c>
      <c r="U506" s="10">
        <f>IF(T506=1,I506-('Parametros'!$B$7+'Parametros'!$B$9+'Parametros'!$B$12/2),I506-(ROUNDUP(S506/2,0)*('Parametros'!$B$7+'Parametros'!$B$9+'Parametros'!$B$12/2)+ROUNDDOWN(S506/2,0)*('Parametros'!$B$7+'Parametros'!$B$9+'Parametros'!$B$12/2+'Parametros'!$B$12+'Parametros'!$B$10))/S506)</f>
        <v>492.55</v>
      </c>
      <c r="V506" s="10">
        <f>S506*'Parametros'!$B$8</f>
        <v>1194</v>
      </c>
      <c r="W506" s="10">
        <f>'Parametros'!$B$5*V506*'Parametros'!$B$3*(U506-(V506*'Parametros'!$B$3/(0.85*'Parametros'!$B$2*H506))/2)/1000000</f>
        <v>210.416288188235</v>
      </c>
      <c r="X506" s="10" t="str">
        <f>IF(W506&gt;=J506,"CUMPLE","NO CUMPLE")</f>
        <v>CUMPLE</v>
      </c>
      <c r="Y506" s="10">
        <f>MAX(MAX(1.4/'Parametros'!$B$3,0.25*SQRT('Parametros'!$B$2)/'Parametros'!$B$3)*H506*AB506,(0.85*'Parametros'!$B$2/'Parametros'!$B$3)*(1-SQRT(1-2*(L506*1000000/('Parametros'!$B$5*H506*AB506^2))/(0.85*'Parametros'!$B$2)))*H506*AB506)</f>
        <v>656.733333333333</v>
      </c>
      <c r="Z506" s="17" t="n">
        <v>4</v>
      </c>
      <c r="AA506" s="18" t="n">
        <v>1</v>
      </c>
      <c r="AB506" s="10">
        <f>IF(AA506=1,I506-('Parametros'!$B$7+'Parametros'!$B$9+'Parametros'!$B$12/2),I506-(ROUNDUP(Z506/2,0)*('Parametros'!$B$7+'Parametros'!$B$9+'Parametros'!$B$12/2)+ROUNDDOWN(Z506/2,0)*('Parametros'!$B$7+'Parametros'!$B$9+'Parametros'!$B$12/2+'Parametros'!$B$12+'Parametros'!$B$10))/Z506)</f>
        <v>492.55</v>
      </c>
      <c r="AC506" s="10">
        <f>Z506*'Parametros'!$B$8</f>
        <v>796</v>
      </c>
      <c r="AD506" s="10">
        <f>'Parametros'!$B$5*AC506*'Parametros'!$B$3*(AB506-(AC506*'Parametros'!$B$3/(0.85*'Parametros'!$B$2*H506))/2)/1000000</f>
        <v>142.919145105882</v>
      </c>
      <c r="AE506" s="10" t="str">
        <f>IF(AD506&gt;=L506,"CUMPLE","NO CUMPLE")</f>
        <v>CUMPLE</v>
      </c>
      <c r="AF506" s="10">
        <f>V506*1.25*'Parametros'!$B$3*(U506-(V506*1.25*'Parametros'!$B$3/(0.85*'Parametros'!$B$2*H506))/2)/1000000</f>
        <v>288.117314007353</v>
      </c>
      <c r="AG506" s="10">
        <f>AC506*1.25*'Parametros'!$B$3*(AB506-(AC506*1.25*'Parametros'!$B$3/(0.85*'Parametros'!$B$2*H506))/2)/1000000</f>
        <v>196.664354558824</v>
      </c>
      <c r="AH506" s="10">
        <f>N506+(AF506+AG506)/D506</f>
        <v>337.662769005484</v>
      </c>
      <c r="AI506" s="10">
        <f>MIN(O506,MAX(N506,AH506))</f>
        <v>247.503</v>
      </c>
      <c r="AJ506" s="10">
        <f>0.17*SQRT('Parametros'!$B$2)*H506*MIN(U506,AB506)/1000</f>
        <v>177.230413924022</v>
      </c>
      <c r="AK506" s="10">
        <f>MAX(AI506/'Parametros'!$B$6-AJ506,0)</f>
        <v>152.773586075978</v>
      </c>
      <c r="AL506" s="10">
        <f>0.66*SQRT('Parametros'!$B$2)*H506*MIN(U506,AB506)/1000</f>
        <v>688.071018763848</v>
      </c>
      <c r="AM506" s="10" t="str">
        <f>IF(AK506&lt;=AL506,"CUMPLE","NO CUMPLE")</f>
        <v>CUMPLE</v>
      </c>
      <c r="AN506" s="15" t="inlineStr">
        <is>
          <t>Nº3 cerrado</t>
        </is>
      </c>
      <c r="AO506" s="17" t="n">
        <v>2</v>
      </c>
      <c r="AP506" s="10">
        <f>ROUNDDOWN(MIN(IF(AK506=0,1000000000,AO506*'Parametros'!$B$11*'Parametros'!$B$4*MIN(U506,AB506)/(AK506*1000)),IF(AV506=0,1000000000,'Parametros'!$B$11/AV506),MIN(U506,AB506)/4,8*'Parametros'!$B$12,24*'Parametros'!$B$9,300)/10,0)*10</f>
        <v>120</v>
      </c>
      <c r="AQ506" s="10">
        <f>ROUNDDOWN(MIN(IF(AK506=0,1000000000,AO506*'Parametros'!$B$11*'Parametros'!$B$4*MIN(U506,AB506)/(AK506*1000)),IF(AV506=0,1000000000,'Parametros'!$B$11/AV506),MIN(U506,AB506)/2,600)/10,0)*10</f>
        <v>190</v>
      </c>
      <c r="AR506" s="10">
        <f>'Parametros'!$B$6*(AJ506+AO506*'Parametros'!$B$11*'Parametros'!$B$4*MIN(U506,AB506)/AP506/1000)</f>
        <v>316.520822943016</v>
      </c>
      <c r="AS506" s="10" t="str">
        <f>IF(AND(AM506="CUMPLE",AR506&gt;=AI506),"CUMPLE","NO CUMPLE")</f>
        <v>CUMPLE</v>
      </c>
      <c r="AT506" s="10">
        <f>'Parametros'!$B$6*0.083*SQRT('Parametros'!$B$2)*(H506*I506)^2/(2*(H506+I506))/1000000</f>
        <v>8.39093065800685</v>
      </c>
      <c r="AU506" s="10" t="str">
        <f>IF(Q506&lt;=AT506,"DESPRECIABLE","DISEÑAR")</f>
        <v>DESPRECIABLE</v>
      </c>
      <c r="AV506" s="10">
        <f>IF(Q506&lt;=AT506,0,Q506*1000000/('Parametros'!$B$6*2*0.85*(H506-2*'Parametros'!$B$7)*(I506-2*'Parametros'!$B$7)*'Parametros'!$B$4))</f>
        <v>0</v>
      </c>
      <c r="AW506" s="10">
        <f>AV506*2*((H506-2*'Parametros'!$B$7)+(I506-2*'Parametros'!$B$7))*'Parametros'!$B$4/'Parametros'!$B$3</f>
        <v>0</v>
      </c>
      <c r="AX506" s="17" t="n">
        <v>0</v>
      </c>
      <c r="AY506" s="10" t="str">
        <f>IF(AV506=0,"DESPRECIABLE",IF('Parametros'!$B$11/AP506&gt;=AV506,"CUMPLE","NO CUMPLE"))</f>
        <v>DESPRECIABLE</v>
      </c>
      <c r="AZ506" s="10" t="str">
        <f>IF(AND(X506="CUMPLE",AE506="CUMPLE",AS506="CUMPLE",OR(AY506="CUMPLE",AY506="DESPRECIABLE")),IF(OR(F506&lt;&gt;H506,G506&lt;&gt;I506),"CUMPLE - REANALIZAR SAP","CUMPLE"),"NO CUMPLE")</f>
        <v>CUMPLE - REANALIZAR SAP</v>
      </c>
    </row>
    <row r="507">
      <c r="A507" s="27" t="inlineStr">
        <is>
          <t>VR3</t>
        </is>
      </c>
      <c r="B507" s="27" t="inlineStr">
        <is>
          <t>224</t>
        </is>
      </c>
      <c r="C507" s="10" t="n">
        <v>1</v>
      </c>
      <c r="D507" s="10" t="n">
        <v>2.6</v>
      </c>
      <c r="E507" s="10" t="n">
        <v>2.6</v>
      </c>
      <c r="F507" s="10" t="n">
        <v>350</v>
      </c>
      <c r="G507" s="10" t="n">
        <v>400</v>
      </c>
      <c r="H507" s="28" t="n">
        <v>400</v>
      </c>
      <c r="I507" s="28" t="n">
        <v>550</v>
      </c>
      <c r="J507" s="16" t="n">
        <v>226.8165</v>
      </c>
      <c r="K507" s="10" t="inlineStr">
        <is>
          <t>224</t>
        </is>
      </c>
      <c r="L507" s="16" t="n">
        <v>105.0102</v>
      </c>
      <c r="M507" s="10" t="inlineStr">
        <is>
          <t>224</t>
        </is>
      </c>
      <c r="N507" s="16" t="n">
        <v>179.658</v>
      </c>
      <c r="O507" s="16" t="n">
        <v>254.132</v>
      </c>
      <c r="P507" s="10" t="inlineStr">
        <is>
          <t>224</t>
        </is>
      </c>
      <c r="Q507" s="16" t="n">
        <v>4.5004</v>
      </c>
      <c r="R507" s="10">
        <f>MAX(MAX(1.4/'Parametros'!$B$3,0.25*SQRT('Parametros'!$B$2)/'Parametros'!$B$3)*H507*U507,(0.85*'Parametros'!$B$2/'Parametros'!$B$3)*(1-SQRT(1-2*(J507*1000000/('Parametros'!$B$5*H507*U507^2))/(0.85*'Parametros'!$B$2)))*H507*U507)</f>
        <v>1293.12749129982</v>
      </c>
      <c r="S507" s="17" t="n">
        <v>7</v>
      </c>
      <c r="T507" s="18" t="n">
        <v>1</v>
      </c>
      <c r="U507" s="10">
        <f>IF(T507=1,I507-('Parametros'!$B$7+'Parametros'!$B$9+'Parametros'!$B$12/2),I507-(ROUNDUP(S507/2,0)*('Parametros'!$B$7+'Parametros'!$B$9+'Parametros'!$B$12/2)+ROUNDDOWN(S507/2,0)*('Parametros'!$B$7+'Parametros'!$B$9+'Parametros'!$B$12/2+'Parametros'!$B$12+'Parametros'!$B$10))/S507)</f>
        <v>492.55</v>
      </c>
      <c r="V507" s="10">
        <f>S507*'Parametros'!$B$8</f>
        <v>1393</v>
      </c>
      <c r="W507" s="10">
        <f>'Parametros'!$B$5*V507*'Parametros'!$B$3*(U507-(V507*'Parametros'!$B$3/(0.85*'Parametros'!$B$2*H507))/2)/1000000</f>
        <v>243.174252361765</v>
      </c>
      <c r="X507" s="10" t="str">
        <f>IF(W507&gt;=J507,"CUMPLE","NO CUMPLE")</f>
        <v>CUMPLE</v>
      </c>
      <c r="Y507" s="10">
        <f>MAX(MAX(1.4/'Parametros'!$B$3,0.25*SQRT('Parametros'!$B$2)/'Parametros'!$B$3)*H507*AB507,(0.85*'Parametros'!$B$2/'Parametros'!$B$3)*(1-SQRT(1-2*(L507*1000000/('Parametros'!$B$5*H507*AB507^2))/(0.85*'Parametros'!$B$2)))*H507*AB507)</f>
        <v>656.733333333333</v>
      </c>
      <c r="Z507" s="17" t="n">
        <v>4</v>
      </c>
      <c r="AA507" s="18" t="n">
        <v>1</v>
      </c>
      <c r="AB507" s="10">
        <f>IF(AA507=1,I507-('Parametros'!$B$7+'Parametros'!$B$9+'Parametros'!$B$12/2),I507-(ROUNDUP(Z507/2,0)*('Parametros'!$B$7+'Parametros'!$B$9+'Parametros'!$B$12/2)+ROUNDDOWN(Z507/2,0)*('Parametros'!$B$7+'Parametros'!$B$9+'Parametros'!$B$12/2+'Parametros'!$B$12+'Parametros'!$B$10))/Z507)</f>
        <v>492.55</v>
      </c>
      <c r="AC507" s="10">
        <f>Z507*'Parametros'!$B$8</f>
        <v>796</v>
      </c>
      <c r="AD507" s="10">
        <f>'Parametros'!$B$5*AC507*'Parametros'!$B$3*(AB507-(AC507*'Parametros'!$B$3/(0.85*'Parametros'!$B$2*H507))/2)/1000000</f>
        <v>142.919145105882</v>
      </c>
      <c r="AE507" s="10" t="str">
        <f>IF(AD507&gt;=L507,"CUMPLE","NO CUMPLE")</f>
        <v>CUMPLE</v>
      </c>
      <c r="AF507" s="10">
        <f>V507*1.25*'Parametros'!$B$3*(U507-(V507*1.25*'Parametros'!$B$3/(0.85*'Parametros'!$B$2*H507))/2)/1000000</f>
        <v>332.123989273897</v>
      </c>
      <c r="AG507" s="10">
        <f>AC507*1.25*'Parametros'!$B$3*(AB507-(AC507*1.25*'Parametros'!$B$3/(0.85*'Parametros'!$B$2*H507))/2)/1000000</f>
        <v>196.664354558824</v>
      </c>
      <c r="AH507" s="10">
        <f>N507+(AF507+AG507)/D507</f>
        <v>383.038132243354</v>
      </c>
      <c r="AI507" s="10">
        <f>MIN(O507,MAX(N507,AH507))</f>
        <v>254.132</v>
      </c>
      <c r="AJ507" s="10">
        <f>0.17*SQRT('Parametros'!$B$2)*H507*MIN(U507,AB507)/1000</f>
        <v>177.230413924022</v>
      </c>
      <c r="AK507" s="10">
        <f>MAX(AI507/'Parametros'!$B$6-AJ507,0)</f>
        <v>161.612252742645</v>
      </c>
      <c r="AL507" s="10">
        <f>0.66*SQRT('Parametros'!$B$2)*H507*MIN(U507,AB507)/1000</f>
        <v>688.071018763848</v>
      </c>
      <c r="AM507" s="10" t="str">
        <f>IF(AK507&lt;=AL507,"CUMPLE","NO CUMPLE")</f>
        <v>CUMPLE</v>
      </c>
      <c r="AN507" s="15" t="inlineStr">
        <is>
          <t>Nº3 cerrado</t>
        </is>
      </c>
      <c r="AO507" s="17" t="n">
        <v>2</v>
      </c>
      <c r="AP507" s="10">
        <f>ROUNDDOWN(MIN(IF(AK507=0,1000000000,AO507*'Parametros'!$B$11*'Parametros'!$B$4*MIN(U507,AB507)/(AK507*1000)),IF(AV507=0,1000000000,'Parametros'!$B$11/AV507),MIN(U507,AB507)/4,8*'Parametros'!$B$12,24*'Parametros'!$B$9,300)/10,0)*10</f>
        <v>120</v>
      </c>
      <c r="AQ507" s="10">
        <f>ROUNDDOWN(MIN(IF(AK507=0,1000000000,AO507*'Parametros'!$B$11*'Parametros'!$B$4*MIN(U507,AB507)/(AK507*1000)),IF(AV507=0,1000000000,'Parametros'!$B$11/AV507),MIN(U507,AB507)/2,600)/10,0)*10</f>
        <v>180</v>
      </c>
      <c r="AR507" s="10">
        <f>'Parametros'!$B$6*(AJ507+AO507*'Parametros'!$B$11*'Parametros'!$B$4*MIN(U507,AB507)/AP507/1000)</f>
        <v>316.520822943016</v>
      </c>
      <c r="AS507" s="10" t="str">
        <f>IF(AND(AM507="CUMPLE",AR507&gt;=AI507),"CUMPLE","NO CUMPLE")</f>
        <v>CUMPLE</v>
      </c>
      <c r="AT507" s="10">
        <f>'Parametros'!$B$6*0.083*SQRT('Parametros'!$B$2)*(H507*I507)^2/(2*(H507+I507))/1000000</f>
        <v>8.39093065800685</v>
      </c>
      <c r="AU507" s="10" t="str">
        <f>IF(Q507&lt;=AT507,"DESPRECIABLE","DISEÑAR")</f>
        <v>DESPRECIABLE</v>
      </c>
      <c r="AV507" s="10">
        <f>IF(Q507&lt;=AT507,0,Q507*1000000/('Parametros'!$B$6*2*0.85*(H507-2*'Parametros'!$B$7)*(I507-2*'Parametros'!$B$7)*'Parametros'!$B$4))</f>
        <v>0</v>
      </c>
      <c r="AW507" s="10">
        <f>AV507*2*((H507-2*'Parametros'!$B$7)+(I507-2*'Parametros'!$B$7))*'Parametros'!$B$4/'Parametros'!$B$3</f>
        <v>0</v>
      </c>
      <c r="AX507" s="17" t="n">
        <v>0</v>
      </c>
      <c r="AY507" s="10" t="str">
        <f>IF(AV507=0,"DESPRECIABLE",IF('Parametros'!$B$11/AP507&gt;=AV507,"CUMPLE","NO CUMPLE"))</f>
        <v>DESPRECIABLE</v>
      </c>
      <c r="AZ507" s="10" t="str">
        <f>IF(AND(X507="CUMPLE",AE507="CUMPLE",AS507="CUMPLE",OR(AY507="CUMPLE",AY507="DESPRECIABLE")),IF(OR(F507&lt;&gt;H507,G507&lt;&gt;I507),"CUMPLE - REANALIZAR SAP","CUMPLE"),"NO CUMPLE")</f>
        <v>CUMPLE - REANALIZAR SAP</v>
      </c>
    </row>
    <row r="508">
      <c r="A508" s="27" t="inlineStr">
        <is>
          <t>VR3</t>
        </is>
      </c>
      <c r="B508" s="27" t="inlineStr">
        <is>
          <t>225</t>
        </is>
      </c>
      <c r="C508" s="10" t="n">
        <v>1</v>
      </c>
      <c r="D508" s="10" t="n">
        <v>2.5</v>
      </c>
      <c r="E508" s="10" t="n">
        <v>2.5</v>
      </c>
      <c r="F508" s="10" t="n">
        <v>350</v>
      </c>
      <c r="G508" s="10" t="n">
        <v>400</v>
      </c>
      <c r="H508" s="28" t="n">
        <v>400</v>
      </c>
      <c r="I508" s="28" t="n">
        <v>550</v>
      </c>
      <c r="J508" s="16" t="n">
        <v>124.2129</v>
      </c>
      <c r="K508" s="10" t="inlineStr">
        <is>
          <t>225</t>
        </is>
      </c>
      <c r="L508" s="16" t="n">
        <v>87.807</v>
      </c>
      <c r="M508" s="10" t="inlineStr">
        <is>
          <t>225</t>
        </is>
      </c>
      <c r="N508" s="16" t="n">
        <v>115.218</v>
      </c>
      <c r="O508" s="16" t="n">
        <v>432.077</v>
      </c>
      <c r="P508" s="10" t="inlineStr">
        <is>
          <t>225</t>
        </is>
      </c>
      <c r="Q508" s="16" t="n">
        <v>0.0339</v>
      </c>
      <c r="R508" s="10">
        <f>MAX(MAX(1.4/'Parametros'!$B$3,0.25*SQRT('Parametros'!$B$2)/'Parametros'!$B$3)*H508*U508,(0.85*'Parametros'!$B$2/'Parametros'!$B$3)*(1-SQRT(1-2*(J508*1000000/('Parametros'!$B$5*H508*U508^2))/(0.85*'Parametros'!$B$2)))*H508*U508)</f>
        <v>688.373369739328</v>
      </c>
      <c r="S508" s="17" t="n">
        <v>4</v>
      </c>
      <c r="T508" s="18" t="n">
        <v>1</v>
      </c>
      <c r="U508" s="10">
        <f>IF(T508=1,I508-('Parametros'!$B$7+'Parametros'!$B$9+'Parametros'!$B$12/2),I508-(ROUNDUP(S508/2,0)*('Parametros'!$B$7+'Parametros'!$B$9+'Parametros'!$B$12/2)+ROUNDDOWN(S508/2,0)*('Parametros'!$B$7+'Parametros'!$B$9+'Parametros'!$B$12/2+'Parametros'!$B$12+'Parametros'!$B$10))/S508)</f>
        <v>492.55</v>
      </c>
      <c r="V508" s="10">
        <f>S508*'Parametros'!$B$8</f>
        <v>796</v>
      </c>
      <c r="W508" s="10">
        <f>'Parametros'!$B$5*V508*'Parametros'!$B$3*(U508-(V508*'Parametros'!$B$3/(0.85*'Parametros'!$B$2*H508))/2)/1000000</f>
        <v>142.919145105882</v>
      </c>
      <c r="X508" s="10" t="str">
        <f>IF(W508&gt;=J508,"CUMPLE","NO CUMPLE")</f>
        <v>CUMPLE</v>
      </c>
      <c r="Y508" s="10">
        <f>MAX(MAX(1.4/'Parametros'!$B$3,0.25*SQRT('Parametros'!$B$2)/'Parametros'!$B$3)*H508*AB508,(0.85*'Parametros'!$B$2/'Parametros'!$B$3)*(1-SQRT(1-2*(L508*1000000/('Parametros'!$B$5*H508*AB508^2))/(0.85*'Parametros'!$B$2)))*H508*AB508)</f>
        <v>656.733333333333</v>
      </c>
      <c r="Z508" s="17" t="n">
        <v>4</v>
      </c>
      <c r="AA508" s="18" t="n">
        <v>1</v>
      </c>
      <c r="AB508" s="10">
        <f>IF(AA508=1,I508-('Parametros'!$B$7+'Parametros'!$B$9+'Parametros'!$B$12/2),I508-(ROUNDUP(Z508/2,0)*('Parametros'!$B$7+'Parametros'!$B$9+'Parametros'!$B$12/2)+ROUNDDOWN(Z508/2,0)*('Parametros'!$B$7+'Parametros'!$B$9+'Parametros'!$B$12/2+'Parametros'!$B$12+'Parametros'!$B$10))/Z508)</f>
        <v>492.55</v>
      </c>
      <c r="AC508" s="10">
        <f>Z508*'Parametros'!$B$8</f>
        <v>796</v>
      </c>
      <c r="AD508" s="10">
        <f>'Parametros'!$B$5*AC508*'Parametros'!$B$3*(AB508-(AC508*'Parametros'!$B$3/(0.85*'Parametros'!$B$2*H508))/2)/1000000</f>
        <v>142.919145105882</v>
      </c>
      <c r="AE508" s="10" t="str">
        <f>IF(AD508&gt;=L508,"CUMPLE","NO CUMPLE")</f>
        <v>CUMPLE</v>
      </c>
      <c r="AF508" s="10">
        <f>V508*1.25*'Parametros'!$B$3*(U508-(V508*1.25*'Parametros'!$B$3/(0.85*'Parametros'!$B$2*H508))/2)/1000000</f>
        <v>196.664354558824</v>
      </c>
      <c r="AG508" s="10">
        <f>AC508*1.25*'Parametros'!$B$3*(AB508-(AC508*1.25*'Parametros'!$B$3/(0.85*'Parametros'!$B$2*H508))/2)/1000000</f>
        <v>196.664354558824</v>
      </c>
      <c r="AH508" s="10">
        <f>N508+(AF508+AG508)/D508</f>
        <v>272.549483647059</v>
      </c>
      <c r="AI508" s="10">
        <f>MIN(O508,MAX(N508,AH508))</f>
        <v>272.549483647059</v>
      </c>
      <c r="AJ508" s="10">
        <f>0.17*SQRT('Parametros'!$B$2)*H508*MIN(U508,AB508)/1000</f>
        <v>177.230413924022</v>
      </c>
      <c r="AK508" s="10">
        <f>MAX(AI508/'Parametros'!$B$6-AJ508,0)</f>
        <v>186.16889760539</v>
      </c>
      <c r="AL508" s="10">
        <f>0.66*SQRT('Parametros'!$B$2)*H508*MIN(U508,AB508)/1000</f>
        <v>688.071018763848</v>
      </c>
      <c r="AM508" s="10" t="str">
        <f>IF(AK508&lt;=AL508,"CUMPLE","NO CUMPLE")</f>
        <v>CUMPLE</v>
      </c>
      <c r="AN508" s="15" t="inlineStr">
        <is>
          <t>Nº3 cerrado</t>
        </is>
      </c>
      <c r="AO508" s="17" t="n">
        <v>2</v>
      </c>
      <c r="AP508" s="10">
        <f>ROUNDDOWN(MIN(IF(AK508=0,1000000000,AO508*'Parametros'!$B$11*'Parametros'!$B$4*MIN(U508,AB508)/(AK508*1000)),IF(AV508=0,1000000000,'Parametros'!$B$11/AV508),MIN(U508,AB508)/4,8*'Parametros'!$B$12,24*'Parametros'!$B$9,300)/10,0)*10</f>
        <v>120</v>
      </c>
      <c r="AQ508" s="10">
        <f>ROUNDDOWN(MIN(IF(AK508=0,1000000000,AO508*'Parametros'!$B$11*'Parametros'!$B$4*MIN(U508,AB508)/(AK508*1000)),IF(AV508=0,1000000000,'Parametros'!$B$11/AV508),MIN(U508,AB508)/2,600)/10,0)*10</f>
        <v>150</v>
      </c>
      <c r="AR508" s="10">
        <f>'Parametros'!$B$6*(AJ508+AO508*'Parametros'!$B$11*'Parametros'!$B$4*MIN(U508,AB508)/AP508/1000)</f>
        <v>316.520822943016</v>
      </c>
      <c r="AS508" s="10" t="str">
        <f>IF(AND(AM508="CUMPLE",AR508&gt;=AI508),"CUMPLE","NO CUMPLE")</f>
        <v>CUMPLE</v>
      </c>
      <c r="AT508" s="10">
        <f>'Parametros'!$B$6*0.083*SQRT('Parametros'!$B$2)*(H508*I508)^2/(2*(H508+I508))/1000000</f>
        <v>8.39093065800685</v>
      </c>
      <c r="AU508" s="10" t="str">
        <f>IF(Q508&lt;=AT508,"DESPRECIABLE","DISEÑAR")</f>
        <v>DESPRECIABLE</v>
      </c>
      <c r="AV508" s="10">
        <f>IF(Q508&lt;=AT508,0,Q508*1000000/('Parametros'!$B$6*2*0.85*(H508-2*'Parametros'!$B$7)*(I508-2*'Parametros'!$B$7)*'Parametros'!$B$4))</f>
        <v>0</v>
      </c>
      <c r="AW508" s="10">
        <f>AV508*2*((H508-2*'Parametros'!$B$7)+(I508-2*'Parametros'!$B$7))*'Parametros'!$B$4/'Parametros'!$B$3</f>
        <v>0</v>
      </c>
      <c r="AX508" s="17" t="n">
        <v>0</v>
      </c>
      <c r="AY508" s="10" t="str">
        <f>IF(AV508=0,"DESPRECIABLE",IF('Parametros'!$B$11/AP508&gt;=AV508,"CUMPLE","NO CUMPLE"))</f>
        <v>DESPRECIABLE</v>
      </c>
      <c r="AZ508" s="10" t="str">
        <f>IF(AND(X508="CUMPLE",AE508="CUMPLE",AS508="CUMPLE",OR(AY508="CUMPLE",AY508="DESPRECIABLE")),IF(OR(F508&lt;&gt;H508,G508&lt;&gt;I508),"CUMPLE - REANALIZAR SAP","CUMPLE"),"NO CUMPLE")</f>
        <v>CUMPLE - REANALIZAR SAP</v>
      </c>
    </row>
    <row r="509">
      <c r="A509" s="27" t="inlineStr">
        <is>
          <t>VR3</t>
        </is>
      </c>
      <c r="B509" s="27" t="inlineStr">
        <is>
          <t>226</t>
        </is>
      </c>
      <c r="C509" s="10" t="n">
        <v>1</v>
      </c>
      <c r="D509" s="10" t="n">
        <v>4</v>
      </c>
      <c r="E509" s="10" t="n">
        <v>4</v>
      </c>
      <c r="F509" s="10" t="n">
        <v>350</v>
      </c>
      <c r="G509" s="10" t="n">
        <v>400</v>
      </c>
      <c r="H509" s="28" t="n">
        <v>400</v>
      </c>
      <c r="I509" s="28" t="n">
        <v>550</v>
      </c>
      <c r="J509" s="16" t="n">
        <v>120.2581</v>
      </c>
      <c r="K509" s="10" t="inlineStr">
        <is>
          <t>226</t>
        </is>
      </c>
      <c r="L509" s="16" t="n">
        <v>59.054</v>
      </c>
      <c r="M509" s="10" t="inlineStr">
        <is>
          <t>226</t>
        </is>
      </c>
      <c r="N509" s="16" t="n">
        <v>95.29000000000001</v>
      </c>
      <c r="O509" s="16" t="n">
        <v>246.048</v>
      </c>
      <c r="P509" s="10" t="inlineStr">
        <is>
          <t>226</t>
        </is>
      </c>
      <c r="Q509" s="16" t="n">
        <v>0.3166</v>
      </c>
      <c r="R509" s="10">
        <f>MAX(MAX(1.4/'Parametros'!$B$3,0.25*SQRT('Parametros'!$B$2)/'Parametros'!$B$3)*H509*U509,(0.85*'Parametros'!$B$2/'Parametros'!$B$3)*(1-SQRT(1-2*(J509*1000000/('Parametros'!$B$5*H509*U509^2))/(0.85*'Parametros'!$B$2)))*H509*U509)</f>
        <v>665.760662225472</v>
      </c>
      <c r="S509" s="17" t="n">
        <v>4</v>
      </c>
      <c r="T509" s="18" t="n">
        <v>1</v>
      </c>
      <c r="U509" s="10">
        <f>IF(T509=1,I509-('Parametros'!$B$7+'Parametros'!$B$9+'Parametros'!$B$12/2),I509-(ROUNDUP(S509/2,0)*('Parametros'!$B$7+'Parametros'!$B$9+'Parametros'!$B$12/2)+ROUNDDOWN(S509/2,0)*('Parametros'!$B$7+'Parametros'!$B$9+'Parametros'!$B$12/2+'Parametros'!$B$12+'Parametros'!$B$10))/S509)</f>
        <v>492.55</v>
      </c>
      <c r="V509" s="10">
        <f>S509*'Parametros'!$B$8</f>
        <v>796</v>
      </c>
      <c r="W509" s="10">
        <f>'Parametros'!$B$5*V509*'Parametros'!$B$3*(U509-(V509*'Parametros'!$B$3/(0.85*'Parametros'!$B$2*H509))/2)/1000000</f>
        <v>142.919145105882</v>
      </c>
      <c r="X509" s="10" t="str">
        <f>IF(W509&gt;=J509,"CUMPLE","NO CUMPLE")</f>
        <v>CUMPLE</v>
      </c>
      <c r="Y509" s="10">
        <f>MAX(MAX(1.4/'Parametros'!$B$3,0.25*SQRT('Parametros'!$B$2)/'Parametros'!$B$3)*H509*AB509,(0.85*'Parametros'!$B$2/'Parametros'!$B$3)*(1-SQRT(1-2*(L509*1000000/('Parametros'!$B$5*H509*AB509^2))/(0.85*'Parametros'!$B$2)))*H509*AB509)</f>
        <v>656.733333333333</v>
      </c>
      <c r="Z509" s="17" t="n">
        <v>4</v>
      </c>
      <c r="AA509" s="18" t="n">
        <v>1</v>
      </c>
      <c r="AB509" s="10">
        <f>IF(AA509=1,I509-('Parametros'!$B$7+'Parametros'!$B$9+'Parametros'!$B$12/2),I509-(ROUNDUP(Z509/2,0)*('Parametros'!$B$7+'Parametros'!$B$9+'Parametros'!$B$12/2)+ROUNDDOWN(Z509/2,0)*('Parametros'!$B$7+'Parametros'!$B$9+'Parametros'!$B$12/2+'Parametros'!$B$12+'Parametros'!$B$10))/Z509)</f>
        <v>492.55</v>
      </c>
      <c r="AC509" s="10">
        <f>Z509*'Parametros'!$B$8</f>
        <v>796</v>
      </c>
      <c r="AD509" s="10">
        <f>'Parametros'!$B$5*AC509*'Parametros'!$B$3*(AB509-(AC509*'Parametros'!$B$3/(0.85*'Parametros'!$B$2*H509))/2)/1000000</f>
        <v>142.919145105882</v>
      </c>
      <c r="AE509" s="10" t="str">
        <f>IF(AD509&gt;=L509,"CUMPLE","NO CUMPLE")</f>
        <v>CUMPLE</v>
      </c>
      <c r="AF509" s="10">
        <f>V509*1.25*'Parametros'!$B$3*(U509-(V509*1.25*'Parametros'!$B$3/(0.85*'Parametros'!$B$2*H509))/2)/1000000</f>
        <v>196.664354558824</v>
      </c>
      <c r="AG509" s="10">
        <f>AC509*1.25*'Parametros'!$B$3*(AB509-(AC509*1.25*'Parametros'!$B$3/(0.85*'Parametros'!$B$2*H509))/2)/1000000</f>
        <v>196.664354558824</v>
      </c>
      <c r="AH509" s="10">
        <f>N509+(AF509+AG509)/D509</f>
        <v>193.622177279412</v>
      </c>
      <c r="AI509" s="10">
        <f>MIN(O509,MAX(N509,AH509))</f>
        <v>193.622177279412</v>
      </c>
      <c r="AJ509" s="10">
        <f>0.17*SQRT('Parametros'!$B$2)*H509*MIN(U509,AB509)/1000</f>
        <v>177.230413924022</v>
      </c>
      <c r="AK509" s="10">
        <f>MAX(AI509/'Parametros'!$B$6-AJ509,0)</f>
        <v>80.9324891151942</v>
      </c>
      <c r="AL509" s="10">
        <f>0.66*SQRT('Parametros'!$B$2)*H509*MIN(U509,AB509)/1000</f>
        <v>688.071018763848</v>
      </c>
      <c r="AM509" s="10" t="str">
        <f>IF(AK509&lt;=AL509,"CUMPLE","NO CUMPLE")</f>
        <v>CUMPLE</v>
      </c>
      <c r="AN509" s="15" t="inlineStr">
        <is>
          <t>Nº3 cerrado</t>
        </is>
      </c>
      <c r="AO509" s="17" t="n">
        <v>2</v>
      </c>
      <c r="AP509" s="10">
        <f>ROUNDDOWN(MIN(IF(AK509=0,1000000000,AO509*'Parametros'!$B$11*'Parametros'!$B$4*MIN(U509,AB509)/(AK509*1000)),IF(AV509=0,1000000000,'Parametros'!$B$11/AV509),MIN(U509,AB509)/4,8*'Parametros'!$B$12,24*'Parametros'!$B$9,300)/10,0)*10</f>
        <v>120</v>
      </c>
      <c r="AQ509" s="10">
        <f>ROUNDDOWN(MIN(IF(AK509=0,1000000000,AO509*'Parametros'!$B$11*'Parametros'!$B$4*MIN(U509,AB509)/(AK509*1000)),IF(AV509=0,1000000000,'Parametros'!$B$11/AV509),MIN(U509,AB509)/2,600)/10,0)*10</f>
        <v>240</v>
      </c>
      <c r="AR509" s="10">
        <f>'Parametros'!$B$6*(AJ509+AO509*'Parametros'!$B$11*'Parametros'!$B$4*MIN(U509,AB509)/AP509/1000)</f>
        <v>316.520822943016</v>
      </c>
      <c r="AS509" s="10" t="str">
        <f>IF(AND(AM509="CUMPLE",AR509&gt;=AI509),"CUMPLE","NO CUMPLE")</f>
        <v>CUMPLE</v>
      </c>
      <c r="AT509" s="10">
        <f>'Parametros'!$B$6*0.083*SQRT('Parametros'!$B$2)*(H509*I509)^2/(2*(H509+I509))/1000000</f>
        <v>8.39093065800685</v>
      </c>
      <c r="AU509" s="10" t="str">
        <f>IF(Q509&lt;=AT509,"DESPRECIABLE","DISEÑAR")</f>
        <v>DESPRECIABLE</v>
      </c>
      <c r="AV509" s="10">
        <f>IF(Q509&lt;=AT509,0,Q509*1000000/('Parametros'!$B$6*2*0.85*(H509-2*'Parametros'!$B$7)*(I509-2*'Parametros'!$B$7)*'Parametros'!$B$4))</f>
        <v>0</v>
      </c>
      <c r="AW509" s="10">
        <f>AV509*2*((H509-2*'Parametros'!$B$7)+(I509-2*'Parametros'!$B$7))*'Parametros'!$B$4/'Parametros'!$B$3</f>
        <v>0</v>
      </c>
      <c r="AX509" s="17" t="n">
        <v>0</v>
      </c>
      <c r="AY509" s="10" t="str">
        <f>IF(AV509=0,"DESPRECIABLE",IF('Parametros'!$B$11/AP509&gt;=AV509,"CUMPLE","NO CUMPLE"))</f>
        <v>DESPRECIABLE</v>
      </c>
      <c r="AZ509" s="10" t="str">
        <f>IF(AND(X509="CUMPLE",AE509="CUMPLE",AS509="CUMPLE",OR(AY509="CUMPLE",AY509="DESPRECIABLE")),IF(OR(F509&lt;&gt;H509,G509&lt;&gt;I509),"CUMPLE - REANALIZAR SAP","CUMPLE"),"NO CUMPLE")</f>
        <v>CUMPLE - REANALIZAR SAP</v>
      </c>
    </row>
    <row r="510">
      <c r="A510" s="27" t="inlineStr">
        <is>
          <t>VR3</t>
        </is>
      </c>
      <c r="B510" s="27" t="inlineStr">
        <is>
          <t>227</t>
        </is>
      </c>
      <c r="C510" s="10" t="n">
        <v>1</v>
      </c>
      <c r="D510" s="10" t="n">
        <v>2.8</v>
      </c>
      <c r="E510" s="10" t="n">
        <v>2.8</v>
      </c>
      <c r="F510" s="10" t="n">
        <v>350</v>
      </c>
      <c r="G510" s="10" t="n">
        <v>400</v>
      </c>
      <c r="H510" s="28" t="n">
        <v>400</v>
      </c>
      <c r="I510" s="28" t="n">
        <v>550</v>
      </c>
      <c r="J510" s="16" t="n">
        <v>96.0431</v>
      </c>
      <c r="K510" s="10" t="inlineStr">
        <is>
          <t>227</t>
        </is>
      </c>
      <c r="L510" s="16" t="n">
        <v>38.6111</v>
      </c>
      <c r="M510" s="10" t="inlineStr">
        <is>
          <t>227</t>
        </is>
      </c>
      <c r="N510" s="16" t="n">
        <v>73.59399999999999</v>
      </c>
      <c r="O510" s="16" t="n">
        <v>155.793</v>
      </c>
      <c r="P510" s="10" t="inlineStr">
        <is>
          <t>227</t>
        </is>
      </c>
      <c r="Q510" s="16" t="n">
        <v>0.0006036</v>
      </c>
      <c r="R510" s="10">
        <f>MAX(MAX(1.4/'Parametros'!$B$3,0.25*SQRT('Parametros'!$B$2)/'Parametros'!$B$3)*H510*U510,(0.85*'Parametros'!$B$2/'Parametros'!$B$3)*(1-SQRT(1-2*(J510*1000000/('Parametros'!$B$5*H510*U510^2))/(0.85*'Parametros'!$B$2)))*H510*U510)</f>
        <v>656.733333333333</v>
      </c>
      <c r="S510" s="17" t="n">
        <v>4</v>
      </c>
      <c r="T510" s="18" t="n">
        <v>1</v>
      </c>
      <c r="U510" s="10">
        <f>IF(T510=1,I510-('Parametros'!$B$7+'Parametros'!$B$9+'Parametros'!$B$12/2),I510-(ROUNDUP(S510/2,0)*('Parametros'!$B$7+'Parametros'!$B$9+'Parametros'!$B$12/2)+ROUNDDOWN(S510/2,0)*('Parametros'!$B$7+'Parametros'!$B$9+'Parametros'!$B$12/2+'Parametros'!$B$12+'Parametros'!$B$10))/S510)</f>
        <v>492.55</v>
      </c>
      <c r="V510" s="10">
        <f>S510*'Parametros'!$B$8</f>
        <v>796</v>
      </c>
      <c r="W510" s="10">
        <f>'Parametros'!$B$5*V510*'Parametros'!$B$3*(U510-(V510*'Parametros'!$B$3/(0.85*'Parametros'!$B$2*H510))/2)/1000000</f>
        <v>142.919145105882</v>
      </c>
      <c r="X510" s="10" t="str">
        <f>IF(W510&gt;=J510,"CUMPLE","NO CUMPLE")</f>
        <v>CUMPLE</v>
      </c>
      <c r="Y510" s="10">
        <f>MAX(MAX(1.4/'Parametros'!$B$3,0.25*SQRT('Parametros'!$B$2)/'Parametros'!$B$3)*H510*AB510,(0.85*'Parametros'!$B$2/'Parametros'!$B$3)*(1-SQRT(1-2*(L510*1000000/('Parametros'!$B$5*H510*AB510^2))/(0.85*'Parametros'!$B$2)))*H510*AB510)</f>
        <v>656.733333333333</v>
      </c>
      <c r="Z510" s="17" t="n">
        <v>4</v>
      </c>
      <c r="AA510" s="18" t="n">
        <v>1</v>
      </c>
      <c r="AB510" s="10">
        <f>IF(AA510=1,I510-('Parametros'!$B$7+'Parametros'!$B$9+'Parametros'!$B$12/2),I510-(ROUNDUP(Z510/2,0)*('Parametros'!$B$7+'Parametros'!$B$9+'Parametros'!$B$12/2)+ROUNDDOWN(Z510/2,0)*('Parametros'!$B$7+'Parametros'!$B$9+'Parametros'!$B$12/2+'Parametros'!$B$12+'Parametros'!$B$10))/Z510)</f>
        <v>492.55</v>
      </c>
      <c r="AC510" s="10">
        <f>Z510*'Parametros'!$B$8</f>
        <v>796</v>
      </c>
      <c r="AD510" s="10">
        <f>'Parametros'!$B$5*AC510*'Parametros'!$B$3*(AB510-(AC510*'Parametros'!$B$3/(0.85*'Parametros'!$B$2*H510))/2)/1000000</f>
        <v>142.919145105882</v>
      </c>
      <c r="AE510" s="10" t="str">
        <f>IF(AD510&gt;=L510,"CUMPLE","NO CUMPLE")</f>
        <v>CUMPLE</v>
      </c>
      <c r="AF510" s="10">
        <f>V510*1.25*'Parametros'!$B$3*(U510-(V510*1.25*'Parametros'!$B$3/(0.85*'Parametros'!$B$2*H510))/2)/1000000</f>
        <v>196.664354558824</v>
      </c>
      <c r="AG510" s="10">
        <f>AC510*1.25*'Parametros'!$B$3*(AB510-(AC510*1.25*'Parametros'!$B$3/(0.85*'Parametros'!$B$2*H510))/2)/1000000</f>
        <v>196.664354558824</v>
      </c>
      <c r="AH510" s="10">
        <f>N510+(AF510+AG510)/D510</f>
        <v>214.068538970588</v>
      </c>
      <c r="AI510" s="10">
        <f>MIN(O510,MAX(N510,AH510))</f>
        <v>155.793</v>
      </c>
      <c r="AJ510" s="10">
        <f>0.17*SQRT('Parametros'!$B$2)*H510*MIN(U510,AB510)/1000</f>
        <v>177.230413924022</v>
      </c>
      <c r="AK510" s="10">
        <f>MAX(AI510/'Parametros'!$B$6-AJ510,0)</f>
        <v>30.4935860759785</v>
      </c>
      <c r="AL510" s="10">
        <f>0.66*SQRT('Parametros'!$B$2)*H510*MIN(U510,AB510)/1000</f>
        <v>688.071018763848</v>
      </c>
      <c r="AM510" s="10" t="str">
        <f>IF(AK510&lt;=AL510,"CUMPLE","NO CUMPLE")</f>
        <v>CUMPLE</v>
      </c>
      <c r="AN510" s="15" t="inlineStr">
        <is>
          <t>Nº3 cerrado</t>
        </is>
      </c>
      <c r="AO510" s="17" t="n">
        <v>2</v>
      </c>
      <c r="AP510" s="10">
        <f>ROUNDDOWN(MIN(IF(AK510=0,1000000000,AO510*'Parametros'!$B$11*'Parametros'!$B$4*MIN(U510,AB510)/(AK510*1000)),IF(AV510=0,1000000000,'Parametros'!$B$11/AV510),MIN(U510,AB510)/4,8*'Parametros'!$B$12,24*'Parametros'!$B$9,300)/10,0)*10</f>
        <v>120</v>
      </c>
      <c r="AQ510" s="10">
        <f>ROUNDDOWN(MIN(IF(AK510=0,1000000000,AO510*'Parametros'!$B$11*'Parametros'!$B$4*MIN(U510,AB510)/(AK510*1000)),IF(AV510=0,1000000000,'Parametros'!$B$11/AV510),MIN(U510,AB510)/2,600)/10,0)*10</f>
        <v>240</v>
      </c>
      <c r="AR510" s="10">
        <f>'Parametros'!$B$6*(AJ510+AO510*'Parametros'!$B$11*'Parametros'!$B$4*MIN(U510,AB510)/AP510/1000)</f>
        <v>316.520822943016</v>
      </c>
      <c r="AS510" s="10" t="str">
        <f>IF(AND(AM510="CUMPLE",AR510&gt;=AI510),"CUMPLE","NO CUMPLE")</f>
        <v>CUMPLE</v>
      </c>
      <c r="AT510" s="10">
        <f>'Parametros'!$B$6*0.083*SQRT('Parametros'!$B$2)*(H510*I510)^2/(2*(H510+I510))/1000000</f>
        <v>8.39093065800685</v>
      </c>
      <c r="AU510" s="10" t="str">
        <f>IF(Q510&lt;=AT510,"DESPRECIABLE","DISEÑAR")</f>
        <v>DESPRECIABLE</v>
      </c>
      <c r="AV510" s="10">
        <f>IF(Q510&lt;=AT510,0,Q510*1000000/('Parametros'!$B$6*2*0.85*(H510-2*'Parametros'!$B$7)*(I510-2*'Parametros'!$B$7)*'Parametros'!$B$4))</f>
        <v>0</v>
      </c>
      <c r="AW510" s="10">
        <f>AV510*2*((H510-2*'Parametros'!$B$7)+(I510-2*'Parametros'!$B$7))*'Parametros'!$B$4/'Parametros'!$B$3</f>
        <v>0</v>
      </c>
      <c r="AX510" s="17" t="n">
        <v>0</v>
      </c>
      <c r="AY510" s="10" t="str">
        <f>IF(AV510=0,"DESPRECIABLE",IF('Parametros'!$B$11/AP510&gt;=AV510,"CUMPLE","NO CUMPLE"))</f>
        <v>DESPRECIABLE</v>
      </c>
      <c r="AZ510" s="10" t="str">
        <f>IF(AND(X510="CUMPLE",AE510="CUMPLE",AS510="CUMPLE",OR(AY510="CUMPLE",AY510="DESPRECIABLE")),IF(OR(F510&lt;&gt;H510,G510&lt;&gt;I510),"CUMPLE - REANALIZAR SAP","CUMPLE"),"NO CUMPLE")</f>
        <v>CUMPLE - REANALIZAR SAP</v>
      </c>
    </row>
    <row r="511">
      <c r="A511" s="27" t="inlineStr">
        <is>
          <t>VR3</t>
        </is>
      </c>
      <c r="B511" s="27" t="inlineStr">
        <is>
          <t>228</t>
        </is>
      </c>
      <c r="C511" s="10" t="n">
        <v>1</v>
      </c>
      <c r="D511" s="10" t="n">
        <v>2.7</v>
      </c>
      <c r="E511" s="10" t="n">
        <v>2.7</v>
      </c>
      <c r="F511" s="10" t="n">
        <v>350</v>
      </c>
      <c r="G511" s="10" t="n">
        <v>400</v>
      </c>
      <c r="H511" s="28" t="n">
        <v>400</v>
      </c>
      <c r="I511" s="28" t="n">
        <v>550</v>
      </c>
      <c r="J511" s="16" t="n">
        <v>95.4081</v>
      </c>
      <c r="K511" s="10" t="inlineStr">
        <is>
          <t>228</t>
        </is>
      </c>
      <c r="L511" s="16" t="n">
        <v>38.46</v>
      </c>
      <c r="M511" s="10" t="inlineStr">
        <is>
          <t>228</t>
        </is>
      </c>
      <c r="N511" s="16" t="n">
        <v>72.843</v>
      </c>
      <c r="O511" s="16" t="n">
        <v>154.855</v>
      </c>
      <c r="P511" s="10" t="inlineStr">
        <is>
          <t>228</t>
        </is>
      </c>
      <c r="Q511" s="16" t="n">
        <v>0.0006036</v>
      </c>
      <c r="R511" s="10">
        <f>MAX(MAX(1.4/'Parametros'!$B$3,0.25*SQRT('Parametros'!$B$2)/'Parametros'!$B$3)*H511*U511,(0.85*'Parametros'!$B$2/'Parametros'!$B$3)*(1-SQRT(1-2*(J511*1000000/('Parametros'!$B$5*H511*U511^2))/(0.85*'Parametros'!$B$2)))*H511*U511)</f>
        <v>656.733333333333</v>
      </c>
      <c r="S511" s="17" t="n">
        <v>4</v>
      </c>
      <c r="T511" s="18" t="n">
        <v>1</v>
      </c>
      <c r="U511" s="10">
        <f>IF(T511=1,I511-('Parametros'!$B$7+'Parametros'!$B$9+'Parametros'!$B$12/2),I511-(ROUNDUP(S511/2,0)*('Parametros'!$B$7+'Parametros'!$B$9+'Parametros'!$B$12/2)+ROUNDDOWN(S511/2,0)*('Parametros'!$B$7+'Parametros'!$B$9+'Parametros'!$B$12/2+'Parametros'!$B$12+'Parametros'!$B$10))/S511)</f>
        <v>492.55</v>
      </c>
      <c r="V511" s="10">
        <f>S511*'Parametros'!$B$8</f>
        <v>796</v>
      </c>
      <c r="W511" s="10">
        <f>'Parametros'!$B$5*V511*'Parametros'!$B$3*(U511-(V511*'Parametros'!$B$3/(0.85*'Parametros'!$B$2*H511))/2)/1000000</f>
        <v>142.919145105882</v>
      </c>
      <c r="X511" s="10" t="str">
        <f>IF(W511&gt;=J511,"CUMPLE","NO CUMPLE")</f>
        <v>CUMPLE</v>
      </c>
      <c r="Y511" s="10">
        <f>MAX(MAX(1.4/'Parametros'!$B$3,0.25*SQRT('Parametros'!$B$2)/'Parametros'!$B$3)*H511*AB511,(0.85*'Parametros'!$B$2/'Parametros'!$B$3)*(1-SQRT(1-2*(L511*1000000/('Parametros'!$B$5*H511*AB511^2))/(0.85*'Parametros'!$B$2)))*H511*AB511)</f>
        <v>656.733333333333</v>
      </c>
      <c r="Z511" s="17" t="n">
        <v>4</v>
      </c>
      <c r="AA511" s="18" t="n">
        <v>1</v>
      </c>
      <c r="AB511" s="10">
        <f>IF(AA511=1,I511-('Parametros'!$B$7+'Parametros'!$B$9+'Parametros'!$B$12/2),I511-(ROUNDUP(Z511/2,0)*('Parametros'!$B$7+'Parametros'!$B$9+'Parametros'!$B$12/2)+ROUNDDOWN(Z511/2,0)*('Parametros'!$B$7+'Parametros'!$B$9+'Parametros'!$B$12/2+'Parametros'!$B$12+'Parametros'!$B$10))/Z511)</f>
        <v>492.55</v>
      </c>
      <c r="AC511" s="10">
        <f>Z511*'Parametros'!$B$8</f>
        <v>796</v>
      </c>
      <c r="AD511" s="10">
        <f>'Parametros'!$B$5*AC511*'Parametros'!$B$3*(AB511-(AC511*'Parametros'!$B$3/(0.85*'Parametros'!$B$2*H511))/2)/1000000</f>
        <v>142.919145105882</v>
      </c>
      <c r="AE511" s="10" t="str">
        <f>IF(AD511&gt;=L511,"CUMPLE","NO CUMPLE")</f>
        <v>CUMPLE</v>
      </c>
      <c r="AF511" s="10">
        <f>V511*1.25*'Parametros'!$B$3*(U511-(V511*1.25*'Parametros'!$B$3/(0.85*'Parametros'!$B$2*H511))/2)/1000000</f>
        <v>196.664354558824</v>
      </c>
      <c r="AG511" s="10">
        <f>AC511*1.25*'Parametros'!$B$3*(AB511-(AC511*1.25*'Parametros'!$B$3/(0.85*'Parametros'!$B$2*H511))/2)/1000000</f>
        <v>196.664354558824</v>
      </c>
      <c r="AH511" s="10">
        <f>N511+(AF511+AG511)/D511</f>
        <v>218.520299673203</v>
      </c>
      <c r="AI511" s="10">
        <f>MIN(O511,MAX(N511,AH511))</f>
        <v>154.855</v>
      </c>
      <c r="AJ511" s="10">
        <f>0.17*SQRT('Parametros'!$B$2)*H511*MIN(U511,AB511)/1000</f>
        <v>177.230413924022</v>
      </c>
      <c r="AK511" s="10">
        <f>MAX(AI511/'Parametros'!$B$6-AJ511,0)</f>
        <v>29.2429194093118</v>
      </c>
      <c r="AL511" s="10">
        <f>0.66*SQRT('Parametros'!$B$2)*H511*MIN(U511,AB511)/1000</f>
        <v>688.071018763848</v>
      </c>
      <c r="AM511" s="10" t="str">
        <f>IF(AK511&lt;=AL511,"CUMPLE","NO CUMPLE")</f>
        <v>CUMPLE</v>
      </c>
      <c r="AN511" s="15" t="inlineStr">
        <is>
          <t>Nº3 cerrado</t>
        </is>
      </c>
      <c r="AO511" s="17" t="n">
        <v>2</v>
      </c>
      <c r="AP511" s="10">
        <f>ROUNDDOWN(MIN(IF(AK511=0,1000000000,AO511*'Parametros'!$B$11*'Parametros'!$B$4*MIN(U511,AB511)/(AK511*1000)),IF(AV511=0,1000000000,'Parametros'!$B$11/AV511),MIN(U511,AB511)/4,8*'Parametros'!$B$12,24*'Parametros'!$B$9,300)/10,0)*10</f>
        <v>120</v>
      </c>
      <c r="AQ511" s="10">
        <f>ROUNDDOWN(MIN(IF(AK511=0,1000000000,AO511*'Parametros'!$B$11*'Parametros'!$B$4*MIN(U511,AB511)/(AK511*1000)),IF(AV511=0,1000000000,'Parametros'!$B$11/AV511),MIN(U511,AB511)/2,600)/10,0)*10</f>
        <v>240</v>
      </c>
      <c r="AR511" s="10">
        <f>'Parametros'!$B$6*(AJ511+AO511*'Parametros'!$B$11*'Parametros'!$B$4*MIN(U511,AB511)/AP511/1000)</f>
        <v>316.520822943016</v>
      </c>
      <c r="AS511" s="10" t="str">
        <f>IF(AND(AM511="CUMPLE",AR511&gt;=AI511),"CUMPLE","NO CUMPLE")</f>
        <v>CUMPLE</v>
      </c>
      <c r="AT511" s="10">
        <f>'Parametros'!$B$6*0.083*SQRT('Parametros'!$B$2)*(H511*I511)^2/(2*(H511+I511))/1000000</f>
        <v>8.39093065800685</v>
      </c>
      <c r="AU511" s="10" t="str">
        <f>IF(Q511&lt;=AT511,"DESPRECIABLE","DISEÑAR")</f>
        <v>DESPRECIABLE</v>
      </c>
      <c r="AV511" s="10">
        <f>IF(Q511&lt;=AT511,0,Q511*1000000/('Parametros'!$B$6*2*0.85*(H511-2*'Parametros'!$B$7)*(I511-2*'Parametros'!$B$7)*'Parametros'!$B$4))</f>
        <v>0</v>
      </c>
      <c r="AW511" s="10">
        <f>AV511*2*((H511-2*'Parametros'!$B$7)+(I511-2*'Parametros'!$B$7))*'Parametros'!$B$4/'Parametros'!$B$3</f>
        <v>0</v>
      </c>
      <c r="AX511" s="17" t="n">
        <v>0</v>
      </c>
      <c r="AY511" s="10" t="str">
        <f>IF(AV511=0,"DESPRECIABLE",IF('Parametros'!$B$11/AP511&gt;=AV511,"CUMPLE","NO CUMPLE"))</f>
        <v>DESPRECIABLE</v>
      </c>
      <c r="AZ511" s="10" t="str">
        <f>IF(AND(X511="CUMPLE",AE511="CUMPLE",AS511="CUMPLE",OR(AY511="CUMPLE",AY511="DESPRECIABLE")),IF(OR(F511&lt;&gt;H511,G511&lt;&gt;I511),"CUMPLE - REANALIZAR SAP","CUMPLE"),"NO CUMPLE")</f>
        <v>CUMPLE - REANALIZAR SAP</v>
      </c>
    </row>
    <row r="512">
      <c r="A512" s="27" t="inlineStr">
        <is>
          <t>VR3</t>
        </is>
      </c>
      <c r="B512" s="27" t="inlineStr">
        <is>
          <t>229</t>
        </is>
      </c>
      <c r="C512" s="10" t="n">
        <v>1</v>
      </c>
      <c r="D512" s="10" t="n">
        <v>4</v>
      </c>
      <c r="E512" s="10" t="n">
        <v>4</v>
      </c>
      <c r="F512" s="10" t="n">
        <v>350</v>
      </c>
      <c r="G512" s="10" t="n">
        <v>400</v>
      </c>
      <c r="H512" s="28" t="n">
        <v>400</v>
      </c>
      <c r="I512" s="28" t="n">
        <v>550</v>
      </c>
      <c r="J512" s="16" t="n">
        <v>120.3232</v>
      </c>
      <c r="K512" s="10" t="inlineStr">
        <is>
          <t>229</t>
        </is>
      </c>
      <c r="L512" s="16" t="n">
        <v>59.0955</v>
      </c>
      <c r="M512" s="10" t="inlineStr">
        <is>
          <t>229</t>
        </is>
      </c>
      <c r="N512" s="16" t="n">
        <v>95.324</v>
      </c>
      <c r="O512" s="16" t="n">
        <v>246.088</v>
      </c>
      <c r="P512" s="10" t="inlineStr">
        <is>
          <t>229</t>
        </is>
      </c>
      <c r="Q512" s="16" t="n">
        <v>0.3165</v>
      </c>
      <c r="R512" s="10">
        <f>MAX(MAX(1.4/'Parametros'!$B$3,0.25*SQRT('Parametros'!$B$2)/'Parametros'!$B$3)*H512*U512,(0.85*'Parametros'!$B$2/'Parametros'!$B$3)*(1-SQRT(1-2*(J512*1000000/('Parametros'!$B$5*H512*U512^2))/(0.85*'Parametros'!$B$2)))*H512*U512)</f>
        <v>666.132495938332</v>
      </c>
      <c r="S512" s="17" t="n">
        <v>4</v>
      </c>
      <c r="T512" s="18" t="n">
        <v>1</v>
      </c>
      <c r="U512" s="10">
        <f>IF(T512=1,I512-('Parametros'!$B$7+'Parametros'!$B$9+'Parametros'!$B$12/2),I512-(ROUNDUP(S512/2,0)*('Parametros'!$B$7+'Parametros'!$B$9+'Parametros'!$B$12/2)+ROUNDDOWN(S512/2,0)*('Parametros'!$B$7+'Parametros'!$B$9+'Parametros'!$B$12/2+'Parametros'!$B$12+'Parametros'!$B$10))/S512)</f>
        <v>492.55</v>
      </c>
      <c r="V512" s="10">
        <f>S512*'Parametros'!$B$8</f>
        <v>796</v>
      </c>
      <c r="W512" s="10">
        <f>'Parametros'!$B$5*V512*'Parametros'!$B$3*(U512-(V512*'Parametros'!$B$3/(0.85*'Parametros'!$B$2*H512))/2)/1000000</f>
        <v>142.919145105882</v>
      </c>
      <c r="X512" s="10" t="str">
        <f>IF(W512&gt;=J512,"CUMPLE","NO CUMPLE")</f>
        <v>CUMPLE</v>
      </c>
      <c r="Y512" s="10">
        <f>MAX(MAX(1.4/'Parametros'!$B$3,0.25*SQRT('Parametros'!$B$2)/'Parametros'!$B$3)*H512*AB512,(0.85*'Parametros'!$B$2/'Parametros'!$B$3)*(1-SQRT(1-2*(L512*1000000/('Parametros'!$B$5*H512*AB512^2))/(0.85*'Parametros'!$B$2)))*H512*AB512)</f>
        <v>656.733333333333</v>
      </c>
      <c r="Z512" s="17" t="n">
        <v>4</v>
      </c>
      <c r="AA512" s="18" t="n">
        <v>1</v>
      </c>
      <c r="AB512" s="10">
        <f>IF(AA512=1,I512-('Parametros'!$B$7+'Parametros'!$B$9+'Parametros'!$B$12/2),I512-(ROUNDUP(Z512/2,0)*('Parametros'!$B$7+'Parametros'!$B$9+'Parametros'!$B$12/2)+ROUNDDOWN(Z512/2,0)*('Parametros'!$B$7+'Parametros'!$B$9+'Parametros'!$B$12/2+'Parametros'!$B$12+'Parametros'!$B$10))/Z512)</f>
        <v>492.55</v>
      </c>
      <c r="AC512" s="10">
        <f>Z512*'Parametros'!$B$8</f>
        <v>796</v>
      </c>
      <c r="AD512" s="10">
        <f>'Parametros'!$B$5*AC512*'Parametros'!$B$3*(AB512-(AC512*'Parametros'!$B$3/(0.85*'Parametros'!$B$2*H512))/2)/1000000</f>
        <v>142.919145105882</v>
      </c>
      <c r="AE512" s="10" t="str">
        <f>IF(AD512&gt;=L512,"CUMPLE","NO CUMPLE")</f>
        <v>CUMPLE</v>
      </c>
      <c r="AF512" s="10">
        <f>V512*1.25*'Parametros'!$B$3*(U512-(V512*1.25*'Parametros'!$B$3/(0.85*'Parametros'!$B$2*H512))/2)/1000000</f>
        <v>196.664354558824</v>
      </c>
      <c r="AG512" s="10">
        <f>AC512*1.25*'Parametros'!$B$3*(AB512-(AC512*1.25*'Parametros'!$B$3/(0.85*'Parametros'!$B$2*H512))/2)/1000000</f>
        <v>196.664354558824</v>
      </c>
      <c r="AH512" s="10">
        <f>N512+(AF512+AG512)/D512</f>
        <v>193.656177279412</v>
      </c>
      <c r="AI512" s="10">
        <f>MIN(O512,MAX(N512,AH512))</f>
        <v>193.656177279412</v>
      </c>
      <c r="AJ512" s="10">
        <f>0.17*SQRT('Parametros'!$B$2)*H512*MIN(U512,AB512)/1000</f>
        <v>177.230413924022</v>
      </c>
      <c r="AK512" s="10">
        <f>MAX(AI512/'Parametros'!$B$6-AJ512,0)</f>
        <v>80.9778224485275</v>
      </c>
      <c r="AL512" s="10">
        <f>0.66*SQRT('Parametros'!$B$2)*H512*MIN(U512,AB512)/1000</f>
        <v>688.071018763848</v>
      </c>
      <c r="AM512" s="10" t="str">
        <f>IF(AK512&lt;=AL512,"CUMPLE","NO CUMPLE")</f>
        <v>CUMPLE</v>
      </c>
      <c r="AN512" s="15" t="inlineStr">
        <is>
          <t>Nº3 cerrado</t>
        </is>
      </c>
      <c r="AO512" s="17" t="n">
        <v>2</v>
      </c>
      <c r="AP512" s="10">
        <f>ROUNDDOWN(MIN(IF(AK512=0,1000000000,AO512*'Parametros'!$B$11*'Parametros'!$B$4*MIN(U512,AB512)/(AK512*1000)),IF(AV512=0,1000000000,'Parametros'!$B$11/AV512),MIN(U512,AB512)/4,8*'Parametros'!$B$12,24*'Parametros'!$B$9,300)/10,0)*10</f>
        <v>120</v>
      </c>
      <c r="AQ512" s="10">
        <f>ROUNDDOWN(MIN(IF(AK512=0,1000000000,AO512*'Parametros'!$B$11*'Parametros'!$B$4*MIN(U512,AB512)/(AK512*1000)),IF(AV512=0,1000000000,'Parametros'!$B$11/AV512),MIN(U512,AB512)/2,600)/10,0)*10</f>
        <v>240</v>
      </c>
      <c r="AR512" s="10">
        <f>'Parametros'!$B$6*(AJ512+AO512*'Parametros'!$B$11*'Parametros'!$B$4*MIN(U512,AB512)/AP512/1000)</f>
        <v>316.520822943016</v>
      </c>
      <c r="AS512" s="10" t="str">
        <f>IF(AND(AM512="CUMPLE",AR512&gt;=AI512),"CUMPLE","NO CUMPLE")</f>
        <v>CUMPLE</v>
      </c>
      <c r="AT512" s="10">
        <f>'Parametros'!$B$6*0.083*SQRT('Parametros'!$B$2)*(H512*I512)^2/(2*(H512+I512))/1000000</f>
        <v>8.39093065800685</v>
      </c>
      <c r="AU512" s="10" t="str">
        <f>IF(Q512&lt;=AT512,"DESPRECIABLE","DISEÑAR")</f>
        <v>DESPRECIABLE</v>
      </c>
      <c r="AV512" s="10">
        <f>IF(Q512&lt;=AT512,0,Q512*1000000/('Parametros'!$B$6*2*0.85*(H512-2*'Parametros'!$B$7)*(I512-2*'Parametros'!$B$7)*'Parametros'!$B$4))</f>
        <v>0</v>
      </c>
      <c r="AW512" s="10">
        <f>AV512*2*((H512-2*'Parametros'!$B$7)+(I512-2*'Parametros'!$B$7))*'Parametros'!$B$4/'Parametros'!$B$3</f>
        <v>0</v>
      </c>
      <c r="AX512" s="17" t="n">
        <v>0</v>
      </c>
      <c r="AY512" s="10" t="str">
        <f>IF(AV512=0,"DESPRECIABLE",IF('Parametros'!$B$11/AP512&gt;=AV512,"CUMPLE","NO CUMPLE"))</f>
        <v>DESPRECIABLE</v>
      </c>
      <c r="AZ512" s="10" t="str">
        <f>IF(AND(X512="CUMPLE",AE512="CUMPLE",AS512="CUMPLE",OR(AY512="CUMPLE",AY512="DESPRECIABLE")),IF(OR(F512&lt;&gt;H512,G512&lt;&gt;I512),"CUMPLE - REANALIZAR SAP","CUMPLE"),"NO CUMPLE")</f>
        <v>CUMPLE - REANALIZAR SAP</v>
      </c>
    </row>
    <row r="513">
      <c r="A513" s="27" t="inlineStr">
        <is>
          <t>VR3</t>
        </is>
      </c>
      <c r="B513" s="27" t="inlineStr">
        <is>
          <t>230</t>
        </is>
      </c>
      <c r="C513" s="10" t="n">
        <v>1</v>
      </c>
      <c r="D513" s="10" t="n">
        <v>2.5</v>
      </c>
      <c r="E513" s="10" t="n">
        <v>2.5</v>
      </c>
      <c r="F513" s="10" t="n">
        <v>350</v>
      </c>
      <c r="G513" s="10" t="n">
        <v>400</v>
      </c>
      <c r="H513" s="28" t="n">
        <v>400</v>
      </c>
      <c r="I513" s="28" t="n">
        <v>550</v>
      </c>
      <c r="J513" s="16" t="n">
        <v>124.3541</v>
      </c>
      <c r="K513" s="10" t="inlineStr">
        <is>
          <t>230</t>
        </is>
      </c>
      <c r="L513" s="16" t="n">
        <v>87.87050000000001</v>
      </c>
      <c r="M513" s="10" t="inlineStr">
        <is>
          <t>230</t>
        </is>
      </c>
      <c r="N513" s="16" t="n">
        <v>115.318</v>
      </c>
      <c r="O513" s="16" t="n">
        <v>432.179</v>
      </c>
      <c r="P513" s="10" t="inlineStr">
        <is>
          <t>230</t>
        </is>
      </c>
      <c r="Q513" s="16" t="n">
        <v>0.0355</v>
      </c>
      <c r="R513" s="10">
        <f>MAX(MAX(1.4/'Parametros'!$B$3,0.25*SQRT('Parametros'!$B$2)/'Parametros'!$B$3)*H513*U513,(0.85*'Parametros'!$B$2/'Parametros'!$B$3)*(1-SQRT(1-2*(J513*1000000/('Parametros'!$B$5*H513*U513^2))/(0.85*'Parametros'!$B$2)))*H513*U513)</f>
        <v>689.181623904097</v>
      </c>
      <c r="S513" s="17" t="n">
        <v>4</v>
      </c>
      <c r="T513" s="18" t="n">
        <v>1</v>
      </c>
      <c r="U513" s="10">
        <f>IF(T513=1,I513-('Parametros'!$B$7+'Parametros'!$B$9+'Parametros'!$B$12/2),I513-(ROUNDUP(S513/2,0)*('Parametros'!$B$7+'Parametros'!$B$9+'Parametros'!$B$12/2)+ROUNDDOWN(S513/2,0)*('Parametros'!$B$7+'Parametros'!$B$9+'Parametros'!$B$12/2+'Parametros'!$B$12+'Parametros'!$B$10))/S513)</f>
        <v>492.55</v>
      </c>
      <c r="V513" s="10">
        <f>S513*'Parametros'!$B$8</f>
        <v>796</v>
      </c>
      <c r="W513" s="10">
        <f>'Parametros'!$B$5*V513*'Parametros'!$B$3*(U513-(V513*'Parametros'!$B$3/(0.85*'Parametros'!$B$2*H513))/2)/1000000</f>
        <v>142.919145105882</v>
      </c>
      <c r="X513" s="10" t="str">
        <f>IF(W513&gt;=J513,"CUMPLE","NO CUMPLE")</f>
        <v>CUMPLE</v>
      </c>
      <c r="Y513" s="10">
        <f>MAX(MAX(1.4/'Parametros'!$B$3,0.25*SQRT('Parametros'!$B$2)/'Parametros'!$B$3)*H513*AB513,(0.85*'Parametros'!$B$2/'Parametros'!$B$3)*(1-SQRT(1-2*(L513*1000000/('Parametros'!$B$5*H513*AB513^2))/(0.85*'Parametros'!$B$2)))*H513*AB513)</f>
        <v>656.733333333333</v>
      </c>
      <c r="Z513" s="17" t="n">
        <v>4</v>
      </c>
      <c r="AA513" s="18" t="n">
        <v>1</v>
      </c>
      <c r="AB513" s="10">
        <f>IF(AA513=1,I513-('Parametros'!$B$7+'Parametros'!$B$9+'Parametros'!$B$12/2),I513-(ROUNDUP(Z513/2,0)*('Parametros'!$B$7+'Parametros'!$B$9+'Parametros'!$B$12/2)+ROUNDDOWN(Z513/2,0)*('Parametros'!$B$7+'Parametros'!$B$9+'Parametros'!$B$12/2+'Parametros'!$B$12+'Parametros'!$B$10))/Z513)</f>
        <v>492.55</v>
      </c>
      <c r="AC513" s="10">
        <f>Z513*'Parametros'!$B$8</f>
        <v>796</v>
      </c>
      <c r="AD513" s="10">
        <f>'Parametros'!$B$5*AC513*'Parametros'!$B$3*(AB513-(AC513*'Parametros'!$B$3/(0.85*'Parametros'!$B$2*H513))/2)/1000000</f>
        <v>142.919145105882</v>
      </c>
      <c r="AE513" s="10" t="str">
        <f>IF(AD513&gt;=L513,"CUMPLE","NO CUMPLE")</f>
        <v>CUMPLE</v>
      </c>
      <c r="AF513" s="10">
        <f>V513*1.25*'Parametros'!$B$3*(U513-(V513*1.25*'Parametros'!$B$3/(0.85*'Parametros'!$B$2*H513))/2)/1000000</f>
        <v>196.664354558824</v>
      </c>
      <c r="AG513" s="10">
        <f>AC513*1.25*'Parametros'!$B$3*(AB513-(AC513*1.25*'Parametros'!$B$3/(0.85*'Parametros'!$B$2*H513))/2)/1000000</f>
        <v>196.664354558824</v>
      </c>
      <c r="AH513" s="10">
        <f>N513+(AF513+AG513)/D513</f>
        <v>272.649483647059</v>
      </c>
      <c r="AI513" s="10">
        <f>MIN(O513,MAX(N513,AH513))</f>
        <v>272.649483647059</v>
      </c>
      <c r="AJ513" s="10">
        <f>0.17*SQRT('Parametros'!$B$2)*H513*MIN(U513,AB513)/1000</f>
        <v>177.230413924022</v>
      </c>
      <c r="AK513" s="10">
        <f>MAX(AI513/'Parametros'!$B$6-AJ513,0)</f>
        <v>186.302230938724</v>
      </c>
      <c r="AL513" s="10">
        <f>0.66*SQRT('Parametros'!$B$2)*H513*MIN(U513,AB513)/1000</f>
        <v>688.071018763848</v>
      </c>
      <c r="AM513" s="10" t="str">
        <f>IF(AK513&lt;=AL513,"CUMPLE","NO CUMPLE")</f>
        <v>CUMPLE</v>
      </c>
      <c r="AN513" s="15" t="inlineStr">
        <is>
          <t>Nº3 cerrado</t>
        </is>
      </c>
      <c r="AO513" s="17" t="n">
        <v>2</v>
      </c>
      <c r="AP513" s="10">
        <f>ROUNDDOWN(MIN(IF(AK513=0,1000000000,AO513*'Parametros'!$B$11*'Parametros'!$B$4*MIN(U513,AB513)/(AK513*1000)),IF(AV513=0,1000000000,'Parametros'!$B$11/AV513),MIN(U513,AB513)/4,8*'Parametros'!$B$12,24*'Parametros'!$B$9,300)/10,0)*10</f>
        <v>120</v>
      </c>
      <c r="AQ513" s="10">
        <f>ROUNDDOWN(MIN(IF(AK513=0,1000000000,AO513*'Parametros'!$B$11*'Parametros'!$B$4*MIN(U513,AB513)/(AK513*1000)),IF(AV513=0,1000000000,'Parametros'!$B$11/AV513),MIN(U513,AB513)/2,600)/10,0)*10</f>
        <v>150</v>
      </c>
      <c r="AR513" s="10">
        <f>'Parametros'!$B$6*(AJ513+AO513*'Parametros'!$B$11*'Parametros'!$B$4*MIN(U513,AB513)/AP513/1000)</f>
        <v>316.520822943016</v>
      </c>
      <c r="AS513" s="10" t="str">
        <f>IF(AND(AM513="CUMPLE",AR513&gt;=AI513),"CUMPLE","NO CUMPLE")</f>
        <v>CUMPLE</v>
      </c>
      <c r="AT513" s="10">
        <f>'Parametros'!$B$6*0.083*SQRT('Parametros'!$B$2)*(H513*I513)^2/(2*(H513+I513))/1000000</f>
        <v>8.39093065800685</v>
      </c>
      <c r="AU513" s="10" t="str">
        <f>IF(Q513&lt;=AT513,"DESPRECIABLE","DISEÑAR")</f>
        <v>DESPRECIABLE</v>
      </c>
      <c r="AV513" s="10">
        <f>IF(Q513&lt;=AT513,0,Q513*1000000/('Parametros'!$B$6*2*0.85*(H513-2*'Parametros'!$B$7)*(I513-2*'Parametros'!$B$7)*'Parametros'!$B$4))</f>
        <v>0</v>
      </c>
      <c r="AW513" s="10">
        <f>AV513*2*((H513-2*'Parametros'!$B$7)+(I513-2*'Parametros'!$B$7))*'Parametros'!$B$4/'Parametros'!$B$3</f>
        <v>0</v>
      </c>
      <c r="AX513" s="17" t="n">
        <v>0</v>
      </c>
      <c r="AY513" s="10" t="str">
        <f>IF(AV513=0,"DESPRECIABLE",IF('Parametros'!$B$11/AP513&gt;=AV513,"CUMPLE","NO CUMPLE"))</f>
        <v>DESPRECIABLE</v>
      </c>
      <c r="AZ513" s="10" t="str">
        <f>IF(AND(X513="CUMPLE",AE513="CUMPLE",AS513="CUMPLE",OR(AY513="CUMPLE",AY513="DESPRECIABLE")),IF(OR(F513&lt;&gt;H513,G513&lt;&gt;I513),"CUMPLE - REANALIZAR SAP","CUMPLE"),"NO CUMPLE")</f>
        <v>CUMPLE - REANALIZAR SAP</v>
      </c>
    </row>
    <row r="514">
      <c r="A514" s="27" t="inlineStr">
        <is>
          <t>VR3</t>
        </is>
      </c>
      <c r="B514" s="27" t="inlineStr">
        <is>
          <t>231</t>
        </is>
      </c>
      <c r="C514" s="10" t="n">
        <v>1</v>
      </c>
      <c r="D514" s="10" t="n">
        <v>2.6</v>
      </c>
      <c r="E514" s="10" t="n">
        <v>2.6</v>
      </c>
      <c r="F514" s="10" t="n">
        <v>350</v>
      </c>
      <c r="G514" s="10" t="n">
        <v>400</v>
      </c>
      <c r="H514" s="28" t="n">
        <v>400</v>
      </c>
      <c r="I514" s="28" t="n">
        <v>550</v>
      </c>
      <c r="J514" s="16" t="n">
        <v>227.053</v>
      </c>
      <c r="K514" s="10" t="inlineStr">
        <is>
          <t>231</t>
        </is>
      </c>
      <c r="L514" s="16" t="n">
        <v>105.2314</v>
      </c>
      <c r="M514" s="10" t="inlineStr">
        <is>
          <t>231</t>
        </is>
      </c>
      <c r="N514" s="16" t="n">
        <v>179.911</v>
      </c>
      <c r="O514" s="16" t="n">
        <v>254.42</v>
      </c>
      <c r="P514" s="10" t="inlineStr">
        <is>
          <t>231</t>
        </is>
      </c>
      <c r="Q514" s="16" t="n">
        <v>4.7196</v>
      </c>
      <c r="R514" s="10">
        <f>MAX(MAX(1.4/'Parametros'!$B$3,0.25*SQRT('Parametros'!$B$2)/'Parametros'!$B$3)*H514*U514,(0.85*'Parametros'!$B$2/'Parametros'!$B$3)*(1-SQRT(1-2*(J514*1000000/('Parametros'!$B$5*H514*U514^2))/(0.85*'Parametros'!$B$2)))*H514*U514)</f>
        <v>1294.56424569838</v>
      </c>
      <c r="S514" s="17" t="n">
        <v>7</v>
      </c>
      <c r="T514" s="18" t="n">
        <v>1</v>
      </c>
      <c r="U514" s="10">
        <f>IF(T514=1,I514-('Parametros'!$B$7+'Parametros'!$B$9+'Parametros'!$B$12/2),I514-(ROUNDUP(S514/2,0)*('Parametros'!$B$7+'Parametros'!$B$9+'Parametros'!$B$12/2)+ROUNDDOWN(S514/2,0)*('Parametros'!$B$7+'Parametros'!$B$9+'Parametros'!$B$12/2+'Parametros'!$B$12+'Parametros'!$B$10))/S514)</f>
        <v>492.55</v>
      </c>
      <c r="V514" s="10">
        <f>S514*'Parametros'!$B$8</f>
        <v>1393</v>
      </c>
      <c r="W514" s="10">
        <f>'Parametros'!$B$5*V514*'Parametros'!$B$3*(U514-(V514*'Parametros'!$B$3/(0.85*'Parametros'!$B$2*H514))/2)/1000000</f>
        <v>243.174252361765</v>
      </c>
      <c r="X514" s="10" t="str">
        <f>IF(W514&gt;=J514,"CUMPLE","NO CUMPLE")</f>
        <v>CUMPLE</v>
      </c>
      <c r="Y514" s="10">
        <f>MAX(MAX(1.4/'Parametros'!$B$3,0.25*SQRT('Parametros'!$B$2)/'Parametros'!$B$3)*H514*AB514,(0.85*'Parametros'!$B$2/'Parametros'!$B$3)*(1-SQRT(1-2*(L514*1000000/('Parametros'!$B$5*H514*AB514^2))/(0.85*'Parametros'!$B$2)))*H514*AB514)</f>
        <v>656.733333333333</v>
      </c>
      <c r="Z514" s="17" t="n">
        <v>4</v>
      </c>
      <c r="AA514" s="18" t="n">
        <v>1</v>
      </c>
      <c r="AB514" s="10">
        <f>IF(AA514=1,I514-('Parametros'!$B$7+'Parametros'!$B$9+'Parametros'!$B$12/2),I514-(ROUNDUP(Z514/2,0)*('Parametros'!$B$7+'Parametros'!$B$9+'Parametros'!$B$12/2)+ROUNDDOWN(Z514/2,0)*('Parametros'!$B$7+'Parametros'!$B$9+'Parametros'!$B$12/2+'Parametros'!$B$12+'Parametros'!$B$10))/Z514)</f>
        <v>492.55</v>
      </c>
      <c r="AC514" s="10">
        <f>Z514*'Parametros'!$B$8</f>
        <v>796</v>
      </c>
      <c r="AD514" s="10">
        <f>'Parametros'!$B$5*AC514*'Parametros'!$B$3*(AB514-(AC514*'Parametros'!$B$3/(0.85*'Parametros'!$B$2*H514))/2)/1000000</f>
        <v>142.919145105882</v>
      </c>
      <c r="AE514" s="10" t="str">
        <f>IF(AD514&gt;=L514,"CUMPLE","NO CUMPLE")</f>
        <v>CUMPLE</v>
      </c>
      <c r="AF514" s="10">
        <f>V514*1.25*'Parametros'!$B$3*(U514-(V514*1.25*'Parametros'!$B$3/(0.85*'Parametros'!$B$2*H514))/2)/1000000</f>
        <v>332.123989273897</v>
      </c>
      <c r="AG514" s="10">
        <f>AC514*1.25*'Parametros'!$B$3*(AB514-(AC514*1.25*'Parametros'!$B$3/(0.85*'Parametros'!$B$2*H514))/2)/1000000</f>
        <v>196.664354558824</v>
      </c>
      <c r="AH514" s="10">
        <f>N514+(AF514+AG514)/D514</f>
        <v>383.291132243354</v>
      </c>
      <c r="AI514" s="10">
        <f>MIN(O514,MAX(N514,AH514))</f>
        <v>254.42</v>
      </c>
      <c r="AJ514" s="10">
        <f>0.17*SQRT('Parametros'!$B$2)*H514*MIN(U514,AB514)/1000</f>
        <v>177.230413924022</v>
      </c>
      <c r="AK514" s="10">
        <f>MAX(AI514/'Parametros'!$B$6-AJ514,0)</f>
        <v>161.996252742645</v>
      </c>
      <c r="AL514" s="10">
        <f>0.66*SQRT('Parametros'!$B$2)*H514*MIN(U514,AB514)/1000</f>
        <v>688.071018763848</v>
      </c>
      <c r="AM514" s="10" t="str">
        <f>IF(AK514&lt;=AL514,"CUMPLE","NO CUMPLE")</f>
        <v>CUMPLE</v>
      </c>
      <c r="AN514" s="15" t="inlineStr">
        <is>
          <t>Nº3 cerrado</t>
        </is>
      </c>
      <c r="AO514" s="17" t="n">
        <v>2</v>
      </c>
      <c r="AP514" s="10">
        <f>ROUNDDOWN(MIN(IF(AK514=0,1000000000,AO514*'Parametros'!$B$11*'Parametros'!$B$4*MIN(U514,AB514)/(AK514*1000)),IF(AV514=0,1000000000,'Parametros'!$B$11/AV514),MIN(U514,AB514)/4,8*'Parametros'!$B$12,24*'Parametros'!$B$9,300)/10,0)*10</f>
        <v>120</v>
      </c>
      <c r="AQ514" s="10">
        <f>ROUNDDOWN(MIN(IF(AK514=0,1000000000,AO514*'Parametros'!$B$11*'Parametros'!$B$4*MIN(U514,AB514)/(AK514*1000)),IF(AV514=0,1000000000,'Parametros'!$B$11/AV514),MIN(U514,AB514)/2,600)/10,0)*10</f>
        <v>180</v>
      </c>
      <c r="AR514" s="10">
        <f>'Parametros'!$B$6*(AJ514+AO514*'Parametros'!$B$11*'Parametros'!$B$4*MIN(U514,AB514)/AP514/1000)</f>
        <v>316.520822943016</v>
      </c>
      <c r="AS514" s="10" t="str">
        <f>IF(AND(AM514="CUMPLE",AR514&gt;=AI514),"CUMPLE","NO CUMPLE")</f>
        <v>CUMPLE</v>
      </c>
      <c r="AT514" s="10">
        <f>'Parametros'!$B$6*0.083*SQRT('Parametros'!$B$2)*(H514*I514)^2/(2*(H514+I514))/1000000</f>
        <v>8.39093065800685</v>
      </c>
      <c r="AU514" s="10" t="str">
        <f>IF(Q514&lt;=AT514,"DESPRECIABLE","DISEÑAR")</f>
        <v>DESPRECIABLE</v>
      </c>
      <c r="AV514" s="10">
        <f>IF(Q514&lt;=AT514,0,Q514*1000000/('Parametros'!$B$6*2*0.85*(H514-2*'Parametros'!$B$7)*(I514-2*'Parametros'!$B$7)*'Parametros'!$B$4))</f>
        <v>0</v>
      </c>
      <c r="AW514" s="10">
        <f>AV514*2*((H514-2*'Parametros'!$B$7)+(I514-2*'Parametros'!$B$7))*'Parametros'!$B$4/'Parametros'!$B$3</f>
        <v>0</v>
      </c>
      <c r="AX514" s="17" t="n">
        <v>0</v>
      </c>
      <c r="AY514" s="10" t="str">
        <f>IF(AV514=0,"DESPRECIABLE",IF('Parametros'!$B$11/AP514&gt;=AV514,"CUMPLE","NO CUMPLE"))</f>
        <v>DESPRECIABLE</v>
      </c>
      <c r="AZ514" s="10" t="str">
        <f>IF(AND(X514="CUMPLE",AE514="CUMPLE",AS514="CUMPLE",OR(AY514="CUMPLE",AY514="DESPRECIABLE")),IF(OR(F514&lt;&gt;H514,G514&lt;&gt;I514),"CUMPLE - REANALIZAR SAP","CUMPLE"),"NO CUMPLE")</f>
        <v>CUMPLE - REANALIZAR SAP</v>
      </c>
    </row>
    <row r="515">
      <c r="A515" s="27" t="inlineStr">
        <is>
          <t>VR3</t>
        </is>
      </c>
      <c r="B515" s="27" t="inlineStr">
        <is>
          <t>232</t>
        </is>
      </c>
      <c r="C515" s="10" t="n">
        <v>1</v>
      </c>
      <c r="D515" s="10" t="n">
        <v>2.95</v>
      </c>
      <c r="E515" s="10" t="n">
        <v>2.95</v>
      </c>
      <c r="F515" s="10" t="n">
        <v>350</v>
      </c>
      <c r="G515" s="10" t="n">
        <v>400</v>
      </c>
      <c r="H515" s="28" t="n">
        <v>400</v>
      </c>
      <c r="I515" s="28" t="n">
        <v>550</v>
      </c>
      <c r="J515" s="16" t="n">
        <v>195.6676</v>
      </c>
      <c r="K515" s="10" t="inlineStr">
        <is>
          <t>232</t>
        </is>
      </c>
      <c r="L515" s="16" t="n">
        <v>118.7965</v>
      </c>
      <c r="M515" s="10" t="inlineStr">
        <is>
          <t>232</t>
        </is>
      </c>
      <c r="N515" s="16" t="n">
        <v>173.452</v>
      </c>
      <c r="O515" s="16" t="n">
        <v>247.648</v>
      </c>
      <c r="P515" s="10" t="inlineStr">
        <is>
          <t>232</t>
        </is>
      </c>
      <c r="Q515" s="16" t="n">
        <v>2.2873</v>
      </c>
      <c r="R515" s="10">
        <f>MAX(MAX(1.4/'Parametros'!$B$3,0.25*SQRT('Parametros'!$B$2)/'Parametros'!$B$3)*H515*U515,(0.85*'Parametros'!$B$2/'Parametros'!$B$3)*(1-SQRT(1-2*(J515*1000000/('Parametros'!$B$5*H515*U515^2))/(0.85*'Parametros'!$B$2)))*H515*U515)</f>
        <v>1105.68902413626</v>
      </c>
      <c r="S515" s="17" t="n">
        <v>6</v>
      </c>
      <c r="T515" s="18" t="n">
        <v>1</v>
      </c>
      <c r="U515" s="10">
        <f>IF(T515=1,I515-('Parametros'!$B$7+'Parametros'!$B$9+'Parametros'!$B$12/2),I515-(ROUNDUP(S515/2,0)*('Parametros'!$B$7+'Parametros'!$B$9+'Parametros'!$B$12/2)+ROUNDDOWN(S515/2,0)*('Parametros'!$B$7+'Parametros'!$B$9+'Parametros'!$B$12/2+'Parametros'!$B$12+'Parametros'!$B$10))/S515)</f>
        <v>492.55</v>
      </c>
      <c r="V515" s="10">
        <f>S515*'Parametros'!$B$8</f>
        <v>1194</v>
      </c>
      <c r="W515" s="10">
        <f>'Parametros'!$B$5*V515*'Parametros'!$B$3*(U515-(V515*'Parametros'!$B$3/(0.85*'Parametros'!$B$2*H515))/2)/1000000</f>
        <v>210.416288188235</v>
      </c>
      <c r="X515" s="10" t="str">
        <f>IF(W515&gt;=J515,"CUMPLE","NO CUMPLE")</f>
        <v>CUMPLE</v>
      </c>
      <c r="Y515" s="10">
        <f>MAX(MAX(1.4/'Parametros'!$B$3,0.25*SQRT('Parametros'!$B$2)/'Parametros'!$B$3)*H515*AB515,(0.85*'Parametros'!$B$2/'Parametros'!$B$3)*(1-SQRT(1-2*(L515*1000000/('Parametros'!$B$5*H515*AB515^2))/(0.85*'Parametros'!$B$2)))*H515*AB515)</f>
        <v>657.415859871332</v>
      </c>
      <c r="Z515" s="17" t="n">
        <v>4</v>
      </c>
      <c r="AA515" s="18" t="n">
        <v>1</v>
      </c>
      <c r="AB515" s="10">
        <f>IF(AA515=1,I515-('Parametros'!$B$7+'Parametros'!$B$9+'Parametros'!$B$12/2),I515-(ROUNDUP(Z515/2,0)*('Parametros'!$B$7+'Parametros'!$B$9+'Parametros'!$B$12/2)+ROUNDDOWN(Z515/2,0)*('Parametros'!$B$7+'Parametros'!$B$9+'Parametros'!$B$12/2+'Parametros'!$B$12+'Parametros'!$B$10))/Z515)</f>
        <v>492.55</v>
      </c>
      <c r="AC515" s="10">
        <f>Z515*'Parametros'!$B$8</f>
        <v>796</v>
      </c>
      <c r="AD515" s="10">
        <f>'Parametros'!$B$5*AC515*'Parametros'!$B$3*(AB515-(AC515*'Parametros'!$B$3/(0.85*'Parametros'!$B$2*H515))/2)/1000000</f>
        <v>142.919145105882</v>
      </c>
      <c r="AE515" s="10" t="str">
        <f>IF(AD515&gt;=L515,"CUMPLE","NO CUMPLE")</f>
        <v>CUMPLE</v>
      </c>
      <c r="AF515" s="10">
        <f>V515*1.25*'Parametros'!$B$3*(U515-(V515*1.25*'Parametros'!$B$3/(0.85*'Parametros'!$B$2*H515))/2)/1000000</f>
        <v>288.117314007353</v>
      </c>
      <c r="AG515" s="10">
        <f>AC515*1.25*'Parametros'!$B$3*(AB515-(AC515*1.25*'Parametros'!$B$3/(0.85*'Parametros'!$B$2*H515))/2)/1000000</f>
        <v>196.664354558824</v>
      </c>
      <c r="AH515" s="10">
        <f>N515+(AF515+AG515)/D515</f>
        <v>337.784769005484</v>
      </c>
      <c r="AI515" s="10">
        <f>MIN(O515,MAX(N515,AH515))</f>
        <v>247.648</v>
      </c>
      <c r="AJ515" s="10">
        <f>0.17*SQRT('Parametros'!$B$2)*H515*MIN(U515,AB515)/1000</f>
        <v>177.230413924022</v>
      </c>
      <c r="AK515" s="10">
        <f>MAX(AI515/'Parametros'!$B$6-AJ515,0)</f>
        <v>152.966919409312</v>
      </c>
      <c r="AL515" s="10">
        <f>0.66*SQRT('Parametros'!$B$2)*H515*MIN(U515,AB515)/1000</f>
        <v>688.071018763848</v>
      </c>
      <c r="AM515" s="10" t="str">
        <f>IF(AK515&lt;=AL515,"CUMPLE","NO CUMPLE")</f>
        <v>CUMPLE</v>
      </c>
      <c r="AN515" s="15" t="inlineStr">
        <is>
          <t>Nº3 cerrado</t>
        </is>
      </c>
      <c r="AO515" s="17" t="n">
        <v>2</v>
      </c>
      <c r="AP515" s="10">
        <f>ROUNDDOWN(MIN(IF(AK515=0,1000000000,AO515*'Parametros'!$B$11*'Parametros'!$B$4*MIN(U515,AB515)/(AK515*1000)),IF(AV515=0,1000000000,'Parametros'!$B$11/AV515),MIN(U515,AB515)/4,8*'Parametros'!$B$12,24*'Parametros'!$B$9,300)/10,0)*10</f>
        <v>120</v>
      </c>
      <c r="AQ515" s="10">
        <f>ROUNDDOWN(MIN(IF(AK515=0,1000000000,AO515*'Parametros'!$B$11*'Parametros'!$B$4*MIN(U515,AB515)/(AK515*1000)),IF(AV515=0,1000000000,'Parametros'!$B$11/AV515),MIN(U515,AB515)/2,600)/10,0)*10</f>
        <v>190</v>
      </c>
      <c r="AR515" s="10">
        <f>'Parametros'!$B$6*(AJ515+AO515*'Parametros'!$B$11*'Parametros'!$B$4*MIN(U515,AB515)/AP515/1000)</f>
        <v>316.520822943016</v>
      </c>
      <c r="AS515" s="10" t="str">
        <f>IF(AND(AM515="CUMPLE",AR515&gt;=AI515),"CUMPLE","NO CUMPLE")</f>
        <v>CUMPLE</v>
      </c>
      <c r="AT515" s="10">
        <f>'Parametros'!$B$6*0.083*SQRT('Parametros'!$B$2)*(H515*I515)^2/(2*(H515+I515))/1000000</f>
        <v>8.39093065800685</v>
      </c>
      <c r="AU515" s="10" t="str">
        <f>IF(Q515&lt;=AT515,"DESPRECIABLE","DISEÑAR")</f>
        <v>DESPRECIABLE</v>
      </c>
      <c r="AV515" s="10">
        <f>IF(Q515&lt;=AT515,0,Q515*1000000/('Parametros'!$B$6*2*0.85*(H515-2*'Parametros'!$B$7)*(I515-2*'Parametros'!$B$7)*'Parametros'!$B$4))</f>
        <v>0</v>
      </c>
      <c r="AW515" s="10">
        <f>AV515*2*((H515-2*'Parametros'!$B$7)+(I515-2*'Parametros'!$B$7))*'Parametros'!$B$4/'Parametros'!$B$3</f>
        <v>0</v>
      </c>
      <c r="AX515" s="17" t="n">
        <v>0</v>
      </c>
      <c r="AY515" s="10" t="str">
        <f>IF(AV515=0,"DESPRECIABLE",IF('Parametros'!$B$11/AP515&gt;=AV515,"CUMPLE","NO CUMPLE"))</f>
        <v>DESPRECIABLE</v>
      </c>
      <c r="AZ515" s="10" t="str">
        <f>IF(AND(X515="CUMPLE",AE515="CUMPLE",AS515="CUMPLE",OR(AY515="CUMPLE",AY515="DESPRECIABLE")),IF(OR(F515&lt;&gt;H515,G515&lt;&gt;I515),"CUMPLE - REANALIZAR SAP","CUMPLE"),"NO CUMPLE")</f>
        <v>CUMPLE - REANALIZAR SAP</v>
      </c>
    </row>
    <row r="516">
      <c r="A516" s="27" t="inlineStr">
        <is>
          <t>VR3</t>
        </is>
      </c>
      <c r="B516" s="27" t="inlineStr">
        <is>
          <t>781</t>
        </is>
      </c>
      <c r="C516" s="10" t="n">
        <v>1</v>
      </c>
      <c r="D516" s="10" t="n">
        <v>2.95</v>
      </c>
      <c r="E516" s="10" t="n">
        <v>2.95</v>
      </c>
      <c r="F516" s="10" t="n">
        <v>350</v>
      </c>
      <c r="G516" s="10" t="n">
        <v>400</v>
      </c>
      <c r="H516" s="28" t="n">
        <v>400</v>
      </c>
      <c r="I516" s="28" t="n">
        <v>550</v>
      </c>
      <c r="J516" s="16" t="n">
        <v>183.3852</v>
      </c>
      <c r="K516" s="10" t="inlineStr">
        <is>
          <t>781</t>
        </is>
      </c>
      <c r="L516" s="16" t="n">
        <v>119.5151</v>
      </c>
      <c r="M516" s="10" t="inlineStr">
        <is>
          <t>781</t>
        </is>
      </c>
      <c r="N516" s="16" t="n">
        <v>169.928</v>
      </c>
      <c r="O516" s="16" t="n">
        <v>229.949</v>
      </c>
      <c r="P516" s="10" t="inlineStr">
        <is>
          <t>781</t>
        </is>
      </c>
      <c r="Q516" s="16" t="n">
        <v>2.0219</v>
      </c>
      <c r="R516" s="10">
        <f>MAX(MAX(1.4/'Parametros'!$B$3,0.25*SQRT('Parametros'!$B$2)/'Parametros'!$B$3)*H516*U516,(0.85*'Parametros'!$B$2/'Parametros'!$B$3)*(1-SQRT(1-2*(J516*1000000/('Parametros'!$B$5*H516*U516^2))/(0.85*'Parametros'!$B$2)))*H516*U516)</f>
        <v>1032.73289703847</v>
      </c>
      <c r="S516" s="17" t="n">
        <v>6</v>
      </c>
      <c r="T516" s="18" t="n">
        <v>1</v>
      </c>
      <c r="U516" s="10">
        <f>IF(T516=1,I516-('Parametros'!$B$7+'Parametros'!$B$9+'Parametros'!$B$12/2),I516-(ROUNDUP(S516/2,0)*('Parametros'!$B$7+'Parametros'!$B$9+'Parametros'!$B$12/2)+ROUNDDOWN(S516/2,0)*('Parametros'!$B$7+'Parametros'!$B$9+'Parametros'!$B$12/2+'Parametros'!$B$12+'Parametros'!$B$10))/S516)</f>
        <v>492.55</v>
      </c>
      <c r="V516" s="10">
        <f>S516*'Parametros'!$B$8</f>
        <v>1194</v>
      </c>
      <c r="W516" s="10">
        <f>'Parametros'!$B$5*V516*'Parametros'!$B$3*(U516-(V516*'Parametros'!$B$3/(0.85*'Parametros'!$B$2*H516))/2)/1000000</f>
        <v>210.416288188235</v>
      </c>
      <c r="X516" s="10" t="str">
        <f>IF(W516&gt;=J516,"CUMPLE","NO CUMPLE")</f>
        <v>CUMPLE</v>
      </c>
      <c r="Y516" s="10">
        <f>MAX(MAX(1.4/'Parametros'!$B$3,0.25*SQRT('Parametros'!$B$2)/'Parametros'!$B$3)*H516*AB516,(0.85*'Parametros'!$B$2/'Parametros'!$B$3)*(1-SQRT(1-2*(L516*1000000/('Parametros'!$B$5*H516*AB516^2))/(0.85*'Parametros'!$B$2)))*H516*AB516)</f>
        <v>661.51777830851</v>
      </c>
      <c r="Z516" s="17" t="n">
        <v>4</v>
      </c>
      <c r="AA516" s="18" t="n">
        <v>1</v>
      </c>
      <c r="AB516" s="10">
        <f>IF(AA516=1,I516-('Parametros'!$B$7+'Parametros'!$B$9+'Parametros'!$B$12/2),I516-(ROUNDUP(Z516/2,0)*('Parametros'!$B$7+'Parametros'!$B$9+'Parametros'!$B$12/2)+ROUNDDOWN(Z516/2,0)*('Parametros'!$B$7+'Parametros'!$B$9+'Parametros'!$B$12/2+'Parametros'!$B$12+'Parametros'!$B$10))/Z516)</f>
        <v>492.55</v>
      </c>
      <c r="AC516" s="10">
        <f>Z516*'Parametros'!$B$8</f>
        <v>796</v>
      </c>
      <c r="AD516" s="10">
        <f>'Parametros'!$B$5*AC516*'Parametros'!$B$3*(AB516-(AC516*'Parametros'!$B$3/(0.85*'Parametros'!$B$2*H516))/2)/1000000</f>
        <v>142.919145105882</v>
      </c>
      <c r="AE516" s="10" t="str">
        <f>IF(AD516&gt;=L516,"CUMPLE","NO CUMPLE")</f>
        <v>CUMPLE</v>
      </c>
      <c r="AF516" s="10">
        <f>V516*1.25*'Parametros'!$B$3*(U516-(V516*1.25*'Parametros'!$B$3/(0.85*'Parametros'!$B$2*H516))/2)/1000000</f>
        <v>288.117314007353</v>
      </c>
      <c r="AG516" s="10">
        <f>AC516*1.25*'Parametros'!$B$3*(AB516-(AC516*1.25*'Parametros'!$B$3/(0.85*'Parametros'!$B$2*H516))/2)/1000000</f>
        <v>196.664354558824</v>
      </c>
      <c r="AH516" s="10">
        <f>N516+(AF516+AG516)/D516</f>
        <v>334.260769005484</v>
      </c>
      <c r="AI516" s="10">
        <f>MIN(O516,MAX(N516,AH516))</f>
        <v>229.949</v>
      </c>
      <c r="AJ516" s="10">
        <f>0.17*SQRT('Parametros'!$B$2)*H516*MIN(U516,AB516)/1000</f>
        <v>177.230413924022</v>
      </c>
      <c r="AK516" s="10">
        <f>MAX(AI516/'Parametros'!$B$6-AJ516,0)</f>
        <v>129.368252742645</v>
      </c>
      <c r="AL516" s="10">
        <f>0.66*SQRT('Parametros'!$B$2)*H516*MIN(U516,AB516)/1000</f>
        <v>688.071018763848</v>
      </c>
      <c r="AM516" s="10" t="str">
        <f>IF(AK516&lt;=AL516,"CUMPLE","NO CUMPLE")</f>
        <v>CUMPLE</v>
      </c>
      <c r="AN516" s="15" t="inlineStr">
        <is>
          <t>Nº3 cerrado</t>
        </is>
      </c>
      <c r="AO516" s="17" t="n">
        <v>2</v>
      </c>
      <c r="AP516" s="10">
        <f>ROUNDDOWN(MIN(IF(AK516=0,1000000000,AO516*'Parametros'!$B$11*'Parametros'!$B$4*MIN(U516,AB516)/(AK516*1000)),IF(AV516=0,1000000000,'Parametros'!$B$11/AV516),MIN(U516,AB516)/4,8*'Parametros'!$B$12,24*'Parametros'!$B$9,300)/10,0)*10</f>
        <v>120</v>
      </c>
      <c r="AQ516" s="10">
        <f>ROUNDDOWN(MIN(IF(AK516=0,1000000000,AO516*'Parametros'!$B$11*'Parametros'!$B$4*MIN(U516,AB516)/(AK516*1000)),IF(AV516=0,1000000000,'Parametros'!$B$11/AV516),MIN(U516,AB516)/2,600)/10,0)*10</f>
        <v>220</v>
      </c>
      <c r="AR516" s="10">
        <f>'Parametros'!$B$6*(AJ516+AO516*'Parametros'!$B$11*'Parametros'!$B$4*MIN(U516,AB516)/AP516/1000)</f>
        <v>316.520822943016</v>
      </c>
      <c r="AS516" s="10" t="str">
        <f>IF(AND(AM516="CUMPLE",AR516&gt;=AI516),"CUMPLE","NO CUMPLE")</f>
        <v>CUMPLE</v>
      </c>
      <c r="AT516" s="10">
        <f>'Parametros'!$B$6*0.083*SQRT('Parametros'!$B$2)*(H516*I516)^2/(2*(H516+I516))/1000000</f>
        <v>8.39093065800685</v>
      </c>
      <c r="AU516" s="10" t="str">
        <f>IF(Q516&lt;=AT516,"DESPRECIABLE","DISEÑAR")</f>
        <v>DESPRECIABLE</v>
      </c>
      <c r="AV516" s="10">
        <f>IF(Q516&lt;=AT516,0,Q516*1000000/('Parametros'!$B$6*2*0.85*(H516-2*'Parametros'!$B$7)*(I516-2*'Parametros'!$B$7)*'Parametros'!$B$4))</f>
        <v>0</v>
      </c>
      <c r="AW516" s="10">
        <f>AV516*2*((H516-2*'Parametros'!$B$7)+(I516-2*'Parametros'!$B$7))*'Parametros'!$B$4/'Parametros'!$B$3</f>
        <v>0</v>
      </c>
      <c r="AX516" s="17" t="n">
        <v>0</v>
      </c>
      <c r="AY516" s="10" t="str">
        <f>IF(AV516=0,"DESPRECIABLE",IF('Parametros'!$B$11/AP516&gt;=AV516,"CUMPLE","NO CUMPLE"))</f>
        <v>DESPRECIABLE</v>
      </c>
      <c r="AZ516" s="10" t="str">
        <f>IF(AND(X516="CUMPLE",AE516="CUMPLE",AS516="CUMPLE",OR(AY516="CUMPLE",AY516="DESPRECIABLE")),IF(OR(F516&lt;&gt;H516,G516&lt;&gt;I516),"CUMPLE - REANALIZAR SAP","CUMPLE"),"NO CUMPLE")</f>
        <v>CUMPLE - REANALIZAR SAP</v>
      </c>
    </row>
    <row r="517">
      <c r="A517" s="27" t="inlineStr">
        <is>
          <t>VR3</t>
        </is>
      </c>
      <c r="B517" s="27" t="inlineStr">
        <is>
          <t>782</t>
        </is>
      </c>
      <c r="C517" s="10" t="n">
        <v>1</v>
      </c>
      <c r="D517" s="10" t="n">
        <v>2.6</v>
      </c>
      <c r="E517" s="10" t="n">
        <v>2.6</v>
      </c>
      <c r="F517" s="10" t="n">
        <v>350</v>
      </c>
      <c r="G517" s="10" t="n">
        <v>400</v>
      </c>
      <c r="H517" s="28" t="n">
        <v>400</v>
      </c>
      <c r="I517" s="28" t="n">
        <v>550</v>
      </c>
      <c r="J517" s="16" t="n">
        <v>219.5581</v>
      </c>
      <c r="K517" s="10" t="inlineStr">
        <is>
          <t>782</t>
        </is>
      </c>
      <c r="L517" s="16" t="n">
        <v>105.7487</v>
      </c>
      <c r="M517" s="10" t="inlineStr">
        <is>
          <t>782</t>
        </is>
      </c>
      <c r="N517" s="16" t="n">
        <v>179.534</v>
      </c>
      <c r="O517" s="16" t="n">
        <v>238.071</v>
      </c>
      <c r="P517" s="10" t="inlineStr">
        <is>
          <t>782</t>
        </is>
      </c>
      <c r="Q517" s="16" t="n">
        <v>4.0941</v>
      </c>
      <c r="R517" s="10">
        <f>MAX(MAX(1.4/'Parametros'!$B$3,0.25*SQRT('Parametros'!$B$2)/'Parametros'!$B$3)*H517*U517,(0.85*'Parametros'!$B$2/'Parametros'!$B$3)*(1-SQRT(1-2*(J517*1000000/('Parametros'!$B$5*H517*U517^2))/(0.85*'Parametros'!$B$2)))*H517*U517)</f>
        <v>1249.13343683042</v>
      </c>
      <c r="S517" s="17" t="n">
        <v>7</v>
      </c>
      <c r="T517" s="18" t="n">
        <v>1</v>
      </c>
      <c r="U517" s="10">
        <f>IF(T517=1,I517-('Parametros'!$B$7+'Parametros'!$B$9+'Parametros'!$B$12/2),I517-(ROUNDUP(S517/2,0)*('Parametros'!$B$7+'Parametros'!$B$9+'Parametros'!$B$12/2)+ROUNDDOWN(S517/2,0)*('Parametros'!$B$7+'Parametros'!$B$9+'Parametros'!$B$12/2+'Parametros'!$B$12+'Parametros'!$B$10))/S517)</f>
        <v>492.55</v>
      </c>
      <c r="V517" s="10">
        <f>S517*'Parametros'!$B$8</f>
        <v>1393</v>
      </c>
      <c r="W517" s="10">
        <f>'Parametros'!$B$5*V517*'Parametros'!$B$3*(U517-(V517*'Parametros'!$B$3/(0.85*'Parametros'!$B$2*H517))/2)/1000000</f>
        <v>243.174252361765</v>
      </c>
      <c r="X517" s="10" t="str">
        <f>IF(W517&gt;=J517,"CUMPLE","NO CUMPLE")</f>
        <v>CUMPLE</v>
      </c>
      <c r="Y517" s="10">
        <f>MAX(MAX(1.4/'Parametros'!$B$3,0.25*SQRT('Parametros'!$B$2)/'Parametros'!$B$3)*H517*AB517,(0.85*'Parametros'!$B$2/'Parametros'!$B$3)*(1-SQRT(1-2*(L517*1000000/('Parametros'!$B$5*H517*AB517^2))/(0.85*'Parametros'!$B$2)))*H517*AB517)</f>
        <v>656.733333333333</v>
      </c>
      <c r="Z517" s="17" t="n">
        <v>4</v>
      </c>
      <c r="AA517" s="18" t="n">
        <v>1</v>
      </c>
      <c r="AB517" s="10">
        <f>IF(AA517=1,I517-('Parametros'!$B$7+'Parametros'!$B$9+'Parametros'!$B$12/2),I517-(ROUNDUP(Z517/2,0)*('Parametros'!$B$7+'Parametros'!$B$9+'Parametros'!$B$12/2)+ROUNDDOWN(Z517/2,0)*('Parametros'!$B$7+'Parametros'!$B$9+'Parametros'!$B$12/2+'Parametros'!$B$12+'Parametros'!$B$10))/Z517)</f>
        <v>492.55</v>
      </c>
      <c r="AC517" s="10">
        <f>Z517*'Parametros'!$B$8</f>
        <v>796</v>
      </c>
      <c r="AD517" s="10">
        <f>'Parametros'!$B$5*AC517*'Parametros'!$B$3*(AB517-(AC517*'Parametros'!$B$3/(0.85*'Parametros'!$B$2*H517))/2)/1000000</f>
        <v>142.919145105882</v>
      </c>
      <c r="AE517" s="10" t="str">
        <f>IF(AD517&gt;=L517,"CUMPLE","NO CUMPLE")</f>
        <v>CUMPLE</v>
      </c>
      <c r="AF517" s="10">
        <f>V517*1.25*'Parametros'!$B$3*(U517-(V517*1.25*'Parametros'!$B$3/(0.85*'Parametros'!$B$2*H517))/2)/1000000</f>
        <v>332.123989273897</v>
      </c>
      <c r="AG517" s="10">
        <f>AC517*1.25*'Parametros'!$B$3*(AB517-(AC517*1.25*'Parametros'!$B$3/(0.85*'Parametros'!$B$2*H517))/2)/1000000</f>
        <v>196.664354558824</v>
      </c>
      <c r="AH517" s="10">
        <f>N517+(AF517+AG517)/D517</f>
        <v>382.914132243354</v>
      </c>
      <c r="AI517" s="10">
        <f>MIN(O517,MAX(N517,AH517))</f>
        <v>238.071</v>
      </c>
      <c r="AJ517" s="10">
        <f>0.17*SQRT('Parametros'!$B$2)*H517*MIN(U517,AB517)/1000</f>
        <v>177.230413924022</v>
      </c>
      <c r="AK517" s="10">
        <f>MAX(AI517/'Parametros'!$B$6-AJ517,0)</f>
        <v>140.197586075978</v>
      </c>
      <c r="AL517" s="10">
        <f>0.66*SQRT('Parametros'!$B$2)*H517*MIN(U517,AB517)/1000</f>
        <v>688.071018763848</v>
      </c>
      <c r="AM517" s="10" t="str">
        <f>IF(AK517&lt;=AL517,"CUMPLE","NO CUMPLE")</f>
        <v>CUMPLE</v>
      </c>
      <c r="AN517" s="15" t="inlineStr">
        <is>
          <t>Nº3 cerrado</t>
        </is>
      </c>
      <c r="AO517" s="17" t="n">
        <v>2</v>
      </c>
      <c r="AP517" s="10">
        <f>ROUNDDOWN(MIN(IF(AK517=0,1000000000,AO517*'Parametros'!$B$11*'Parametros'!$B$4*MIN(U517,AB517)/(AK517*1000)),IF(AV517=0,1000000000,'Parametros'!$B$11/AV517),MIN(U517,AB517)/4,8*'Parametros'!$B$12,24*'Parametros'!$B$9,300)/10,0)*10</f>
        <v>120</v>
      </c>
      <c r="AQ517" s="10">
        <f>ROUNDDOWN(MIN(IF(AK517=0,1000000000,AO517*'Parametros'!$B$11*'Parametros'!$B$4*MIN(U517,AB517)/(AK517*1000)),IF(AV517=0,1000000000,'Parametros'!$B$11/AV517),MIN(U517,AB517)/2,600)/10,0)*10</f>
        <v>200</v>
      </c>
      <c r="AR517" s="10">
        <f>'Parametros'!$B$6*(AJ517+AO517*'Parametros'!$B$11*'Parametros'!$B$4*MIN(U517,AB517)/AP517/1000)</f>
        <v>316.520822943016</v>
      </c>
      <c r="AS517" s="10" t="str">
        <f>IF(AND(AM517="CUMPLE",AR517&gt;=AI517),"CUMPLE","NO CUMPLE")</f>
        <v>CUMPLE</v>
      </c>
      <c r="AT517" s="10">
        <f>'Parametros'!$B$6*0.083*SQRT('Parametros'!$B$2)*(H517*I517)^2/(2*(H517+I517))/1000000</f>
        <v>8.39093065800685</v>
      </c>
      <c r="AU517" s="10" t="str">
        <f>IF(Q517&lt;=AT517,"DESPRECIABLE","DISEÑAR")</f>
        <v>DESPRECIABLE</v>
      </c>
      <c r="AV517" s="10">
        <f>IF(Q517&lt;=AT517,0,Q517*1000000/('Parametros'!$B$6*2*0.85*(H517-2*'Parametros'!$B$7)*(I517-2*'Parametros'!$B$7)*'Parametros'!$B$4))</f>
        <v>0</v>
      </c>
      <c r="AW517" s="10">
        <f>AV517*2*((H517-2*'Parametros'!$B$7)+(I517-2*'Parametros'!$B$7))*'Parametros'!$B$4/'Parametros'!$B$3</f>
        <v>0</v>
      </c>
      <c r="AX517" s="17" t="n">
        <v>0</v>
      </c>
      <c r="AY517" s="10" t="str">
        <f>IF(AV517=0,"DESPRECIABLE",IF('Parametros'!$B$11/AP517&gt;=AV517,"CUMPLE","NO CUMPLE"))</f>
        <v>DESPRECIABLE</v>
      </c>
      <c r="AZ517" s="10" t="str">
        <f>IF(AND(X517="CUMPLE",AE517="CUMPLE",AS517="CUMPLE",OR(AY517="CUMPLE",AY517="DESPRECIABLE")),IF(OR(F517&lt;&gt;H517,G517&lt;&gt;I517),"CUMPLE - REANALIZAR SAP","CUMPLE"),"NO CUMPLE")</f>
        <v>CUMPLE - REANALIZAR SAP</v>
      </c>
    </row>
    <row r="518">
      <c r="A518" s="27" t="inlineStr">
        <is>
          <t>VR3</t>
        </is>
      </c>
      <c r="B518" s="27" t="inlineStr">
        <is>
          <t>783</t>
        </is>
      </c>
      <c r="C518" s="10" t="n">
        <v>1</v>
      </c>
      <c r="D518" s="10" t="n">
        <v>2.5</v>
      </c>
      <c r="E518" s="10" t="n">
        <v>2.5</v>
      </c>
      <c r="F518" s="10" t="n">
        <v>350</v>
      </c>
      <c r="G518" s="10" t="n">
        <v>400</v>
      </c>
      <c r="H518" s="28" t="n">
        <v>400</v>
      </c>
      <c r="I518" s="28" t="n">
        <v>550</v>
      </c>
      <c r="J518" s="16" t="n">
        <v>98.9931</v>
      </c>
      <c r="K518" s="10" t="inlineStr">
        <is>
          <t>783</t>
        </is>
      </c>
      <c r="L518" s="16" t="n">
        <v>62.1781</v>
      </c>
      <c r="M518" s="10" t="inlineStr">
        <is>
          <t>783</t>
        </is>
      </c>
      <c r="N518" s="16" t="n">
        <v>94.47199999999999</v>
      </c>
      <c r="O518" s="16" t="n">
        <v>332.479</v>
      </c>
      <c r="P518" s="10" t="inlineStr">
        <is>
          <t>783</t>
        </is>
      </c>
      <c r="Q518" s="16" t="n">
        <v>0.0357</v>
      </c>
      <c r="R518" s="10">
        <f>MAX(MAX(1.4/'Parametros'!$B$3,0.25*SQRT('Parametros'!$B$2)/'Parametros'!$B$3)*H518*U518,(0.85*'Parametros'!$B$2/'Parametros'!$B$3)*(1-SQRT(1-2*(J518*1000000/('Parametros'!$B$5*H518*U518^2))/(0.85*'Parametros'!$B$2)))*H518*U518)</f>
        <v>656.733333333333</v>
      </c>
      <c r="S518" s="17" t="n">
        <v>4</v>
      </c>
      <c r="T518" s="18" t="n">
        <v>1</v>
      </c>
      <c r="U518" s="10">
        <f>IF(T518=1,I518-('Parametros'!$B$7+'Parametros'!$B$9+'Parametros'!$B$12/2),I518-(ROUNDUP(S518/2,0)*('Parametros'!$B$7+'Parametros'!$B$9+'Parametros'!$B$12/2)+ROUNDDOWN(S518/2,0)*('Parametros'!$B$7+'Parametros'!$B$9+'Parametros'!$B$12/2+'Parametros'!$B$12+'Parametros'!$B$10))/S518)</f>
        <v>492.55</v>
      </c>
      <c r="V518" s="10">
        <f>S518*'Parametros'!$B$8</f>
        <v>796</v>
      </c>
      <c r="W518" s="10">
        <f>'Parametros'!$B$5*V518*'Parametros'!$B$3*(U518-(V518*'Parametros'!$B$3/(0.85*'Parametros'!$B$2*H518))/2)/1000000</f>
        <v>142.919145105882</v>
      </c>
      <c r="X518" s="10" t="str">
        <f>IF(W518&gt;=J518,"CUMPLE","NO CUMPLE")</f>
        <v>CUMPLE</v>
      </c>
      <c r="Y518" s="10">
        <f>MAX(MAX(1.4/'Parametros'!$B$3,0.25*SQRT('Parametros'!$B$2)/'Parametros'!$B$3)*H518*AB518,(0.85*'Parametros'!$B$2/'Parametros'!$B$3)*(1-SQRT(1-2*(L518*1000000/('Parametros'!$B$5*H518*AB518^2))/(0.85*'Parametros'!$B$2)))*H518*AB518)</f>
        <v>656.733333333333</v>
      </c>
      <c r="Z518" s="17" t="n">
        <v>4</v>
      </c>
      <c r="AA518" s="18" t="n">
        <v>1</v>
      </c>
      <c r="AB518" s="10">
        <f>IF(AA518=1,I518-('Parametros'!$B$7+'Parametros'!$B$9+'Parametros'!$B$12/2),I518-(ROUNDUP(Z518/2,0)*('Parametros'!$B$7+'Parametros'!$B$9+'Parametros'!$B$12/2)+ROUNDDOWN(Z518/2,0)*('Parametros'!$B$7+'Parametros'!$B$9+'Parametros'!$B$12/2+'Parametros'!$B$12+'Parametros'!$B$10))/Z518)</f>
        <v>492.55</v>
      </c>
      <c r="AC518" s="10">
        <f>Z518*'Parametros'!$B$8</f>
        <v>796</v>
      </c>
      <c r="AD518" s="10">
        <f>'Parametros'!$B$5*AC518*'Parametros'!$B$3*(AB518-(AC518*'Parametros'!$B$3/(0.85*'Parametros'!$B$2*H518))/2)/1000000</f>
        <v>142.919145105882</v>
      </c>
      <c r="AE518" s="10" t="str">
        <f>IF(AD518&gt;=L518,"CUMPLE","NO CUMPLE")</f>
        <v>CUMPLE</v>
      </c>
      <c r="AF518" s="10">
        <f>V518*1.25*'Parametros'!$B$3*(U518-(V518*1.25*'Parametros'!$B$3/(0.85*'Parametros'!$B$2*H518))/2)/1000000</f>
        <v>196.664354558824</v>
      </c>
      <c r="AG518" s="10">
        <f>AC518*1.25*'Parametros'!$B$3*(AB518-(AC518*1.25*'Parametros'!$B$3/(0.85*'Parametros'!$B$2*H518))/2)/1000000</f>
        <v>196.664354558824</v>
      </c>
      <c r="AH518" s="10">
        <f>N518+(AF518+AG518)/D518</f>
        <v>251.803483647059</v>
      </c>
      <c r="AI518" s="10">
        <f>MIN(O518,MAX(N518,AH518))</f>
        <v>251.803483647059</v>
      </c>
      <c r="AJ518" s="10">
        <f>0.17*SQRT('Parametros'!$B$2)*H518*MIN(U518,AB518)/1000</f>
        <v>177.230413924022</v>
      </c>
      <c r="AK518" s="10">
        <f>MAX(AI518/'Parametros'!$B$6-AJ518,0)</f>
        <v>158.507564272057</v>
      </c>
      <c r="AL518" s="10">
        <f>0.66*SQRT('Parametros'!$B$2)*H518*MIN(U518,AB518)/1000</f>
        <v>688.071018763848</v>
      </c>
      <c r="AM518" s="10" t="str">
        <f>IF(AK518&lt;=AL518,"CUMPLE","NO CUMPLE")</f>
        <v>CUMPLE</v>
      </c>
      <c r="AN518" s="15" t="inlineStr">
        <is>
          <t>Nº3 cerrado</t>
        </is>
      </c>
      <c r="AO518" s="17" t="n">
        <v>2</v>
      </c>
      <c r="AP518" s="10">
        <f>ROUNDDOWN(MIN(IF(AK518=0,1000000000,AO518*'Parametros'!$B$11*'Parametros'!$B$4*MIN(U518,AB518)/(AK518*1000)),IF(AV518=0,1000000000,'Parametros'!$B$11/AV518),MIN(U518,AB518)/4,8*'Parametros'!$B$12,24*'Parametros'!$B$9,300)/10,0)*10</f>
        <v>120</v>
      </c>
      <c r="AQ518" s="10">
        <f>ROUNDDOWN(MIN(IF(AK518=0,1000000000,AO518*'Parametros'!$B$11*'Parametros'!$B$4*MIN(U518,AB518)/(AK518*1000)),IF(AV518=0,1000000000,'Parametros'!$B$11/AV518),MIN(U518,AB518)/2,600)/10,0)*10</f>
        <v>180</v>
      </c>
      <c r="AR518" s="10">
        <f>'Parametros'!$B$6*(AJ518+AO518*'Parametros'!$B$11*'Parametros'!$B$4*MIN(U518,AB518)/AP518/1000)</f>
        <v>316.520822943016</v>
      </c>
      <c r="AS518" s="10" t="str">
        <f>IF(AND(AM518="CUMPLE",AR518&gt;=AI518),"CUMPLE","NO CUMPLE")</f>
        <v>CUMPLE</v>
      </c>
      <c r="AT518" s="10">
        <f>'Parametros'!$B$6*0.083*SQRT('Parametros'!$B$2)*(H518*I518)^2/(2*(H518+I518))/1000000</f>
        <v>8.39093065800685</v>
      </c>
      <c r="AU518" s="10" t="str">
        <f>IF(Q518&lt;=AT518,"DESPRECIABLE","DISEÑAR")</f>
        <v>DESPRECIABLE</v>
      </c>
      <c r="AV518" s="10">
        <f>IF(Q518&lt;=AT518,0,Q518*1000000/('Parametros'!$B$6*2*0.85*(H518-2*'Parametros'!$B$7)*(I518-2*'Parametros'!$B$7)*'Parametros'!$B$4))</f>
        <v>0</v>
      </c>
      <c r="AW518" s="10">
        <f>AV518*2*((H518-2*'Parametros'!$B$7)+(I518-2*'Parametros'!$B$7))*'Parametros'!$B$4/'Parametros'!$B$3</f>
        <v>0</v>
      </c>
      <c r="AX518" s="17" t="n">
        <v>0</v>
      </c>
      <c r="AY518" s="10" t="str">
        <f>IF(AV518=0,"DESPRECIABLE",IF('Parametros'!$B$11/AP518&gt;=AV518,"CUMPLE","NO CUMPLE"))</f>
        <v>DESPRECIABLE</v>
      </c>
      <c r="AZ518" s="10" t="str">
        <f>IF(AND(X518="CUMPLE",AE518="CUMPLE",AS518="CUMPLE",OR(AY518="CUMPLE",AY518="DESPRECIABLE")),IF(OR(F518&lt;&gt;H518,G518&lt;&gt;I518),"CUMPLE - REANALIZAR SAP","CUMPLE"),"NO CUMPLE")</f>
        <v>CUMPLE - REANALIZAR SAP</v>
      </c>
    </row>
    <row r="519">
      <c r="A519" s="27" t="inlineStr">
        <is>
          <t>VR3</t>
        </is>
      </c>
      <c r="B519" s="27" t="inlineStr">
        <is>
          <t>784</t>
        </is>
      </c>
      <c r="C519" s="10" t="n">
        <v>1</v>
      </c>
      <c r="D519" s="10" t="n">
        <v>4</v>
      </c>
      <c r="E519" s="10" t="n">
        <v>4</v>
      </c>
      <c r="F519" s="10" t="n">
        <v>350</v>
      </c>
      <c r="G519" s="10" t="n">
        <v>400</v>
      </c>
      <c r="H519" s="28" t="n">
        <v>400</v>
      </c>
      <c r="I519" s="28" t="n">
        <v>550</v>
      </c>
      <c r="J519" s="16" t="n">
        <v>109.3581</v>
      </c>
      <c r="K519" s="10" t="inlineStr">
        <is>
          <t>784</t>
        </is>
      </c>
      <c r="L519" s="16" t="n">
        <v>45.9925</v>
      </c>
      <c r="M519" s="10" t="inlineStr">
        <is>
          <t>784</t>
        </is>
      </c>
      <c r="N519" s="16" t="n">
        <v>89.705</v>
      </c>
      <c r="O519" s="16" t="n">
        <v>210.813</v>
      </c>
      <c r="P519" s="10" t="inlineStr">
        <is>
          <t>784</t>
        </is>
      </c>
      <c r="Q519" s="16" t="n">
        <v>0.2696</v>
      </c>
      <c r="R519" s="10">
        <f>MAX(MAX(1.4/'Parametros'!$B$3,0.25*SQRT('Parametros'!$B$2)/'Parametros'!$B$3)*H519*U519,(0.85*'Parametros'!$B$2/'Parametros'!$B$3)*(1-SQRT(1-2*(J519*1000000/('Parametros'!$B$5*H519*U519^2))/(0.85*'Parametros'!$B$2)))*H519*U519)</f>
        <v>656.733333333333</v>
      </c>
      <c r="S519" s="17" t="n">
        <v>4</v>
      </c>
      <c r="T519" s="18" t="n">
        <v>1</v>
      </c>
      <c r="U519" s="10">
        <f>IF(T519=1,I519-('Parametros'!$B$7+'Parametros'!$B$9+'Parametros'!$B$12/2),I519-(ROUNDUP(S519/2,0)*('Parametros'!$B$7+'Parametros'!$B$9+'Parametros'!$B$12/2)+ROUNDDOWN(S519/2,0)*('Parametros'!$B$7+'Parametros'!$B$9+'Parametros'!$B$12/2+'Parametros'!$B$12+'Parametros'!$B$10))/S519)</f>
        <v>492.55</v>
      </c>
      <c r="V519" s="10">
        <f>S519*'Parametros'!$B$8</f>
        <v>796</v>
      </c>
      <c r="W519" s="10">
        <f>'Parametros'!$B$5*V519*'Parametros'!$B$3*(U519-(V519*'Parametros'!$B$3/(0.85*'Parametros'!$B$2*H519))/2)/1000000</f>
        <v>142.919145105882</v>
      </c>
      <c r="X519" s="10" t="str">
        <f>IF(W519&gt;=J519,"CUMPLE","NO CUMPLE")</f>
        <v>CUMPLE</v>
      </c>
      <c r="Y519" s="10">
        <f>MAX(MAX(1.4/'Parametros'!$B$3,0.25*SQRT('Parametros'!$B$2)/'Parametros'!$B$3)*H519*AB519,(0.85*'Parametros'!$B$2/'Parametros'!$B$3)*(1-SQRT(1-2*(L519*1000000/('Parametros'!$B$5*H519*AB519^2))/(0.85*'Parametros'!$B$2)))*H519*AB519)</f>
        <v>656.733333333333</v>
      </c>
      <c r="Z519" s="17" t="n">
        <v>4</v>
      </c>
      <c r="AA519" s="18" t="n">
        <v>1</v>
      </c>
      <c r="AB519" s="10">
        <f>IF(AA519=1,I519-('Parametros'!$B$7+'Parametros'!$B$9+'Parametros'!$B$12/2),I519-(ROUNDUP(Z519/2,0)*('Parametros'!$B$7+'Parametros'!$B$9+'Parametros'!$B$12/2)+ROUNDDOWN(Z519/2,0)*('Parametros'!$B$7+'Parametros'!$B$9+'Parametros'!$B$12/2+'Parametros'!$B$12+'Parametros'!$B$10))/Z519)</f>
        <v>492.55</v>
      </c>
      <c r="AC519" s="10">
        <f>Z519*'Parametros'!$B$8</f>
        <v>796</v>
      </c>
      <c r="AD519" s="10">
        <f>'Parametros'!$B$5*AC519*'Parametros'!$B$3*(AB519-(AC519*'Parametros'!$B$3/(0.85*'Parametros'!$B$2*H519))/2)/1000000</f>
        <v>142.919145105882</v>
      </c>
      <c r="AE519" s="10" t="str">
        <f>IF(AD519&gt;=L519,"CUMPLE","NO CUMPLE")</f>
        <v>CUMPLE</v>
      </c>
      <c r="AF519" s="10">
        <f>V519*1.25*'Parametros'!$B$3*(U519-(V519*1.25*'Parametros'!$B$3/(0.85*'Parametros'!$B$2*H519))/2)/1000000</f>
        <v>196.664354558824</v>
      </c>
      <c r="AG519" s="10">
        <f>AC519*1.25*'Parametros'!$B$3*(AB519-(AC519*1.25*'Parametros'!$B$3/(0.85*'Parametros'!$B$2*H519))/2)/1000000</f>
        <v>196.664354558824</v>
      </c>
      <c r="AH519" s="10">
        <f>N519+(AF519+AG519)/D519</f>
        <v>188.037177279412</v>
      </c>
      <c r="AI519" s="10">
        <f>MIN(O519,MAX(N519,AH519))</f>
        <v>188.037177279412</v>
      </c>
      <c r="AJ519" s="10">
        <f>0.17*SQRT('Parametros'!$B$2)*H519*MIN(U519,AB519)/1000</f>
        <v>177.230413924022</v>
      </c>
      <c r="AK519" s="10">
        <f>MAX(AI519/'Parametros'!$B$6-AJ519,0)</f>
        <v>73.4858224485275</v>
      </c>
      <c r="AL519" s="10">
        <f>0.66*SQRT('Parametros'!$B$2)*H519*MIN(U519,AB519)/1000</f>
        <v>688.071018763848</v>
      </c>
      <c r="AM519" s="10" t="str">
        <f>IF(AK519&lt;=AL519,"CUMPLE","NO CUMPLE")</f>
        <v>CUMPLE</v>
      </c>
      <c r="AN519" s="15" t="inlineStr">
        <is>
          <t>Nº3 cerrado</t>
        </is>
      </c>
      <c r="AO519" s="17" t="n">
        <v>2</v>
      </c>
      <c r="AP519" s="10">
        <f>ROUNDDOWN(MIN(IF(AK519=0,1000000000,AO519*'Parametros'!$B$11*'Parametros'!$B$4*MIN(U519,AB519)/(AK519*1000)),IF(AV519=0,1000000000,'Parametros'!$B$11/AV519),MIN(U519,AB519)/4,8*'Parametros'!$B$12,24*'Parametros'!$B$9,300)/10,0)*10</f>
        <v>120</v>
      </c>
      <c r="AQ519" s="10">
        <f>ROUNDDOWN(MIN(IF(AK519=0,1000000000,AO519*'Parametros'!$B$11*'Parametros'!$B$4*MIN(U519,AB519)/(AK519*1000)),IF(AV519=0,1000000000,'Parametros'!$B$11/AV519),MIN(U519,AB519)/2,600)/10,0)*10</f>
        <v>240</v>
      </c>
      <c r="AR519" s="10">
        <f>'Parametros'!$B$6*(AJ519+AO519*'Parametros'!$B$11*'Parametros'!$B$4*MIN(U519,AB519)/AP519/1000)</f>
        <v>316.520822943016</v>
      </c>
      <c r="AS519" s="10" t="str">
        <f>IF(AND(AM519="CUMPLE",AR519&gt;=AI519),"CUMPLE","NO CUMPLE")</f>
        <v>CUMPLE</v>
      </c>
      <c r="AT519" s="10">
        <f>'Parametros'!$B$6*0.083*SQRT('Parametros'!$B$2)*(H519*I519)^2/(2*(H519+I519))/1000000</f>
        <v>8.39093065800685</v>
      </c>
      <c r="AU519" s="10" t="str">
        <f>IF(Q519&lt;=AT519,"DESPRECIABLE","DISEÑAR")</f>
        <v>DESPRECIABLE</v>
      </c>
      <c r="AV519" s="10">
        <f>IF(Q519&lt;=AT519,0,Q519*1000000/('Parametros'!$B$6*2*0.85*(H519-2*'Parametros'!$B$7)*(I519-2*'Parametros'!$B$7)*'Parametros'!$B$4))</f>
        <v>0</v>
      </c>
      <c r="AW519" s="10">
        <f>AV519*2*((H519-2*'Parametros'!$B$7)+(I519-2*'Parametros'!$B$7))*'Parametros'!$B$4/'Parametros'!$B$3</f>
        <v>0</v>
      </c>
      <c r="AX519" s="17" t="n">
        <v>0</v>
      </c>
      <c r="AY519" s="10" t="str">
        <f>IF(AV519=0,"DESPRECIABLE",IF('Parametros'!$B$11/AP519&gt;=AV519,"CUMPLE","NO CUMPLE"))</f>
        <v>DESPRECIABLE</v>
      </c>
      <c r="AZ519" s="10" t="str">
        <f>IF(AND(X519="CUMPLE",AE519="CUMPLE",AS519="CUMPLE",OR(AY519="CUMPLE",AY519="DESPRECIABLE")),IF(OR(F519&lt;&gt;H519,G519&lt;&gt;I519),"CUMPLE - REANALIZAR SAP","CUMPLE"),"NO CUMPLE")</f>
        <v>CUMPLE - REANALIZAR SAP</v>
      </c>
    </row>
    <row r="520">
      <c r="A520" s="27" t="inlineStr">
        <is>
          <t>VR3</t>
        </is>
      </c>
      <c r="B520" s="27" t="inlineStr">
        <is>
          <t>785</t>
        </is>
      </c>
      <c r="C520" s="10" t="n">
        <v>1</v>
      </c>
      <c r="D520" s="10" t="n">
        <v>2.8</v>
      </c>
      <c r="E520" s="10" t="n">
        <v>2.8</v>
      </c>
      <c r="F520" s="10" t="n">
        <v>350</v>
      </c>
      <c r="G520" s="10" t="n">
        <v>400</v>
      </c>
      <c r="H520" s="28" t="n">
        <v>400</v>
      </c>
      <c r="I520" s="28" t="n">
        <v>550</v>
      </c>
      <c r="J520" s="16" t="n">
        <v>84.46339999999999</v>
      </c>
      <c r="K520" s="10" t="inlineStr">
        <is>
          <t>785</t>
        </is>
      </c>
      <c r="L520" s="16" t="n">
        <v>33.1906</v>
      </c>
      <c r="M520" s="10" t="inlineStr">
        <is>
          <t>785</t>
        </is>
      </c>
      <c r="N520" s="16" t="n">
        <v>69.52800000000001</v>
      </c>
      <c r="O520" s="16" t="n">
        <v>135.468</v>
      </c>
      <c r="P520" s="10" t="inlineStr">
        <is>
          <t>785</t>
        </is>
      </c>
      <c r="Q520" s="16" t="n">
        <v>0.0006441</v>
      </c>
      <c r="R520" s="10">
        <f>MAX(MAX(1.4/'Parametros'!$B$3,0.25*SQRT('Parametros'!$B$2)/'Parametros'!$B$3)*H520*U520,(0.85*'Parametros'!$B$2/'Parametros'!$B$3)*(1-SQRT(1-2*(J520*1000000/('Parametros'!$B$5*H520*U520^2))/(0.85*'Parametros'!$B$2)))*H520*U520)</f>
        <v>656.733333333333</v>
      </c>
      <c r="S520" s="17" t="n">
        <v>4</v>
      </c>
      <c r="T520" s="18" t="n">
        <v>1</v>
      </c>
      <c r="U520" s="10">
        <f>IF(T520=1,I520-('Parametros'!$B$7+'Parametros'!$B$9+'Parametros'!$B$12/2),I520-(ROUNDUP(S520/2,0)*('Parametros'!$B$7+'Parametros'!$B$9+'Parametros'!$B$12/2)+ROUNDDOWN(S520/2,0)*('Parametros'!$B$7+'Parametros'!$B$9+'Parametros'!$B$12/2+'Parametros'!$B$12+'Parametros'!$B$10))/S520)</f>
        <v>492.55</v>
      </c>
      <c r="V520" s="10">
        <f>S520*'Parametros'!$B$8</f>
        <v>796</v>
      </c>
      <c r="W520" s="10">
        <f>'Parametros'!$B$5*V520*'Parametros'!$B$3*(U520-(V520*'Parametros'!$B$3/(0.85*'Parametros'!$B$2*H520))/2)/1000000</f>
        <v>142.919145105882</v>
      </c>
      <c r="X520" s="10" t="str">
        <f>IF(W520&gt;=J520,"CUMPLE","NO CUMPLE")</f>
        <v>CUMPLE</v>
      </c>
      <c r="Y520" s="10">
        <f>MAX(MAX(1.4/'Parametros'!$B$3,0.25*SQRT('Parametros'!$B$2)/'Parametros'!$B$3)*H520*AB520,(0.85*'Parametros'!$B$2/'Parametros'!$B$3)*(1-SQRT(1-2*(L520*1000000/('Parametros'!$B$5*H520*AB520^2))/(0.85*'Parametros'!$B$2)))*H520*AB520)</f>
        <v>656.733333333333</v>
      </c>
      <c r="Z520" s="17" t="n">
        <v>4</v>
      </c>
      <c r="AA520" s="18" t="n">
        <v>1</v>
      </c>
      <c r="AB520" s="10">
        <f>IF(AA520=1,I520-('Parametros'!$B$7+'Parametros'!$B$9+'Parametros'!$B$12/2),I520-(ROUNDUP(Z520/2,0)*('Parametros'!$B$7+'Parametros'!$B$9+'Parametros'!$B$12/2)+ROUNDDOWN(Z520/2,0)*('Parametros'!$B$7+'Parametros'!$B$9+'Parametros'!$B$12/2+'Parametros'!$B$12+'Parametros'!$B$10))/Z520)</f>
        <v>492.55</v>
      </c>
      <c r="AC520" s="10">
        <f>Z520*'Parametros'!$B$8</f>
        <v>796</v>
      </c>
      <c r="AD520" s="10">
        <f>'Parametros'!$B$5*AC520*'Parametros'!$B$3*(AB520-(AC520*'Parametros'!$B$3/(0.85*'Parametros'!$B$2*H520))/2)/1000000</f>
        <v>142.919145105882</v>
      </c>
      <c r="AE520" s="10" t="str">
        <f>IF(AD520&gt;=L520,"CUMPLE","NO CUMPLE")</f>
        <v>CUMPLE</v>
      </c>
      <c r="AF520" s="10">
        <f>V520*1.25*'Parametros'!$B$3*(U520-(V520*1.25*'Parametros'!$B$3/(0.85*'Parametros'!$B$2*H520))/2)/1000000</f>
        <v>196.664354558824</v>
      </c>
      <c r="AG520" s="10">
        <f>AC520*1.25*'Parametros'!$B$3*(AB520-(AC520*1.25*'Parametros'!$B$3/(0.85*'Parametros'!$B$2*H520))/2)/1000000</f>
        <v>196.664354558824</v>
      </c>
      <c r="AH520" s="10">
        <f>N520+(AF520+AG520)/D520</f>
        <v>210.002538970588</v>
      </c>
      <c r="AI520" s="10">
        <f>MIN(O520,MAX(N520,AH520))</f>
        <v>135.468</v>
      </c>
      <c r="AJ520" s="10">
        <f>0.17*SQRT('Parametros'!$B$2)*H520*MIN(U520,AB520)/1000</f>
        <v>177.230413924022</v>
      </c>
      <c r="AK520" s="10">
        <f>MAX(AI520/'Parametros'!$B$6-AJ520,0)</f>
        <v>3.39358607597848</v>
      </c>
      <c r="AL520" s="10">
        <f>0.66*SQRT('Parametros'!$B$2)*H520*MIN(U520,AB520)/1000</f>
        <v>688.071018763848</v>
      </c>
      <c r="AM520" s="10" t="str">
        <f>IF(AK520&lt;=AL520,"CUMPLE","NO CUMPLE")</f>
        <v>CUMPLE</v>
      </c>
      <c r="AN520" s="15" t="inlineStr">
        <is>
          <t>Nº3 cerrado</t>
        </is>
      </c>
      <c r="AO520" s="17" t="n">
        <v>2</v>
      </c>
      <c r="AP520" s="10">
        <f>ROUNDDOWN(MIN(IF(AK520=0,1000000000,AO520*'Parametros'!$B$11*'Parametros'!$B$4*MIN(U520,AB520)/(AK520*1000)),IF(AV520=0,1000000000,'Parametros'!$B$11/AV520),MIN(U520,AB520)/4,8*'Parametros'!$B$12,24*'Parametros'!$B$9,300)/10,0)*10</f>
        <v>120</v>
      </c>
      <c r="AQ520" s="10">
        <f>ROUNDDOWN(MIN(IF(AK520=0,1000000000,AO520*'Parametros'!$B$11*'Parametros'!$B$4*MIN(U520,AB520)/(AK520*1000)),IF(AV520=0,1000000000,'Parametros'!$B$11/AV520),MIN(U520,AB520)/2,600)/10,0)*10</f>
        <v>240</v>
      </c>
      <c r="AR520" s="10">
        <f>'Parametros'!$B$6*(AJ520+AO520*'Parametros'!$B$11*'Parametros'!$B$4*MIN(U520,AB520)/AP520/1000)</f>
        <v>316.520822943016</v>
      </c>
      <c r="AS520" s="10" t="str">
        <f>IF(AND(AM520="CUMPLE",AR520&gt;=AI520),"CUMPLE","NO CUMPLE")</f>
        <v>CUMPLE</v>
      </c>
      <c r="AT520" s="10">
        <f>'Parametros'!$B$6*0.083*SQRT('Parametros'!$B$2)*(H520*I520)^2/(2*(H520+I520))/1000000</f>
        <v>8.39093065800685</v>
      </c>
      <c r="AU520" s="10" t="str">
        <f>IF(Q520&lt;=AT520,"DESPRECIABLE","DISEÑAR")</f>
        <v>DESPRECIABLE</v>
      </c>
      <c r="AV520" s="10">
        <f>IF(Q520&lt;=AT520,0,Q520*1000000/('Parametros'!$B$6*2*0.85*(H520-2*'Parametros'!$B$7)*(I520-2*'Parametros'!$B$7)*'Parametros'!$B$4))</f>
        <v>0</v>
      </c>
      <c r="AW520" s="10">
        <f>AV520*2*((H520-2*'Parametros'!$B$7)+(I520-2*'Parametros'!$B$7))*'Parametros'!$B$4/'Parametros'!$B$3</f>
        <v>0</v>
      </c>
      <c r="AX520" s="17" t="n">
        <v>0</v>
      </c>
      <c r="AY520" s="10" t="str">
        <f>IF(AV520=0,"DESPRECIABLE",IF('Parametros'!$B$11/AP520&gt;=AV520,"CUMPLE","NO CUMPLE"))</f>
        <v>DESPRECIABLE</v>
      </c>
      <c r="AZ520" s="10" t="str">
        <f>IF(AND(X520="CUMPLE",AE520="CUMPLE",AS520="CUMPLE",OR(AY520="CUMPLE",AY520="DESPRECIABLE")),IF(OR(F520&lt;&gt;H520,G520&lt;&gt;I520),"CUMPLE - REANALIZAR SAP","CUMPLE"),"NO CUMPLE")</f>
        <v>CUMPLE - REANALIZAR SAP</v>
      </c>
    </row>
    <row r="521">
      <c r="A521" s="27" t="inlineStr">
        <is>
          <t>VR3</t>
        </is>
      </c>
      <c r="B521" s="27" t="inlineStr">
        <is>
          <t>786</t>
        </is>
      </c>
      <c r="C521" s="10" t="n">
        <v>1</v>
      </c>
      <c r="D521" s="10" t="n">
        <v>2.7</v>
      </c>
      <c r="E521" s="10" t="n">
        <v>2.7</v>
      </c>
      <c r="F521" s="10" t="n">
        <v>350</v>
      </c>
      <c r="G521" s="10" t="n">
        <v>400</v>
      </c>
      <c r="H521" s="28" t="n">
        <v>400</v>
      </c>
      <c r="I521" s="28" t="n">
        <v>550</v>
      </c>
      <c r="J521" s="16" t="n">
        <v>83.84650000000001</v>
      </c>
      <c r="K521" s="10" t="inlineStr">
        <is>
          <t>786</t>
        </is>
      </c>
      <c r="L521" s="16" t="n">
        <v>32.824</v>
      </c>
      <c r="M521" s="10" t="inlineStr">
        <is>
          <t>786</t>
        </is>
      </c>
      <c r="N521" s="16" t="n">
        <v>68.79000000000001</v>
      </c>
      <c r="O521" s="16" t="n">
        <v>134.578</v>
      </c>
      <c r="P521" s="10" t="inlineStr">
        <is>
          <t>786</t>
        </is>
      </c>
      <c r="Q521" s="16" t="n">
        <v>0.0006441</v>
      </c>
      <c r="R521" s="10">
        <f>MAX(MAX(1.4/'Parametros'!$B$3,0.25*SQRT('Parametros'!$B$2)/'Parametros'!$B$3)*H521*U521,(0.85*'Parametros'!$B$2/'Parametros'!$B$3)*(1-SQRT(1-2*(J521*1000000/('Parametros'!$B$5*H521*U521^2))/(0.85*'Parametros'!$B$2)))*H521*U521)</f>
        <v>656.733333333333</v>
      </c>
      <c r="S521" s="17" t="n">
        <v>4</v>
      </c>
      <c r="T521" s="18" t="n">
        <v>1</v>
      </c>
      <c r="U521" s="10">
        <f>IF(T521=1,I521-('Parametros'!$B$7+'Parametros'!$B$9+'Parametros'!$B$12/2),I521-(ROUNDUP(S521/2,0)*('Parametros'!$B$7+'Parametros'!$B$9+'Parametros'!$B$12/2)+ROUNDDOWN(S521/2,0)*('Parametros'!$B$7+'Parametros'!$B$9+'Parametros'!$B$12/2+'Parametros'!$B$12+'Parametros'!$B$10))/S521)</f>
        <v>492.55</v>
      </c>
      <c r="V521" s="10">
        <f>S521*'Parametros'!$B$8</f>
        <v>796</v>
      </c>
      <c r="W521" s="10">
        <f>'Parametros'!$B$5*V521*'Parametros'!$B$3*(U521-(V521*'Parametros'!$B$3/(0.85*'Parametros'!$B$2*H521))/2)/1000000</f>
        <v>142.919145105882</v>
      </c>
      <c r="X521" s="10" t="str">
        <f>IF(W521&gt;=J521,"CUMPLE","NO CUMPLE")</f>
        <v>CUMPLE</v>
      </c>
      <c r="Y521" s="10">
        <f>MAX(MAX(1.4/'Parametros'!$B$3,0.25*SQRT('Parametros'!$B$2)/'Parametros'!$B$3)*H521*AB521,(0.85*'Parametros'!$B$2/'Parametros'!$B$3)*(1-SQRT(1-2*(L521*1000000/('Parametros'!$B$5*H521*AB521^2))/(0.85*'Parametros'!$B$2)))*H521*AB521)</f>
        <v>656.733333333333</v>
      </c>
      <c r="Z521" s="17" t="n">
        <v>4</v>
      </c>
      <c r="AA521" s="18" t="n">
        <v>1</v>
      </c>
      <c r="AB521" s="10">
        <f>IF(AA521=1,I521-('Parametros'!$B$7+'Parametros'!$B$9+'Parametros'!$B$12/2),I521-(ROUNDUP(Z521/2,0)*('Parametros'!$B$7+'Parametros'!$B$9+'Parametros'!$B$12/2)+ROUNDDOWN(Z521/2,0)*('Parametros'!$B$7+'Parametros'!$B$9+'Parametros'!$B$12/2+'Parametros'!$B$12+'Parametros'!$B$10))/Z521)</f>
        <v>492.55</v>
      </c>
      <c r="AC521" s="10">
        <f>Z521*'Parametros'!$B$8</f>
        <v>796</v>
      </c>
      <c r="AD521" s="10">
        <f>'Parametros'!$B$5*AC521*'Parametros'!$B$3*(AB521-(AC521*'Parametros'!$B$3/(0.85*'Parametros'!$B$2*H521))/2)/1000000</f>
        <v>142.919145105882</v>
      </c>
      <c r="AE521" s="10" t="str">
        <f>IF(AD521&gt;=L521,"CUMPLE","NO CUMPLE")</f>
        <v>CUMPLE</v>
      </c>
      <c r="AF521" s="10">
        <f>V521*1.25*'Parametros'!$B$3*(U521-(V521*1.25*'Parametros'!$B$3/(0.85*'Parametros'!$B$2*H521))/2)/1000000</f>
        <v>196.664354558824</v>
      </c>
      <c r="AG521" s="10">
        <f>AC521*1.25*'Parametros'!$B$3*(AB521-(AC521*1.25*'Parametros'!$B$3/(0.85*'Parametros'!$B$2*H521))/2)/1000000</f>
        <v>196.664354558824</v>
      </c>
      <c r="AH521" s="10">
        <f>N521+(AF521+AG521)/D521</f>
        <v>214.467299673203</v>
      </c>
      <c r="AI521" s="10">
        <f>MIN(O521,MAX(N521,AH521))</f>
        <v>134.578</v>
      </c>
      <c r="AJ521" s="10">
        <f>0.17*SQRT('Parametros'!$B$2)*H521*MIN(U521,AB521)/1000</f>
        <v>177.230413924022</v>
      </c>
      <c r="AK521" s="10">
        <f>MAX(AI521/'Parametros'!$B$6-AJ521,0)</f>
        <v>2.20691940931181</v>
      </c>
      <c r="AL521" s="10">
        <f>0.66*SQRT('Parametros'!$B$2)*H521*MIN(U521,AB521)/1000</f>
        <v>688.071018763848</v>
      </c>
      <c r="AM521" s="10" t="str">
        <f>IF(AK521&lt;=AL521,"CUMPLE","NO CUMPLE")</f>
        <v>CUMPLE</v>
      </c>
      <c r="AN521" s="15" t="inlineStr">
        <is>
          <t>Nº3 cerrado</t>
        </is>
      </c>
      <c r="AO521" s="17" t="n">
        <v>2</v>
      </c>
      <c r="AP521" s="10">
        <f>ROUNDDOWN(MIN(IF(AK521=0,1000000000,AO521*'Parametros'!$B$11*'Parametros'!$B$4*MIN(U521,AB521)/(AK521*1000)),IF(AV521=0,1000000000,'Parametros'!$B$11/AV521),MIN(U521,AB521)/4,8*'Parametros'!$B$12,24*'Parametros'!$B$9,300)/10,0)*10</f>
        <v>120</v>
      </c>
      <c r="AQ521" s="10">
        <f>ROUNDDOWN(MIN(IF(AK521=0,1000000000,AO521*'Parametros'!$B$11*'Parametros'!$B$4*MIN(U521,AB521)/(AK521*1000)),IF(AV521=0,1000000000,'Parametros'!$B$11/AV521),MIN(U521,AB521)/2,600)/10,0)*10</f>
        <v>240</v>
      </c>
      <c r="AR521" s="10">
        <f>'Parametros'!$B$6*(AJ521+AO521*'Parametros'!$B$11*'Parametros'!$B$4*MIN(U521,AB521)/AP521/1000)</f>
        <v>316.520822943016</v>
      </c>
      <c r="AS521" s="10" t="str">
        <f>IF(AND(AM521="CUMPLE",AR521&gt;=AI521),"CUMPLE","NO CUMPLE")</f>
        <v>CUMPLE</v>
      </c>
      <c r="AT521" s="10">
        <f>'Parametros'!$B$6*0.083*SQRT('Parametros'!$B$2)*(H521*I521)^2/(2*(H521+I521))/1000000</f>
        <v>8.39093065800685</v>
      </c>
      <c r="AU521" s="10" t="str">
        <f>IF(Q521&lt;=AT521,"DESPRECIABLE","DISEÑAR")</f>
        <v>DESPRECIABLE</v>
      </c>
      <c r="AV521" s="10">
        <f>IF(Q521&lt;=AT521,0,Q521*1000000/('Parametros'!$B$6*2*0.85*(H521-2*'Parametros'!$B$7)*(I521-2*'Parametros'!$B$7)*'Parametros'!$B$4))</f>
        <v>0</v>
      </c>
      <c r="AW521" s="10">
        <f>AV521*2*((H521-2*'Parametros'!$B$7)+(I521-2*'Parametros'!$B$7))*'Parametros'!$B$4/'Parametros'!$B$3</f>
        <v>0</v>
      </c>
      <c r="AX521" s="17" t="n">
        <v>0</v>
      </c>
      <c r="AY521" s="10" t="str">
        <f>IF(AV521=0,"DESPRECIABLE",IF('Parametros'!$B$11/AP521&gt;=AV521,"CUMPLE","NO CUMPLE"))</f>
        <v>DESPRECIABLE</v>
      </c>
      <c r="AZ521" s="10" t="str">
        <f>IF(AND(X521="CUMPLE",AE521="CUMPLE",AS521="CUMPLE",OR(AY521="CUMPLE",AY521="DESPRECIABLE")),IF(OR(F521&lt;&gt;H521,G521&lt;&gt;I521),"CUMPLE - REANALIZAR SAP","CUMPLE"),"NO CUMPLE")</f>
        <v>CUMPLE - REANALIZAR SAP</v>
      </c>
    </row>
    <row r="522">
      <c r="A522" s="27" t="inlineStr">
        <is>
          <t>VR3</t>
        </is>
      </c>
      <c r="B522" s="27" t="inlineStr">
        <is>
          <t>787</t>
        </is>
      </c>
      <c r="C522" s="10" t="n">
        <v>1</v>
      </c>
      <c r="D522" s="10" t="n">
        <v>4</v>
      </c>
      <c r="E522" s="10" t="n">
        <v>4</v>
      </c>
      <c r="F522" s="10" t="n">
        <v>350</v>
      </c>
      <c r="G522" s="10" t="n">
        <v>400</v>
      </c>
      <c r="H522" s="28" t="n">
        <v>400</v>
      </c>
      <c r="I522" s="28" t="n">
        <v>550</v>
      </c>
      <c r="J522" s="16" t="n">
        <v>109.4397</v>
      </c>
      <c r="K522" s="10" t="inlineStr">
        <is>
          <t>787</t>
        </is>
      </c>
      <c r="L522" s="16" t="n">
        <v>46.0421</v>
      </c>
      <c r="M522" s="10" t="inlineStr">
        <is>
          <t>787</t>
        </is>
      </c>
      <c r="N522" s="16" t="n">
        <v>89.746</v>
      </c>
      <c r="O522" s="16" t="n">
        <v>210.862</v>
      </c>
      <c r="P522" s="10" t="inlineStr">
        <is>
          <t>787</t>
        </is>
      </c>
      <c r="Q522" s="16" t="n">
        <v>0.2694</v>
      </c>
      <c r="R522" s="10">
        <f>MAX(MAX(1.4/'Parametros'!$B$3,0.25*SQRT('Parametros'!$B$2)/'Parametros'!$B$3)*H522*U522,(0.85*'Parametros'!$B$2/'Parametros'!$B$3)*(1-SQRT(1-2*(J522*1000000/('Parametros'!$B$5*H522*U522^2))/(0.85*'Parametros'!$B$2)))*H522*U522)</f>
        <v>656.733333333333</v>
      </c>
      <c r="S522" s="17" t="n">
        <v>4</v>
      </c>
      <c r="T522" s="18" t="n">
        <v>1</v>
      </c>
      <c r="U522" s="10">
        <f>IF(T522=1,I522-('Parametros'!$B$7+'Parametros'!$B$9+'Parametros'!$B$12/2),I522-(ROUNDUP(S522/2,0)*('Parametros'!$B$7+'Parametros'!$B$9+'Parametros'!$B$12/2)+ROUNDDOWN(S522/2,0)*('Parametros'!$B$7+'Parametros'!$B$9+'Parametros'!$B$12/2+'Parametros'!$B$12+'Parametros'!$B$10))/S522)</f>
        <v>492.55</v>
      </c>
      <c r="V522" s="10">
        <f>S522*'Parametros'!$B$8</f>
        <v>796</v>
      </c>
      <c r="W522" s="10">
        <f>'Parametros'!$B$5*V522*'Parametros'!$B$3*(U522-(V522*'Parametros'!$B$3/(0.85*'Parametros'!$B$2*H522))/2)/1000000</f>
        <v>142.919145105882</v>
      </c>
      <c r="X522" s="10" t="str">
        <f>IF(W522&gt;=J522,"CUMPLE","NO CUMPLE")</f>
        <v>CUMPLE</v>
      </c>
      <c r="Y522" s="10">
        <f>MAX(MAX(1.4/'Parametros'!$B$3,0.25*SQRT('Parametros'!$B$2)/'Parametros'!$B$3)*H522*AB522,(0.85*'Parametros'!$B$2/'Parametros'!$B$3)*(1-SQRT(1-2*(L522*1000000/('Parametros'!$B$5*H522*AB522^2))/(0.85*'Parametros'!$B$2)))*H522*AB522)</f>
        <v>656.733333333333</v>
      </c>
      <c r="Z522" s="17" t="n">
        <v>4</v>
      </c>
      <c r="AA522" s="18" t="n">
        <v>1</v>
      </c>
      <c r="AB522" s="10">
        <f>IF(AA522=1,I522-('Parametros'!$B$7+'Parametros'!$B$9+'Parametros'!$B$12/2),I522-(ROUNDUP(Z522/2,0)*('Parametros'!$B$7+'Parametros'!$B$9+'Parametros'!$B$12/2)+ROUNDDOWN(Z522/2,0)*('Parametros'!$B$7+'Parametros'!$B$9+'Parametros'!$B$12/2+'Parametros'!$B$12+'Parametros'!$B$10))/Z522)</f>
        <v>492.55</v>
      </c>
      <c r="AC522" s="10">
        <f>Z522*'Parametros'!$B$8</f>
        <v>796</v>
      </c>
      <c r="AD522" s="10">
        <f>'Parametros'!$B$5*AC522*'Parametros'!$B$3*(AB522-(AC522*'Parametros'!$B$3/(0.85*'Parametros'!$B$2*H522))/2)/1000000</f>
        <v>142.919145105882</v>
      </c>
      <c r="AE522" s="10" t="str">
        <f>IF(AD522&gt;=L522,"CUMPLE","NO CUMPLE")</f>
        <v>CUMPLE</v>
      </c>
      <c r="AF522" s="10">
        <f>V522*1.25*'Parametros'!$B$3*(U522-(V522*1.25*'Parametros'!$B$3/(0.85*'Parametros'!$B$2*H522))/2)/1000000</f>
        <v>196.664354558824</v>
      </c>
      <c r="AG522" s="10">
        <f>AC522*1.25*'Parametros'!$B$3*(AB522-(AC522*1.25*'Parametros'!$B$3/(0.85*'Parametros'!$B$2*H522))/2)/1000000</f>
        <v>196.664354558824</v>
      </c>
      <c r="AH522" s="10">
        <f>N522+(AF522+AG522)/D522</f>
        <v>188.078177279412</v>
      </c>
      <c r="AI522" s="10">
        <f>MIN(O522,MAX(N522,AH522))</f>
        <v>188.078177279412</v>
      </c>
      <c r="AJ522" s="10">
        <f>0.17*SQRT('Parametros'!$B$2)*H522*MIN(U522,AB522)/1000</f>
        <v>177.230413924022</v>
      </c>
      <c r="AK522" s="10">
        <f>MAX(AI522/'Parametros'!$B$6-AJ522,0)</f>
        <v>73.5404891151942</v>
      </c>
      <c r="AL522" s="10">
        <f>0.66*SQRT('Parametros'!$B$2)*H522*MIN(U522,AB522)/1000</f>
        <v>688.071018763848</v>
      </c>
      <c r="AM522" s="10" t="str">
        <f>IF(AK522&lt;=AL522,"CUMPLE","NO CUMPLE")</f>
        <v>CUMPLE</v>
      </c>
      <c r="AN522" s="15" t="inlineStr">
        <is>
          <t>Nº3 cerrado</t>
        </is>
      </c>
      <c r="AO522" s="17" t="n">
        <v>2</v>
      </c>
      <c r="AP522" s="10">
        <f>ROUNDDOWN(MIN(IF(AK522=0,1000000000,AO522*'Parametros'!$B$11*'Parametros'!$B$4*MIN(U522,AB522)/(AK522*1000)),IF(AV522=0,1000000000,'Parametros'!$B$11/AV522),MIN(U522,AB522)/4,8*'Parametros'!$B$12,24*'Parametros'!$B$9,300)/10,0)*10</f>
        <v>120</v>
      </c>
      <c r="AQ522" s="10">
        <f>ROUNDDOWN(MIN(IF(AK522=0,1000000000,AO522*'Parametros'!$B$11*'Parametros'!$B$4*MIN(U522,AB522)/(AK522*1000)),IF(AV522=0,1000000000,'Parametros'!$B$11/AV522),MIN(U522,AB522)/2,600)/10,0)*10</f>
        <v>240</v>
      </c>
      <c r="AR522" s="10">
        <f>'Parametros'!$B$6*(AJ522+AO522*'Parametros'!$B$11*'Parametros'!$B$4*MIN(U522,AB522)/AP522/1000)</f>
        <v>316.520822943016</v>
      </c>
      <c r="AS522" s="10" t="str">
        <f>IF(AND(AM522="CUMPLE",AR522&gt;=AI522),"CUMPLE","NO CUMPLE")</f>
        <v>CUMPLE</v>
      </c>
      <c r="AT522" s="10">
        <f>'Parametros'!$B$6*0.083*SQRT('Parametros'!$B$2)*(H522*I522)^2/(2*(H522+I522))/1000000</f>
        <v>8.39093065800685</v>
      </c>
      <c r="AU522" s="10" t="str">
        <f>IF(Q522&lt;=AT522,"DESPRECIABLE","DISEÑAR")</f>
        <v>DESPRECIABLE</v>
      </c>
      <c r="AV522" s="10">
        <f>IF(Q522&lt;=AT522,0,Q522*1000000/('Parametros'!$B$6*2*0.85*(H522-2*'Parametros'!$B$7)*(I522-2*'Parametros'!$B$7)*'Parametros'!$B$4))</f>
        <v>0</v>
      </c>
      <c r="AW522" s="10">
        <f>AV522*2*((H522-2*'Parametros'!$B$7)+(I522-2*'Parametros'!$B$7))*'Parametros'!$B$4/'Parametros'!$B$3</f>
        <v>0</v>
      </c>
      <c r="AX522" s="17" t="n">
        <v>0</v>
      </c>
      <c r="AY522" s="10" t="str">
        <f>IF(AV522=0,"DESPRECIABLE",IF('Parametros'!$B$11/AP522&gt;=AV522,"CUMPLE","NO CUMPLE"))</f>
        <v>DESPRECIABLE</v>
      </c>
      <c r="AZ522" s="10" t="str">
        <f>IF(AND(X522="CUMPLE",AE522="CUMPLE",AS522="CUMPLE",OR(AY522="CUMPLE",AY522="DESPRECIABLE")),IF(OR(F522&lt;&gt;H522,G522&lt;&gt;I522),"CUMPLE - REANALIZAR SAP","CUMPLE"),"NO CUMPLE")</f>
        <v>CUMPLE - REANALIZAR SAP</v>
      </c>
    </row>
    <row r="523">
      <c r="A523" s="27" t="inlineStr">
        <is>
          <t>VR3</t>
        </is>
      </c>
      <c r="B523" s="27" t="inlineStr">
        <is>
          <t>788</t>
        </is>
      </c>
      <c r="C523" s="10" t="n">
        <v>1</v>
      </c>
      <c r="D523" s="10" t="n">
        <v>2.5</v>
      </c>
      <c r="E523" s="10" t="n">
        <v>2.5</v>
      </c>
      <c r="F523" s="10" t="n">
        <v>350</v>
      </c>
      <c r="G523" s="10" t="n">
        <v>400</v>
      </c>
      <c r="H523" s="28" t="n">
        <v>400</v>
      </c>
      <c r="I523" s="28" t="n">
        <v>550</v>
      </c>
      <c r="J523" s="16" t="n">
        <v>99.0714</v>
      </c>
      <c r="K523" s="10" t="inlineStr">
        <is>
          <t>788</t>
        </is>
      </c>
      <c r="L523" s="16" t="n">
        <v>62.2316</v>
      </c>
      <c r="M523" s="10" t="inlineStr">
        <is>
          <t>788</t>
        </is>
      </c>
      <c r="N523" s="16" t="n">
        <v>94.54000000000001</v>
      </c>
      <c r="O523" s="16" t="n">
        <v>332.552</v>
      </c>
      <c r="P523" s="10" t="inlineStr">
        <is>
          <t>788</t>
        </is>
      </c>
      <c r="Q523" s="16" t="n">
        <v>0.0324</v>
      </c>
      <c r="R523" s="10">
        <f>MAX(MAX(1.4/'Parametros'!$B$3,0.25*SQRT('Parametros'!$B$2)/'Parametros'!$B$3)*H523*U523,(0.85*'Parametros'!$B$2/'Parametros'!$B$3)*(1-SQRT(1-2*(J523*1000000/('Parametros'!$B$5*H523*U523^2))/(0.85*'Parametros'!$B$2)))*H523*U523)</f>
        <v>656.733333333333</v>
      </c>
      <c r="S523" s="17" t="n">
        <v>4</v>
      </c>
      <c r="T523" s="18" t="n">
        <v>1</v>
      </c>
      <c r="U523" s="10">
        <f>IF(T523=1,I523-('Parametros'!$B$7+'Parametros'!$B$9+'Parametros'!$B$12/2),I523-(ROUNDUP(S523/2,0)*('Parametros'!$B$7+'Parametros'!$B$9+'Parametros'!$B$12/2)+ROUNDDOWN(S523/2,0)*('Parametros'!$B$7+'Parametros'!$B$9+'Parametros'!$B$12/2+'Parametros'!$B$12+'Parametros'!$B$10))/S523)</f>
        <v>492.55</v>
      </c>
      <c r="V523" s="10">
        <f>S523*'Parametros'!$B$8</f>
        <v>796</v>
      </c>
      <c r="W523" s="10">
        <f>'Parametros'!$B$5*V523*'Parametros'!$B$3*(U523-(V523*'Parametros'!$B$3/(0.85*'Parametros'!$B$2*H523))/2)/1000000</f>
        <v>142.919145105882</v>
      </c>
      <c r="X523" s="10" t="str">
        <f>IF(W523&gt;=J523,"CUMPLE","NO CUMPLE")</f>
        <v>CUMPLE</v>
      </c>
      <c r="Y523" s="10">
        <f>MAX(MAX(1.4/'Parametros'!$B$3,0.25*SQRT('Parametros'!$B$2)/'Parametros'!$B$3)*H523*AB523,(0.85*'Parametros'!$B$2/'Parametros'!$B$3)*(1-SQRT(1-2*(L523*1000000/('Parametros'!$B$5*H523*AB523^2))/(0.85*'Parametros'!$B$2)))*H523*AB523)</f>
        <v>656.733333333333</v>
      </c>
      <c r="Z523" s="17" t="n">
        <v>4</v>
      </c>
      <c r="AA523" s="18" t="n">
        <v>1</v>
      </c>
      <c r="AB523" s="10">
        <f>IF(AA523=1,I523-('Parametros'!$B$7+'Parametros'!$B$9+'Parametros'!$B$12/2),I523-(ROUNDUP(Z523/2,0)*('Parametros'!$B$7+'Parametros'!$B$9+'Parametros'!$B$12/2)+ROUNDDOWN(Z523/2,0)*('Parametros'!$B$7+'Parametros'!$B$9+'Parametros'!$B$12/2+'Parametros'!$B$12+'Parametros'!$B$10))/Z523)</f>
        <v>492.55</v>
      </c>
      <c r="AC523" s="10">
        <f>Z523*'Parametros'!$B$8</f>
        <v>796</v>
      </c>
      <c r="AD523" s="10">
        <f>'Parametros'!$B$5*AC523*'Parametros'!$B$3*(AB523-(AC523*'Parametros'!$B$3/(0.85*'Parametros'!$B$2*H523))/2)/1000000</f>
        <v>142.919145105882</v>
      </c>
      <c r="AE523" s="10" t="str">
        <f>IF(AD523&gt;=L523,"CUMPLE","NO CUMPLE")</f>
        <v>CUMPLE</v>
      </c>
      <c r="AF523" s="10">
        <f>V523*1.25*'Parametros'!$B$3*(U523-(V523*1.25*'Parametros'!$B$3/(0.85*'Parametros'!$B$2*H523))/2)/1000000</f>
        <v>196.664354558824</v>
      </c>
      <c r="AG523" s="10">
        <f>AC523*1.25*'Parametros'!$B$3*(AB523-(AC523*1.25*'Parametros'!$B$3/(0.85*'Parametros'!$B$2*H523))/2)/1000000</f>
        <v>196.664354558824</v>
      </c>
      <c r="AH523" s="10">
        <f>N523+(AF523+AG523)/D523</f>
        <v>251.871483647059</v>
      </c>
      <c r="AI523" s="10">
        <f>MIN(O523,MAX(N523,AH523))</f>
        <v>251.871483647059</v>
      </c>
      <c r="AJ523" s="10">
        <f>0.17*SQRT('Parametros'!$B$2)*H523*MIN(U523,AB523)/1000</f>
        <v>177.230413924022</v>
      </c>
      <c r="AK523" s="10">
        <f>MAX(AI523/'Parametros'!$B$6-AJ523,0)</f>
        <v>158.598230938724</v>
      </c>
      <c r="AL523" s="10">
        <f>0.66*SQRT('Parametros'!$B$2)*H523*MIN(U523,AB523)/1000</f>
        <v>688.071018763848</v>
      </c>
      <c r="AM523" s="10" t="str">
        <f>IF(AK523&lt;=AL523,"CUMPLE","NO CUMPLE")</f>
        <v>CUMPLE</v>
      </c>
      <c r="AN523" s="15" t="inlineStr">
        <is>
          <t>Nº3 cerrado</t>
        </is>
      </c>
      <c r="AO523" s="17" t="n">
        <v>2</v>
      </c>
      <c r="AP523" s="10">
        <f>ROUNDDOWN(MIN(IF(AK523=0,1000000000,AO523*'Parametros'!$B$11*'Parametros'!$B$4*MIN(U523,AB523)/(AK523*1000)),IF(AV523=0,1000000000,'Parametros'!$B$11/AV523),MIN(U523,AB523)/4,8*'Parametros'!$B$12,24*'Parametros'!$B$9,300)/10,0)*10</f>
        <v>120</v>
      </c>
      <c r="AQ523" s="10">
        <f>ROUNDDOWN(MIN(IF(AK523=0,1000000000,AO523*'Parametros'!$B$11*'Parametros'!$B$4*MIN(U523,AB523)/(AK523*1000)),IF(AV523=0,1000000000,'Parametros'!$B$11/AV523),MIN(U523,AB523)/2,600)/10,0)*10</f>
        <v>180</v>
      </c>
      <c r="AR523" s="10">
        <f>'Parametros'!$B$6*(AJ523+AO523*'Parametros'!$B$11*'Parametros'!$B$4*MIN(U523,AB523)/AP523/1000)</f>
        <v>316.520822943016</v>
      </c>
      <c r="AS523" s="10" t="str">
        <f>IF(AND(AM523="CUMPLE",AR523&gt;=AI523),"CUMPLE","NO CUMPLE")</f>
        <v>CUMPLE</v>
      </c>
      <c r="AT523" s="10">
        <f>'Parametros'!$B$6*0.083*SQRT('Parametros'!$B$2)*(H523*I523)^2/(2*(H523+I523))/1000000</f>
        <v>8.39093065800685</v>
      </c>
      <c r="AU523" s="10" t="str">
        <f>IF(Q523&lt;=AT523,"DESPRECIABLE","DISEÑAR")</f>
        <v>DESPRECIABLE</v>
      </c>
      <c r="AV523" s="10">
        <f>IF(Q523&lt;=AT523,0,Q523*1000000/('Parametros'!$B$6*2*0.85*(H523-2*'Parametros'!$B$7)*(I523-2*'Parametros'!$B$7)*'Parametros'!$B$4))</f>
        <v>0</v>
      </c>
      <c r="AW523" s="10">
        <f>AV523*2*((H523-2*'Parametros'!$B$7)+(I523-2*'Parametros'!$B$7))*'Parametros'!$B$4/'Parametros'!$B$3</f>
        <v>0</v>
      </c>
      <c r="AX523" s="17" t="n">
        <v>0</v>
      </c>
      <c r="AY523" s="10" t="str">
        <f>IF(AV523=0,"DESPRECIABLE",IF('Parametros'!$B$11/AP523&gt;=AV523,"CUMPLE","NO CUMPLE"))</f>
        <v>DESPRECIABLE</v>
      </c>
      <c r="AZ523" s="10" t="str">
        <f>IF(AND(X523="CUMPLE",AE523="CUMPLE",AS523="CUMPLE",OR(AY523="CUMPLE",AY523="DESPRECIABLE")),IF(OR(F523&lt;&gt;H523,G523&lt;&gt;I523),"CUMPLE - REANALIZAR SAP","CUMPLE"),"NO CUMPLE")</f>
        <v>CUMPLE - REANALIZAR SAP</v>
      </c>
    </row>
    <row r="524">
      <c r="A524" s="27" t="inlineStr">
        <is>
          <t>VR3</t>
        </is>
      </c>
      <c r="B524" s="27" t="inlineStr">
        <is>
          <t>789</t>
        </is>
      </c>
      <c r="C524" s="10" t="n">
        <v>1</v>
      </c>
      <c r="D524" s="10" t="n">
        <v>2.6</v>
      </c>
      <c r="E524" s="10" t="n">
        <v>2.6</v>
      </c>
      <c r="F524" s="10" t="n">
        <v>350</v>
      </c>
      <c r="G524" s="10" t="n">
        <v>400</v>
      </c>
      <c r="H524" s="28" t="n">
        <v>400</v>
      </c>
      <c r="I524" s="28" t="n">
        <v>550</v>
      </c>
      <c r="J524" s="16" t="n">
        <v>219.3123</v>
      </c>
      <c r="K524" s="10" t="inlineStr">
        <is>
          <t>789</t>
        </is>
      </c>
      <c r="L524" s="16" t="n">
        <v>105.6046</v>
      </c>
      <c r="M524" s="10" t="inlineStr">
        <is>
          <t>789</t>
        </is>
      </c>
      <c r="N524" s="16" t="n">
        <v>179.303</v>
      </c>
      <c r="O524" s="16" t="n">
        <v>237.902</v>
      </c>
      <c r="P524" s="10" t="inlineStr">
        <is>
          <t>789</t>
        </is>
      </c>
      <c r="Q524" s="16" t="n">
        <v>3.9628</v>
      </c>
      <c r="R524" s="10">
        <f>MAX(MAX(1.4/'Parametros'!$B$3,0.25*SQRT('Parametros'!$B$2)/'Parametros'!$B$3)*H524*U524,(0.85*'Parametros'!$B$2/'Parametros'!$B$3)*(1-SQRT(1-2*(J524*1000000/('Parametros'!$B$5*H524*U524^2))/(0.85*'Parametros'!$B$2)))*H524*U524)</f>
        <v>1247.64702938845</v>
      </c>
      <c r="S524" s="17" t="n">
        <v>7</v>
      </c>
      <c r="T524" s="18" t="n">
        <v>1</v>
      </c>
      <c r="U524" s="10">
        <f>IF(T524=1,I524-('Parametros'!$B$7+'Parametros'!$B$9+'Parametros'!$B$12/2),I524-(ROUNDUP(S524/2,0)*('Parametros'!$B$7+'Parametros'!$B$9+'Parametros'!$B$12/2)+ROUNDDOWN(S524/2,0)*('Parametros'!$B$7+'Parametros'!$B$9+'Parametros'!$B$12/2+'Parametros'!$B$12+'Parametros'!$B$10))/S524)</f>
        <v>492.55</v>
      </c>
      <c r="V524" s="10">
        <f>S524*'Parametros'!$B$8</f>
        <v>1393</v>
      </c>
      <c r="W524" s="10">
        <f>'Parametros'!$B$5*V524*'Parametros'!$B$3*(U524-(V524*'Parametros'!$B$3/(0.85*'Parametros'!$B$2*H524))/2)/1000000</f>
        <v>243.174252361765</v>
      </c>
      <c r="X524" s="10" t="str">
        <f>IF(W524&gt;=J524,"CUMPLE","NO CUMPLE")</f>
        <v>CUMPLE</v>
      </c>
      <c r="Y524" s="10">
        <f>MAX(MAX(1.4/'Parametros'!$B$3,0.25*SQRT('Parametros'!$B$2)/'Parametros'!$B$3)*H524*AB524,(0.85*'Parametros'!$B$2/'Parametros'!$B$3)*(1-SQRT(1-2*(L524*1000000/('Parametros'!$B$5*H524*AB524^2))/(0.85*'Parametros'!$B$2)))*H524*AB524)</f>
        <v>656.733333333333</v>
      </c>
      <c r="Z524" s="17" t="n">
        <v>4</v>
      </c>
      <c r="AA524" s="18" t="n">
        <v>1</v>
      </c>
      <c r="AB524" s="10">
        <f>IF(AA524=1,I524-('Parametros'!$B$7+'Parametros'!$B$9+'Parametros'!$B$12/2),I524-(ROUNDUP(Z524/2,0)*('Parametros'!$B$7+'Parametros'!$B$9+'Parametros'!$B$12/2)+ROUNDDOWN(Z524/2,0)*('Parametros'!$B$7+'Parametros'!$B$9+'Parametros'!$B$12/2+'Parametros'!$B$12+'Parametros'!$B$10))/Z524)</f>
        <v>492.55</v>
      </c>
      <c r="AC524" s="10">
        <f>Z524*'Parametros'!$B$8</f>
        <v>796</v>
      </c>
      <c r="AD524" s="10">
        <f>'Parametros'!$B$5*AC524*'Parametros'!$B$3*(AB524-(AC524*'Parametros'!$B$3/(0.85*'Parametros'!$B$2*H524))/2)/1000000</f>
        <v>142.919145105882</v>
      </c>
      <c r="AE524" s="10" t="str">
        <f>IF(AD524&gt;=L524,"CUMPLE","NO CUMPLE")</f>
        <v>CUMPLE</v>
      </c>
      <c r="AF524" s="10">
        <f>V524*1.25*'Parametros'!$B$3*(U524-(V524*1.25*'Parametros'!$B$3/(0.85*'Parametros'!$B$2*H524))/2)/1000000</f>
        <v>332.123989273897</v>
      </c>
      <c r="AG524" s="10">
        <f>AC524*1.25*'Parametros'!$B$3*(AB524-(AC524*1.25*'Parametros'!$B$3/(0.85*'Parametros'!$B$2*H524))/2)/1000000</f>
        <v>196.664354558824</v>
      </c>
      <c r="AH524" s="10">
        <f>N524+(AF524+AG524)/D524</f>
        <v>382.683132243354</v>
      </c>
      <c r="AI524" s="10">
        <f>MIN(O524,MAX(N524,AH524))</f>
        <v>237.902</v>
      </c>
      <c r="AJ524" s="10">
        <f>0.17*SQRT('Parametros'!$B$2)*H524*MIN(U524,AB524)/1000</f>
        <v>177.230413924022</v>
      </c>
      <c r="AK524" s="10">
        <f>MAX(AI524/'Parametros'!$B$6-AJ524,0)</f>
        <v>139.972252742645</v>
      </c>
      <c r="AL524" s="10">
        <f>0.66*SQRT('Parametros'!$B$2)*H524*MIN(U524,AB524)/1000</f>
        <v>688.071018763848</v>
      </c>
      <c r="AM524" s="10" t="str">
        <f>IF(AK524&lt;=AL524,"CUMPLE","NO CUMPLE")</f>
        <v>CUMPLE</v>
      </c>
      <c r="AN524" s="15" t="inlineStr">
        <is>
          <t>Nº3 cerrado</t>
        </is>
      </c>
      <c r="AO524" s="17" t="n">
        <v>2</v>
      </c>
      <c r="AP524" s="10">
        <f>ROUNDDOWN(MIN(IF(AK524=0,1000000000,AO524*'Parametros'!$B$11*'Parametros'!$B$4*MIN(U524,AB524)/(AK524*1000)),IF(AV524=0,1000000000,'Parametros'!$B$11/AV524),MIN(U524,AB524)/4,8*'Parametros'!$B$12,24*'Parametros'!$B$9,300)/10,0)*10</f>
        <v>120</v>
      </c>
      <c r="AQ524" s="10">
        <f>ROUNDDOWN(MIN(IF(AK524=0,1000000000,AO524*'Parametros'!$B$11*'Parametros'!$B$4*MIN(U524,AB524)/(AK524*1000)),IF(AV524=0,1000000000,'Parametros'!$B$11/AV524),MIN(U524,AB524)/2,600)/10,0)*10</f>
        <v>200</v>
      </c>
      <c r="AR524" s="10">
        <f>'Parametros'!$B$6*(AJ524+AO524*'Parametros'!$B$11*'Parametros'!$B$4*MIN(U524,AB524)/AP524/1000)</f>
        <v>316.520822943016</v>
      </c>
      <c r="AS524" s="10" t="str">
        <f>IF(AND(AM524="CUMPLE",AR524&gt;=AI524),"CUMPLE","NO CUMPLE")</f>
        <v>CUMPLE</v>
      </c>
      <c r="AT524" s="10">
        <f>'Parametros'!$B$6*0.083*SQRT('Parametros'!$B$2)*(H524*I524)^2/(2*(H524+I524))/1000000</f>
        <v>8.39093065800685</v>
      </c>
      <c r="AU524" s="10" t="str">
        <f>IF(Q524&lt;=AT524,"DESPRECIABLE","DISEÑAR")</f>
        <v>DESPRECIABLE</v>
      </c>
      <c r="AV524" s="10">
        <f>IF(Q524&lt;=AT524,0,Q524*1000000/('Parametros'!$B$6*2*0.85*(H524-2*'Parametros'!$B$7)*(I524-2*'Parametros'!$B$7)*'Parametros'!$B$4))</f>
        <v>0</v>
      </c>
      <c r="AW524" s="10">
        <f>AV524*2*((H524-2*'Parametros'!$B$7)+(I524-2*'Parametros'!$B$7))*'Parametros'!$B$4/'Parametros'!$B$3</f>
        <v>0</v>
      </c>
      <c r="AX524" s="17" t="n">
        <v>0</v>
      </c>
      <c r="AY524" s="10" t="str">
        <f>IF(AV524=0,"DESPRECIABLE",IF('Parametros'!$B$11/AP524&gt;=AV524,"CUMPLE","NO CUMPLE"))</f>
        <v>DESPRECIABLE</v>
      </c>
      <c r="AZ524" s="10" t="str">
        <f>IF(AND(X524="CUMPLE",AE524="CUMPLE",AS524="CUMPLE",OR(AY524="CUMPLE",AY524="DESPRECIABLE")),IF(OR(F524&lt;&gt;H524,G524&lt;&gt;I524),"CUMPLE - REANALIZAR SAP","CUMPLE"),"NO CUMPLE")</f>
        <v>CUMPLE - REANALIZAR SAP</v>
      </c>
    </row>
    <row r="525">
      <c r="A525" s="27" t="inlineStr">
        <is>
          <t>VR3</t>
        </is>
      </c>
      <c r="B525" s="27" t="inlineStr">
        <is>
          <t>790</t>
        </is>
      </c>
      <c r="C525" s="10" t="n">
        <v>1</v>
      </c>
      <c r="D525" s="10" t="n">
        <v>2.95</v>
      </c>
      <c r="E525" s="10" t="n">
        <v>2.95</v>
      </c>
      <c r="F525" s="10" t="n">
        <v>350</v>
      </c>
      <c r="G525" s="10" t="n">
        <v>400</v>
      </c>
      <c r="H525" s="28" t="n">
        <v>400</v>
      </c>
      <c r="I525" s="28" t="n">
        <v>550</v>
      </c>
      <c r="J525" s="16" t="n">
        <v>183.3134</v>
      </c>
      <c r="K525" s="10" t="inlineStr">
        <is>
          <t>790</t>
        </is>
      </c>
      <c r="L525" s="16" t="n">
        <v>119.367</v>
      </c>
      <c r="M525" s="10" t="inlineStr">
        <is>
          <t>790</t>
        </is>
      </c>
      <c r="N525" s="16" t="n">
        <v>169.845</v>
      </c>
      <c r="O525" s="16" t="n">
        <v>229.914</v>
      </c>
      <c r="P525" s="10" t="inlineStr">
        <is>
          <t>790</t>
        </is>
      </c>
      <c r="Q525" s="16" t="n">
        <v>1.9343</v>
      </c>
      <c r="R525" s="10">
        <f>MAX(MAX(1.4/'Parametros'!$B$3,0.25*SQRT('Parametros'!$B$2)/'Parametros'!$B$3)*H525*U525,(0.85*'Parametros'!$B$2/'Parametros'!$B$3)*(1-SQRT(1-2*(J525*1000000/('Parametros'!$B$5*H525*U525^2))/(0.85*'Parametros'!$B$2)))*H525*U525)</f>
        <v>1032.30795722234</v>
      </c>
      <c r="S525" s="17" t="n">
        <v>6</v>
      </c>
      <c r="T525" s="18" t="n">
        <v>1</v>
      </c>
      <c r="U525" s="10">
        <f>IF(T525=1,I525-('Parametros'!$B$7+'Parametros'!$B$9+'Parametros'!$B$12/2),I525-(ROUNDUP(S525/2,0)*('Parametros'!$B$7+'Parametros'!$B$9+'Parametros'!$B$12/2)+ROUNDDOWN(S525/2,0)*('Parametros'!$B$7+'Parametros'!$B$9+'Parametros'!$B$12/2+'Parametros'!$B$12+'Parametros'!$B$10))/S525)</f>
        <v>492.55</v>
      </c>
      <c r="V525" s="10">
        <f>S525*'Parametros'!$B$8</f>
        <v>1194</v>
      </c>
      <c r="W525" s="10">
        <f>'Parametros'!$B$5*V525*'Parametros'!$B$3*(U525-(V525*'Parametros'!$B$3/(0.85*'Parametros'!$B$2*H525))/2)/1000000</f>
        <v>210.416288188235</v>
      </c>
      <c r="X525" s="10" t="str">
        <f>IF(W525&gt;=J525,"CUMPLE","NO CUMPLE")</f>
        <v>CUMPLE</v>
      </c>
      <c r="Y525" s="10">
        <f>MAX(MAX(1.4/'Parametros'!$B$3,0.25*SQRT('Parametros'!$B$2)/'Parametros'!$B$3)*H525*AB525,(0.85*'Parametros'!$B$2/'Parametros'!$B$3)*(1-SQRT(1-2*(L525*1000000/('Parametros'!$B$5*H525*AB525^2))/(0.85*'Parametros'!$B$2)))*H525*AB525)</f>
        <v>660.672261619886</v>
      </c>
      <c r="Z525" s="17" t="n">
        <v>4</v>
      </c>
      <c r="AA525" s="18" t="n">
        <v>1</v>
      </c>
      <c r="AB525" s="10">
        <f>IF(AA525=1,I525-('Parametros'!$B$7+'Parametros'!$B$9+'Parametros'!$B$12/2),I525-(ROUNDUP(Z525/2,0)*('Parametros'!$B$7+'Parametros'!$B$9+'Parametros'!$B$12/2)+ROUNDDOWN(Z525/2,0)*('Parametros'!$B$7+'Parametros'!$B$9+'Parametros'!$B$12/2+'Parametros'!$B$12+'Parametros'!$B$10))/Z525)</f>
        <v>492.55</v>
      </c>
      <c r="AC525" s="10">
        <f>Z525*'Parametros'!$B$8</f>
        <v>796</v>
      </c>
      <c r="AD525" s="10">
        <f>'Parametros'!$B$5*AC525*'Parametros'!$B$3*(AB525-(AC525*'Parametros'!$B$3/(0.85*'Parametros'!$B$2*H525))/2)/1000000</f>
        <v>142.919145105882</v>
      </c>
      <c r="AE525" s="10" t="str">
        <f>IF(AD525&gt;=L525,"CUMPLE","NO CUMPLE")</f>
        <v>CUMPLE</v>
      </c>
      <c r="AF525" s="10">
        <f>V525*1.25*'Parametros'!$B$3*(U525-(V525*1.25*'Parametros'!$B$3/(0.85*'Parametros'!$B$2*H525))/2)/1000000</f>
        <v>288.117314007353</v>
      </c>
      <c r="AG525" s="10">
        <f>AC525*1.25*'Parametros'!$B$3*(AB525-(AC525*1.25*'Parametros'!$B$3/(0.85*'Parametros'!$B$2*H525))/2)/1000000</f>
        <v>196.664354558824</v>
      </c>
      <c r="AH525" s="10">
        <f>N525+(AF525+AG525)/D525</f>
        <v>334.177769005484</v>
      </c>
      <c r="AI525" s="10">
        <f>MIN(O525,MAX(N525,AH525))</f>
        <v>229.914</v>
      </c>
      <c r="AJ525" s="10">
        <f>0.17*SQRT('Parametros'!$B$2)*H525*MIN(U525,AB525)/1000</f>
        <v>177.230413924022</v>
      </c>
      <c r="AK525" s="10">
        <f>MAX(AI525/'Parametros'!$B$6-AJ525,0)</f>
        <v>129.321586075978</v>
      </c>
      <c r="AL525" s="10">
        <f>0.66*SQRT('Parametros'!$B$2)*H525*MIN(U525,AB525)/1000</f>
        <v>688.071018763848</v>
      </c>
      <c r="AM525" s="10" t="str">
        <f>IF(AK525&lt;=AL525,"CUMPLE","NO CUMPLE")</f>
        <v>CUMPLE</v>
      </c>
      <c r="AN525" s="15" t="inlineStr">
        <is>
          <t>Nº3 cerrado</t>
        </is>
      </c>
      <c r="AO525" s="17" t="n">
        <v>2</v>
      </c>
      <c r="AP525" s="10">
        <f>ROUNDDOWN(MIN(IF(AK525=0,1000000000,AO525*'Parametros'!$B$11*'Parametros'!$B$4*MIN(U525,AB525)/(AK525*1000)),IF(AV525=0,1000000000,'Parametros'!$B$11/AV525),MIN(U525,AB525)/4,8*'Parametros'!$B$12,24*'Parametros'!$B$9,300)/10,0)*10</f>
        <v>120</v>
      </c>
      <c r="AQ525" s="10">
        <f>ROUNDDOWN(MIN(IF(AK525=0,1000000000,AO525*'Parametros'!$B$11*'Parametros'!$B$4*MIN(U525,AB525)/(AK525*1000)),IF(AV525=0,1000000000,'Parametros'!$B$11/AV525),MIN(U525,AB525)/2,600)/10,0)*10</f>
        <v>220</v>
      </c>
      <c r="AR525" s="10">
        <f>'Parametros'!$B$6*(AJ525+AO525*'Parametros'!$B$11*'Parametros'!$B$4*MIN(U525,AB525)/AP525/1000)</f>
        <v>316.520822943016</v>
      </c>
      <c r="AS525" s="10" t="str">
        <f>IF(AND(AM525="CUMPLE",AR525&gt;=AI525),"CUMPLE","NO CUMPLE")</f>
        <v>CUMPLE</v>
      </c>
      <c r="AT525" s="10">
        <f>'Parametros'!$B$6*0.083*SQRT('Parametros'!$B$2)*(H525*I525)^2/(2*(H525+I525))/1000000</f>
        <v>8.39093065800685</v>
      </c>
      <c r="AU525" s="10" t="str">
        <f>IF(Q525&lt;=AT525,"DESPRECIABLE","DISEÑAR")</f>
        <v>DESPRECIABLE</v>
      </c>
      <c r="AV525" s="10">
        <f>IF(Q525&lt;=AT525,0,Q525*1000000/('Parametros'!$B$6*2*0.85*(H525-2*'Parametros'!$B$7)*(I525-2*'Parametros'!$B$7)*'Parametros'!$B$4))</f>
        <v>0</v>
      </c>
      <c r="AW525" s="10">
        <f>AV525*2*((H525-2*'Parametros'!$B$7)+(I525-2*'Parametros'!$B$7))*'Parametros'!$B$4/'Parametros'!$B$3</f>
        <v>0</v>
      </c>
      <c r="AX525" s="17" t="n">
        <v>0</v>
      </c>
      <c r="AY525" s="10" t="str">
        <f>IF(AV525=0,"DESPRECIABLE",IF('Parametros'!$B$11/AP525&gt;=AV525,"CUMPLE","NO CUMPLE"))</f>
        <v>DESPRECIABLE</v>
      </c>
      <c r="AZ525" s="10" t="str">
        <f>IF(AND(X525="CUMPLE",AE525="CUMPLE",AS525="CUMPLE",OR(AY525="CUMPLE",AY525="DESPRECIABLE")),IF(OR(F525&lt;&gt;H525,G525&lt;&gt;I525),"CUMPLE - REANALIZAR SAP","CUMPLE"),"NO CUMPLE")</f>
        <v>CUMPLE - REANALIZAR SAP</v>
      </c>
    </row>
    <row r="526">
      <c r="A526" s="27" t="inlineStr">
        <is>
          <t>VR3</t>
        </is>
      </c>
      <c r="B526" s="27" t="inlineStr">
        <is>
          <t>875</t>
        </is>
      </c>
      <c r="C526" s="10" t="n">
        <v>1</v>
      </c>
      <c r="D526" s="10" t="n">
        <v>2.95</v>
      </c>
      <c r="E526" s="10" t="n">
        <v>2.95</v>
      </c>
      <c r="F526" s="10" t="n">
        <v>350</v>
      </c>
      <c r="G526" s="10" t="n">
        <v>400</v>
      </c>
      <c r="H526" s="28" t="n">
        <v>400</v>
      </c>
      <c r="I526" s="28" t="n">
        <v>550</v>
      </c>
      <c r="J526" s="16" t="n">
        <v>168.9142</v>
      </c>
      <c r="K526" s="10" t="inlineStr">
        <is>
          <t>875</t>
        </is>
      </c>
      <c r="L526" s="16" t="n">
        <v>117.3097</v>
      </c>
      <c r="M526" s="10" t="inlineStr">
        <is>
          <t>875</t>
        </is>
      </c>
      <c r="N526" s="16" t="n">
        <v>167.177</v>
      </c>
      <c r="O526" s="16" t="n">
        <v>204.444</v>
      </c>
      <c r="P526" s="10" t="inlineStr">
        <is>
          <t>875</t>
        </is>
      </c>
      <c r="Q526" s="16" t="n">
        <v>1.5442</v>
      </c>
      <c r="R526" s="10">
        <f>MAX(MAX(1.4/'Parametros'!$B$3,0.25*SQRT('Parametros'!$B$2)/'Parametros'!$B$3)*H526*U526,(0.85*'Parametros'!$B$2/'Parametros'!$B$3)*(1-SQRT(1-2*(J526*1000000/('Parametros'!$B$5*H526*U526^2))/(0.85*'Parametros'!$B$2)))*H526*U526)</f>
        <v>947.44516836345</v>
      </c>
      <c r="S526" s="17" t="n">
        <v>5</v>
      </c>
      <c r="T526" s="18" t="n">
        <v>1</v>
      </c>
      <c r="U526" s="10">
        <f>IF(T526=1,I526-('Parametros'!$B$7+'Parametros'!$B$9+'Parametros'!$B$12/2),I526-(ROUNDUP(S526/2,0)*('Parametros'!$B$7+'Parametros'!$B$9+'Parametros'!$B$12/2)+ROUNDDOWN(S526/2,0)*('Parametros'!$B$7+'Parametros'!$B$9+'Parametros'!$B$12/2+'Parametros'!$B$12+'Parametros'!$B$10))/S526)</f>
        <v>492.55</v>
      </c>
      <c r="V526" s="10">
        <f>S526*'Parametros'!$B$8</f>
        <v>995</v>
      </c>
      <c r="W526" s="10">
        <f>'Parametros'!$B$5*V526*'Parametros'!$B$3*(U526-(V526*'Parametros'!$B$3/(0.85*'Parametros'!$B$2*H526))/2)/1000000</f>
        <v>176.997919102941</v>
      </c>
      <c r="X526" s="10" t="str">
        <f>IF(W526&gt;=J526,"CUMPLE","NO CUMPLE")</f>
        <v>CUMPLE</v>
      </c>
      <c r="Y526" s="10">
        <f>MAX(MAX(1.4/'Parametros'!$B$3,0.25*SQRT('Parametros'!$B$2)/'Parametros'!$B$3)*H526*AB526,(0.85*'Parametros'!$B$2/'Parametros'!$B$3)*(1-SQRT(1-2*(L526*1000000/('Parametros'!$B$5*H526*AB526^2))/(0.85*'Parametros'!$B$2)))*H526*AB526)</f>
        <v>656.733333333333</v>
      </c>
      <c r="Z526" s="17" t="n">
        <v>4</v>
      </c>
      <c r="AA526" s="18" t="n">
        <v>1</v>
      </c>
      <c r="AB526" s="10">
        <f>IF(AA526=1,I526-('Parametros'!$B$7+'Parametros'!$B$9+'Parametros'!$B$12/2),I526-(ROUNDUP(Z526/2,0)*('Parametros'!$B$7+'Parametros'!$B$9+'Parametros'!$B$12/2)+ROUNDDOWN(Z526/2,0)*('Parametros'!$B$7+'Parametros'!$B$9+'Parametros'!$B$12/2+'Parametros'!$B$12+'Parametros'!$B$10))/Z526)</f>
        <v>492.55</v>
      </c>
      <c r="AC526" s="10">
        <f>Z526*'Parametros'!$B$8</f>
        <v>796</v>
      </c>
      <c r="AD526" s="10">
        <f>'Parametros'!$B$5*AC526*'Parametros'!$B$3*(AB526-(AC526*'Parametros'!$B$3/(0.85*'Parametros'!$B$2*H526))/2)/1000000</f>
        <v>142.919145105882</v>
      </c>
      <c r="AE526" s="10" t="str">
        <f>IF(AD526&gt;=L526,"CUMPLE","NO CUMPLE")</f>
        <v>CUMPLE</v>
      </c>
      <c r="AF526" s="10">
        <f>V526*1.25*'Parametros'!$B$3*(U526-(V526*1.25*'Parametros'!$B$3/(0.85*'Parametros'!$B$2*H526))/2)/1000000</f>
        <v>242.964102435662</v>
      </c>
      <c r="AG526" s="10">
        <f>AC526*1.25*'Parametros'!$B$3*(AB526-(AC526*1.25*'Parametros'!$B$3/(0.85*'Parametros'!$B$2*H526))/2)/1000000</f>
        <v>196.664354558824</v>
      </c>
      <c r="AH526" s="10">
        <f>N526+(AF526+AG526)/D526</f>
        <v>316.203595591351</v>
      </c>
      <c r="AI526" s="10">
        <f>MIN(O526,MAX(N526,AH526))</f>
        <v>204.444</v>
      </c>
      <c r="AJ526" s="10">
        <f>0.17*SQRT('Parametros'!$B$2)*H526*MIN(U526,AB526)/1000</f>
        <v>177.230413924022</v>
      </c>
      <c r="AK526" s="10">
        <f>MAX(AI526/'Parametros'!$B$6-AJ526,0)</f>
        <v>95.3615860759785</v>
      </c>
      <c r="AL526" s="10">
        <f>0.66*SQRT('Parametros'!$B$2)*H526*MIN(U526,AB526)/1000</f>
        <v>688.071018763848</v>
      </c>
      <c r="AM526" s="10" t="str">
        <f>IF(AK526&lt;=AL526,"CUMPLE","NO CUMPLE")</f>
        <v>CUMPLE</v>
      </c>
      <c r="AN526" s="15" t="inlineStr">
        <is>
          <t>Nº3 cerrado</t>
        </is>
      </c>
      <c r="AO526" s="17" t="n">
        <v>2</v>
      </c>
      <c r="AP526" s="10">
        <f>ROUNDDOWN(MIN(IF(AK526=0,1000000000,AO526*'Parametros'!$B$11*'Parametros'!$B$4*MIN(U526,AB526)/(AK526*1000)),IF(AV526=0,1000000000,'Parametros'!$B$11/AV526),MIN(U526,AB526)/4,8*'Parametros'!$B$12,24*'Parametros'!$B$9,300)/10,0)*10</f>
        <v>120</v>
      </c>
      <c r="AQ526" s="10">
        <f>ROUNDDOWN(MIN(IF(AK526=0,1000000000,AO526*'Parametros'!$B$11*'Parametros'!$B$4*MIN(U526,AB526)/(AK526*1000)),IF(AV526=0,1000000000,'Parametros'!$B$11/AV526),MIN(U526,AB526)/2,600)/10,0)*10</f>
        <v>240</v>
      </c>
      <c r="AR526" s="10">
        <f>'Parametros'!$B$6*(AJ526+AO526*'Parametros'!$B$11*'Parametros'!$B$4*MIN(U526,AB526)/AP526/1000)</f>
        <v>316.520822943016</v>
      </c>
      <c r="AS526" s="10" t="str">
        <f>IF(AND(AM526="CUMPLE",AR526&gt;=AI526),"CUMPLE","NO CUMPLE")</f>
        <v>CUMPLE</v>
      </c>
      <c r="AT526" s="10">
        <f>'Parametros'!$B$6*0.083*SQRT('Parametros'!$B$2)*(H526*I526)^2/(2*(H526+I526))/1000000</f>
        <v>8.39093065800685</v>
      </c>
      <c r="AU526" s="10" t="str">
        <f>IF(Q526&lt;=AT526,"DESPRECIABLE","DISEÑAR")</f>
        <v>DESPRECIABLE</v>
      </c>
      <c r="AV526" s="10">
        <f>IF(Q526&lt;=AT526,0,Q526*1000000/('Parametros'!$B$6*2*0.85*(H526-2*'Parametros'!$B$7)*(I526-2*'Parametros'!$B$7)*'Parametros'!$B$4))</f>
        <v>0</v>
      </c>
      <c r="AW526" s="10">
        <f>AV526*2*((H526-2*'Parametros'!$B$7)+(I526-2*'Parametros'!$B$7))*'Parametros'!$B$4/'Parametros'!$B$3</f>
        <v>0</v>
      </c>
      <c r="AX526" s="17" t="n">
        <v>0</v>
      </c>
      <c r="AY526" s="10" t="str">
        <f>IF(AV526=0,"DESPRECIABLE",IF('Parametros'!$B$11/AP526&gt;=AV526,"CUMPLE","NO CUMPLE"))</f>
        <v>DESPRECIABLE</v>
      </c>
      <c r="AZ526" s="10" t="str">
        <f>IF(AND(X526="CUMPLE",AE526="CUMPLE",AS526="CUMPLE",OR(AY526="CUMPLE",AY526="DESPRECIABLE")),IF(OR(F526&lt;&gt;H526,G526&lt;&gt;I526),"CUMPLE - REANALIZAR SAP","CUMPLE"),"NO CUMPLE")</f>
        <v>CUMPLE - REANALIZAR SAP</v>
      </c>
    </row>
    <row r="527">
      <c r="A527" s="27" t="inlineStr">
        <is>
          <t>VR3</t>
        </is>
      </c>
      <c r="B527" s="27" t="inlineStr">
        <is>
          <t>876</t>
        </is>
      </c>
      <c r="C527" s="10" t="n">
        <v>1</v>
      </c>
      <c r="D527" s="10" t="n">
        <v>2.6</v>
      </c>
      <c r="E527" s="10" t="n">
        <v>2.6</v>
      </c>
      <c r="F527" s="10" t="n">
        <v>350</v>
      </c>
      <c r="G527" s="10" t="n">
        <v>400</v>
      </c>
      <c r="H527" s="28" t="n">
        <v>400</v>
      </c>
      <c r="I527" s="28" t="n">
        <v>550</v>
      </c>
      <c r="J527" s="16" t="n">
        <v>207.2769</v>
      </c>
      <c r="K527" s="10" t="inlineStr">
        <is>
          <t>876</t>
        </is>
      </c>
      <c r="L527" s="16" t="n">
        <v>103.4161</v>
      </c>
      <c r="M527" s="10" t="inlineStr">
        <is>
          <t>876</t>
        </is>
      </c>
      <c r="N527" s="16" t="n">
        <v>178.399</v>
      </c>
      <c r="O527" s="16" t="n">
        <v>213.316</v>
      </c>
      <c r="P527" s="10" t="inlineStr">
        <is>
          <t>876</t>
        </is>
      </c>
      <c r="Q527" s="16" t="n">
        <v>2.9014</v>
      </c>
      <c r="R527" s="10">
        <f>MAX(MAX(1.4/'Parametros'!$B$3,0.25*SQRT('Parametros'!$B$2)/'Parametros'!$B$3)*H527*U527,(0.85*'Parametros'!$B$2/'Parametros'!$B$3)*(1-SQRT(1-2*(J527*1000000/('Parametros'!$B$5*H527*U527^2))/(0.85*'Parametros'!$B$2)))*H527*U527)</f>
        <v>1175.13682627668</v>
      </c>
      <c r="S527" s="17" t="n">
        <v>6</v>
      </c>
      <c r="T527" s="18" t="n">
        <v>1</v>
      </c>
      <c r="U527" s="10">
        <f>IF(T527=1,I527-('Parametros'!$B$7+'Parametros'!$B$9+'Parametros'!$B$12/2),I527-(ROUNDUP(S527/2,0)*('Parametros'!$B$7+'Parametros'!$B$9+'Parametros'!$B$12/2)+ROUNDDOWN(S527/2,0)*('Parametros'!$B$7+'Parametros'!$B$9+'Parametros'!$B$12/2+'Parametros'!$B$12+'Parametros'!$B$10))/S527)</f>
        <v>492.55</v>
      </c>
      <c r="V527" s="10">
        <f>S527*'Parametros'!$B$8</f>
        <v>1194</v>
      </c>
      <c r="W527" s="10">
        <f>'Parametros'!$B$5*V527*'Parametros'!$B$3*(U527-(V527*'Parametros'!$B$3/(0.85*'Parametros'!$B$2*H527))/2)/1000000</f>
        <v>210.416288188235</v>
      </c>
      <c r="X527" s="10" t="str">
        <f>IF(W527&gt;=J527,"CUMPLE","NO CUMPLE")</f>
        <v>CUMPLE</v>
      </c>
      <c r="Y527" s="10">
        <f>MAX(MAX(1.4/'Parametros'!$B$3,0.25*SQRT('Parametros'!$B$2)/'Parametros'!$B$3)*H527*AB527,(0.85*'Parametros'!$B$2/'Parametros'!$B$3)*(1-SQRT(1-2*(L527*1000000/('Parametros'!$B$5*H527*AB527^2))/(0.85*'Parametros'!$B$2)))*H527*AB527)</f>
        <v>656.733333333333</v>
      </c>
      <c r="Z527" s="17" t="n">
        <v>4</v>
      </c>
      <c r="AA527" s="18" t="n">
        <v>1</v>
      </c>
      <c r="AB527" s="10">
        <f>IF(AA527=1,I527-('Parametros'!$B$7+'Parametros'!$B$9+'Parametros'!$B$12/2),I527-(ROUNDUP(Z527/2,0)*('Parametros'!$B$7+'Parametros'!$B$9+'Parametros'!$B$12/2)+ROUNDDOWN(Z527/2,0)*('Parametros'!$B$7+'Parametros'!$B$9+'Parametros'!$B$12/2+'Parametros'!$B$12+'Parametros'!$B$10))/Z527)</f>
        <v>492.55</v>
      </c>
      <c r="AC527" s="10">
        <f>Z527*'Parametros'!$B$8</f>
        <v>796</v>
      </c>
      <c r="AD527" s="10">
        <f>'Parametros'!$B$5*AC527*'Parametros'!$B$3*(AB527-(AC527*'Parametros'!$B$3/(0.85*'Parametros'!$B$2*H527))/2)/1000000</f>
        <v>142.919145105882</v>
      </c>
      <c r="AE527" s="10" t="str">
        <f>IF(AD527&gt;=L527,"CUMPLE","NO CUMPLE")</f>
        <v>CUMPLE</v>
      </c>
      <c r="AF527" s="10">
        <f>V527*1.25*'Parametros'!$B$3*(U527-(V527*1.25*'Parametros'!$B$3/(0.85*'Parametros'!$B$2*H527))/2)/1000000</f>
        <v>288.117314007353</v>
      </c>
      <c r="AG527" s="10">
        <f>AC527*1.25*'Parametros'!$B$3*(AB527-(AC527*1.25*'Parametros'!$B$3/(0.85*'Parametros'!$B$2*H527))/2)/1000000</f>
        <v>196.664354558824</v>
      </c>
      <c r="AH527" s="10">
        <f>N527+(AF527+AG527)/D527</f>
        <v>364.853487910068</v>
      </c>
      <c r="AI527" s="10">
        <f>MIN(O527,MAX(N527,AH527))</f>
        <v>213.316</v>
      </c>
      <c r="AJ527" s="10">
        <f>0.17*SQRT('Parametros'!$B$2)*H527*MIN(U527,AB527)/1000</f>
        <v>177.230413924022</v>
      </c>
      <c r="AK527" s="10">
        <f>MAX(AI527/'Parametros'!$B$6-AJ527,0)</f>
        <v>107.190919409312</v>
      </c>
      <c r="AL527" s="10">
        <f>0.66*SQRT('Parametros'!$B$2)*H527*MIN(U527,AB527)/1000</f>
        <v>688.071018763848</v>
      </c>
      <c r="AM527" s="10" t="str">
        <f>IF(AK527&lt;=AL527,"CUMPLE","NO CUMPLE")</f>
        <v>CUMPLE</v>
      </c>
      <c r="AN527" s="15" t="inlineStr">
        <is>
          <t>Nº3 cerrado</t>
        </is>
      </c>
      <c r="AO527" s="17" t="n">
        <v>2</v>
      </c>
      <c r="AP527" s="10">
        <f>ROUNDDOWN(MIN(IF(AK527=0,1000000000,AO527*'Parametros'!$B$11*'Parametros'!$B$4*MIN(U527,AB527)/(AK527*1000)),IF(AV527=0,1000000000,'Parametros'!$B$11/AV527),MIN(U527,AB527)/4,8*'Parametros'!$B$12,24*'Parametros'!$B$9,300)/10,0)*10</f>
        <v>120</v>
      </c>
      <c r="AQ527" s="10">
        <f>ROUNDDOWN(MIN(IF(AK527=0,1000000000,AO527*'Parametros'!$B$11*'Parametros'!$B$4*MIN(U527,AB527)/(AK527*1000)),IF(AV527=0,1000000000,'Parametros'!$B$11/AV527),MIN(U527,AB527)/2,600)/10,0)*10</f>
        <v>240</v>
      </c>
      <c r="AR527" s="10">
        <f>'Parametros'!$B$6*(AJ527+AO527*'Parametros'!$B$11*'Parametros'!$B$4*MIN(U527,AB527)/AP527/1000)</f>
        <v>316.520822943016</v>
      </c>
      <c r="AS527" s="10" t="str">
        <f>IF(AND(AM527="CUMPLE",AR527&gt;=AI527),"CUMPLE","NO CUMPLE")</f>
        <v>CUMPLE</v>
      </c>
      <c r="AT527" s="10">
        <f>'Parametros'!$B$6*0.083*SQRT('Parametros'!$B$2)*(H527*I527)^2/(2*(H527+I527))/1000000</f>
        <v>8.39093065800685</v>
      </c>
      <c r="AU527" s="10" t="str">
        <f>IF(Q527&lt;=AT527,"DESPRECIABLE","DISEÑAR")</f>
        <v>DESPRECIABLE</v>
      </c>
      <c r="AV527" s="10">
        <f>IF(Q527&lt;=AT527,0,Q527*1000000/('Parametros'!$B$6*2*0.85*(H527-2*'Parametros'!$B$7)*(I527-2*'Parametros'!$B$7)*'Parametros'!$B$4))</f>
        <v>0</v>
      </c>
      <c r="AW527" s="10">
        <f>AV527*2*((H527-2*'Parametros'!$B$7)+(I527-2*'Parametros'!$B$7))*'Parametros'!$B$4/'Parametros'!$B$3</f>
        <v>0</v>
      </c>
      <c r="AX527" s="17" t="n">
        <v>0</v>
      </c>
      <c r="AY527" s="10" t="str">
        <f>IF(AV527=0,"DESPRECIABLE",IF('Parametros'!$B$11/AP527&gt;=AV527,"CUMPLE","NO CUMPLE"))</f>
        <v>DESPRECIABLE</v>
      </c>
      <c r="AZ527" s="10" t="str">
        <f>IF(AND(X527="CUMPLE",AE527="CUMPLE",AS527="CUMPLE",OR(AY527="CUMPLE",AY527="DESPRECIABLE")),IF(OR(F527&lt;&gt;H527,G527&lt;&gt;I527),"CUMPLE - REANALIZAR SAP","CUMPLE"),"NO CUMPLE")</f>
        <v>CUMPLE - REANALIZAR SAP</v>
      </c>
    </row>
    <row r="528">
      <c r="A528" s="27" t="inlineStr">
        <is>
          <t>VR3</t>
        </is>
      </c>
      <c r="B528" s="27" t="inlineStr">
        <is>
          <t>877</t>
        </is>
      </c>
      <c r="C528" s="10" t="n">
        <v>1</v>
      </c>
      <c r="D528" s="10" t="n">
        <v>2.5</v>
      </c>
      <c r="E528" s="10" t="n">
        <v>2.5</v>
      </c>
      <c r="F528" s="10" t="n">
        <v>350</v>
      </c>
      <c r="G528" s="10" t="n">
        <v>400</v>
      </c>
      <c r="H528" s="28" t="n">
        <v>400</v>
      </c>
      <c r="I528" s="28" t="n">
        <v>550</v>
      </c>
      <c r="J528" s="16" t="n">
        <v>61.9748</v>
      </c>
      <c r="K528" s="10" t="inlineStr">
        <is>
          <t>877</t>
        </is>
      </c>
      <c r="L528" s="16" t="n">
        <v>29.6352</v>
      </c>
      <c r="M528" s="10" t="inlineStr">
        <is>
          <t>877</t>
        </is>
      </c>
      <c r="N528" s="16" t="n">
        <v>66.504</v>
      </c>
      <c r="O528" s="16" t="n">
        <v>202.125</v>
      </c>
      <c r="P528" s="10" t="inlineStr">
        <is>
          <t>877</t>
        </is>
      </c>
      <c r="Q528" s="16" t="n">
        <v>0.0158</v>
      </c>
      <c r="R528" s="10">
        <f>MAX(MAX(1.4/'Parametros'!$B$3,0.25*SQRT('Parametros'!$B$2)/'Parametros'!$B$3)*H528*U528,(0.85*'Parametros'!$B$2/'Parametros'!$B$3)*(1-SQRT(1-2*(J528*1000000/('Parametros'!$B$5*H528*U528^2))/(0.85*'Parametros'!$B$2)))*H528*U528)</f>
        <v>656.733333333333</v>
      </c>
      <c r="S528" s="17" t="n">
        <v>4</v>
      </c>
      <c r="T528" s="18" t="n">
        <v>1</v>
      </c>
      <c r="U528" s="10">
        <f>IF(T528=1,I528-('Parametros'!$B$7+'Parametros'!$B$9+'Parametros'!$B$12/2),I528-(ROUNDUP(S528/2,0)*('Parametros'!$B$7+'Parametros'!$B$9+'Parametros'!$B$12/2)+ROUNDDOWN(S528/2,0)*('Parametros'!$B$7+'Parametros'!$B$9+'Parametros'!$B$12/2+'Parametros'!$B$12+'Parametros'!$B$10))/S528)</f>
        <v>492.55</v>
      </c>
      <c r="V528" s="10">
        <f>S528*'Parametros'!$B$8</f>
        <v>796</v>
      </c>
      <c r="W528" s="10">
        <f>'Parametros'!$B$5*V528*'Parametros'!$B$3*(U528-(V528*'Parametros'!$B$3/(0.85*'Parametros'!$B$2*H528))/2)/1000000</f>
        <v>142.919145105882</v>
      </c>
      <c r="X528" s="10" t="str">
        <f>IF(W528&gt;=J528,"CUMPLE","NO CUMPLE")</f>
        <v>CUMPLE</v>
      </c>
      <c r="Y528" s="10">
        <f>MAX(MAX(1.4/'Parametros'!$B$3,0.25*SQRT('Parametros'!$B$2)/'Parametros'!$B$3)*H528*AB528,(0.85*'Parametros'!$B$2/'Parametros'!$B$3)*(1-SQRT(1-2*(L528*1000000/('Parametros'!$B$5*H528*AB528^2))/(0.85*'Parametros'!$B$2)))*H528*AB528)</f>
        <v>656.733333333333</v>
      </c>
      <c r="Z528" s="17" t="n">
        <v>4</v>
      </c>
      <c r="AA528" s="18" t="n">
        <v>1</v>
      </c>
      <c r="AB528" s="10">
        <f>IF(AA528=1,I528-('Parametros'!$B$7+'Parametros'!$B$9+'Parametros'!$B$12/2),I528-(ROUNDUP(Z528/2,0)*('Parametros'!$B$7+'Parametros'!$B$9+'Parametros'!$B$12/2)+ROUNDDOWN(Z528/2,0)*('Parametros'!$B$7+'Parametros'!$B$9+'Parametros'!$B$12/2+'Parametros'!$B$12+'Parametros'!$B$10))/Z528)</f>
        <v>492.55</v>
      </c>
      <c r="AC528" s="10">
        <f>Z528*'Parametros'!$B$8</f>
        <v>796</v>
      </c>
      <c r="AD528" s="10">
        <f>'Parametros'!$B$5*AC528*'Parametros'!$B$3*(AB528-(AC528*'Parametros'!$B$3/(0.85*'Parametros'!$B$2*H528))/2)/1000000</f>
        <v>142.919145105882</v>
      </c>
      <c r="AE528" s="10" t="str">
        <f>IF(AD528&gt;=L528,"CUMPLE","NO CUMPLE")</f>
        <v>CUMPLE</v>
      </c>
      <c r="AF528" s="10">
        <f>V528*1.25*'Parametros'!$B$3*(U528-(V528*1.25*'Parametros'!$B$3/(0.85*'Parametros'!$B$2*H528))/2)/1000000</f>
        <v>196.664354558824</v>
      </c>
      <c r="AG528" s="10">
        <f>AC528*1.25*'Parametros'!$B$3*(AB528-(AC528*1.25*'Parametros'!$B$3/(0.85*'Parametros'!$B$2*H528))/2)/1000000</f>
        <v>196.664354558824</v>
      </c>
      <c r="AH528" s="10">
        <f>N528+(AF528+AG528)/D528</f>
        <v>223.835483647059</v>
      </c>
      <c r="AI528" s="10">
        <f>MIN(O528,MAX(N528,AH528))</f>
        <v>202.125</v>
      </c>
      <c r="AJ528" s="10">
        <f>0.17*SQRT('Parametros'!$B$2)*H528*MIN(U528,AB528)/1000</f>
        <v>177.230413924022</v>
      </c>
      <c r="AK528" s="10">
        <f>MAX(AI528/'Parametros'!$B$6-AJ528,0)</f>
        <v>92.2695860759785</v>
      </c>
      <c r="AL528" s="10">
        <f>0.66*SQRT('Parametros'!$B$2)*H528*MIN(U528,AB528)/1000</f>
        <v>688.071018763848</v>
      </c>
      <c r="AM528" s="10" t="str">
        <f>IF(AK528&lt;=AL528,"CUMPLE","NO CUMPLE")</f>
        <v>CUMPLE</v>
      </c>
      <c r="AN528" s="15" t="inlineStr">
        <is>
          <t>Nº3 cerrado</t>
        </is>
      </c>
      <c r="AO528" s="17" t="n">
        <v>2</v>
      </c>
      <c r="AP528" s="10">
        <f>ROUNDDOWN(MIN(IF(AK528=0,1000000000,AO528*'Parametros'!$B$11*'Parametros'!$B$4*MIN(U528,AB528)/(AK528*1000)),IF(AV528=0,1000000000,'Parametros'!$B$11/AV528),MIN(U528,AB528)/4,8*'Parametros'!$B$12,24*'Parametros'!$B$9,300)/10,0)*10</f>
        <v>120</v>
      </c>
      <c r="AQ528" s="10">
        <f>ROUNDDOWN(MIN(IF(AK528=0,1000000000,AO528*'Parametros'!$B$11*'Parametros'!$B$4*MIN(U528,AB528)/(AK528*1000)),IF(AV528=0,1000000000,'Parametros'!$B$11/AV528),MIN(U528,AB528)/2,600)/10,0)*10</f>
        <v>240</v>
      </c>
      <c r="AR528" s="10">
        <f>'Parametros'!$B$6*(AJ528+AO528*'Parametros'!$B$11*'Parametros'!$B$4*MIN(U528,AB528)/AP528/1000)</f>
        <v>316.520822943016</v>
      </c>
      <c r="AS528" s="10" t="str">
        <f>IF(AND(AM528="CUMPLE",AR528&gt;=AI528),"CUMPLE","NO CUMPLE")</f>
        <v>CUMPLE</v>
      </c>
      <c r="AT528" s="10">
        <f>'Parametros'!$B$6*0.083*SQRT('Parametros'!$B$2)*(H528*I528)^2/(2*(H528+I528))/1000000</f>
        <v>8.39093065800685</v>
      </c>
      <c r="AU528" s="10" t="str">
        <f>IF(Q528&lt;=AT528,"DESPRECIABLE","DISEÑAR")</f>
        <v>DESPRECIABLE</v>
      </c>
      <c r="AV528" s="10">
        <f>IF(Q528&lt;=AT528,0,Q528*1000000/('Parametros'!$B$6*2*0.85*(H528-2*'Parametros'!$B$7)*(I528-2*'Parametros'!$B$7)*'Parametros'!$B$4))</f>
        <v>0</v>
      </c>
      <c r="AW528" s="10">
        <f>AV528*2*((H528-2*'Parametros'!$B$7)+(I528-2*'Parametros'!$B$7))*'Parametros'!$B$4/'Parametros'!$B$3</f>
        <v>0</v>
      </c>
      <c r="AX528" s="17" t="n">
        <v>0</v>
      </c>
      <c r="AY528" s="10" t="str">
        <f>IF(AV528=0,"DESPRECIABLE",IF('Parametros'!$B$11/AP528&gt;=AV528,"CUMPLE","NO CUMPLE"))</f>
        <v>DESPRECIABLE</v>
      </c>
      <c r="AZ528" s="10" t="str">
        <f>IF(AND(X528="CUMPLE",AE528="CUMPLE",AS528="CUMPLE",OR(AY528="CUMPLE",AY528="DESPRECIABLE")),IF(OR(F528&lt;&gt;H528,G528&lt;&gt;I528),"CUMPLE - REANALIZAR SAP","CUMPLE"),"NO CUMPLE")</f>
        <v>CUMPLE - REANALIZAR SAP</v>
      </c>
    </row>
    <row r="529">
      <c r="A529" s="27" t="inlineStr">
        <is>
          <t>VR3</t>
        </is>
      </c>
      <c r="B529" s="27" t="inlineStr">
        <is>
          <t>878</t>
        </is>
      </c>
      <c r="C529" s="10" t="n">
        <v>1</v>
      </c>
      <c r="D529" s="10" t="n">
        <v>4</v>
      </c>
      <c r="E529" s="10" t="n">
        <v>4</v>
      </c>
      <c r="F529" s="10" t="n">
        <v>350</v>
      </c>
      <c r="G529" s="10" t="n">
        <v>400</v>
      </c>
      <c r="H529" s="28" t="n">
        <v>400</v>
      </c>
      <c r="I529" s="28" t="n">
        <v>550</v>
      </c>
      <c r="J529" s="16" t="n">
        <v>92.17740000000001</v>
      </c>
      <c r="K529" s="10" t="inlineStr">
        <is>
          <t>878</t>
        </is>
      </c>
      <c r="L529" s="16" t="n">
        <v>33.3692</v>
      </c>
      <c r="M529" s="10" t="inlineStr">
        <is>
          <t>878</t>
        </is>
      </c>
      <c r="N529" s="16" t="n">
        <v>80.265</v>
      </c>
      <c r="O529" s="16" t="n">
        <v>159.426</v>
      </c>
      <c r="P529" s="10" t="inlineStr">
        <is>
          <t>878</t>
        </is>
      </c>
      <c r="Q529" s="16" t="n">
        <v>0.1663</v>
      </c>
      <c r="R529" s="10">
        <f>MAX(MAX(1.4/'Parametros'!$B$3,0.25*SQRT('Parametros'!$B$2)/'Parametros'!$B$3)*H529*U529,(0.85*'Parametros'!$B$2/'Parametros'!$B$3)*(1-SQRT(1-2*(J529*1000000/('Parametros'!$B$5*H529*U529^2))/(0.85*'Parametros'!$B$2)))*H529*U529)</f>
        <v>656.733333333333</v>
      </c>
      <c r="S529" s="17" t="n">
        <v>4</v>
      </c>
      <c r="T529" s="18" t="n">
        <v>1</v>
      </c>
      <c r="U529" s="10">
        <f>IF(T529=1,I529-('Parametros'!$B$7+'Parametros'!$B$9+'Parametros'!$B$12/2),I529-(ROUNDUP(S529/2,0)*('Parametros'!$B$7+'Parametros'!$B$9+'Parametros'!$B$12/2)+ROUNDDOWN(S529/2,0)*('Parametros'!$B$7+'Parametros'!$B$9+'Parametros'!$B$12/2+'Parametros'!$B$12+'Parametros'!$B$10))/S529)</f>
        <v>492.55</v>
      </c>
      <c r="V529" s="10">
        <f>S529*'Parametros'!$B$8</f>
        <v>796</v>
      </c>
      <c r="W529" s="10">
        <f>'Parametros'!$B$5*V529*'Parametros'!$B$3*(U529-(V529*'Parametros'!$B$3/(0.85*'Parametros'!$B$2*H529))/2)/1000000</f>
        <v>142.919145105882</v>
      </c>
      <c r="X529" s="10" t="str">
        <f>IF(W529&gt;=J529,"CUMPLE","NO CUMPLE")</f>
        <v>CUMPLE</v>
      </c>
      <c r="Y529" s="10">
        <f>MAX(MAX(1.4/'Parametros'!$B$3,0.25*SQRT('Parametros'!$B$2)/'Parametros'!$B$3)*H529*AB529,(0.85*'Parametros'!$B$2/'Parametros'!$B$3)*(1-SQRT(1-2*(L529*1000000/('Parametros'!$B$5*H529*AB529^2))/(0.85*'Parametros'!$B$2)))*H529*AB529)</f>
        <v>656.733333333333</v>
      </c>
      <c r="Z529" s="17" t="n">
        <v>4</v>
      </c>
      <c r="AA529" s="18" t="n">
        <v>1</v>
      </c>
      <c r="AB529" s="10">
        <f>IF(AA529=1,I529-('Parametros'!$B$7+'Parametros'!$B$9+'Parametros'!$B$12/2),I529-(ROUNDUP(Z529/2,0)*('Parametros'!$B$7+'Parametros'!$B$9+'Parametros'!$B$12/2)+ROUNDDOWN(Z529/2,0)*('Parametros'!$B$7+'Parametros'!$B$9+'Parametros'!$B$12/2+'Parametros'!$B$12+'Parametros'!$B$10))/Z529)</f>
        <v>492.55</v>
      </c>
      <c r="AC529" s="10">
        <f>Z529*'Parametros'!$B$8</f>
        <v>796</v>
      </c>
      <c r="AD529" s="10">
        <f>'Parametros'!$B$5*AC529*'Parametros'!$B$3*(AB529-(AC529*'Parametros'!$B$3/(0.85*'Parametros'!$B$2*H529))/2)/1000000</f>
        <v>142.919145105882</v>
      </c>
      <c r="AE529" s="10" t="str">
        <f>IF(AD529&gt;=L529,"CUMPLE","NO CUMPLE")</f>
        <v>CUMPLE</v>
      </c>
      <c r="AF529" s="10">
        <f>V529*1.25*'Parametros'!$B$3*(U529-(V529*1.25*'Parametros'!$B$3/(0.85*'Parametros'!$B$2*H529))/2)/1000000</f>
        <v>196.664354558824</v>
      </c>
      <c r="AG529" s="10">
        <f>AC529*1.25*'Parametros'!$B$3*(AB529-(AC529*1.25*'Parametros'!$B$3/(0.85*'Parametros'!$B$2*H529))/2)/1000000</f>
        <v>196.664354558824</v>
      </c>
      <c r="AH529" s="10">
        <f>N529+(AF529+AG529)/D529</f>
        <v>178.597177279412</v>
      </c>
      <c r="AI529" s="10">
        <f>MIN(O529,MAX(N529,AH529))</f>
        <v>159.426</v>
      </c>
      <c r="AJ529" s="10">
        <f>0.17*SQRT('Parametros'!$B$2)*H529*MIN(U529,AB529)/1000</f>
        <v>177.230413924022</v>
      </c>
      <c r="AK529" s="10">
        <f>MAX(AI529/'Parametros'!$B$6-AJ529,0)</f>
        <v>35.3375860759785</v>
      </c>
      <c r="AL529" s="10">
        <f>0.66*SQRT('Parametros'!$B$2)*H529*MIN(U529,AB529)/1000</f>
        <v>688.071018763848</v>
      </c>
      <c r="AM529" s="10" t="str">
        <f>IF(AK529&lt;=AL529,"CUMPLE","NO CUMPLE")</f>
        <v>CUMPLE</v>
      </c>
      <c r="AN529" s="15" t="inlineStr">
        <is>
          <t>Nº3 cerrado</t>
        </is>
      </c>
      <c r="AO529" s="17" t="n">
        <v>2</v>
      </c>
      <c r="AP529" s="10">
        <f>ROUNDDOWN(MIN(IF(AK529=0,1000000000,AO529*'Parametros'!$B$11*'Parametros'!$B$4*MIN(U529,AB529)/(AK529*1000)),IF(AV529=0,1000000000,'Parametros'!$B$11/AV529),MIN(U529,AB529)/4,8*'Parametros'!$B$12,24*'Parametros'!$B$9,300)/10,0)*10</f>
        <v>120</v>
      </c>
      <c r="AQ529" s="10">
        <f>ROUNDDOWN(MIN(IF(AK529=0,1000000000,AO529*'Parametros'!$B$11*'Parametros'!$B$4*MIN(U529,AB529)/(AK529*1000)),IF(AV529=0,1000000000,'Parametros'!$B$11/AV529),MIN(U529,AB529)/2,600)/10,0)*10</f>
        <v>240</v>
      </c>
      <c r="AR529" s="10">
        <f>'Parametros'!$B$6*(AJ529+AO529*'Parametros'!$B$11*'Parametros'!$B$4*MIN(U529,AB529)/AP529/1000)</f>
        <v>316.520822943016</v>
      </c>
      <c r="AS529" s="10" t="str">
        <f>IF(AND(AM529="CUMPLE",AR529&gt;=AI529),"CUMPLE","NO CUMPLE")</f>
        <v>CUMPLE</v>
      </c>
      <c r="AT529" s="10">
        <f>'Parametros'!$B$6*0.083*SQRT('Parametros'!$B$2)*(H529*I529)^2/(2*(H529+I529))/1000000</f>
        <v>8.39093065800685</v>
      </c>
      <c r="AU529" s="10" t="str">
        <f>IF(Q529&lt;=AT529,"DESPRECIABLE","DISEÑAR")</f>
        <v>DESPRECIABLE</v>
      </c>
      <c r="AV529" s="10">
        <f>IF(Q529&lt;=AT529,0,Q529*1000000/('Parametros'!$B$6*2*0.85*(H529-2*'Parametros'!$B$7)*(I529-2*'Parametros'!$B$7)*'Parametros'!$B$4))</f>
        <v>0</v>
      </c>
      <c r="AW529" s="10">
        <f>AV529*2*((H529-2*'Parametros'!$B$7)+(I529-2*'Parametros'!$B$7))*'Parametros'!$B$4/'Parametros'!$B$3</f>
        <v>0</v>
      </c>
      <c r="AX529" s="17" t="n">
        <v>0</v>
      </c>
      <c r="AY529" s="10" t="str">
        <f>IF(AV529=0,"DESPRECIABLE",IF('Parametros'!$B$11/AP529&gt;=AV529,"CUMPLE","NO CUMPLE"))</f>
        <v>DESPRECIABLE</v>
      </c>
      <c r="AZ529" s="10" t="str">
        <f>IF(AND(X529="CUMPLE",AE529="CUMPLE",AS529="CUMPLE",OR(AY529="CUMPLE",AY529="DESPRECIABLE")),IF(OR(F529&lt;&gt;H529,G529&lt;&gt;I529),"CUMPLE - REANALIZAR SAP","CUMPLE"),"NO CUMPLE")</f>
        <v>CUMPLE - REANALIZAR SAP</v>
      </c>
    </row>
    <row r="530">
      <c r="A530" s="27" t="inlineStr">
        <is>
          <t>VR3</t>
        </is>
      </c>
      <c r="B530" s="27" t="inlineStr">
        <is>
          <t>879</t>
        </is>
      </c>
      <c r="C530" s="10" t="n">
        <v>1</v>
      </c>
      <c r="D530" s="10" t="n">
        <v>2.8</v>
      </c>
      <c r="E530" s="10" t="n">
        <v>2.8</v>
      </c>
      <c r="F530" s="10" t="n">
        <v>350</v>
      </c>
      <c r="G530" s="10" t="n">
        <v>400</v>
      </c>
      <c r="H530" s="28" t="n">
        <v>400</v>
      </c>
      <c r="I530" s="28" t="n">
        <v>550</v>
      </c>
      <c r="J530" s="16" t="n">
        <v>67.7422</v>
      </c>
      <c r="K530" s="10" t="inlineStr">
        <is>
          <t>879</t>
        </is>
      </c>
      <c r="L530" s="16" t="n">
        <v>24.7699</v>
      </c>
      <c r="M530" s="10" t="inlineStr">
        <is>
          <t>879</t>
        </is>
      </c>
      <c r="N530" s="16" t="n">
        <v>62.799</v>
      </c>
      <c r="O530" s="16" t="n">
        <v>105.497</v>
      </c>
      <c r="P530" s="10" t="inlineStr">
        <is>
          <t>879</t>
        </is>
      </c>
      <c r="Q530" s="16" t="n">
        <v>0.0007649999999999999</v>
      </c>
      <c r="R530" s="10">
        <f>MAX(MAX(1.4/'Parametros'!$B$3,0.25*SQRT('Parametros'!$B$2)/'Parametros'!$B$3)*H530*U530,(0.85*'Parametros'!$B$2/'Parametros'!$B$3)*(1-SQRT(1-2*(J530*1000000/('Parametros'!$B$5*H530*U530^2))/(0.85*'Parametros'!$B$2)))*H530*U530)</f>
        <v>656.733333333333</v>
      </c>
      <c r="S530" s="17" t="n">
        <v>4</v>
      </c>
      <c r="T530" s="18" t="n">
        <v>1</v>
      </c>
      <c r="U530" s="10">
        <f>IF(T530=1,I530-('Parametros'!$B$7+'Parametros'!$B$9+'Parametros'!$B$12/2),I530-(ROUNDUP(S530/2,0)*('Parametros'!$B$7+'Parametros'!$B$9+'Parametros'!$B$12/2)+ROUNDDOWN(S530/2,0)*('Parametros'!$B$7+'Parametros'!$B$9+'Parametros'!$B$12/2+'Parametros'!$B$12+'Parametros'!$B$10))/S530)</f>
        <v>492.55</v>
      </c>
      <c r="V530" s="10">
        <f>S530*'Parametros'!$B$8</f>
        <v>796</v>
      </c>
      <c r="W530" s="10">
        <f>'Parametros'!$B$5*V530*'Parametros'!$B$3*(U530-(V530*'Parametros'!$B$3/(0.85*'Parametros'!$B$2*H530))/2)/1000000</f>
        <v>142.919145105882</v>
      </c>
      <c r="X530" s="10" t="str">
        <f>IF(W530&gt;=J530,"CUMPLE","NO CUMPLE")</f>
        <v>CUMPLE</v>
      </c>
      <c r="Y530" s="10">
        <f>MAX(MAX(1.4/'Parametros'!$B$3,0.25*SQRT('Parametros'!$B$2)/'Parametros'!$B$3)*H530*AB530,(0.85*'Parametros'!$B$2/'Parametros'!$B$3)*(1-SQRT(1-2*(L530*1000000/('Parametros'!$B$5*H530*AB530^2))/(0.85*'Parametros'!$B$2)))*H530*AB530)</f>
        <v>656.733333333333</v>
      </c>
      <c r="Z530" s="17" t="n">
        <v>4</v>
      </c>
      <c r="AA530" s="18" t="n">
        <v>1</v>
      </c>
      <c r="AB530" s="10">
        <f>IF(AA530=1,I530-('Parametros'!$B$7+'Parametros'!$B$9+'Parametros'!$B$12/2),I530-(ROUNDUP(Z530/2,0)*('Parametros'!$B$7+'Parametros'!$B$9+'Parametros'!$B$12/2)+ROUNDDOWN(Z530/2,0)*('Parametros'!$B$7+'Parametros'!$B$9+'Parametros'!$B$12/2+'Parametros'!$B$12+'Parametros'!$B$10))/Z530)</f>
        <v>492.55</v>
      </c>
      <c r="AC530" s="10">
        <f>Z530*'Parametros'!$B$8</f>
        <v>796</v>
      </c>
      <c r="AD530" s="10">
        <f>'Parametros'!$B$5*AC530*'Parametros'!$B$3*(AB530-(AC530*'Parametros'!$B$3/(0.85*'Parametros'!$B$2*H530))/2)/1000000</f>
        <v>142.919145105882</v>
      </c>
      <c r="AE530" s="10" t="str">
        <f>IF(AD530&gt;=L530,"CUMPLE","NO CUMPLE")</f>
        <v>CUMPLE</v>
      </c>
      <c r="AF530" s="10">
        <f>V530*1.25*'Parametros'!$B$3*(U530-(V530*1.25*'Parametros'!$B$3/(0.85*'Parametros'!$B$2*H530))/2)/1000000</f>
        <v>196.664354558824</v>
      </c>
      <c r="AG530" s="10">
        <f>AC530*1.25*'Parametros'!$B$3*(AB530-(AC530*1.25*'Parametros'!$B$3/(0.85*'Parametros'!$B$2*H530))/2)/1000000</f>
        <v>196.664354558824</v>
      </c>
      <c r="AH530" s="10">
        <f>N530+(AF530+AG530)/D530</f>
        <v>203.273538970588</v>
      </c>
      <c r="AI530" s="10">
        <f>MIN(O530,MAX(N530,AH530))</f>
        <v>105.497</v>
      </c>
      <c r="AJ530" s="10">
        <f>0.17*SQRT('Parametros'!$B$2)*H530*MIN(U530,AB530)/1000</f>
        <v>177.230413924022</v>
      </c>
      <c r="AK530" s="10">
        <f>MAX(AI530/'Parametros'!$B$6-AJ530,0)</f>
        <v>0</v>
      </c>
      <c r="AL530" s="10">
        <f>0.66*SQRT('Parametros'!$B$2)*H530*MIN(U530,AB530)/1000</f>
        <v>688.071018763848</v>
      </c>
      <c r="AM530" s="10" t="str">
        <f>IF(AK530&lt;=AL530,"CUMPLE","NO CUMPLE")</f>
        <v>CUMPLE</v>
      </c>
      <c r="AN530" s="15" t="inlineStr">
        <is>
          <t>Nº3 cerrado</t>
        </is>
      </c>
      <c r="AO530" s="17" t="n">
        <v>2</v>
      </c>
      <c r="AP530" s="10">
        <f>ROUNDDOWN(MIN(IF(AK530=0,1000000000,AO530*'Parametros'!$B$11*'Parametros'!$B$4*MIN(U530,AB530)/(AK530*1000)),IF(AV530=0,1000000000,'Parametros'!$B$11/AV530),MIN(U530,AB530)/4,8*'Parametros'!$B$12,24*'Parametros'!$B$9,300)/10,0)*10</f>
        <v>120</v>
      </c>
      <c r="AQ530" s="10">
        <f>ROUNDDOWN(MIN(IF(AK530=0,1000000000,AO530*'Parametros'!$B$11*'Parametros'!$B$4*MIN(U530,AB530)/(AK530*1000)),IF(AV530=0,1000000000,'Parametros'!$B$11/AV530),MIN(U530,AB530)/2,600)/10,0)*10</f>
        <v>240</v>
      </c>
      <c r="AR530" s="10">
        <f>'Parametros'!$B$6*(AJ530+AO530*'Parametros'!$B$11*'Parametros'!$B$4*MIN(U530,AB530)/AP530/1000)</f>
        <v>316.520822943016</v>
      </c>
      <c r="AS530" s="10" t="str">
        <f>IF(AND(AM530="CUMPLE",AR530&gt;=AI530),"CUMPLE","NO CUMPLE")</f>
        <v>CUMPLE</v>
      </c>
      <c r="AT530" s="10">
        <f>'Parametros'!$B$6*0.083*SQRT('Parametros'!$B$2)*(H530*I530)^2/(2*(H530+I530))/1000000</f>
        <v>8.39093065800685</v>
      </c>
      <c r="AU530" s="10" t="str">
        <f>IF(Q530&lt;=AT530,"DESPRECIABLE","DISEÑAR")</f>
        <v>DESPRECIABLE</v>
      </c>
      <c r="AV530" s="10">
        <f>IF(Q530&lt;=AT530,0,Q530*1000000/('Parametros'!$B$6*2*0.85*(H530-2*'Parametros'!$B$7)*(I530-2*'Parametros'!$B$7)*'Parametros'!$B$4))</f>
        <v>0</v>
      </c>
      <c r="AW530" s="10">
        <f>AV530*2*((H530-2*'Parametros'!$B$7)+(I530-2*'Parametros'!$B$7))*'Parametros'!$B$4/'Parametros'!$B$3</f>
        <v>0</v>
      </c>
      <c r="AX530" s="17" t="n">
        <v>0</v>
      </c>
      <c r="AY530" s="10" t="str">
        <f>IF(AV530=0,"DESPRECIABLE",IF('Parametros'!$B$11/AP530&gt;=AV530,"CUMPLE","NO CUMPLE"))</f>
        <v>DESPRECIABLE</v>
      </c>
      <c r="AZ530" s="10" t="str">
        <f>IF(AND(X530="CUMPLE",AE530="CUMPLE",AS530="CUMPLE",OR(AY530="CUMPLE",AY530="DESPRECIABLE")),IF(OR(F530&lt;&gt;H530,G530&lt;&gt;I530),"CUMPLE - REANALIZAR SAP","CUMPLE"),"NO CUMPLE")</f>
        <v>CUMPLE - REANALIZAR SAP</v>
      </c>
    </row>
    <row r="531">
      <c r="A531" s="27" t="inlineStr">
        <is>
          <t>VR3</t>
        </is>
      </c>
      <c r="B531" s="27" t="inlineStr">
        <is>
          <t>880</t>
        </is>
      </c>
      <c r="C531" s="10" t="n">
        <v>1</v>
      </c>
      <c r="D531" s="10" t="n">
        <v>2.7</v>
      </c>
      <c r="E531" s="10" t="n">
        <v>2.7</v>
      </c>
      <c r="F531" s="10" t="n">
        <v>350</v>
      </c>
      <c r="G531" s="10" t="n">
        <v>400</v>
      </c>
      <c r="H531" s="28" t="n">
        <v>400</v>
      </c>
      <c r="I531" s="28" t="n">
        <v>550</v>
      </c>
      <c r="J531" s="16" t="n">
        <v>67.1553</v>
      </c>
      <c r="K531" s="10" t="inlineStr">
        <is>
          <t>880</t>
        </is>
      </c>
      <c r="L531" s="16" t="n">
        <v>24.3237</v>
      </c>
      <c r="M531" s="10" t="inlineStr">
        <is>
          <t>880</t>
        </is>
      </c>
      <c r="N531" s="16" t="n">
        <v>62.09</v>
      </c>
      <c r="O531" s="16" t="n">
        <v>104.689</v>
      </c>
      <c r="P531" s="10" t="inlineStr">
        <is>
          <t>880</t>
        </is>
      </c>
      <c r="Q531" s="16" t="n">
        <v>0.0007649999999999999</v>
      </c>
      <c r="R531" s="10">
        <f>MAX(MAX(1.4/'Parametros'!$B$3,0.25*SQRT('Parametros'!$B$2)/'Parametros'!$B$3)*H531*U531,(0.85*'Parametros'!$B$2/'Parametros'!$B$3)*(1-SQRT(1-2*(J531*1000000/('Parametros'!$B$5*H531*U531^2))/(0.85*'Parametros'!$B$2)))*H531*U531)</f>
        <v>656.733333333333</v>
      </c>
      <c r="S531" s="17" t="n">
        <v>4</v>
      </c>
      <c r="T531" s="18" t="n">
        <v>1</v>
      </c>
      <c r="U531" s="10">
        <f>IF(T531=1,I531-('Parametros'!$B$7+'Parametros'!$B$9+'Parametros'!$B$12/2),I531-(ROUNDUP(S531/2,0)*('Parametros'!$B$7+'Parametros'!$B$9+'Parametros'!$B$12/2)+ROUNDDOWN(S531/2,0)*('Parametros'!$B$7+'Parametros'!$B$9+'Parametros'!$B$12/2+'Parametros'!$B$12+'Parametros'!$B$10))/S531)</f>
        <v>492.55</v>
      </c>
      <c r="V531" s="10">
        <f>S531*'Parametros'!$B$8</f>
        <v>796</v>
      </c>
      <c r="W531" s="10">
        <f>'Parametros'!$B$5*V531*'Parametros'!$B$3*(U531-(V531*'Parametros'!$B$3/(0.85*'Parametros'!$B$2*H531))/2)/1000000</f>
        <v>142.919145105882</v>
      </c>
      <c r="X531" s="10" t="str">
        <f>IF(W531&gt;=J531,"CUMPLE","NO CUMPLE")</f>
        <v>CUMPLE</v>
      </c>
      <c r="Y531" s="10">
        <f>MAX(MAX(1.4/'Parametros'!$B$3,0.25*SQRT('Parametros'!$B$2)/'Parametros'!$B$3)*H531*AB531,(0.85*'Parametros'!$B$2/'Parametros'!$B$3)*(1-SQRT(1-2*(L531*1000000/('Parametros'!$B$5*H531*AB531^2))/(0.85*'Parametros'!$B$2)))*H531*AB531)</f>
        <v>656.733333333333</v>
      </c>
      <c r="Z531" s="17" t="n">
        <v>4</v>
      </c>
      <c r="AA531" s="18" t="n">
        <v>1</v>
      </c>
      <c r="AB531" s="10">
        <f>IF(AA531=1,I531-('Parametros'!$B$7+'Parametros'!$B$9+'Parametros'!$B$12/2),I531-(ROUNDUP(Z531/2,0)*('Parametros'!$B$7+'Parametros'!$B$9+'Parametros'!$B$12/2)+ROUNDDOWN(Z531/2,0)*('Parametros'!$B$7+'Parametros'!$B$9+'Parametros'!$B$12/2+'Parametros'!$B$12+'Parametros'!$B$10))/Z531)</f>
        <v>492.55</v>
      </c>
      <c r="AC531" s="10">
        <f>Z531*'Parametros'!$B$8</f>
        <v>796</v>
      </c>
      <c r="AD531" s="10">
        <f>'Parametros'!$B$5*AC531*'Parametros'!$B$3*(AB531-(AC531*'Parametros'!$B$3/(0.85*'Parametros'!$B$2*H531))/2)/1000000</f>
        <v>142.919145105882</v>
      </c>
      <c r="AE531" s="10" t="str">
        <f>IF(AD531&gt;=L531,"CUMPLE","NO CUMPLE")</f>
        <v>CUMPLE</v>
      </c>
      <c r="AF531" s="10">
        <f>V531*1.25*'Parametros'!$B$3*(U531-(V531*1.25*'Parametros'!$B$3/(0.85*'Parametros'!$B$2*H531))/2)/1000000</f>
        <v>196.664354558824</v>
      </c>
      <c r="AG531" s="10">
        <f>AC531*1.25*'Parametros'!$B$3*(AB531-(AC531*1.25*'Parametros'!$B$3/(0.85*'Parametros'!$B$2*H531))/2)/1000000</f>
        <v>196.664354558824</v>
      </c>
      <c r="AH531" s="10">
        <f>N531+(AF531+AG531)/D531</f>
        <v>207.767299673203</v>
      </c>
      <c r="AI531" s="10">
        <f>MIN(O531,MAX(N531,AH531))</f>
        <v>104.689</v>
      </c>
      <c r="AJ531" s="10">
        <f>0.17*SQRT('Parametros'!$B$2)*H531*MIN(U531,AB531)/1000</f>
        <v>177.230413924022</v>
      </c>
      <c r="AK531" s="10">
        <f>MAX(AI531/'Parametros'!$B$6-AJ531,0)</f>
        <v>0</v>
      </c>
      <c r="AL531" s="10">
        <f>0.66*SQRT('Parametros'!$B$2)*H531*MIN(U531,AB531)/1000</f>
        <v>688.071018763848</v>
      </c>
      <c r="AM531" s="10" t="str">
        <f>IF(AK531&lt;=AL531,"CUMPLE","NO CUMPLE")</f>
        <v>CUMPLE</v>
      </c>
      <c r="AN531" s="15" t="inlineStr">
        <is>
          <t>Nº3 cerrado</t>
        </is>
      </c>
      <c r="AO531" s="17" t="n">
        <v>2</v>
      </c>
      <c r="AP531" s="10">
        <f>ROUNDDOWN(MIN(IF(AK531=0,1000000000,AO531*'Parametros'!$B$11*'Parametros'!$B$4*MIN(U531,AB531)/(AK531*1000)),IF(AV531=0,1000000000,'Parametros'!$B$11/AV531),MIN(U531,AB531)/4,8*'Parametros'!$B$12,24*'Parametros'!$B$9,300)/10,0)*10</f>
        <v>120</v>
      </c>
      <c r="AQ531" s="10">
        <f>ROUNDDOWN(MIN(IF(AK531=0,1000000000,AO531*'Parametros'!$B$11*'Parametros'!$B$4*MIN(U531,AB531)/(AK531*1000)),IF(AV531=0,1000000000,'Parametros'!$B$11/AV531),MIN(U531,AB531)/2,600)/10,0)*10</f>
        <v>240</v>
      </c>
      <c r="AR531" s="10">
        <f>'Parametros'!$B$6*(AJ531+AO531*'Parametros'!$B$11*'Parametros'!$B$4*MIN(U531,AB531)/AP531/1000)</f>
        <v>316.520822943016</v>
      </c>
      <c r="AS531" s="10" t="str">
        <f>IF(AND(AM531="CUMPLE",AR531&gt;=AI531),"CUMPLE","NO CUMPLE")</f>
        <v>CUMPLE</v>
      </c>
      <c r="AT531" s="10">
        <f>'Parametros'!$B$6*0.083*SQRT('Parametros'!$B$2)*(H531*I531)^2/(2*(H531+I531))/1000000</f>
        <v>8.39093065800685</v>
      </c>
      <c r="AU531" s="10" t="str">
        <f>IF(Q531&lt;=AT531,"DESPRECIABLE","DISEÑAR")</f>
        <v>DESPRECIABLE</v>
      </c>
      <c r="AV531" s="10">
        <f>IF(Q531&lt;=AT531,0,Q531*1000000/('Parametros'!$B$6*2*0.85*(H531-2*'Parametros'!$B$7)*(I531-2*'Parametros'!$B$7)*'Parametros'!$B$4))</f>
        <v>0</v>
      </c>
      <c r="AW531" s="10">
        <f>AV531*2*((H531-2*'Parametros'!$B$7)+(I531-2*'Parametros'!$B$7))*'Parametros'!$B$4/'Parametros'!$B$3</f>
        <v>0</v>
      </c>
      <c r="AX531" s="17" t="n">
        <v>0</v>
      </c>
      <c r="AY531" s="10" t="str">
        <f>IF(AV531=0,"DESPRECIABLE",IF('Parametros'!$B$11/AP531&gt;=AV531,"CUMPLE","NO CUMPLE"))</f>
        <v>DESPRECIABLE</v>
      </c>
      <c r="AZ531" s="10" t="str">
        <f>IF(AND(X531="CUMPLE",AE531="CUMPLE",AS531="CUMPLE",OR(AY531="CUMPLE",AY531="DESPRECIABLE")),IF(OR(F531&lt;&gt;H531,G531&lt;&gt;I531),"CUMPLE - REANALIZAR SAP","CUMPLE"),"NO CUMPLE")</f>
        <v>CUMPLE - REANALIZAR SAP</v>
      </c>
    </row>
    <row r="532">
      <c r="A532" s="27" t="inlineStr">
        <is>
          <t>VR3</t>
        </is>
      </c>
      <c r="B532" s="27" t="inlineStr">
        <is>
          <t>881</t>
        </is>
      </c>
      <c r="C532" s="10" t="n">
        <v>1</v>
      </c>
      <c r="D532" s="10" t="n">
        <v>4</v>
      </c>
      <c r="E532" s="10" t="n">
        <v>4</v>
      </c>
      <c r="F532" s="10" t="n">
        <v>350</v>
      </c>
      <c r="G532" s="10" t="n">
        <v>400</v>
      </c>
      <c r="H532" s="28" t="n">
        <v>400</v>
      </c>
      <c r="I532" s="28" t="n">
        <v>550</v>
      </c>
      <c r="J532" s="16" t="n">
        <v>92.2675</v>
      </c>
      <c r="K532" s="10" t="inlineStr">
        <is>
          <t>881</t>
        </is>
      </c>
      <c r="L532" s="16" t="n">
        <v>33.4159</v>
      </c>
      <c r="M532" s="10" t="inlineStr">
        <is>
          <t>881</t>
        </is>
      </c>
      <c r="N532" s="16" t="n">
        <v>80.31</v>
      </c>
      <c r="O532" s="16" t="n">
        <v>159.481</v>
      </c>
      <c r="P532" s="10" t="inlineStr">
        <is>
          <t>881</t>
        </is>
      </c>
      <c r="Q532" s="16" t="n">
        <v>0.1663</v>
      </c>
      <c r="R532" s="10">
        <f>MAX(MAX(1.4/'Parametros'!$B$3,0.25*SQRT('Parametros'!$B$2)/'Parametros'!$B$3)*H532*U532,(0.85*'Parametros'!$B$2/'Parametros'!$B$3)*(1-SQRT(1-2*(J532*1000000/('Parametros'!$B$5*H532*U532^2))/(0.85*'Parametros'!$B$2)))*H532*U532)</f>
        <v>656.733333333333</v>
      </c>
      <c r="S532" s="17" t="n">
        <v>4</v>
      </c>
      <c r="T532" s="18" t="n">
        <v>1</v>
      </c>
      <c r="U532" s="10">
        <f>IF(T532=1,I532-('Parametros'!$B$7+'Parametros'!$B$9+'Parametros'!$B$12/2),I532-(ROUNDUP(S532/2,0)*('Parametros'!$B$7+'Parametros'!$B$9+'Parametros'!$B$12/2)+ROUNDDOWN(S532/2,0)*('Parametros'!$B$7+'Parametros'!$B$9+'Parametros'!$B$12/2+'Parametros'!$B$12+'Parametros'!$B$10))/S532)</f>
        <v>492.55</v>
      </c>
      <c r="V532" s="10">
        <f>S532*'Parametros'!$B$8</f>
        <v>796</v>
      </c>
      <c r="W532" s="10">
        <f>'Parametros'!$B$5*V532*'Parametros'!$B$3*(U532-(V532*'Parametros'!$B$3/(0.85*'Parametros'!$B$2*H532))/2)/1000000</f>
        <v>142.919145105882</v>
      </c>
      <c r="X532" s="10" t="str">
        <f>IF(W532&gt;=J532,"CUMPLE","NO CUMPLE")</f>
        <v>CUMPLE</v>
      </c>
      <c r="Y532" s="10">
        <f>MAX(MAX(1.4/'Parametros'!$B$3,0.25*SQRT('Parametros'!$B$2)/'Parametros'!$B$3)*H532*AB532,(0.85*'Parametros'!$B$2/'Parametros'!$B$3)*(1-SQRT(1-2*(L532*1000000/('Parametros'!$B$5*H532*AB532^2))/(0.85*'Parametros'!$B$2)))*H532*AB532)</f>
        <v>656.733333333333</v>
      </c>
      <c r="Z532" s="17" t="n">
        <v>4</v>
      </c>
      <c r="AA532" s="18" t="n">
        <v>1</v>
      </c>
      <c r="AB532" s="10">
        <f>IF(AA532=1,I532-('Parametros'!$B$7+'Parametros'!$B$9+'Parametros'!$B$12/2),I532-(ROUNDUP(Z532/2,0)*('Parametros'!$B$7+'Parametros'!$B$9+'Parametros'!$B$12/2)+ROUNDDOWN(Z532/2,0)*('Parametros'!$B$7+'Parametros'!$B$9+'Parametros'!$B$12/2+'Parametros'!$B$12+'Parametros'!$B$10))/Z532)</f>
        <v>492.55</v>
      </c>
      <c r="AC532" s="10">
        <f>Z532*'Parametros'!$B$8</f>
        <v>796</v>
      </c>
      <c r="AD532" s="10">
        <f>'Parametros'!$B$5*AC532*'Parametros'!$B$3*(AB532-(AC532*'Parametros'!$B$3/(0.85*'Parametros'!$B$2*H532))/2)/1000000</f>
        <v>142.919145105882</v>
      </c>
      <c r="AE532" s="10" t="str">
        <f>IF(AD532&gt;=L532,"CUMPLE","NO CUMPLE")</f>
        <v>CUMPLE</v>
      </c>
      <c r="AF532" s="10">
        <f>V532*1.25*'Parametros'!$B$3*(U532-(V532*1.25*'Parametros'!$B$3/(0.85*'Parametros'!$B$2*H532))/2)/1000000</f>
        <v>196.664354558824</v>
      </c>
      <c r="AG532" s="10">
        <f>AC532*1.25*'Parametros'!$B$3*(AB532-(AC532*1.25*'Parametros'!$B$3/(0.85*'Parametros'!$B$2*H532))/2)/1000000</f>
        <v>196.664354558824</v>
      </c>
      <c r="AH532" s="10">
        <f>N532+(AF532+AG532)/D532</f>
        <v>178.642177279412</v>
      </c>
      <c r="AI532" s="10">
        <f>MIN(O532,MAX(N532,AH532))</f>
        <v>159.481</v>
      </c>
      <c r="AJ532" s="10">
        <f>0.17*SQRT('Parametros'!$B$2)*H532*MIN(U532,AB532)/1000</f>
        <v>177.230413924022</v>
      </c>
      <c r="AK532" s="10">
        <f>MAX(AI532/'Parametros'!$B$6-AJ532,0)</f>
        <v>35.4109194093118</v>
      </c>
      <c r="AL532" s="10">
        <f>0.66*SQRT('Parametros'!$B$2)*H532*MIN(U532,AB532)/1000</f>
        <v>688.071018763848</v>
      </c>
      <c r="AM532" s="10" t="str">
        <f>IF(AK532&lt;=AL532,"CUMPLE","NO CUMPLE")</f>
        <v>CUMPLE</v>
      </c>
      <c r="AN532" s="15" t="inlineStr">
        <is>
          <t>Nº3 cerrado</t>
        </is>
      </c>
      <c r="AO532" s="17" t="n">
        <v>2</v>
      </c>
      <c r="AP532" s="10">
        <f>ROUNDDOWN(MIN(IF(AK532=0,1000000000,AO532*'Parametros'!$B$11*'Parametros'!$B$4*MIN(U532,AB532)/(AK532*1000)),IF(AV532=0,1000000000,'Parametros'!$B$11/AV532),MIN(U532,AB532)/4,8*'Parametros'!$B$12,24*'Parametros'!$B$9,300)/10,0)*10</f>
        <v>120</v>
      </c>
      <c r="AQ532" s="10">
        <f>ROUNDDOWN(MIN(IF(AK532=0,1000000000,AO532*'Parametros'!$B$11*'Parametros'!$B$4*MIN(U532,AB532)/(AK532*1000)),IF(AV532=0,1000000000,'Parametros'!$B$11/AV532),MIN(U532,AB532)/2,600)/10,0)*10</f>
        <v>240</v>
      </c>
      <c r="AR532" s="10">
        <f>'Parametros'!$B$6*(AJ532+AO532*'Parametros'!$B$11*'Parametros'!$B$4*MIN(U532,AB532)/AP532/1000)</f>
        <v>316.520822943016</v>
      </c>
      <c r="AS532" s="10" t="str">
        <f>IF(AND(AM532="CUMPLE",AR532&gt;=AI532),"CUMPLE","NO CUMPLE")</f>
        <v>CUMPLE</v>
      </c>
      <c r="AT532" s="10">
        <f>'Parametros'!$B$6*0.083*SQRT('Parametros'!$B$2)*(H532*I532)^2/(2*(H532+I532))/1000000</f>
        <v>8.39093065800685</v>
      </c>
      <c r="AU532" s="10" t="str">
        <f>IF(Q532&lt;=AT532,"DESPRECIABLE","DISEÑAR")</f>
        <v>DESPRECIABLE</v>
      </c>
      <c r="AV532" s="10">
        <f>IF(Q532&lt;=AT532,0,Q532*1000000/('Parametros'!$B$6*2*0.85*(H532-2*'Parametros'!$B$7)*(I532-2*'Parametros'!$B$7)*'Parametros'!$B$4))</f>
        <v>0</v>
      </c>
      <c r="AW532" s="10">
        <f>AV532*2*((H532-2*'Parametros'!$B$7)+(I532-2*'Parametros'!$B$7))*'Parametros'!$B$4/'Parametros'!$B$3</f>
        <v>0</v>
      </c>
      <c r="AX532" s="17" t="n">
        <v>0</v>
      </c>
      <c r="AY532" s="10" t="str">
        <f>IF(AV532=0,"DESPRECIABLE",IF('Parametros'!$B$11/AP532&gt;=AV532,"CUMPLE","NO CUMPLE"))</f>
        <v>DESPRECIABLE</v>
      </c>
      <c r="AZ532" s="10" t="str">
        <f>IF(AND(X532="CUMPLE",AE532="CUMPLE",AS532="CUMPLE",OR(AY532="CUMPLE",AY532="DESPRECIABLE")),IF(OR(F532&lt;&gt;H532,G532&lt;&gt;I532),"CUMPLE - REANALIZAR SAP","CUMPLE"),"NO CUMPLE")</f>
        <v>CUMPLE - REANALIZAR SAP</v>
      </c>
    </row>
    <row r="533">
      <c r="A533" s="27" t="inlineStr">
        <is>
          <t>VR3</t>
        </is>
      </c>
      <c r="B533" s="27" t="inlineStr">
        <is>
          <t>882</t>
        </is>
      </c>
      <c r="C533" s="10" t="n">
        <v>1</v>
      </c>
      <c r="D533" s="10" t="n">
        <v>2.5</v>
      </c>
      <c r="E533" s="10" t="n">
        <v>2.5</v>
      </c>
      <c r="F533" s="10" t="n">
        <v>350</v>
      </c>
      <c r="G533" s="10" t="n">
        <v>400</v>
      </c>
      <c r="H533" s="28" t="n">
        <v>400</v>
      </c>
      <c r="I533" s="28" t="n">
        <v>550</v>
      </c>
      <c r="J533" s="16" t="n">
        <v>61.8629</v>
      </c>
      <c r="K533" s="10" t="inlineStr">
        <is>
          <t>882</t>
        </is>
      </c>
      <c r="L533" s="16" t="n">
        <v>29.6998</v>
      </c>
      <c r="M533" s="10" t="inlineStr">
        <is>
          <t>882</t>
        </is>
      </c>
      <c r="N533" s="16" t="n">
        <v>66.417</v>
      </c>
      <c r="O533" s="16" t="n">
        <v>202.045</v>
      </c>
      <c r="P533" s="10" t="inlineStr">
        <is>
          <t>882</t>
        </is>
      </c>
      <c r="Q533" s="16" t="n">
        <v>0.0146</v>
      </c>
      <c r="R533" s="10">
        <f>MAX(MAX(1.4/'Parametros'!$B$3,0.25*SQRT('Parametros'!$B$2)/'Parametros'!$B$3)*H533*U533,(0.85*'Parametros'!$B$2/'Parametros'!$B$3)*(1-SQRT(1-2*(J533*1000000/('Parametros'!$B$5*H533*U533^2))/(0.85*'Parametros'!$B$2)))*H533*U533)</f>
        <v>656.733333333333</v>
      </c>
      <c r="S533" s="17" t="n">
        <v>4</v>
      </c>
      <c r="T533" s="18" t="n">
        <v>1</v>
      </c>
      <c r="U533" s="10">
        <f>IF(T533=1,I533-('Parametros'!$B$7+'Parametros'!$B$9+'Parametros'!$B$12/2),I533-(ROUNDUP(S533/2,0)*('Parametros'!$B$7+'Parametros'!$B$9+'Parametros'!$B$12/2)+ROUNDDOWN(S533/2,0)*('Parametros'!$B$7+'Parametros'!$B$9+'Parametros'!$B$12/2+'Parametros'!$B$12+'Parametros'!$B$10))/S533)</f>
        <v>492.55</v>
      </c>
      <c r="V533" s="10">
        <f>S533*'Parametros'!$B$8</f>
        <v>796</v>
      </c>
      <c r="W533" s="10">
        <f>'Parametros'!$B$5*V533*'Parametros'!$B$3*(U533-(V533*'Parametros'!$B$3/(0.85*'Parametros'!$B$2*H533))/2)/1000000</f>
        <v>142.919145105882</v>
      </c>
      <c r="X533" s="10" t="str">
        <f>IF(W533&gt;=J533,"CUMPLE","NO CUMPLE")</f>
        <v>CUMPLE</v>
      </c>
      <c r="Y533" s="10">
        <f>MAX(MAX(1.4/'Parametros'!$B$3,0.25*SQRT('Parametros'!$B$2)/'Parametros'!$B$3)*H533*AB533,(0.85*'Parametros'!$B$2/'Parametros'!$B$3)*(1-SQRT(1-2*(L533*1000000/('Parametros'!$B$5*H533*AB533^2))/(0.85*'Parametros'!$B$2)))*H533*AB533)</f>
        <v>656.733333333333</v>
      </c>
      <c r="Z533" s="17" t="n">
        <v>4</v>
      </c>
      <c r="AA533" s="18" t="n">
        <v>1</v>
      </c>
      <c r="AB533" s="10">
        <f>IF(AA533=1,I533-('Parametros'!$B$7+'Parametros'!$B$9+'Parametros'!$B$12/2),I533-(ROUNDUP(Z533/2,0)*('Parametros'!$B$7+'Parametros'!$B$9+'Parametros'!$B$12/2)+ROUNDDOWN(Z533/2,0)*('Parametros'!$B$7+'Parametros'!$B$9+'Parametros'!$B$12/2+'Parametros'!$B$12+'Parametros'!$B$10))/Z533)</f>
        <v>492.55</v>
      </c>
      <c r="AC533" s="10">
        <f>Z533*'Parametros'!$B$8</f>
        <v>796</v>
      </c>
      <c r="AD533" s="10">
        <f>'Parametros'!$B$5*AC533*'Parametros'!$B$3*(AB533-(AC533*'Parametros'!$B$3/(0.85*'Parametros'!$B$2*H533))/2)/1000000</f>
        <v>142.919145105882</v>
      </c>
      <c r="AE533" s="10" t="str">
        <f>IF(AD533&gt;=L533,"CUMPLE","NO CUMPLE")</f>
        <v>CUMPLE</v>
      </c>
      <c r="AF533" s="10">
        <f>V533*1.25*'Parametros'!$B$3*(U533-(V533*1.25*'Parametros'!$B$3/(0.85*'Parametros'!$B$2*H533))/2)/1000000</f>
        <v>196.664354558824</v>
      </c>
      <c r="AG533" s="10">
        <f>AC533*1.25*'Parametros'!$B$3*(AB533-(AC533*1.25*'Parametros'!$B$3/(0.85*'Parametros'!$B$2*H533))/2)/1000000</f>
        <v>196.664354558824</v>
      </c>
      <c r="AH533" s="10">
        <f>N533+(AF533+AG533)/D533</f>
        <v>223.748483647059</v>
      </c>
      <c r="AI533" s="10">
        <f>MIN(O533,MAX(N533,AH533))</f>
        <v>202.045</v>
      </c>
      <c r="AJ533" s="10">
        <f>0.17*SQRT('Parametros'!$B$2)*H533*MIN(U533,AB533)/1000</f>
        <v>177.230413924022</v>
      </c>
      <c r="AK533" s="10">
        <f>MAX(AI533/'Parametros'!$B$6-AJ533,0)</f>
        <v>92.1629194093118</v>
      </c>
      <c r="AL533" s="10">
        <f>0.66*SQRT('Parametros'!$B$2)*H533*MIN(U533,AB533)/1000</f>
        <v>688.071018763848</v>
      </c>
      <c r="AM533" s="10" t="str">
        <f>IF(AK533&lt;=AL533,"CUMPLE","NO CUMPLE")</f>
        <v>CUMPLE</v>
      </c>
      <c r="AN533" s="15" t="inlineStr">
        <is>
          <t>Nº3 cerrado</t>
        </is>
      </c>
      <c r="AO533" s="17" t="n">
        <v>2</v>
      </c>
      <c r="AP533" s="10">
        <f>ROUNDDOWN(MIN(IF(AK533=0,1000000000,AO533*'Parametros'!$B$11*'Parametros'!$B$4*MIN(U533,AB533)/(AK533*1000)),IF(AV533=0,1000000000,'Parametros'!$B$11/AV533),MIN(U533,AB533)/4,8*'Parametros'!$B$12,24*'Parametros'!$B$9,300)/10,0)*10</f>
        <v>120</v>
      </c>
      <c r="AQ533" s="10">
        <f>ROUNDDOWN(MIN(IF(AK533=0,1000000000,AO533*'Parametros'!$B$11*'Parametros'!$B$4*MIN(U533,AB533)/(AK533*1000)),IF(AV533=0,1000000000,'Parametros'!$B$11/AV533),MIN(U533,AB533)/2,600)/10,0)*10</f>
        <v>240</v>
      </c>
      <c r="AR533" s="10">
        <f>'Parametros'!$B$6*(AJ533+AO533*'Parametros'!$B$11*'Parametros'!$B$4*MIN(U533,AB533)/AP533/1000)</f>
        <v>316.520822943016</v>
      </c>
      <c r="AS533" s="10" t="str">
        <f>IF(AND(AM533="CUMPLE",AR533&gt;=AI533),"CUMPLE","NO CUMPLE")</f>
        <v>CUMPLE</v>
      </c>
      <c r="AT533" s="10">
        <f>'Parametros'!$B$6*0.083*SQRT('Parametros'!$B$2)*(H533*I533)^2/(2*(H533+I533))/1000000</f>
        <v>8.39093065800685</v>
      </c>
      <c r="AU533" s="10" t="str">
        <f>IF(Q533&lt;=AT533,"DESPRECIABLE","DISEÑAR")</f>
        <v>DESPRECIABLE</v>
      </c>
      <c r="AV533" s="10">
        <f>IF(Q533&lt;=AT533,0,Q533*1000000/('Parametros'!$B$6*2*0.85*(H533-2*'Parametros'!$B$7)*(I533-2*'Parametros'!$B$7)*'Parametros'!$B$4))</f>
        <v>0</v>
      </c>
      <c r="AW533" s="10">
        <f>AV533*2*((H533-2*'Parametros'!$B$7)+(I533-2*'Parametros'!$B$7))*'Parametros'!$B$4/'Parametros'!$B$3</f>
        <v>0</v>
      </c>
      <c r="AX533" s="17" t="n">
        <v>0</v>
      </c>
      <c r="AY533" s="10" t="str">
        <f>IF(AV533=0,"DESPRECIABLE",IF('Parametros'!$B$11/AP533&gt;=AV533,"CUMPLE","NO CUMPLE"))</f>
        <v>DESPRECIABLE</v>
      </c>
      <c r="AZ533" s="10" t="str">
        <f>IF(AND(X533="CUMPLE",AE533="CUMPLE",AS533="CUMPLE",OR(AY533="CUMPLE",AY533="DESPRECIABLE")),IF(OR(F533&lt;&gt;H533,G533&lt;&gt;I533),"CUMPLE - REANALIZAR SAP","CUMPLE"),"NO CUMPLE")</f>
        <v>CUMPLE - REANALIZAR SAP</v>
      </c>
    </row>
    <row r="534">
      <c r="A534" s="27" t="inlineStr">
        <is>
          <t>VR3</t>
        </is>
      </c>
      <c r="B534" s="27" t="inlineStr">
        <is>
          <t>883</t>
        </is>
      </c>
      <c r="C534" s="10" t="n">
        <v>1</v>
      </c>
      <c r="D534" s="10" t="n">
        <v>2.6</v>
      </c>
      <c r="E534" s="10" t="n">
        <v>2.6</v>
      </c>
      <c r="F534" s="10" t="n">
        <v>350</v>
      </c>
      <c r="G534" s="10" t="n">
        <v>400</v>
      </c>
      <c r="H534" s="28" t="n">
        <v>400</v>
      </c>
      <c r="I534" s="28" t="n">
        <v>550</v>
      </c>
      <c r="J534" s="16" t="n">
        <v>207.0062</v>
      </c>
      <c r="K534" s="10" t="inlineStr">
        <is>
          <t>883</t>
        </is>
      </c>
      <c r="L534" s="16" t="n">
        <v>103.2782</v>
      </c>
      <c r="M534" s="10" t="inlineStr">
        <is>
          <t>883</t>
        </is>
      </c>
      <c r="N534" s="16" t="n">
        <v>178.164</v>
      </c>
      <c r="O534" s="16" t="n">
        <v>213.102</v>
      </c>
      <c r="P534" s="10" t="inlineStr">
        <is>
          <t>883</t>
        </is>
      </c>
      <c r="Q534" s="16" t="n">
        <v>2.7673</v>
      </c>
      <c r="R534" s="10">
        <f>MAX(MAX(1.4/'Parametros'!$B$3,0.25*SQRT('Parametros'!$B$2)/'Parametros'!$B$3)*H534*U534,(0.85*'Parametros'!$B$2/'Parametros'!$B$3)*(1-SQRT(1-2*(J534*1000000/('Parametros'!$B$5*H534*U534^2))/(0.85*'Parametros'!$B$2)))*H534*U534)</f>
        <v>1173.51197939558</v>
      </c>
      <c r="S534" s="17" t="n">
        <v>6</v>
      </c>
      <c r="T534" s="18" t="n">
        <v>1</v>
      </c>
      <c r="U534" s="10">
        <f>IF(T534=1,I534-('Parametros'!$B$7+'Parametros'!$B$9+'Parametros'!$B$12/2),I534-(ROUNDUP(S534/2,0)*('Parametros'!$B$7+'Parametros'!$B$9+'Parametros'!$B$12/2)+ROUNDDOWN(S534/2,0)*('Parametros'!$B$7+'Parametros'!$B$9+'Parametros'!$B$12/2+'Parametros'!$B$12+'Parametros'!$B$10))/S534)</f>
        <v>492.55</v>
      </c>
      <c r="V534" s="10">
        <f>S534*'Parametros'!$B$8</f>
        <v>1194</v>
      </c>
      <c r="W534" s="10">
        <f>'Parametros'!$B$5*V534*'Parametros'!$B$3*(U534-(V534*'Parametros'!$B$3/(0.85*'Parametros'!$B$2*H534))/2)/1000000</f>
        <v>210.416288188235</v>
      </c>
      <c r="X534" s="10" t="str">
        <f>IF(W534&gt;=J534,"CUMPLE","NO CUMPLE")</f>
        <v>CUMPLE</v>
      </c>
      <c r="Y534" s="10">
        <f>MAX(MAX(1.4/'Parametros'!$B$3,0.25*SQRT('Parametros'!$B$2)/'Parametros'!$B$3)*H534*AB534,(0.85*'Parametros'!$B$2/'Parametros'!$B$3)*(1-SQRT(1-2*(L534*1000000/('Parametros'!$B$5*H534*AB534^2))/(0.85*'Parametros'!$B$2)))*H534*AB534)</f>
        <v>656.733333333333</v>
      </c>
      <c r="Z534" s="17" t="n">
        <v>4</v>
      </c>
      <c r="AA534" s="18" t="n">
        <v>1</v>
      </c>
      <c r="AB534" s="10">
        <f>IF(AA534=1,I534-('Parametros'!$B$7+'Parametros'!$B$9+'Parametros'!$B$12/2),I534-(ROUNDUP(Z534/2,0)*('Parametros'!$B$7+'Parametros'!$B$9+'Parametros'!$B$12/2)+ROUNDDOWN(Z534/2,0)*('Parametros'!$B$7+'Parametros'!$B$9+'Parametros'!$B$12/2+'Parametros'!$B$12+'Parametros'!$B$10))/Z534)</f>
        <v>492.55</v>
      </c>
      <c r="AC534" s="10">
        <f>Z534*'Parametros'!$B$8</f>
        <v>796</v>
      </c>
      <c r="AD534" s="10">
        <f>'Parametros'!$B$5*AC534*'Parametros'!$B$3*(AB534-(AC534*'Parametros'!$B$3/(0.85*'Parametros'!$B$2*H534))/2)/1000000</f>
        <v>142.919145105882</v>
      </c>
      <c r="AE534" s="10" t="str">
        <f>IF(AD534&gt;=L534,"CUMPLE","NO CUMPLE")</f>
        <v>CUMPLE</v>
      </c>
      <c r="AF534" s="10">
        <f>V534*1.25*'Parametros'!$B$3*(U534-(V534*1.25*'Parametros'!$B$3/(0.85*'Parametros'!$B$2*H534))/2)/1000000</f>
        <v>288.117314007353</v>
      </c>
      <c r="AG534" s="10">
        <f>AC534*1.25*'Parametros'!$B$3*(AB534-(AC534*1.25*'Parametros'!$B$3/(0.85*'Parametros'!$B$2*H534))/2)/1000000</f>
        <v>196.664354558824</v>
      </c>
      <c r="AH534" s="10">
        <f>N534+(AF534+AG534)/D534</f>
        <v>364.618487910068</v>
      </c>
      <c r="AI534" s="10">
        <f>MIN(O534,MAX(N534,AH534))</f>
        <v>213.102</v>
      </c>
      <c r="AJ534" s="10">
        <f>0.17*SQRT('Parametros'!$B$2)*H534*MIN(U534,AB534)/1000</f>
        <v>177.230413924022</v>
      </c>
      <c r="AK534" s="10">
        <f>MAX(AI534/'Parametros'!$B$6-AJ534,0)</f>
        <v>106.905586075979</v>
      </c>
      <c r="AL534" s="10">
        <f>0.66*SQRT('Parametros'!$B$2)*H534*MIN(U534,AB534)/1000</f>
        <v>688.071018763848</v>
      </c>
      <c r="AM534" s="10" t="str">
        <f>IF(AK534&lt;=AL534,"CUMPLE","NO CUMPLE")</f>
        <v>CUMPLE</v>
      </c>
      <c r="AN534" s="15" t="inlineStr">
        <is>
          <t>Nº3 cerrado</t>
        </is>
      </c>
      <c r="AO534" s="17" t="n">
        <v>2</v>
      </c>
      <c r="AP534" s="10">
        <f>ROUNDDOWN(MIN(IF(AK534=0,1000000000,AO534*'Parametros'!$B$11*'Parametros'!$B$4*MIN(U534,AB534)/(AK534*1000)),IF(AV534=0,1000000000,'Parametros'!$B$11/AV534),MIN(U534,AB534)/4,8*'Parametros'!$B$12,24*'Parametros'!$B$9,300)/10,0)*10</f>
        <v>120</v>
      </c>
      <c r="AQ534" s="10">
        <f>ROUNDDOWN(MIN(IF(AK534=0,1000000000,AO534*'Parametros'!$B$11*'Parametros'!$B$4*MIN(U534,AB534)/(AK534*1000)),IF(AV534=0,1000000000,'Parametros'!$B$11/AV534),MIN(U534,AB534)/2,600)/10,0)*10</f>
        <v>240</v>
      </c>
      <c r="AR534" s="10">
        <f>'Parametros'!$B$6*(AJ534+AO534*'Parametros'!$B$11*'Parametros'!$B$4*MIN(U534,AB534)/AP534/1000)</f>
        <v>316.520822943016</v>
      </c>
      <c r="AS534" s="10" t="str">
        <f>IF(AND(AM534="CUMPLE",AR534&gt;=AI534),"CUMPLE","NO CUMPLE")</f>
        <v>CUMPLE</v>
      </c>
      <c r="AT534" s="10">
        <f>'Parametros'!$B$6*0.083*SQRT('Parametros'!$B$2)*(H534*I534)^2/(2*(H534+I534))/1000000</f>
        <v>8.39093065800685</v>
      </c>
      <c r="AU534" s="10" t="str">
        <f>IF(Q534&lt;=AT534,"DESPRECIABLE","DISEÑAR")</f>
        <v>DESPRECIABLE</v>
      </c>
      <c r="AV534" s="10">
        <f>IF(Q534&lt;=AT534,0,Q534*1000000/('Parametros'!$B$6*2*0.85*(H534-2*'Parametros'!$B$7)*(I534-2*'Parametros'!$B$7)*'Parametros'!$B$4))</f>
        <v>0</v>
      </c>
      <c r="AW534" s="10">
        <f>AV534*2*((H534-2*'Parametros'!$B$7)+(I534-2*'Parametros'!$B$7))*'Parametros'!$B$4/'Parametros'!$B$3</f>
        <v>0</v>
      </c>
      <c r="AX534" s="17" t="n">
        <v>0</v>
      </c>
      <c r="AY534" s="10" t="str">
        <f>IF(AV534=0,"DESPRECIABLE",IF('Parametros'!$B$11/AP534&gt;=AV534,"CUMPLE","NO CUMPLE"))</f>
        <v>DESPRECIABLE</v>
      </c>
      <c r="AZ534" s="10" t="str">
        <f>IF(AND(X534="CUMPLE",AE534="CUMPLE",AS534="CUMPLE",OR(AY534="CUMPLE",AY534="DESPRECIABLE")),IF(OR(F534&lt;&gt;H534,G534&lt;&gt;I534),"CUMPLE - REANALIZAR SAP","CUMPLE"),"NO CUMPLE")</f>
        <v>CUMPLE - REANALIZAR SAP</v>
      </c>
    </row>
    <row r="535">
      <c r="A535" s="27" t="inlineStr">
        <is>
          <t>VR3</t>
        </is>
      </c>
      <c r="B535" s="27" t="inlineStr">
        <is>
          <t>884</t>
        </is>
      </c>
      <c r="C535" s="10" t="n">
        <v>1</v>
      </c>
      <c r="D535" s="10" t="n">
        <v>2.95</v>
      </c>
      <c r="E535" s="10" t="n">
        <v>2.95</v>
      </c>
      <c r="F535" s="10" t="n">
        <v>350</v>
      </c>
      <c r="G535" s="10" t="n">
        <v>400</v>
      </c>
      <c r="H535" s="28" t="n">
        <v>400</v>
      </c>
      <c r="I535" s="28" t="n">
        <v>550</v>
      </c>
      <c r="J535" s="16" t="n">
        <v>168.8372</v>
      </c>
      <c r="K535" s="10" t="inlineStr">
        <is>
          <t>884</t>
        </is>
      </c>
      <c r="L535" s="16" t="n">
        <v>117.1671</v>
      </c>
      <c r="M535" s="10" t="inlineStr">
        <is>
          <t>884</t>
        </is>
      </c>
      <c r="N535" s="16" t="n">
        <v>167.097</v>
      </c>
      <c r="O535" s="16" t="n">
        <v>204.37</v>
      </c>
      <c r="P535" s="10" t="inlineStr">
        <is>
          <t>884</t>
        </is>
      </c>
      <c r="Q535" s="16" t="n">
        <v>1.402</v>
      </c>
      <c r="R535" s="10">
        <f>MAX(MAX(1.4/'Parametros'!$B$3,0.25*SQRT('Parametros'!$B$2)/'Parametros'!$B$3)*H535*U535,(0.85*'Parametros'!$B$2/'Parametros'!$B$3)*(1-SQRT(1-2*(J535*1000000/('Parametros'!$B$5*H535*U535^2))/(0.85*'Parametros'!$B$2)))*H535*U535)</f>
        <v>946.99325761434</v>
      </c>
      <c r="S535" s="17" t="n">
        <v>5</v>
      </c>
      <c r="T535" s="18" t="n">
        <v>1</v>
      </c>
      <c r="U535" s="10">
        <f>IF(T535=1,I535-('Parametros'!$B$7+'Parametros'!$B$9+'Parametros'!$B$12/2),I535-(ROUNDUP(S535/2,0)*('Parametros'!$B$7+'Parametros'!$B$9+'Parametros'!$B$12/2)+ROUNDDOWN(S535/2,0)*('Parametros'!$B$7+'Parametros'!$B$9+'Parametros'!$B$12/2+'Parametros'!$B$12+'Parametros'!$B$10))/S535)</f>
        <v>492.55</v>
      </c>
      <c r="V535" s="10">
        <f>S535*'Parametros'!$B$8</f>
        <v>995</v>
      </c>
      <c r="W535" s="10">
        <f>'Parametros'!$B$5*V535*'Parametros'!$B$3*(U535-(V535*'Parametros'!$B$3/(0.85*'Parametros'!$B$2*H535))/2)/1000000</f>
        <v>176.997919102941</v>
      </c>
      <c r="X535" s="10" t="str">
        <f>IF(W535&gt;=J535,"CUMPLE","NO CUMPLE")</f>
        <v>CUMPLE</v>
      </c>
      <c r="Y535" s="10">
        <f>MAX(MAX(1.4/'Parametros'!$B$3,0.25*SQRT('Parametros'!$B$2)/'Parametros'!$B$3)*H535*AB535,(0.85*'Parametros'!$B$2/'Parametros'!$B$3)*(1-SQRT(1-2*(L535*1000000/('Parametros'!$B$5*H535*AB535^2))/(0.85*'Parametros'!$B$2)))*H535*AB535)</f>
        <v>656.733333333333</v>
      </c>
      <c r="Z535" s="17" t="n">
        <v>4</v>
      </c>
      <c r="AA535" s="18" t="n">
        <v>1</v>
      </c>
      <c r="AB535" s="10">
        <f>IF(AA535=1,I535-('Parametros'!$B$7+'Parametros'!$B$9+'Parametros'!$B$12/2),I535-(ROUNDUP(Z535/2,0)*('Parametros'!$B$7+'Parametros'!$B$9+'Parametros'!$B$12/2)+ROUNDDOWN(Z535/2,0)*('Parametros'!$B$7+'Parametros'!$B$9+'Parametros'!$B$12/2+'Parametros'!$B$12+'Parametros'!$B$10))/Z535)</f>
        <v>492.55</v>
      </c>
      <c r="AC535" s="10">
        <f>Z535*'Parametros'!$B$8</f>
        <v>796</v>
      </c>
      <c r="AD535" s="10">
        <f>'Parametros'!$B$5*AC535*'Parametros'!$B$3*(AB535-(AC535*'Parametros'!$B$3/(0.85*'Parametros'!$B$2*H535))/2)/1000000</f>
        <v>142.919145105882</v>
      </c>
      <c r="AE535" s="10" t="str">
        <f>IF(AD535&gt;=L535,"CUMPLE","NO CUMPLE")</f>
        <v>CUMPLE</v>
      </c>
      <c r="AF535" s="10">
        <f>V535*1.25*'Parametros'!$B$3*(U535-(V535*1.25*'Parametros'!$B$3/(0.85*'Parametros'!$B$2*H535))/2)/1000000</f>
        <v>242.964102435662</v>
      </c>
      <c r="AG535" s="10">
        <f>AC535*1.25*'Parametros'!$B$3*(AB535-(AC535*1.25*'Parametros'!$B$3/(0.85*'Parametros'!$B$2*H535))/2)/1000000</f>
        <v>196.664354558824</v>
      </c>
      <c r="AH535" s="10">
        <f>N535+(AF535+AG535)/D535</f>
        <v>316.123595591351</v>
      </c>
      <c r="AI535" s="10">
        <f>MIN(O535,MAX(N535,AH535))</f>
        <v>204.37</v>
      </c>
      <c r="AJ535" s="10">
        <f>0.17*SQRT('Parametros'!$B$2)*H535*MIN(U535,AB535)/1000</f>
        <v>177.230413924022</v>
      </c>
      <c r="AK535" s="10">
        <f>MAX(AI535/'Parametros'!$B$6-AJ535,0)</f>
        <v>95.2629194093118</v>
      </c>
      <c r="AL535" s="10">
        <f>0.66*SQRT('Parametros'!$B$2)*H535*MIN(U535,AB535)/1000</f>
        <v>688.071018763848</v>
      </c>
      <c r="AM535" s="10" t="str">
        <f>IF(AK535&lt;=AL535,"CUMPLE","NO CUMPLE")</f>
        <v>CUMPLE</v>
      </c>
      <c r="AN535" s="15" t="inlineStr">
        <is>
          <t>Nº3 cerrado</t>
        </is>
      </c>
      <c r="AO535" s="17" t="n">
        <v>2</v>
      </c>
      <c r="AP535" s="10">
        <f>ROUNDDOWN(MIN(IF(AK535=0,1000000000,AO535*'Parametros'!$B$11*'Parametros'!$B$4*MIN(U535,AB535)/(AK535*1000)),IF(AV535=0,1000000000,'Parametros'!$B$11/AV535),MIN(U535,AB535)/4,8*'Parametros'!$B$12,24*'Parametros'!$B$9,300)/10,0)*10</f>
        <v>120</v>
      </c>
      <c r="AQ535" s="10">
        <f>ROUNDDOWN(MIN(IF(AK535=0,1000000000,AO535*'Parametros'!$B$11*'Parametros'!$B$4*MIN(U535,AB535)/(AK535*1000)),IF(AV535=0,1000000000,'Parametros'!$B$11/AV535),MIN(U535,AB535)/2,600)/10,0)*10</f>
        <v>240</v>
      </c>
      <c r="AR535" s="10">
        <f>'Parametros'!$B$6*(AJ535+AO535*'Parametros'!$B$11*'Parametros'!$B$4*MIN(U535,AB535)/AP535/1000)</f>
        <v>316.520822943016</v>
      </c>
      <c r="AS535" s="10" t="str">
        <f>IF(AND(AM535="CUMPLE",AR535&gt;=AI535),"CUMPLE","NO CUMPLE")</f>
        <v>CUMPLE</v>
      </c>
      <c r="AT535" s="10">
        <f>'Parametros'!$B$6*0.083*SQRT('Parametros'!$B$2)*(H535*I535)^2/(2*(H535+I535))/1000000</f>
        <v>8.39093065800685</v>
      </c>
      <c r="AU535" s="10" t="str">
        <f>IF(Q535&lt;=AT535,"DESPRECIABLE","DISEÑAR")</f>
        <v>DESPRECIABLE</v>
      </c>
      <c r="AV535" s="10">
        <f>IF(Q535&lt;=AT535,0,Q535*1000000/('Parametros'!$B$6*2*0.85*(H535-2*'Parametros'!$B$7)*(I535-2*'Parametros'!$B$7)*'Parametros'!$B$4))</f>
        <v>0</v>
      </c>
      <c r="AW535" s="10">
        <f>AV535*2*((H535-2*'Parametros'!$B$7)+(I535-2*'Parametros'!$B$7))*'Parametros'!$B$4/'Parametros'!$B$3</f>
        <v>0</v>
      </c>
      <c r="AX535" s="17" t="n">
        <v>0</v>
      </c>
      <c r="AY535" s="10" t="str">
        <f>IF(AV535=0,"DESPRECIABLE",IF('Parametros'!$B$11/AP535&gt;=AV535,"CUMPLE","NO CUMPLE"))</f>
        <v>DESPRECIABLE</v>
      </c>
      <c r="AZ535" s="10" t="str">
        <f>IF(AND(X535="CUMPLE",AE535="CUMPLE",AS535="CUMPLE",OR(AY535="CUMPLE",AY535="DESPRECIABLE")),IF(OR(F535&lt;&gt;H535,G535&lt;&gt;I535),"CUMPLE - REANALIZAR SAP","CUMPLE"),"NO CUMPLE")</f>
        <v>CUMPLE - REANALIZAR SAP</v>
      </c>
    </row>
    <row r="536">
      <c r="A536" s="27" t="inlineStr">
        <is>
          <t>VR3</t>
        </is>
      </c>
      <c r="B536" s="27" t="inlineStr">
        <is>
          <t>969</t>
        </is>
      </c>
      <c r="C536" s="10" t="n">
        <v>1</v>
      </c>
      <c r="D536" s="10" t="n">
        <v>2.95</v>
      </c>
      <c r="E536" s="10" t="n">
        <v>2.95</v>
      </c>
      <c r="F536" s="10" t="n">
        <v>350</v>
      </c>
      <c r="G536" s="10" t="n">
        <v>400</v>
      </c>
      <c r="H536" s="28" t="n">
        <v>400</v>
      </c>
      <c r="I536" s="28" t="n">
        <v>550</v>
      </c>
      <c r="J536" s="16" t="n">
        <v>137.5598</v>
      </c>
      <c r="K536" s="10" t="inlineStr">
        <is>
          <t>969</t>
        </is>
      </c>
      <c r="L536" s="16" t="n">
        <v>122.8528</v>
      </c>
      <c r="M536" s="10" t="inlineStr">
        <is>
          <t>969</t>
        </is>
      </c>
      <c r="N536" s="16" t="n">
        <v>159.699</v>
      </c>
      <c r="O536" s="16" t="n">
        <v>159.699</v>
      </c>
      <c r="P536" s="10" t="inlineStr">
        <is>
          <t>969</t>
        </is>
      </c>
      <c r="Q536" s="16" t="n">
        <v>1.0728</v>
      </c>
      <c r="R536" s="10">
        <f>MAX(MAX(1.4/'Parametros'!$B$3,0.25*SQRT('Parametros'!$B$2)/'Parametros'!$B$3)*H536*U536,(0.85*'Parametros'!$B$2/'Parametros'!$B$3)*(1-SQRT(1-2*(J536*1000000/('Parametros'!$B$5*H536*U536^2))/(0.85*'Parametros'!$B$2)))*H536*U536)</f>
        <v>765.051089521342</v>
      </c>
      <c r="S536" s="17" t="n">
        <v>4</v>
      </c>
      <c r="T536" s="18" t="n">
        <v>1</v>
      </c>
      <c r="U536" s="10">
        <f>IF(T536=1,I536-('Parametros'!$B$7+'Parametros'!$B$9+'Parametros'!$B$12/2),I536-(ROUNDUP(S536/2,0)*('Parametros'!$B$7+'Parametros'!$B$9+'Parametros'!$B$12/2)+ROUNDDOWN(S536/2,0)*('Parametros'!$B$7+'Parametros'!$B$9+'Parametros'!$B$12/2+'Parametros'!$B$12+'Parametros'!$B$10))/S536)</f>
        <v>492.55</v>
      </c>
      <c r="V536" s="10">
        <f>S536*'Parametros'!$B$8</f>
        <v>796</v>
      </c>
      <c r="W536" s="10">
        <f>'Parametros'!$B$5*V536*'Parametros'!$B$3*(U536-(V536*'Parametros'!$B$3/(0.85*'Parametros'!$B$2*H536))/2)/1000000</f>
        <v>142.919145105882</v>
      </c>
      <c r="X536" s="10" t="str">
        <f>IF(W536&gt;=J536,"CUMPLE","NO CUMPLE")</f>
        <v>CUMPLE</v>
      </c>
      <c r="Y536" s="10">
        <f>MAX(MAX(1.4/'Parametros'!$B$3,0.25*SQRT('Parametros'!$B$2)/'Parametros'!$B$3)*H536*AB536,(0.85*'Parametros'!$B$2/'Parametros'!$B$3)*(1-SQRT(1-2*(L536*1000000/('Parametros'!$B$5*H536*AB536^2))/(0.85*'Parametros'!$B$2)))*H536*AB536)</f>
        <v>680.591103912756</v>
      </c>
      <c r="Z536" s="17" t="n">
        <v>4</v>
      </c>
      <c r="AA536" s="18" t="n">
        <v>1</v>
      </c>
      <c r="AB536" s="10">
        <f>IF(AA536=1,I536-('Parametros'!$B$7+'Parametros'!$B$9+'Parametros'!$B$12/2),I536-(ROUNDUP(Z536/2,0)*('Parametros'!$B$7+'Parametros'!$B$9+'Parametros'!$B$12/2)+ROUNDDOWN(Z536/2,0)*('Parametros'!$B$7+'Parametros'!$B$9+'Parametros'!$B$12/2+'Parametros'!$B$12+'Parametros'!$B$10))/Z536)</f>
        <v>492.55</v>
      </c>
      <c r="AC536" s="10">
        <f>Z536*'Parametros'!$B$8</f>
        <v>796</v>
      </c>
      <c r="AD536" s="10">
        <f>'Parametros'!$B$5*AC536*'Parametros'!$B$3*(AB536-(AC536*'Parametros'!$B$3/(0.85*'Parametros'!$B$2*H536))/2)/1000000</f>
        <v>142.919145105882</v>
      </c>
      <c r="AE536" s="10" t="str">
        <f>IF(AD536&gt;=L536,"CUMPLE","NO CUMPLE")</f>
        <v>CUMPLE</v>
      </c>
      <c r="AF536" s="10">
        <f>V536*1.25*'Parametros'!$B$3*(U536-(V536*1.25*'Parametros'!$B$3/(0.85*'Parametros'!$B$2*H536))/2)/1000000</f>
        <v>196.664354558824</v>
      </c>
      <c r="AG536" s="10">
        <f>AC536*1.25*'Parametros'!$B$3*(AB536-(AC536*1.25*'Parametros'!$B$3/(0.85*'Parametros'!$B$2*H536))/2)/1000000</f>
        <v>196.664354558824</v>
      </c>
      <c r="AH536" s="10">
        <f>N536+(AF536+AG536)/D536</f>
        <v>293.030765802592</v>
      </c>
      <c r="AI536" s="10">
        <f>MIN(O536,MAX(N536,AH536))</f>
        <v>159.699</v>
      </c>
      <c r="AJ536" s="10">
        <f>0.17*SQRT('Parametros'!$B$2)*H536*MIN(U536,AB536)/1000</f>
        <v>177.230413924022</v>
      </c>
      <c r="AK536" s="10">
        <f>MAX(AI536/'Parametros'!$B$6-AJ536,0)</f>
        <v>35.7015860759785</v>
      </c>
      <c r="AL536" s="10">
        <f>0.66*SQRT('Parametros'!$B$2)*H536*MIN(U536,AB536)/1000</f>
        <v>688.071018763848</v>
      </c>
      <c r="AM536" s="10" t="str">
        <f>IF(AK536&lt;=AL536,"CUMPLE","NO CUMPLE")</f>
        <v>CUMPLE</v>
      </c>
      <c r="AN536" s="15" t="inlineStr">
        <is>
          <t>Nº3 cerrado</t>
        </is>
      </c>
      <c r="AO536" s="17" t="n">
        <v>2</v>
      </c>
      <c r="AP536" s="10">
        <f>ROUNDDOWN(MIN(IF(AK536=0,1000000000,AO536*'Parametros'!$B$11*'Parametros'!$B$4*MIN(U536,AB536)/(AK536*1000)),IF(AV536=0,1000000000,'Parametros'!$B$11/AV536),MIN(U536,AB536)/4,8*'Parametros'!$B$12,24*'Parametros'!$B$9,300)/10,0)*10</f>
        <v>120</v>
      </c>
      <c r="AQ536" s="10">
        <f>ROUNDDOWN(MIN(IF(AK536=0,1000000000,AO536*'Parametros'!$B$11*'Parametros'!$B$4*MIN(U536,AB536)/(AK536*1000)),IF(AV536=0,1000000000,'Parametros'!$B$11/AV536),MIN(U536,AB536)/2,600)/10,0)*10</f>
        <v>240</v>
      </c>
      <c r="AR536" s="10">
        <f>'Parametros'!$B$6*(AJ536+AO536*'Parametros'!$B$11*'Parametros'!$B$4*MIN(U536,AB536)/AP536/1000)</f>
        <v>316.520822943016</v>
      </c>
      <c r="AS536" s="10" t="str">
        <f>IF(AND(AM536="CUMPLE",AR536&gt;=AI536),"CUMPLE","NO CUMPLE")</f>
        <v>CUMPLE</v>
      </c>
      <c r="AT536" s="10">
        <f>'Parametros'!$B$6*0.083*SQRT('Parametros'!$B$2)*(H536*I536)^2/(2*(H536+I536))/1000000</f>
        <v>8.39093065800685</v>
      </c>
      <c r="AU536" s="10" t="str">
        <f>IF(Q536&lt;=AT536,"DESPRECIABLE","DISEÑAR")</f>
        <v>DESPRECIABLE</v>
      </c>
      <c r="AV536" s="10">
        <f>IF(Q536&lt;=AT536,0,Q536*1000000/('Parametros'!$B$6*2*0.85*(H536-2*'Parametros'!$B$7)*(I536-2*'Parametros'!$B$7)*'Parametros'!$B$4))</f>
        <v>0</v>
      </c>
      <c r="AW536" s="10">
        <f>AV536*2*((H536-2*'Parametros'!$B$7)+(I536-2*'Parametros'!$B$7))*'Parametros'!$B$4/'Parametros'!$B$3</f>
        <v>0</v>
      </c>
      <c r="AX536" s="17" t="n">
        <v>0</v>
      </c>
      <c r="AY536" s="10" t="str">
        <f>IF(AV536=0,"DESPRECIABLE",IF('Parametros'!$B$11/AP536&gt;=AV536,"CUMPLE","NO CUMPLE"))</f>
        <v>DESPRECIABLE</v>
      </c>
      <c r="AZ536" s="10" t="str">
        <f>IF(AND(X536="CUMPLE",AE536="CUMPLE",AS536="CUMPLE",OR(AY536="CUMPLE",AY536="DESPRECIABLE")),IF(OR(F536&lt;&gt;H536,G536&lt;&gt;I536),"CUMPLE - REANALIZAR SAP","CUMPLE"),"NO CUMPLE")</f>
        <v>CUMPLE - REANALIZAR SAP</v>
      </c>
    </row>
    <row r="537">
      <c r="A537" s="27" t="inlineStr">
        <is>
          <t>VR3</t>
        </is>
      </c>
      <c r="B537" s="27" t="inlineStr">
        <is>
          <t>970</t>
        </is>
      </c>
      <c r="C537" s="10" t="n">
        <v>1</v>
      </c>
      <c r="D537" s="10" t="n">
        <v>2.6</v>
      </c>
      <c r="E537" s="10" t="n">
        <v>2.6</v>
      </c>
      <c r="F537" s="10" t="n">
        <v>350</v>
      </c>
      <c r="G537" s="10" t="n">
        <v>400</v>
      </c>
      <c r="H537" s="28" t="n">
        <v>400</v>
      </c>
      <c r="I537" s="28" t="n">
        <v>550</v>
      </c>
      <c r="J537" s="16" t="n">
        <v>187.073</v>
      </c>
      <c r="K537" s="10" t="inlineStr">
        <is>
          <t>970</t>
        </is>
      </c>
      <c r="L537" s="16" t="n">
        <v>108.8015</v>
      </c>
      <c r="M537" s="10" t="inlineStr">
        <is>
          <t>970</t>
        </is>
      </c>
      <c r="N537" s="16" t="n">
        <v>173.706</v>
      </c>
      <c r="O537" s="16" t="n">
        <v>173.706</v>
      </c>
      <c r="P537" s="10" t="inlineStr">
        <is>
          <t>970</t>
        </is>
      </c>
      <c r="Q537" s="16" t="n">
        <v>1.948</v>
      </c>
      <c r="R537" s="10">
        <f>MAX(MAX(1.4/'Parametros'!$B$3,0.25*SQRT('Parametros'!$B$2)/'Parametros'!$B$3)*H537*U537,(0.85*'Parametros'!$B$2/'Parametros'!$B$3)*(1-SQRT(1-2*(J537*1000000/('Parametros'!$B$5*H537*U537^2))/(0.85*'Parametros'!$B$2)))*H537*U537)</f>
        <v>1054.58272366901</v>
      </c>
      <c r="S537" s="17" t="n">
        <v>6</v>
      </c>
      <c r="T537" s="18" t="n">
        <v>1</v>
      </c>
      <c r="U537" s="10">
        <f>IF(T537=1,I537-('Parametros'!$B$7+'Parametros'!$B$9+'Parametros'!$B$12/2),I537-(ROUNDUP(S537/2,0)*('Parametros'!$B$7+'Parametros'!$B$9+'Parametros'!$B$12/2)+ROUNDDOWN(S537/2,0)*('Parametros'!$B$7+'Parametros'!$B$9+'Parametros'!$B$12/2+'Parametros'!$B$12+'Parametros'!$B$10))/S537)</f>
        <v>492.55</v>
      </c>
      <c r="V537" s="10">
        <f>S537*'Parametros'!$B$8</f>
        <v>1194</v>
      </c>
      <c r="W537" s="10">
        <f>'Parametros'!$B$5*V537*'Parametros'!$B$3*(U537-(V537*'Parametros'!$B$3/(0.85*'Parametros'!$B$2*H537))/2)/1000000</f>
        <v>210.416288188235</v>
      </c>
      <c r="X537" s="10" t="str">
        <f>IF(W537&gt;=J537,"CUMPLE","NO CUMPLE")</f>
        <v>CUMPLE</v>
      </c>
      <c r="Y537" s="10">
        <f>MAX(MAX(1.4/'Parametros'!$B$3,0.25*SQRT('Parametros'!$B$2)/'Parametros'!$B$3)*H537*AB537,(0.85*'Parametros'!$B$2/'Parametros'!$B$3)*(1-SQRT(1-2*(L537*1000000/('Parametros'!$B$5*H537*AB537^2))/(0.85*'Parametros'!$B$2)))*H537*AB537)</f>
        <v>656.733333333333</v>
      </c>
      <c r="Z537" s="17" t="n">
        <v>4</v>
      </c>
      <c r="AA537" s="18" t="n">
        <v>1</v>
      </c>
      <c r="AB537" s="10">
        <f>IF(AA537=1,I537-('Parametros'!$B$7+'Parametros'!$B$9+'Parametros'!$B$12/2),I537-(ROUNDUP(Z537/2,0)*('Parametros'!$B$7+'Parametros'!$B$9+'Parametros'!$B$12/2)+ROUNDDOWN(Z537/2,0)*('Parametros'!$B$7+'Parametros'!$B$9+'Parametros'!$B$12/2+'Parametros'!$B$12+'Parametros'!$B$10))/Z537)</f>
        <v>492.55</v>
      </c>
      <c r="AC537" s="10">
        <f>Z537*'Parametros'!$B$8</f>
        <v>796</v>
      </c>
      <c r="AD537" s="10">
        <f>'Parametros'!$B$5*AC537*'Parametros'!$B$3*(AB537-(AC537*'Parametros'!$B$3/(0.85*'Parametros'!$B$2*H537))/2)/1000000</f>
        <v>142.919145105882</v>
      </c>
      <c r="AE537" s="10" t="str">
        <f>IF(AD537&gt;=L537,"CUMPLE","NO CUMPLE")</f>
        <v>CUMPLE</v>
      </c>
      <c r="AF537" s="10">
        <f>V537*1.25*'Parametros'!$B$3*(U537-(V537*1.25*'Parametros'!$B$3/(0.85*'Parametros'!$B$2*H537))/2)/1000000</f>
        <v>288.117314007353</v>
      </c>
      <c r="AG537" s="10">
        <f>AC537*1.25*'Parametros'!$B$3*(AB537-(AC537*1.25*'Parametros'!$B$3/(0.85*'Parametros'!$B$2*H537))/2)/1000000</f>
        <v>196.664354558824</v>
      </c>
      <c r="AH537" s="10">
        <f>N537+(AF537+AG537)/D537</f>
        <v>360.160487910068</v>
      </c>
      <c r="AI537" s="10">
        <f>MIN(O537,MAX(N537,AH537))</f>
        <v>173.706</v>
      </c>
      <c r="AJ537" s="10">
        <f>0.17*SQRT('Parametros'!$B$2)*H537*MIN(U537,AB537)/1000</f>
        <v>177.230413924022</v>
      </c>
      <c r="AK537" s="10">
        <f>MAX(AI537/'Parametros'!$B$6-AJ537,0)</f>
        <v>54.3775860759785</v>
      </c>
      <c r="AL537" s="10">
        <f>0.66*SQRT('Parametros'!$B$2)*H537*MIN(U537,AB537)/1000</f>
        <v>688.071018763848</v>
      </c>
      <c r="AM537" s="10" t="str">
        <f>IF(AK537&lt;=AL537,"CUMPLE","NO CUMPLE")</f>
        <v>CUMPLE</v>
      </c>
      <c r="AN537" s="15" t="inlineStr">
        <is>
          <t>Nº3 cerrado</t>
        </is>
      </c>
      <c r="AO537" s="17" t="n">
        <v>2</v>
      </c>
      <c r="AP537" s="10">
        <f>ROUNDDOWN(MIN(IF(AK537=0,1000000000,AO537*'Parametros'!$B$11*'Parametros'!$B$4*MIN(U537,AB537)/(AK537*1000)),IF(AV537=0,1000000000,'Parametros'!$B$11/AV537),MIN(U537,AB537)/4,8*'Parametros'!$B$12,24*'Parametros'!$B$9,300)/10,0)*10</f>
        <v>120</v>
      </c>
      <c r="AQ537" s="10">
        <f>ROUNDDOWN(MIN(IF(AK537=0,1000000000,AO537*'Parametros'!$B$11*'Parametros'!$B$4*MIN(U537,AB537)/(AK537*1000)),IF(AV537=0,1000000000,'Parametros'!$B$11/AV537),MIN(U537,AB537)/2,600)/10,0)*10</f>
        <v>240</v>
      </c>
      <c r="AR537" s="10">
        <f>'Parametros'!$B$6*(AJ537+AO537*'Parametros'!$B$11*'Parametros'!$B$4*MIN(U537,AB537)/AP537/1000)</f>
        <v>316.520822943016</v>
      </c>
      <c r="AS537" s="10" t="str">
        <f>IF(AND(AM537="CUMPLE",AR537&gt;=AI537),"CUMPLE","NO CUMPLE")</f>
        <v>CUMPLE</v>
      </c>
      <c r="AT537" s="10">
        <f>'Parametros'!$B$6*0.083*SQRT('Parametros'!$B$2)*(H537*I537)^2/(2*(H537+I537))/1000000</f>
        <v>8.39093065800685</v>
      </c>
      <c r="AU537" s="10" t="str">
        <f>IF(Q537&lt;=AT537,"DESPRECIABLE","DISEÑAR")</f>
        <v>DESPRECIABLE</v>
      </c>
      <c r="AV537" s="10">
        <f>IF(Q537&lt;=AT537,0,Q537*1000000/('Parametros'!$B$6*2*0.85*(H537-2*'Parametros'!$B$7)*(I537-2*'Parametros'!$B$7)*'Parametros'!$B$4))</f>
        <v>0</v>
      </c>
      <c r="AW537" s="10">
        <f>AV537*2*((H537-2*'Parametros'!$B$7)+(I537-2*'Parametros'!$B$7))*'Parametros'!$B$4/'Parametros'!$B$3</f>
        <v>0</v>
      </c>
      <c r="AX537" s="17" t="n">
        <v>0</v>
      </c>
      <c r="AY537" s="10" t="str">
        <f>IF(AV537=0,"DESPRECIABLE",IF('Parametros'!$B$11/AP537&gt;=AV537,"CUMPLE","NO CUMPLE"))</f>
        <v>DESPRECIABLE</v>
      </c>
      <c r="AZ537" s="10" t="str">
        <f>IF(AND(X537="CUMPLE",AE537="CUMPLE",AS537="CUMPLE",OR(AY537="CUMPLE",AY537="DESPRECIABLE")),IF(OR(F537&lt;&gt;H537,G537&lt;&gt;I537),"CUMPLE - REANALIZAR SAP","CUMPLE"),"NO CUMPLE")</f>
        <v>CUMPLE - REANALIZAR SAP</v>
      </c>
    </row>
    <row r="538">
      <c r="A538" s="27" t="inlineStr">
        <is>
          <t>VR3</t>
        </is>
      </c>
      <c r="B538" s="27" t="inlineStr">
        <is>
          <t>971</t>
        </is>
      </c>
      <c r="C538" s="10" t="n">
        <v>1</v>
      </c>
      <c r="D538" s="10" t="n">
        <v>2.5</v>
      </c>
      <c r="E538" s="10" t="n">
        <v>2.5</v>
      </c>
      <c r="F538" s="10" t="n">
        <v>350</v>
      </c>
      <c r="G538" s="10" t="n">
        <v>400</v>
      </c>
      <c r="H538" s="28" t="n">
        <v>400</v>
      </c>
      <c r="I538" s="28" t="n">
        <v>550</v>
      </c>
      <c r="J538" s="16" t="n">
        <v>48.9491</v>
      </c>
      <c r="K538" s="10" t="inlineStr">
        <is>
          <t>971</t>
        </is>
      </c>
      <c r="L538" s="16" t="n">
        <v>6.7529</v>
      </c>
      <c r="M538" s="10" t="inlineStr">
        <is>
          <t>971</t>
        </is>
      </c>
      <c r="N538" s="16" t="n">
        <v>45.241</v>
      </c>
      <c r="O538" s="16" t="n">
        <v>92.883</v>
      </c>
      <c r="P538" s="10" t="inlineStr">
        <is>
          <t>971</t>
        </is>
      </c>
      <c r="Q538" s="16" t="n">
        <v>0.0282</v>
      </c>
      <c r="R538" s="10">
        <f>MAX(MAX(1.4/'Parametros'!$B$3,0.25*SQRT('Parametros'!$B$2)/'Parametros'!$B$3)*H538*U538,(0.85*'Parametros'!$B$2/'Parametros'!$B$3)*(1-SQRT(1-2*(J538*1000000/('Parametros'!$B$5*H538*U538^2))/(0.85*'Parametros'!$B$2)))*H538*U538)</f>
        <v>656.733333333333</v>
      </c>
      <c r="S538" s="17" t="n">
        <v>4</v>
      </c>
      <c r="T538" s="18" t="n">
        <v>1</v>
      </c>
      <c r="U538" s="10">
        <f>IF(T538=1,I538-('Parametros'!$B$7+'Parametros'!$B$9+'Parametros'!$B$12/2),I538-(ROUNDUP(S538/2,0)*('Parametros'!$B$7+'Parametros'!$B$9+'Parametros'!$B$12/2)+ROUNDDOWN(S538/2,0)*('Parametros'!$B$7+'Parametros'!$B$9+'Parametros'!$B$12/2+'Parametros'!$B$12+'Parametros'!$B$10))/S538)</f>
        <v>492.55</v>
      </c>
      <c r="V538" s="10">
        <f>S538*'Parametros'!$B$8</f>
        <v>796</v>
      </c>
      <c r="W538" s="10">
        <f>'Parametros'!$B$5*V538*'Parametros'!$B$3*(U538-(V538*'Parametros'!$B$3/(0.85*'Parametros'!$B$2*H538))/2)/1000000</f>
        <v>142.919145105882</v>
      </c>
      <c r="X538" s="10" t="str">
        <f>IF(W538&gt;=J538,"CUMPLE","NO CUMPLE")</f>
        <v>CUMPLE</v>
      </c>
      <c r="Y538" s="10">
        <f>MAX(MAX(1.4/'Parametros'!$B$3,0.25*SQRT('Parametros'!$B$2)/'Parametros'!$B$3)*H538*AB538,(0.85*'Parametros'!$B$2/'Parametros'!$B$3)*(1-SQRT(1-2*(L538*1000000/('Parametros'!$B$5*H538*AB538^2))/(0.85*'Parametros'!$B$2)))*H538*AB538)</f>
        <v>656.733333333333</v>
      </c>
      <c r="Z538" s="17" t="n">
        <v>4</v>
      </c>
      <c r="AA538" s="18" t="n">
        <v>1</v>
      </c>
      <c r="AB538" s="10">
        <f>IF(AA538=1,I538-('Parametros'!$B$7+'Parametros'!$B$9+'Parametros'!$B$12/2),I538-(ROUNDUP(Z538/2,0)*('Parametros'!$B$7+'Parametros'!$B$9+'Parametros'!$B$12/2)+ROUNDDOWN(Z538/2,0)*('Parametros'!$B$7+'Parametros'!$B$9+'Parametros'!$B$12/2+'Parametros'!$B$12+'Parametros'!$B$10))/Z538)</f>
        <v>492.55</v>
      </c>
      <c r="AC538" s="10">
        <f>Z538*'Parametros'!$B$8</f>
        <v>796</v>
      </c>
      <c r="AD538" s="10">
        <f>'Parametros'!$B$5*AC538*'Parametros'!$B$3*(AB538-(AC538*'Parametros'!$B$3/(0.85*'Parametros'!$B$2*H538))/2)/1000000</f>
        <v>142.919145105882</v>
      </c>
      <c r="AE538" s="10" t="str">
        <f>IF(AD538&gt;=L538,"CUMPLE","NO CUMPLE")</f>
        <v>CUMPLE</v>
      </c>
      <c r="AF538" s="10">
        <f>V538*1.25*'Parametros'!$B$3*(U538-(V538*1.25*'Parametros'!$B$3/(0.85*'Parametros'!$B$2*H538))/2)/1000000</f>
        <v>196.664354558824</v>
      </c>
      <c r="AG538" s="10">
        <f>AC538*1.25*'Parametros'!$B$3*(AB538-(AC538*1.25*'Parametros'!$B$3/(0.85*'Parametros'!$B$2*H538))/2)/1000000</f>
        <v>196.664354558824</v>
      </c>
      <c r="AH538" s="10">
        <f>N538+(AF538+AG538)/D538</f>
        <v>202.572483647059</v>
      </c>
      <c r="AI538" s="10">
        <f>MIN(O538,MAX(N538,AH538))</f>
        <v>92.883</v>
      </c>
      <c r="AJ538" s="10">
        <f>0.17*SQRT('Parametros'!$B$2)*H538*MIN(U538,AB538)/1000</f>
        <v>177.230413924022</v>
      </c>
      <c r="AK538" s="10">
        <f>MAX(AI538/'Parametros'!$B$6-AJ538,0)</f>
        <v>0</v>
      </c>
      <c r="AL538" s="10">
        <f>0.66*SQRT('Parametros'!$B$2)*H538*MIN(U538,AB538)/1000</f>
        <v>688.071018763848</v>
      </c>
      <c r="AM538" s="10" t="str">
        <f>IF(AK538&lt;=AL538,"CUMPLE","NO CUMPLE")</f>
        <v>CUMPLE</v>
      </c>
      <c r="AN538" s="15" t="inlineStr">
        <is>
          <t>Nº3 cerrado</t>
        </is>
      </c>
      <c r="AO538" s="17" t="n">
        <v>2</v>
      </c>
      <c r="AP538" s="10">
        <f>ROUNDDOWN(MIN(IF(AK538=0,1000000000,AO538*'Parametros'!$B$11*'Parametros'!$B$4*MIN(U538,AB538)/(AK538*1000)),IF(AV538=0,1000000000,'Parametros'!$B$11/AV538),MIN(U538,AB538)/4,8*'Parametros'!$B$12,24*'Parametros'!$B$9,300)/10,0)*10</f>
        <v>120</v>
      </c>
      <c r="AQ538" s="10">
        <f>ROUNDDOWN(MIN(IF(AK538=0,1000000000,AO538*'Parametros'!$B$11*'Parametros'!$B$4*MIN(U538,AB538)/(AK538*1000)),IF(AV538=0,1000000000,'Parametros'!$B$11/AV538),MIN(U538,AB538)/2,600)/10,0)*10</f>
        <v>240</v>
      </c>
      <c r="AR538" s="10">
        <f>'Parametros'!$B$6*(AJ538+AO538*'Parametros'!$B$11*'Parametros'!$B$4*MIN(U538,AB538)/AP538/1000)</f>
        <v>316.520822943016</v>
      </c>
      <c r="AS538" s="10" t="str">
        <f>IF(AND(AM538="CUMPLE",AR538&gt;=AI538),"CUMPLE","NO CUMPLE")</f>
        <v>CUMPLE</v>
      </c>
      <c r="AT538" s="10">
        <f>'Parametros'!$B$6*0.083*SQRT('Parametros'!$B$2)*(H538*I538)^2/(2*(H538+I538))/1000000</f>
        <v>8.39093065800685</v>
      </c>
      <c r="AU538" s="10" t="str">
        <f>IF(Q538&lt;=AT538,"DESPRECIABLE","DISEÑAR")</f>
        <v>DESPRECIABLE</v>
      </c>
      <c r="AV538" s="10">
        <f>IF(Q538&lt;=AT538,0,Q538*1000000/('Parametros'!$B$6*2*0.85*(H538-2*'Parametros'!$B$7)*(I538-2*'Parametros'!$B$7)*'Parametros'!$B$4))</f>
        <v>0</v>
      </c>
      <c r="AW538" s="10">
        <f>AV538*2*((H538-2*'Parametros'!$B$7)+(I538-2*'Parametros'!$B$7))*'Parametros'!$B$4/'Parametros'!$B$3</f>
        <v>0</v>
      </c>
      <c r="AX538" s="17" t="n">
        <v>0</v>
      </c>
      <c r="AY538" s="10" t="str">
        <f>IF(AV538=0,"DESPRECIABLE",IF('Parametros'!$B$11/AP538&gt;=AV538,"CUMPLE","NO CUMPLE"))</f>
        <v>DESPRECIABLE</v>
      </c>
      <c r="AZ538" s="10" t="str">
        <f>IF(AND(X538="CUMPLE",AE538="CUMPLE",AS538="CUMPLE",OR(AY538="CUMPLE",AY538="DESPRECIABLE")),IF(OR(F538&lt;&gt;H538,G538&lt;&gt;I538),"CUMPLE - REANALIZAR SAP","CUMPLE"),"NO CUMPLE")</f>
        <v>CUMPLE - REANALIZAR SAP</v>
      </c>
    </row>
    <row r="539">
      <c r="A539" s="27" t="inlineStr">
        <is>
          <t>VR3</t>
        </is>
      </c>
      <c r="B539" s="27" t="inlineStr">
        <is>
          <t>972</t>
        </is>
      </c>
      <c r="C539" s="10" t="n">
        <v>1</v>
      </c>
      <c r="D539" s="10" t="n">
        <v>4</v>
      </c>
      <c r="E539" s="10" t="n">
        <v>4</v>
      </c>
      <c r="F539" s="10" t="n">
        <v>350</v>
      </c>
      <c r="G539" s="10" t="n">
        <v>400</v>
      </c>
      <c r="H539" s="28" t="n">
        <v>400</v>
      </c>
      <c r="I539" s="28" t="n">
        <v>550</v>
      </c>
      <c r="J539" s="16" t="n">
        <v>62.1824</v>
      </c>
      <c r="K539" s="10" t="inlineStr">
        <is>
          <t>972</t>
        </is>
      </c>
      <c r="L539" s="16" t="n">
        <v>20.462</v>
      </c>
      <c r="M539" s="10" t="inlineStr">
        <is>
          <t>972</t>
        </is>
      </c>
      <c r="N539" s="16" t="n">
        <v>57.889</v>
      </c>
      <c r="O539" s="16" t="n">
        <v>98.682</v>
      </c>
      <c r="P539" s="10" t="inlineStr">
        <is>
          <t>972</t>
        </is>
      </c>
      <c r="Q539" s="16" t="n">
        <v>0.1605</v>
      </c>
      <c r="R539" s="10">
        <f>MAX(MAX(1.4/'Parametros'!$B$3,0.25*SQRT('Parametros'!$B$2)/'Parametros'!$B$3)*H539*U539,(0.85*'Parametros'!$B$2/'Parametros'!$B$3)*(1-SQRT(1-2*(J539*1000000/('Parametros'!$B$5*H539*U539^2))/(0.85*'Parametros'!$B$2)))*H539*U539)</f>
        <v>656.733333333333</v>
      </c>
      <c r="S539" s="17" t="n">
        <v>4</v>
      </c>
      <c r="T539" s="18" t="n">
        <v>1</v>
      </c>
      <c r="U539" s="10">
        <f>IF(T539=1,I539-('Parametros'!$B$7+'Parametros'!$B$9+'Parametros'!$B$12/2),I539-(ROUNDUP(S539/2,0)*('Parametros'!$B$7+'Parametros'!$B$9+'Parametros'!$B$12/2)+ROUNDDOWN(S539/2,0)*('Parametros'!$B$7+'Parametros'!$B$9+'Parametros'!$B$12/2+'Parametros'!$B$12+'Parametros'!$B$10))/S539)</f>
        <v>492.55</v>
      </c>
      <c r="V539" s="10">
        <f>S539*'Parametros'!$B$8</f>
        <v>796</v>
      </c>
      <c r="W539" s="10">
        <f>'Parametros'!$B$5*V539*'Parametros'!$B$3*(U539-(V539*'Parametros'!$B$3/(0.85*'Parametros'!$B$2*H539))/2)/1000000</f>
        <v>142.919145105882</v>
      </c>
      <c r="X539" s="10" t="str">
        <f>IF(W539&gt;=J539,"CUMPLE","NO CUMPLE")</f>
        <v>CUMPLE</v>
      </c>
      <c r="Y539" s="10">
        <f>MAX(MAX(1.4/'Parametros'!$B$3,0.25*SQRT('Parametros'!$B$2)/'Parametros'!$B$3)*H539*AB539,(0.85*'Parametros'!$B$2/'Parametros'!$B$3)*(1-SQRT(1-2*(L539*1000000/('Parametros'!$B$5*H539*AB539^2))/(0.85*'Parametros'!$B$2)))*H539*AB539)</f>
        <v>656.733333333333</v>
      </c>
      <c r="Z539" s="17" t="n">
        <v>4</v>
      </c>
      <c r="AA539" s="18" t="n">
        <v>1</v>
      </c>
      <c r="AB539" s="10">
        <f>IF(AA539=1,I539-('Parametros'!$B$7+'Parametros'!$B$9+'Parametros'!$B$12/2),I539-(ROUNDUP(Z539/2,0)*('Parametros'!$B$7+'Parametros'!$B$9+'Parametros'!$B$12/2)+ROUNDDOWN(Z539/2,0)*('Parametros'!$B$7+'Parametros'!$B$9+'Parametros'!$B$12/2+'Parametros'!$B$12+'Parametros'!$B$10))/Z539)</f>
        <v>492.55</v>
      </c>
      <c r="AC539" s="10">
        <f>Z539*'Parametros'!$B$8</f>
        <v>796</v>
      </c>
      <c r="AD539" s="10">
        <f>'Parametros'!$B$5*AC539*'Parametros'!$B$3*(AB539-(AC539*'Parametros'!$B$3/(0.85*'Parametros'!$B$2*H539))/2)/1000000</f>
        <v>142.919145105882</v>
      </c>
      <c r="AE539" s="10" t="str">
        <f>IF(AD539&gt;=L539,"CUMPLE","NO CUMPLE")</f>
        <v>CUMPLE</v>
      </c>
      <c r="AF539" s="10">
        <f>V539*1.25*'Parametros'!$B$3*(U539-(V539*1.25*'Parametros'!$B$3/(0.85*'Parametros'!$B$2*H539))/2)/1000000</f>
        <v>196.664354558824</v>
      </c>
      <c r="AG539" s="10">
        <f>AC539*1.25*'Parametros'!$B$3*(AB539-(AC539*1.25*'Parametros'!$B$3/(0.85*'Parametros'!$B$2*H539))/2)/1000000</f>
        <v>196.664354558824</v>
      </c>
      <c r="AH539" s="10">
        <f>N539+(AF539+AG539)/D539</f>
        <v>156.221177279412</v>
      </c>
      <c r="AI539" s="10">
        <f>MIN(O539,MAX(N539,AH539))</f>
        <v>98.682</v>
      </c>
      <c r="AJ539" s="10">
        <f>0.17*SQRT('Parametros'!$B$2)*H539*MIN(U539,AB539)/1000</f>
        <v>177.230413924022</v>
      </c>
      <c r="AK539" s="10">
        <f>MAX(AI539/'Parametros'!$B$6-AJ539,0)</f>
        <v>0</v>
      </c>
      <c r="AL539" s="10">
        <f>0.66*SQRT('Parametros'!$B$2)*H539*MIN(U539,AB539)/1000</f>
        <v>688.071018763848</v>
      </c>
      <c r="AM539" s="10" t="str">
        <f>IF(AK539&lt;=AL539,"CUMPLE","NO CUMPLE")</f>
        <v>CUMPLE</v>
      </c>
      <c r="AN539" s="15" t="inlineStr">
        <is>
          <t>Nº3 cerrado</t>
        </is>
      </c>
      <c r="AO539" s="17" t="n">
        <v>2</v>
      </c>
      <c r="AP539" s="10">
        <f>ROUNDDOWN(MIN(IF(AK539=0,1000000000,AO539*'Parametros'!$B$11*'Parametros'!$B$4*MIN(U539,AB539)/(AK539*1000)),IF(AV539=0,1000000000,'Parametros'!$B$11/AV539),MIN(U539,AB539)/4,8*'Parametros'!$B$12,24*'Parametros'!$B$9,300)/10,0)*10</f>
        <v>120</v>
      </c>
      <c r="AQ539" s="10">
        <f>ROUNDDOWN(MIN(IF(AK539=0,1000000000,AO539*'Parametros'!$B$11*'Parametros'!$B$4*MIN(U539,AB539)/(AK539*1000)),IF(AV539=0,1000000000,'Parametros'!$B$11/AV539),MIN(U539,AB539)/2,600)/10,0)*10</f>
        <v>240</v>
      </c>
      <c r="AR539" s="10">
        <f>'Parametros'!$B$6*(AJ539+AO539*'Parametros'!$B$11*'Parametros'!$B$4*MIN(U539,AB539)/AP539/1000)</f>
        <v>316.520822943016</v>
      </c>
      <c r="AS539" s="10" t="str">
        <f>IF(AND(AM539="CUMPLE",AR539&gt;=AI539),"CUMPLE","NO CUMPLE")</f>
        <v>CUMPLE</v>
      </c>
      <c r="AT539" s="10">
        <f>'Parametros'!$B$6*0.083*SQRT('Parametros'!$B$2)*(H539*I539)^2/(2*(H539+I539))/1000000</f>
        <v>8.39093065800685</v>
      </c>
      <c r="AU539" s="10" t="str">
        <f>IF(Q539&lt;=AT539,"DESPRECIABLE","DISEÑAR")</f>
        <v>DESPRECIABLE</v>
      </c>
      <c r="AV539" s="10">
        <f>IF(Q539&lt;=AT539,0,Q539*1000000/('Parametros'!$B$6*2*0.85*(H539-2*'Parametros'!$B$7)*(I539-2*'Parametros'!$B$7)*'Parametros'!$B$4))</f>
        <v>0</v>
      </c>
      <c r="AW539" s="10">
        <f>AV539*2*((H539-2*'Parametros'!$B$7)+(I539-2*'Parametros'!$B$7))*'Parametros'!$B$4/'Parametros'!$B$3</f>
        <v>0</v>
      </c>
      <c r="AX539" s="17" t="n">
        <v>0</v>
      </c>
      <c r="AY539" s="10" t="str">
        <f>IF(AV539=0,"DESPRECIABLE",IF('Parametros'!$B$11/AP539&gt;=AV539,"CUMPLE","NO CUMPLE"))</f>
        <v>DESPRECIABLE</v>
      </c>
      <c r="AZ539" s="10" t="str">
        <f>IF(AND(X539="CUMPLE",AE539="CUMPLE",AS539="CUMPLE",OR(AY539="CUMPLE",AY539="DESPRECIABLE")),IF(OR(F539&lt;&gt;H539,G539&lt;&gt;I539),"CUMPLE - REANALIZAR SAP","CUMPLE"),"NO CUMPLE")</f>
        <v>CUMPLE - REANALIZAR SAP</v>
      </c>
    </row>
    <row r="540">
      <c r="A540" s="27" t="inlineStr">
        <is>
          <t>VR3</t>
        </is>
      </c>
      <c r="B540" s="27" t="inlineStr">
        <is>
          <t>973</t>
        </is>
      </c>
      <c r="C540" s="10" t="n">
        <v>1</v>
      </c>
      <c r="D540" s="10" t="n">
        <v>2.8</v>
      </c>
      <c r="E540" s="10" t="n">
        <v>2.8</v>
      </c>
      <c r="F540" s="10" t="n">
        <v>350</v>
      </c>
      <c r="G540" s="10" t="n">
        <v>400</v>
      </c>
      <c r="H540" s="28" t="n">
        <v>400</v>
      </c>
      <c r="I540" s="28" t="n">
        <v>550</v>
      </c>
      <c r="J540" s="16" t="n">
        <v>43.1873</v>
      </c>
      <c r="K540" s="10" t="inlineStr">
        <is>
          <t>973</t>
        </is>
      </c>
      <c r="L540" s="16" t="n">
        <v>18.1329</v>
      </c>
      <c r="M540" s="10" t="inlineStr">
        <is>
          <t>973</t>
        </is>
      </c>
      <c r="N540" s="16" t="n">
        <v>50.715</v>
      </c>
      <c r="O540" s="16" t="n">
        <v>67.72</v>
      </c>
      <c r="P540" s="10" t="inlineStr">
        <is>
          <t>973</t>
        </is>
      </c>
      <c r="Q540" s="16" t="n">
        <v>0.0006121</v>
      </c>
      <c r="R540" s="10">
        <f>MAX(MAX(1.4/'Parametros'!$B$3,0.25*SQRT('Parametros'!$B$2)/'Parametros'!$B$3)*H540*U540,(0.85*'Parametros'!$B$2/'Parametros'!$B$3)*(1-SQRT(1-2*(J540*1000000/('Parametros'!$B$5*H540*U540^2))/(0.85*'Parametros'!$B$2)))*H540*U540)</f>
        <v>656.733333333333</v>
      </c>
      <c r="S540" s="17" t="n">
        <v>4</v>
      </c>
      <c r="T540" s="18" t="n">
        <v>1</v>
      </c>
      <c r="U540" s="10">
        <f>IF(T540=1,I540-('Parametros'!$B$7+'Parametros'!$B$9+'Parametros'!$B$12/2),I540-(ROUNDUP(S540/2,0)*('Parametros'!$B$7+'Parametros'!$B$9+'Parametros'!$B$12/2)+ROUNDDOWN(S540/2,0)*('Parametros'!$B$7+'Parametros'!$B$9+'Parametros'!$B$12/2+'Parametros'!$B$12+'Parametros'!$B$10))/S540)</f>
        <v>492.55</v>
      </c>
      <c r="V540" s="10">
        <f>S540*'Parametros'!$B$8</f>
        <v>796</v>
      </c>
      <c r="W540" s="10">
        <f>'Parametros'!$B$5*V540*'Parametros'!$B$3*(U540-(V540*'Parametros'!$B$3/(0.85*'Parametros'!$B$2*H540))/2)/1000000</f>
        <v>142.919145105882</v>
      </c>
      <c r="X540" s="10" t="str">
        <f>IF(W540&gt;=J540,"CUMPLE","NO CUMPLE")</f>
        <v>CUMPLE</v>
      </c>
      <c r="Y540" s="10">
        <f>MAX(MAX(1.4/'Parametros'!$B$3,0.25*SQRT('Parametros'!$B$2)/'Parametros'!$B$3)*H540*AB540,(0.85*'Parametros'!$B$2/'Parametros'!$B$3)*(1-SQRT(1-2*(L540*1000000/('Parametros'!$B$5*H540*AB540^2))/(0.85*'Parametros'!$B$2)))*H540*AB540)</f>
        <v>656.733333333333</v>
      </c>
      <c r="Z540" s="17" t="n">
        <v>4</v>
      </c>
      <c r="AA540" s="18" t="n">
        <v>1</v>
      </c>
      <c r="AB540" s="10">
        <f>IF(AA540=1,I540-('Parametros'!$B$7+'Parametros'!$B$9+'Parametros'!$B$12/2),I540-(ROUNDUP(Z540/2,0)*('Parametros'!$B$7+'Parametros'!$B$9+'Parametros'!$B$12/2)+ROUNDDOWN(Z540/2,0)*('Parametros'!$B$7+'Parametros'!$B$9+'Parametros'!$B$12/2+'Parametros'!$B$12+'Parametros'!$B$10))/Z540)</f>
        <v>492.55</v>
      </c>
      <c r="AC540" s="10">
        <f>Z540*'Parametros'!$B$8</f>
        <v>796</v>
      </c>
      <c r="AD540" s="10">
        <f>'Parametros'!$B$5*AC540*'Parametros'!$B$3*(AB540-(AC540*'Parametros'!$B$3/(0.85*'Parametros'!$B$2*H540))/2)/1000000</f>
        <v>142.919145105882</v>
      </c>
      <c r="AE540" s="10" t="str">
        <f>IF(AD540&gt;=L540,"CUMPLE","NO CUMPLE")</f>
        <v>CUMPLE</v>
      </c>
      <c r="AF540" s="10">
        <f>V540*1.25*'Parametros'!$B$3*(U540-(V540*1.25*'Parametros'!$B$3/(0.85*'Parametros'!$B$2*H540))/2)/1000000</f>
        <v>196.664354558824</v>
      </c>
      <c r="AG540" s="10">
        <f>AC540*1.25*'Parametros'!$B$3*(AB540-(AC540*1.25*'Parametros'!$B$3/(0.85*'Parametros'!$B$2*H540))/2)/1000000</f>
        <v>196.664354558824</v>
      </c>
      <c r="AH540" s="10">
        <f>N540+(AF540+AG540)/D540</f>
        <v>191.189538970588</v>
      </c>
      <c r="AI540" s="10">
        <f>MIN(O540,MAX(N540,AH540))</f>
        <v>67.72</v>
      </c>
      <c r="AJ540" s="10">
        <f>0.17*SQRT('Parametros'!$B$2)*H540*MIN(U540,AB540)/1000</f>
        <v>177.230413924022</v>
      </c>
      <c r="AK540" s="10">
        <f>MAX(AI540/'Parametros'!$B$6-AJ540,0)</f>
        <v>0</v>
      </c>
      <c r="AL540" s="10">
        <f>0.66*SQRT('Parametros'!$B$2)*H540*MIN(U540,AB540)/1000</f>
        <v>688.071018763848</v>
      </c>
      <c r="AM540" s="10" t="str">
        <f>IF(AK540&lt;=AL540,"CUMPLE","NO CUMPLE")</f>
        <v>CUMPLE</v>
      </c>
      <c r="AN540" s="15" t="inlineStr">
        <is>
          <t>Nº3 cerrado</t>
        </is>
      </c>
      <c r="AO540" s="17" t="n">
        <v>2</v>
      </c>
      <c r="AP540" s="10">
        <f>ROUNDDOWN(MIN(IF(AK540=0,1000000000,AO540*'Parametros'!$B$11*'Parametros'!$B$4*MIN(U540,AB540)/(AK540*1000)),IF(AV540=0,1000000000,'Parametros'!$B$11/AV540),MIN(U540,AB540)/4,8*'Parametros'!$B$12,24*'Parametros'!$B$9,300)/10,0)*10</f>
        <v>120</v>
      </c>
      <c r="AQ540" s="10">
        <f>ROUNDDOWN(MIN(IF(AK540=0,1000000000,AO540*'Parametros'!$B$11*'Parametros'!$B$4*MIN(U540,AB540)/(AK540*1000)),IF(AV540=0,1000000000,'Parametros'!$B$11/AV540),MIN(U540,AB540)/2,600)/10,0)*10</f>
        <v>240</v>
      </c>
      <c r="AR540" s="10">
        <f>'Parametros'!$B$6*(AJ540+AO540*'Parametros'!$B$11*'Parametros'!$B$4*MIN(U540,AB540)/AP540/1000)</f>
        <v>316.520822943016</v>
      </c>
      <c r="AS540" s="10" t="str">
        <f>IF(AND(AM540="CUMPLE",AR540&gt;=AI540),"CUMPLE","NO CUMPLE")</f>
        <v>CUMPLE</v>
      </c>
      <c r="AT540" s="10">
        <f>'Parametros'!$B$6*0.083*SQRT('Parametros'!$B$2)*(H540*I540)^2/(2*(H540+I540))/1000000</f>
        <v>8.39093065800685</v>
      </c>
      <c r="AU540" s="10" t="str">
        <f>IF(Q540&lt;=AT540,"DESPRECIABLE","DISEÑAR")</f>
        <v>DESPRECIABLE</v>
      </c>
      <c r="AV540" s="10">
        <f>IF(Q540&lt;=AT540,0,Q540*1000000/('Parametros'!$B$6*2*0.85*(H540-2*'Parametros'!$B$7)*(I540-2*'Parametros'!$B$7)*'Parametros'!$B$4))</f>
        <v>0</v>
      </c>
      <c r="AW540" s="10">
        <f>AV540*2*((H540-2*'Parametros'!$B$7)+(I540-2*'Parametros'!$B$7))*'Parametros'!$B$4/'Parametros'!$B$3</f>
        <v>0</v>
      </c>
      <c r="AX540" s="17" t="n">
        <v>0</v>
      </c>
      <c r="AY540" s="10" t="str">
        <f>IF(AV540=0,"DESPRECIABLE",IF('Parametros'!$B$11/AP540&gt;=AV540,"CUMPLE","NO CUMPLE"))</f>
        <v>DESPRECIABLE</v>
      </c>
      <c r="AZ540" s="10" t="str">
        <f>IF(AND(X540="CUMPLE",AE540="CUMPLE",AS540="CUMPLE",OR(AY540="CUMPLE",AY540="DESPRECIABLE")),IF(OR(F540&lt;&gt;H540,G540&lt;&gt;I540),"CUMPLE - REANALIZAR SAP","CUMPLE"),"NO CUMPLE")</f>
        <v>CUMPLE - REANALIZAR SAP</v>
      </c>
    </row>
    <row r="541">
      <c r="A541" s="27" t="inlineStr">
        <is>
          <t>VR3</t>
        </is>
      </c>
      <c r="B541" s="27" t="inlineStr">
        <is>
          <t>974</t>
        </is>
      </c>
      <c r="C541" s="10" t="n">
        <v>1</v>
      </c>
      <c r="D541" s="10" t="n">
        <v>2.7</v>
      </c>
      <c r="E541" s="10" t="n">
        <v>2.7</v>
      </c>
      <c r="F541" s="10" t="n">
        <v>350</v>
      </c>
      <c r="G541" s="10" t="n">
        <v>400</v>
      </c>
      <c r="H541" s="28" t="n">
        <v>400</v>
      </c>
      <c r="I541" s="28" t="n">
        <v>550</v>
      </c>
      <c r="J541" s="16" t="n">
        <v>42.7399</v>
      </c>
      <c r="K541" s="10" t="inlineStr">
        <is>
          <t>974</t>
        </is>
      </c>
      <c r="L541" s="16" t="n">
        <v>17.7055</v>
      </c>
      <c r="M541" s="10" t="inlineStr">
        <is>
          <t>974</t>
        </is>
      </c>
      <c r="N541" s="16" t="n">
        <v>50.052</v>
      </c>
      <c r="O541" s="16" t="n">
        <v>67.121</v>
      </c>
      <c r="P541" s="10" t="inlineStr">
        <is>
          <t>974</t>
        </is>
      </c>
      <c r="Q541" s="16" t="n">
        <v>0.0006121</v>
      </c>
      <c r="R541" s="10">
        <f>MAX(MAX(1.4/'Parametros'!$B$3,0.25*SQRT('Parametros'!$B$2)/'Parametros'!$B$3)*H541*U541,(0.85*'Parametros'!$B$2/'Parametros'!$B$3)*(1-SQRT(1-2*(J541*1000000/('Parametros'!$B$5*H541*U541^2))/(0.85*'Parametros'!$B$2)))*H541*U541)</f>
        <v>656.733333333333</v>
      </c>
      <c r="S541" s="17" t="n">
        <v>4</v>
      </c>
      <c r="T541" s="18" t="n">
        <v>1</v>
      </c>
      <c r="U541" s="10">
        <f>IF(T541=1,I541-('Parametros'!$B$7+'Parametros'!$B$9+'Parametros'!$B$12/2),I541-(ROUNDUP(S541/2,0)*('Parametros'!$B$7+'Parametros'!$B$9+'Parametros'!$B$12/2)+ROUNDDOWN(S541/2,0)*('Parametros'!$B$7+'Parametros'!$B$9+'Parametros'!$B$12/2+'Parametros'!$B$12+'Parametros'!$B$10))/S541)</f>
        <v>492.55</v>
      </c>
      <c r="V541" s="10">
        <f>S541*'Parametros'!$B$8</f>
        <v>796</v>
      </c>
      <c r="W541" s="10">
        <f>'Parametros'!$B$5*V541*'Parametros'!$B$3*(U541-(V541*'Parametros'!$B$3/(0.85*'Parametros'!$B$2*H541))/2)/1000000</f>
        <v>142.919145105882</v>
      </c>
      <c r="X541" s="10" t="str">
        <f>IF(W541&gt;=J541,"CUMPLE","NO CUMPLE")</f>
        <v>CUMPLE</v>
      </c>
      <c r="Y541" s="10">
        <f>MAX(MAX(1.4/'Parametros'!$B$3,0.25*SQRT('Parametros'!$B$2)/'Parametros'!$B$3)*H541*AB541,(0.85*'Parametros'!$B$2/'Parametros'!$B$3)*(1-SQRT(1-2*(L541*1000000/('Parametros'!$B$5*H541*AB541^2))/(0.85*'Parametros'!$B$2)))*H541*AB541)</f>
        <v>656.733333333333</v>
      </c>
      <c r="Z541" s="17" t="n">
        <v>4</v>
      </c>
      <c r="AA541" s="18" t="n">
        <v>1</v>
      </c>
      <c r="AB541" s="10">
        <f>IF(AA541=1,I541-('Parametros'!$B$7+'Parametros'!$B$9+'Parametros'!$B$12/2),I541-(ROUNDUP(Z541/2,0)*('Parametros'!$B$7+'Parametros'!$B$9+'Parametros'!$B$12/2)+ROUNDDOWN(Z541/2,0)*('Parametros'!$B$7+'Parametros'!$B$9+'Parametros'!$B$12/2+'Parametros'!$B$12+'Parametros'!$B$10))/Z541)</f>
        <v>492.55</v>
      </c>
      <c r="AC541" s="10">
        <f>Z541*'Parametros'!$B$8</f>
        <v>796</v>
      </c>
      <c r="AD541" s="10">
        <f>'Parametros'!$B$5*AC541*'Parametros'!$B$3*(AB541-(AC541*'Parametros'!$B$3/(0.85*'Parametros'!$B$2*H541))/2)/1000000</f>
        <v>142.919145105882</v>
      </c>
      <c r="AE541" s="10" t="str">
        <f>IF(AD541&gt;=L541,"CUMPLE","NO CUMPLE")</f>
        <v>CUMPLE</v>
      </c>
      <c r="AF541" s="10">
        <f>V541*1.25*'Parametros'!$B$3*(U541-(V541*1.25*'Parametros'!$B$3/(0.85*'Parametros'!$B$2*H541))/2)/1000000</f>
        <v>196.664354558824</v>
      </c>
      <c r="AG541" s="10">
        <f>AC541*1.25*'Parametros'!$B$3*(AB541-(AC541*1.25*'Parametros'!$B$3/(0.85*'Parametros'!$B$2*H541))/2)/1000000</f>
        <v>196.664354558824</v>
      </c>
      <c r="AH541" s="10">
        <f>N541+(AF541+AG541)/D541</f>
        <v>195.729299673203</v>
      </c>
      <c r="AI541" s="10">
        <f>MIN(O541,MAX(N541,AH541))</f>
        <v>67.121</v>
      </c>
      <c r="AJ541" s="10">
        <f>0.17*SQRT('Parametros'!$B$2)*H541*MIN(U541,AB541)/1000</f>
        <v>177.230413924022</v>
      </c>
      <c r="AK541" s="10">
        <f>MAX(AI541/'Parametros'!$B$6-AJ541,0)</f>
        <v>0</v>
      </c>
      <c r="AL541" s="10">
        <f>0.66*SQRT('Parametros'!$B$2)*H541*MIN(U541,AB541)/1000</f>
        <v>688.071018763848</v>
      </c>
      <c r="AM541" s="10" t="str">
        <f>IF(AK541&lt;=AL541,"CUMPLE","NO CUMPLE")</f>
        <v>CUMPLE</v>
      </c>
      <c r="AN541" s="15" t="inlineStr">
        <is>
          <t>Nº3 cerrado</t>
        </is>
      </c>
      <c r="AO541" s="17" t="n">
        <v>2</v>
      </c>
      <c r="AP541" s="10">
        <f>ROUNDDOWN(MIN(IF(AK541=0,1000000000,AO541*'Parametros'!$B$11*'Parametros'!$B$4*MIN(U541,AB541)/(AK541*1000)),IF(AV541=0,1000000000,'Parametros'!$B$11/AV541),MIN(U541,AB541)/4,8*'Parametros'!$B$12,24*'Parametros'!$B$9,300)/10,0)*10</f>
        <v>120</v>
      </c>
      <c r="AQ541" s="10">
        <f>ROUNDDOWN(MIN(IF(AK541=0,1000000000,AO541*'Parametros'!$B$11*'Parametros'!$B$4*MIN(U541,AB541)/(AK541*1000)),IF(AV541=0,1000000000,'Parametros'!$B$11/AV541),MIN(U541,AB541)/2,600)/10,0)*10</f>
        <v>240</v>
      </c>
      <c r="AR541" s="10">
        <f>'Parametros'!$B$6*(AJ541+AO541*'Parametros'!$B$11*'Parametros'!$B$4*MIN(U541,AB541)/AP541/1000)</f>
        <v>316.520822943016</v>
      </c>
      <c r="AS541" s="10" t="str">
        <f>IF(AND(AM541="CUMPLE",AR541&gt;=AI541),"CUMPLE","NO CUMPLE")</f>
        <v>CUMPLE</v>
      </c>
      <c r="AT541" s="10">
        <f>'Parametros'!$B$6*0.083*SQRT('Parametros'!$B$2)*(H541*I541)^2/(2*(H541+I541))/1000000</f>
        <v>8.39093065800685</v>
      </c>
      <c r="AU541" s="10" t="str">
        <f>IF(Q541&lt;=AT541,"DESPRECIABLE","DISEÑAR")</f>
        <v>DESPRECIABLE</v>
      </c>
      <c r="AV541" s="10">
        <f>IF(Q541&lt;=AT541,0,Q541*1000000/('Parametros'!$B$6*2*0.85*(H541-2*'Parametros'!$B$7)*(I541-2*'Parametros'!$B$7)*'Parametros'!$B$4))</f>
        <v>0</v>
      </c>
      <c r="AW541" s="10">
        <f>AV541*2*((H541-2*'Parametros'!$B$7)+(I541-2*'Parametros'!$B$7))*'Parametros'!$B$4/'Parametros'!$B$3</f>
        <v>0</v>
      </c>
      <c r="AX541" s="17" t="n">
        <v>0</v>
      </c>
      <c r="AY541" s="10" t="str">
        <f>IF(AV541=0,"DESPRECIABLE",IF('Parametros'!$B$11/AP541&gt;=AV541,"CUMPLE","NO CUMPLE"))</f>
        <v>DESPRECIABLE</v>
      </c>
      <c r="AZ541" s="10" t="str">
        <f>IF(AND(X541="CUMPLE",AE541="CUMPLE",AS541="CUMPLE",OR(AY541="CUMPLE",AY541="DESPRECIABLE")),IF(OR(F541&lt;&gt;H541,G541&lt;&gt;I541),"CUMPLE - REANALIZAR SAP","CUMPLE"),"NO CUMPLE")</f>
        <v>CUMPLE - REANALIZAR SAP</v>
      </c>
    </row>
    <row r="542">
      <c r="A542" s="27" t="inlineStr">
        <is>
          <t>VR3</t>
        </is>
      </c>
      <c r="B542" s="27" t="inlineStr">
        <is>
          <t>975</t>
        </is>
      </c>
      <c r="C542" s="10" t="n">
        <v>1</v>
      </c>
      <c r="D542" s="10" t="n">
        <v>4</v>
      </c>
      <c r="E542" s="10" t="n">
        <v>4</v>
      </c>
      <c r="F542" s="10" t="n">
        <v>350</v>
      </c>
      <c r="G542" s="10" t="n">
        <v>400</v>
      </c>
      <c r="H542" s="28" t="n">
        <v>400</v>
      </c>
      <c r="I542" s="28" t="n">
        <v>550</v>
      </c>
      <c r="J542" s="16" t="n">
        <v>62.2558</v>
      </c>
      <c r="K542" s="10" t="inlineStr">
        <is>
          <t>975</t>
        </is>
      </c>
      <c r="L542" s="16" t="n">
        <v>20.5048</v>
      </c>
      <c r="M542" s="10" t="inlineStr">
        <is>
          <t>975</t>
        </is>
      </c>
      <c r="N542" s="16" t="n">
        <v>57.929</v>
      </c>
      <c r="O542" s="16" t="n">
        <v>98.738</v>
      </c>
      <c r="P542" s="10" t="inlineStr">
        <is>
          <t>975</t>
        </is>
      </c>
      <c r="Q542" s="16" t="n">
        <v>0.1604</v>
      </c>
      <c r="R542" s="10">
        <f>MAX(MAX(1.4/'Parametros'!$B$3,0.25*SQRT('Parametros'!$B$2)/'Parametros'!$B$3)*H542*U542,(0.85*'Parametros'!$B$2/'Parametros'!$B$3)*(1-SQRT(1-2*(J542*1000000/('Parametros'!$B$5*H542*U542^2))/(0.85*'Parametros'!$B$2)))*H542*U542)</f>
        <v>656.733333333333</v>
      </c>
      <c r="S542" s="17" t="n">
        <v>4</v>
      </c>
      <c r="T542" s="18" t="n">
        <v>1</v>
      </c>
      <c r="U542" s="10">
        <f>IF(T542=1,I542-('Parametros'!$B$7+'Parametros'!$B$9+'Parametros'!$B$12/2),I542-(ROUNDUP(S542/2,0)*('Parametros'!$B$7+'Parametros'!$B$9+'Parametros'!$B$12/2)+ROUNDDOWN(S542/2,0)*('Parametros'!$B$7+'Parametros'!$B$9+'Parametros'!$B$12/2+'Parametros'!$B$12+'Parametros'!$B$10))/S542)</f>
        <v>492.55</v>
      </c>
      <c r="V542" s="10">
        <f>S542*'Parametros'!$B$8</f>
        <v>796</v>
      </c>
      <c r="W542" s="10">
        <f>'Parametros'!$B$5*V542*'Parametros'!$B$3*(U542-(V542*'Parametros'!$B$3/(0.85*'Parametros'!$B$2*H542))/2)/1000000</f>
        <v>142.919145105882</v>
      </c>
      <c r="X542" s="10" t="str">
        <f>IF(W542&gt;=J542,"CUMPLE","NO CUMPLE")</f>
        <v>CUMPLE</v>
      </c>
      <c r="Y542" s="10">
        <f>MAX(MAX(1.4/'Parametros'!$B$3,0.25*SQRT('Parametros'!$B$2)/'Parametros'!$B$3)*H542*AB542,(0.85*'Parametros'!$B$2/'Parametros'!$B$3)*(1-SQRT(1-2*(L542*1000000/('Parametros'!$B$5*H542*AB542^2))/(0.85*'Parametros'!$B$2)))*H542*AB542)</f>
        <v>656.733333333333</v>
      </c>
      <c r="Z542" s="17" t="n">
        <v>4</v>
      </c>
      <c r="AA542" s="18" t="n">
        <v>1</v>
      </c>
      <c r="AB542" s="10">
        <f>IF(AA542=1,I542-('Parametros'!$B$7+'Parametros'!$B$9+'Parametros'!$B$12/2),I542-(ROUNDUP(Z542/2,0)*('Parametros'!$B$7+'Parametros'!$B$9+'Parametros'!$B$12/2)+ROUNDDOWN(Z542/2,0)*('Parametros'!$B$7+'Parametros'!$B$9+'Parametros'!$B$12/2+'Parametros'!$B$12+'Parametros'!$B$10))/Z542)</f>
        <v>492.55</v>
      </c>
      <c r="AC542" s="10">
        <f>Z542*'Parametros'!$B$8</f>
        <v>796</v>
      </c>
      <c r="AD542" s="10">
        <f>'Parametros'!$B$5*AC542*'Parametros'!$B$3*(AB542-(AC542*'Parametros'!$B$3/(0.85*'Parametros'!$B$2*H542))/2)/1000000</f>
        <v>142.919145105882</v>
      </c>
      <c r="AE542" s="10" t="str">
        <f>IF(AD542&gt;=L542,"CUMPLE","NO CUMPLE")</f>
        <v>CUMPLE</v>
      </c>
      <c r="AF542" s="10">
        <f>V542*1.25*'Parametros'!$B$3*(U542-(V542*1.25*'Parametros'!$B$3/(0.85*'Parametros'!$B$2*H542))/2)/1000000</f>
        <v>196.664354558824</v>
      </c>
      <c r="AG542" s="10">
        <f>AC542*1.25*'Parametros'!$B$3*(AB542-(AC542*1.25*'Parametros'!$B$3/(0.85*'Parametros'!$B$2*H542))/2)/1000000</f>
        <v>196.664354558824</v>
      </c>
      <c r="AH542" s="10">
        <f>N542+(AF542+AG542)/D542</f>
        <v>156.261177279412</v>
      </c>
      <c r="AI542" s="10">
        <f>MIN(O542,MAX(N542,AH542))</f>
        <v>98.738</v>
      </c>
      <c r="AJ542" s="10">
        <f>0.17*SQRT('Parametros'!$B$2)*H542*MIN(U542,AB542)/1000</f>
        <v>177.230413924022</v>
      </c>
      <c r="AK542" s="10">
        <f>MAX(AI542/'Parametros'!$B$6-AJ542,0)</f>
        <v>0</v>
      </c>
      <c r="AL542" s="10">
        <f>0.66*SQRT('Parametros'!$B$2)*H542*MIN(U542,AB542)/1000</f>
        <v>688.071018763848</v>
      </c>
      <c r="AM542" s="10" t="str">
        <f>IF(AK542&lt;=AL542,"CUMPLE","NO CUMPLE")</f>
        <v>CUMPLE</v>
      </c>
      <c r="AN542" s="15" t="inlineStr">
        <is>
          <t>Nº3 cerrado</t>
        </is>
      </c>
      <c r="AO542" s="17" t="n">
        <v>2</v>
      </c>
      <c r="AP542" s="10">
        <f>ROUNDDOWN(MIN(IF(AK542=0,1000000000,AO542*'Parametros'!$B$11*'Parametros'!$B$4*MIN(U542,AB542)/(AK542*1000)),IF(AV542=0,1000000000,'Parametros'!$B$11/AV542),MIN(U542,AB542)/4,8*'Parametros'!$B$12,24*'Parametros'!$B$9,300)/10,0)*10</f>
        <v>120</v>
      </c>
      <c r="AQ542" s="10">
        <f>ROUNDDOWN(MIN(IF(AK542=0,1000000000,AO542*'Parametros'!$B$11*'Parametros'!$B$4*MIN(U542,AB542)/(AK542*1000)),IF(AV542=0,1000000000,'Parametros'!$B$11/AV542),MIN(U542,AB542)/2,600)/10,0)*10</f>
        <v>240</v>
      </c>
      <c r="AR542" s="10">
        <f>'Parametros'!$B$6*(AJ542+AO542*'Parametros'!$B$11*'Parametros'!$B$4*MIN(U542,AB542)/AP542/1000)</f>
        <v>316.520822943016</v>
      </c>
      <c r="AS542" s="10" t="str">
        <f>IF(AND(AM542="CUMPLE",AR542&gt;=AI542),"CUMPLE","NO CUMPLE")</f>
        <v>CUMPLE</v>
      </c>
      <c r="AT542" s="10">
        <f>'Parametros'!$B$6*0.083*SQRT('Parametros'!$B$2)*(H542*I542)^2/(2*(H542+I542))/1000000</f>
        <v>8.39093065800685</v>
      </c>
      <c r="AU542" s="10" t="str">
        <f>IF(Q542&lt;=AT542,"DESPRECIABLE","DISEÑAR")</f>
        <v>DESPRECIABLE</v>
      </c>
      <c r="AV542" s="10">
        <f>IF(Q542&lt;=AT542,0,Q542*1000000/('Parametros'!$B$6*2*0.85*(H542-2*'Parametros'!$B$7)*(I542-2*'Parametros'!$B$7)*'Parametros'!$B$4))</f>
        <v>0</v>
      </c>
      <c r="AW542" s="10">
        <f>AV542*2*((H542-2*'Parametros'!$B$7)+(I542-2*'Parametros'!$B$7))*'Parametros'!$B$4/'Parametros'!$B$3</f>
        <v>0</v>
      </c>
      <c r="AX542" s="17" t="n">
        <v>0</v>
      </c>
      <c r="AY542" s="10" t="str">
        <f>IF(AV542=0,"DESPRECIABLE",IF('Parametros'!$B$11/AP542&gt;=AV542,"CUMPLE","NO CUMPLE"))</f>
        <v>DESPRECIABLE</v>
      </c>
      <c r="AZ542" s="10" t="str">
        <f>IF(AND(X542="CUMPLE",AE542="CUMPLE",AS542="CUMPLE",OR(AY542="CUMPLE",AY542="DESPRECIABLE")),IF(OR(F542&lt;&gt;H542,G542&lt;&gt;I542),"CUMPLE - REANALIZAR SAP","CUMPLE"),"NO CUMPLE")</f>
        <v>CUMPLE - REANALIZAR SAP</v>
      </c>
    </row>
    <row r="543">
      <c r="A543" s="27" t="inlineStr">
        <is>
          <t>VR3</t>
        </is>
      </c>
      <c r="B543" s="27" t="inlineStr">
        <is>
          <t>976</t>
        </is>
      </c>
      <c r="C543" s="10" t="n">
        <v>1</v>
      </c>
      <c r="D543" s="10" t="n">
        <v>2.5</v>
      </c>
      <c r="E543" s="10" t="n">
        <v>2.5</v>
      </c>
      <c r="F543" s="10" t="n">
        <v>350</v>
      </c>
      <c r="G543" s="10" t="n">
        <v>400</v>
      </c>
      <c r="H543" s="28" t="n">
        <v>400</v>
      </c>
      <c r="I543" s="28" t="n">
        <v>550</v>
      </c>
      <c r="J543" s="16" t="n">
        <v>49.007</v>
      </c>
      <c r="K543" s="10" t="inlineStr">
        <is>
          <t>976</t>
        </is>
      </c>
      <c r="L543" s="16" t="n">
        <v>6.7925</v>
      </c>
      <c r="M543" s="10" t="inlineStr">
        <is>
          <t>976</t>
        </is>
      </c>
      <c r="N543" s="16" t="n">
        <v>45.293</v>
      </c>
      <c r="O543" s="16" t="n">
        <v>92.93300000000001</v>
      </c>
      <c r="P543" s="10" t="inlineStr">
        <is>
          <t>976</t>
        </is>
      </c>
      <c r="Q543" s="16" t="n">
        <v>0.0253</v>
      </c>
      <c r="R543" s="10">
        <f>MAX(MAX(1.4/'Parametros'!$B$3,0.25*SQRT('Parametros'!$B$2)/'Parametros'!$B$3)*H543*U543,(0.85*'Parametros'!$B$2/'Parametros'!$B$3)*(1-SQRT(1-2*(J543*1000000/('Parametros'!$B$5*H543*U543^2))/(0.85*'Parametros'!$B$2)))*H543*U543)</f>
        <v>656.733333333333</v>
      </c>
      <c r="S543" s="17" t="n">
        <v>4</v>
      </c>
      <c r="T543" s="18" t="n">
        <v>1</v>
      </c>
      <c r="U543" s="10">
        <f>IF(T543=1,I543-('Parametros'!$B$7+'Parametros'!$B$9+'Parametros'!$B$12/2),I543-(ROUNDUP(S543/2,0)*('Parametros'!$B$7+'Parametros'!$B$9+'Parametros'!$B$12/2)+ROUNDDOWN(S543/2,0)*('Parametros'!$B$7+'Parametros'!$B$9+'Parametros'!$B$12/2+'Parametros'!$B$12+'Parametros'!$B$10))/S543)</f>
        <v>492.55</v>
      </c>
      <c r="V543" s="10">
        <f>S543*'Parametros'!$B$8</f>
        <v>796</v>
      </c>
      <c r="W543" s="10">
        <f>'Parametros'!$B$5*V543*'Parametros'!$B$3*(U543-(V543*'Parametros'!$B$3/(0.85*'Parametros'!$B$2*H543))/2)/1000000</f>
        <v>142.919145105882</v>
      </c>
      <c r="X543" s="10" t="str">
        <f>IF(W543&gt;=J543,"CUMPLE","NO CUMPLE")</f>
        <v>CUMPLE</v>
      </c>
      <c r="Y543" s="10">
        <f>MAX(MAX(1.4/'Parametros'!$B$3,0.25*SQRT('Parametros'!$B$2)/'Parametros'!$B$3)*H543*AB543,(0.85*'Parametros'!$B$2/'Parametros'!$B$3)*(1-SQRT(1-2*(L543*1000000/('Parametros'!$B$5*H543*AB543^2))/(0.85*'Parametros'!$B$2)))*H543*AB543)</f>
        <v>656.733333333333</v>
      </c>
      <c r="Z543" s="17" t="n">
        <v>4</v>
      </c>
      <c r="AA543" s="18" t="n">
        <v>1</v>
      </c>
      <c r="AB543" s="10">
        <f>IF(AA543=1,I543-('Parametros'!$B$7+'Parametros'!$B$9+'Parametros'!$B$12/2),I543-(ROUNDUP(Z543/2,0)*('Parametros'!$B$7+'Parametros'!$B$9+'Parametros'!$B$12/2)+ROUNDDOWN(Z543/2,0)*('Parametros'!$B$7+'Parametros'!$B$9+'Parametros'!$B$12/2+'Parametros'!$B$12+'Parametros'!$B$10))/Z543)</f>
        <v>492.55</v>
      </c>
      <c r="AC543" s="10">
        <f>Z543*'Parametros'!$B$8</f>
        <v>796</v>
      </c>
      <c r="AD543" s="10">
        <f>'Parametros'!$B$5*AC543*'Parametros'!$B$3*(AB543-(AC543*'Parametros'!$B$3/(0.85*'Parametros'!$B$2*H543))/2)/1000000</f>
        <v>142.919145105882</v>
      </c>
      <c r="AE543" s="10" t="str">
        <f>IF(AD543&gt;=L543,"CUMPLE","NO CUMPLE")</f>
        <v>CUMPLE</v>
      </c>
      <c r="AF543" s="10">
        <f>V543*1.25*'Parametros'!$B$3*(U543-(V543*1.25*'Parametros'!$B$3/(0.85*'Parametros'!$B$2*H543))/2)/1000000</f>
        <v>196.664354558824</v>
      </c>
      <c r="AG543" s="10">
        <f>AC543*1.25*'Parametros'!$B$3*(AB543-(AC543*1.25*'Parametros'!$B$3/(0.85*'Parametros'!$B$2*H543))/2)/1000000</f>
        <v>196.664354558824</v>
      </c>
      <c r="AH543" s="10">
        <f>N543+(AF543+AG543)/D543</f>
        <v>202.624483647059</v>
      </c>
      <c r="AI543" s="10">
        <f>MIN(O543,MAX(N543,AH543))</f>
        <v>92.933</v>
      </c>
      <c r="AJ543" s="10">
        <f>0.17*SQRT('Parametros'!$B$2)*H543*MIN(U543,AB543)/1000</f>
        <v>177.230413924022</v>
      </c>
      <c r="AK543" s="10">
        <f>MAX(AI543/'Parametros'!$B$6-AJ543,0)</f>
        <v>0</v>
      </c>
      <c r="AL543" s="10">
        <f>0.66*SQRT('Parametros'!$B$2)*H543*MIN(U543,AB543)/1000</f>
        <v>688.071018763848</v>
      </c>
      <c r="AM543" s="10" t="str">
        <f>IF(AK543&lt;=AL543,"CUMPLE","NO CUMPLE")</f>
        <v>CUMPLE</v>
      </c>
      <c r="AN543" s="15" t="inlineStr">
        <is>
          <t>Nº3 cerrado</t>
        </is>
      </c>
      <c r="AO543" s="17" t="n">
        <v>2</v>
      </c>
      <c r="AP543" s="10">
        <f>ROUNDDOWN(MIN(IF(AK543=0,1000000000,AO543*'Parametros'!$B$11*'Parametros'!$B$4*MIN(U543,AB543)/(AK543*1000)),IF(AV543=0,1000000000,'Parametros'!$B$11/AV543),MIN(U543,AB543)/4,8*'Parametros'!$B$12,24*'Parametros'!$B$9,300)/10,0)*10</f>
        <v>120</v>
      </c>
      <c r="AQ543" s="10">
        <f>ROUNDDOWN(MIN(IF(AK543=0,1000000000,AO543*'Parametros'!$B$11*'Parametros'!$B$4*MIN(U543,AB543)/(AK543*1000)),IF(AV543=0,1000000000,'Parametros'!$B$11/AV543),MIN(U543,AB543)/2,600)/10,0)*10</f>
        <v>240</v>
      </c>
      <c r="AR543" s="10">
        <f>'Parametros'!$B$6*(AJ543+AO543*'Parametros'!$B$11*'Parametros'!$B$4*MIN(U543,AB543)/AP543/1000)</f>
        <v>316.520822943016</v>
      </c>
      <c r="AS543" s="10" t="str">
        <f>IF(AND(AM543="CUMPLE",AR543&gt;=AI543),"CUMPLE","NO CUMPLE")</f>
        <v>CUMPLE</v>
      </c>
      <c r="AT543" s="10">
        <f>'Parametros'!$B$6*0.083*SQRT('Parametros'!$B$2)*(H543*I543)^2/(2*(H543+I543))/1000000</f>
        <v>8.39093065800685</v>
      </c>
      <c r="AU543" s="10" t="str">
        <f>IF(Q543&lt;=AT543,"DESPRECIABLE","DISEÑAR")</f>
        <v>DESPRECIABLE</v>
      </c>
      <c r="AV543" s="10">
        <f>IF(Q543&lt;=AT543,0,Q543*1000000/('Parametros'!$B$6*2*0.85*(H543-2*'Parametros'!$B$7)*(I543-2*'Parametros'!$B$7)*'Parametros'!$B$4))</f>
        <v>0</v>
      </c>
      <c r="AW543" s="10">
        <f>AV543*2*((H543-2*'Parametros'!$B$7)+(I543-2*'Parametros'!$B$7))*'Parametros'!$B$4/'Parametros'!$B$3</f>
        <v>0</v>
      </c>
      <c r="AX543" s="17" t="n">
        <v>0</v>
      </c>
      <c r="AY543" s="10" t="str">
        <f>IF(AV543=0,"DESPRECIABLE",IF('Parametros'!$B$11/AP543&gt;=AV543,"CUMPLE","NO CUMPLE"))</f>
        <v>DESPRECIABLE</v>
      </c>
      <c r="AZ543" s="10" t="str">
        <f>IF(AND(X543="CUMPLE",AE543="CUMPLE",AS543="CUMPLE",OR(AY543="CUMPLE",AY543="DESPRECIABLE")),IF(OR(F543&lt;&gt;H543,G543&lt;&gt;I543),"CUMPLE - REANALIZAR SAP","CUMPLE"),"NO CUMPLE")</f>
        <v>CUMPLE - REANALIZAR SAP</v>
      </c>
    </row>
    <row r="544">
      <c r="A544" s="27" t="inlineStr">
        <is>
          <t>VR3</t>
        </is>
      </c>
      <c r="B544" s="27" t="inlineStr">
        <is>
          <t>977</t>
        </is>
      </c>
      <c r="C544" s="10" t="n">
        <v>1</v>
      </c>
      <c r="D544" s="10" t="n">
        <v>2.6</v>
      </c>
      <c r="E544" s="10" t="n">
        <v>2.6</v>
      </c>
      <c r="F544" s="10" t="n">
        <v>350</v>
      </c>
      <c r="G544" s="10" t="n">
        <v>400</v>
      </c>
      <c r="H544" s="28" t="n">
        <v>400</v>
      </c>
      <c r="I544" s="28" t="n">
        <v>550</v>
      </c>
      <c r="J544" s="16" t="n">
        <v>186.7909</v>
      </c>
      <c r="K544" s="10" t="inlineStr">
        <is>
          <t>977</t>
        </is>
      </c>
      <c r="L544" s="16" t="n">
        <v>108.6567</v>
      </c>
      <c r="M544" s="10" t="inlineStr">
        <is>
          <t>977</t>
        </is>
      </c>
      <c r="N544" s="16" t="n">
        <v>173.478</v>
      </c>
      <c r="O544" s="16" t="n">
        <v>173.478</v>
      </c>
      <c r="P544" s="10" t="inlineStr">
        <is>
          <t>977</t>
        </is>
      </c>
      <c r="Q544" s="16" t="n">
        <v>1.8296</v>
      </c>
      <c r="R544" s="10">
        <f>MAX(MAX(1.4/'Parametros'!$B$3,0.25*SQRT('Parametros'!$B$2)/'Parametros'!$B$3)*H544*U544,(0.85*'Parametros'!$B$2/'Parametros'!$B$3)*(1-SQRT(1-2*(J544*1000000/('Parametros'!$B$5*H544*U544^2))/(0.85*'Parametros'!$B$2)))*H544*U544)</f>
        <v>1052.909643159</v>
      </c>
      <c r="S544" s="17" t="n">
        <v>6</v>
      </c>
      <c r="T544" s="18" t="n">
        <v>1</v>
      </c>
      <c r="U544" s="10">
        <f>IF(T544=1,I544-('Parametros'!$B$7+'Parametros'!$B$9+'Parametros'!$B$12/2),I544-(ROUNDUP(S544/2,0)*('Parametros'!$B$7+'Parametros'!$B$9+'Parametros'!$B$12/2)+ROUNDDOWN(S544/2,0)*('Parametros'!$B$7+'Parametros'!$B$9+'Parametros'!$B$12/2+'Parametros'!$B$12+'Parametros'!$B$10))/S544)</f>
        <v>492.55</v>
      </c>
      <c r="V544" s="10">
        <f>S544*'Parametros'!$B$8</f>
        <v>1194</v>
      </c>
      <c r="W544" s="10">
        <f>'Parametros'!$B$5*V544*'Parametros'!$B$3*(U544-(V544*'Parametros'!$B$3/(0.85*'Parametros'!$B$2*H544))/2)/1000000</f>
        <v>210.416288188235</v>
      </c>
      <c r="X544" s="10" t="str">
        <f>IF(W544&gt;=J544,"CUMPLE","NO CUMPLE")</f>
        <v>CUMPLE</v>
      </c>
      <c r="Y544" s="10">
        <f>MAX(MAX(1.4/'Parametros'!$B$3,0.25*SQRT('Parametros'!$B$2)/'Parametros'!$B$3)*H544*AB544,(0.85*'Parametros'!$B$2/'Parametros'!$B$3)*(1-SQRT(1-2*(L544*1000000/('Parametros'!$B$5*H544*AB544^2))/(0.85*'Parametros'!$B$2)))*H544*AB544)</f>
        <v>656.733333333333</v>
      </c>
      <c r="Z544" s="17" t="n">
        <v>4</v>
      </c>
      <c r="AA544" s="18" t="n">
        <v>1</v>
      </c>
      <c r="AB544" s="10">
        <f>IF(AA544=1,I544-('Parametros'!$B$7+'Parametros'!$B$9+'Parametros'!$B$12/2),I544-(ROUNDUP(Z544/2,0)*('Parametros'!$B$7+'Parametros'!$B$9+'Parametros'!$B$12/2)+ROUNDDOWN(Z544/2,0)*('Parametros'!$B$7+'Parametros'!$B$9+'Parametros'!$B$12/2+'Parametros'!$B$12+'Parametros'!$B$10))/Z544)</f>
        <v>492.55</v>
      </c>
      <c r="AC544" s="10">
        <f>Z544*'Parametros'!$B$8</f>
        <v>796</v>
      </c>
      <c r="AD544" s="10">
        <f>'Parametros'!$B$5*AC544*'Parametros'!$B$3*(AB544-(AC544*'Parametros'!$B$3/(0.85*'Parametros'!$B$2*H544))/2)/1000000</f>
        <v>142.919145105882</v>
      </c>
      <c r="AE544" s="10" t="str">
        <f>IF(AD544&gt;=L544,"CUMPLE","NO CUMPLE")</f>
        <v>CUMPLE</v>
      </c>
      <c r="AF544" s="10">
        <f>V544*1.25*'Parametros'!$B$3*(U544-(V544*1.25*'Parametros'!$B$3/(0.85*'Parametros'!$B$2*H544))/2)/1000000</f>
        <v>288.117314007353</v>
      </c>
      <c r="AG544" s="10">
        <f>AC544*1.25*'Parametros'!$B$3*(AB544-(AC544*1.25*'Parametros'!$B$3/(0.85*'Parametros'!$B$2*H544))/2)/1000000</f>
        <v>196.664354558824</v>
      </c>
      <c r="AH544" s="10">
        <f>N544+(AF544+AG544)/D544</f>
        <v>359.932487910068</v>
      </c>
      <c r="AI544" s="10">
        <f>MIN(O544,MAX(N544,AH544))</f>
        <v>173.478</v>
      </c>
      <c r="AJ544" s="10">
        <f>0.17*SQRT('Parametros'!$B$2)*H544*MIN(U544,AB544)/1000</f>
        <v>177.230413924022</v>
      </c>
      <c r="AK544" s="10">
        <f>MAX(AI544/'Parametros'!$B$6-AJ544,0)</f>
        <v>54.0735860759785</v>
      </c>
      <c r="AL544" s="10">
        <f>0.66*SQRT('Parametros'!$B$2)*H544*MIN(U544,AB544)/1000</f>
        <v>688.071018763848</v>
      </c>
      <c r="AM544" s="10" t="str">
        <f>IF(AK544&lt;=AL544,"CUMPLE","NO CUMPLE")</f>
        <v>CUMPLE</v>
      </c>
      <c r="AN544" s="15" t="inlineStr">
        <is>
          <t>Nº3 cerrado</t>
        </is>
      </c>
      <c r="AO544" s="17" t="n">
        <v>2</v>
      </c>
      <c r="AP544" s="10">
        <f>ROUNDDOWN(MIN(IF(AK544=0,1000000000,AO544*'Parametros'!$B$11*'Parametros'!$B$4*MIN(U544,AB544)/(AK544*1000)),IF(AV544=0,1000000000,'Parametros'!$B$11/AV544),MIN(U544,AB544)/4,8*'Parametros'!$B$12,24*'Parametros'!$B$9,300)/10,0)*10</f>
        <v>120</v>
      </c>
      <c r="AQ544" s="10">
        <f>ROUNDDOWN(MIN(IF(AK544=0,1000000000,AO544*'Parametros'!$B$11*'Parametros'!$B$4*MIN(U544,AB544)/(AK544*1000)),IF(AV544=0,1000000000,'Parametros'!$B$11/AV544),MIN(U544,AB544)/2,600)/10,0)*10</f>
        <v>240</v>
      </c>
      <c r="AR544" s="10">
        <f>'Parametros'!$B$6*(AJ544+AO544*'Parametros'!$B$11*'Parametros'!$B$4*MIN(U544,AB544)/AP544/1000)</f>
        <v>316.520822943016</v>
      </c>
      <c r="AS544" s="10" t="str">
        <f>IF(AND(AM544="CUMPLE",AR544&gt;=AI544),"CUMPLE","NO CUMPLE")</f>
        <v>CUMPLE</v>
      </c>
      <c r="AT544" s="10">
        <f>'Parametros'!$B$6*0.083*SQRT('Parametros'!$B$2)*(H544*I544)^2/(2*(H544+I544))/1000000</f>
        <v>8.39093065800685</v>
      </c>
      <c r="AU544" s="10" t="str">
        <f>IF(Q544&lt;=AT544,"DESPRECIABLE","DISEÑAR")</f>
        <v>DESPRECIABLE</v>
      </c>
      <c r="AV544" s="10">
        <f>IF(Q544&lt;=AT544,0,Q544*1000000/('Parametros'!$B$6*2*0.85*(H544-2*'Parametros'!$B$7)*(I544-2*'Parametros'!$B$7)*'Parametros'!$B$4))</f>
        <v>0</v>
      </c>
      <c r="AW544" s="10">
        <f>AV544*2*((H544-2*'Parametros'!$B$7)+(I544-2*'Parametros'!$B$7))*'Parametros'!$B$4/'Parametros'!$B$3</f>
        <v>0</v>
      </c>
      <c r="AX544" s="17" t="n">
        <v>0</v>
      </c>
      <c r="AY544" s="10" t="str">
        <f>IF(AV544=0,"DESPRECIABLE",IF('Parametros'!$B$11/AP544&gt;=AV544,"CUMPLE","NO CUMPLE"))</f>
        <v>DESPRECIABLE</v>
      </c>
      <c r="AZ544" s="10" t="str">
        <f>IF(AND(X544="CUMPLE",AE544="CUMPLE",AS544="CUMPLE",OR(AY544="CUMPLE",AY544="DESPRECIABLE")),IF(OR(F544&lt;&gt;H544,G544&lt;&gt;I544),"CUMPLE - REANALIZAR SAP","CUMPLE"),"NO CUMPLE")</f>
        <v>CUMPLE - REANALIZAR SAP</v>
      </c>
    </row>
    <row r="545">
      <c r="A545" s="27" t="inlineStr">
        <is>
          <t>VR3</t>
        </is>
      </c>
      <c r="B545" s="27" t="inlineStr">
        <is>
          <t>978</t>
        </is>
      </c>
      <c r="C545" s="10" t="n">
        <v>1</v>
      </c>
      <c r="D545" s="10" t="n">
        <v>2.95</v>
      </c>
      <c r="E545" s="10" t="n">
        <v>2.95</v>
      </c>
      <c r="F545" s="10" t="n">
        <v>350</v>
      </c>
      <c r="G545" s="10" t="n">
        <v>400</v>
      </c>
      <c r="H545" s="28" t="n">
        <v>400</v>
      </c>
      <c r="I545" s="28" t="n">
        <v>550</v>
      </c>
      <c r="J545" s="16" t="n">
        <v>137.4636</v>
      </c>
      <c r="K545" s="10" t="inlineStr">
        <is>
          <t>978</t>
        </is>
      </c>
      <c r="L545" s="16" t="n">
        <v>122.7043</v>
      </c>
      <c r="M545" s="10" t="inlineStr">
        <is>
          <t>978</t>
        </is>
      </c>
      <c r="N545" s="16" t="n">
        <v>159.613</v>
      </c>
      <c r="O545" s="16" t="n">
        <v>159.613</v>
      </c>
      <c r="P545" s="10" t="inlineStr">
        <is>
          <t>978</t>
        </is>
      </c>
      <c r="Q545" s="16" t="n">
        <v>0.9936</v>
      </c>
      <c r="R545" s="10">
        <f>MAX(MAX(1.4/'Parametros'!$B$3,0.25*SQRT('Parametros'!$B$2)/'Parametros'!$B$3)*H545*U545,(0.85*'Parametros'!$B$2/'Parametros'!$B$3)*(1-SQRT(1-2*(J545*1000000/('Parametros'!$B$5*H545*U545^2))/(0.85*'Parametros'!$B$2)))*H545*U545)</f>
        <v>764.496399421827</v>
      </c>
      <c r="S545" s="17" t="n">
        <v>4</v>
      </c>
      <c r="T545" s="18" t="n">
        <v>1</v>
      </c>
      <c r="U545" s="10">
        <f>IF(T545=1,I545-('Parametros'!$B$7+'Parametros'!$B$9+'Parametros'!$B$12/2),I545-(ROUNDUP(S545/2,0)*('Parametros'!$B$7+'Parametros'!$B$9+'Parametros'!$B$12/2)+ROUNDDOWN(S545/2,0)*('Parametros'!$B$7+'Parametros'!$B$9+'Parametros'!$B$12/2+'Parametros'!$B$12+'Parametros'!$B$10))/S545)</f>
        <v>492.55</v>
      </c>
      <c r="V545" s="10">
        <f>S545*'Parametros'!$B$8</f>
        <v>796</v>
      </c>
      <c r="W545" s="10">
        <f>'Parametros'!$B$5*V545*'Parametros'!$B$3*(U545-(V545*'Parametros'!$B$3/(0.85*'Parametros'!$B$2*H545))/2)/1000000</f>
        <v>142.919145105882</v>
      </c>
      <c r="X545" s="10" t="str">
        <f>IF(W545&gt;=J545,"CUMPLE","NO CUMPLE")</f>
        <v>CUMPLE</v>
      </c>
      <c r="Y545" s="10">
        <f>MAX(MAX(1.4/'Parametros'!$B$3,0.25*SQRT('Parametros'!$B$2)/'Parametros'!$B$3)*H545*AB545,(0.85*'Parametros'!$B$2/'Parametros'!$B$3)*(1-SQRT(1-2*(L545*1000000/('Parametros'!$B$5*H545*AB545^2))/(0.85*'Parametros'!$B$2)))*H545*AB545)</f>
        <v>679.741761400045</v>
      </c>
      <c r="Z545" s="17" t="n">
        <v>4</v>
      </c>
      <c r="AA545" s="18" t="n">
        <v>1</v>
      </c>
      <c r="AB545" s="10">
        <f>IF(AA545=1,I545-('Parametros'!$B$7+'Parametros'!$B$9+'Parametros'!$B$12/2),I545-(ROUNDUP(Z545/2,0)*('Parametros'!$B$7+'Parametros'!$B$9+'Parametros'!$B$12/2)+ROUNDDOWN(Z545/2,0)*('Parametros'!$B$7+'Parametros'!$B$9+'Parametros'!$B$12/2+'Parametros'!$B$12+'Parametros'!$B$10))/Z545)</f>
        <v>492.55</v>
      </c>
      <c r="AC545" s="10">
        <f>Z545*'Parametros'!$B$8</f>
        <v>796</v>
      </c>
      <c r="AD545" s="10">
        <f>'Parametros'!$B$5*AC545*'Parametros'!$B$3*(AB545-(AC545*'Parametros'!$B$3/(0.85*'Parametros'!$B$2*H545))/2)/1000000</f>
        <v>142.919145105882</v>
      </c>
      <c r="AE545" s="10" t="str">
        <f>IF(AD545&gt;=L545,"CUMPLE","NO CUMPLE")</f>
        <v>CUMPLE</v>
      </c>
      <c r="AF545" s="10">
        <f>V545*1.25*'Parametros'!$B$3*(U545-(V545*1.25*'Parametros'!$B$3/(0.85*'Parametros'!$B$2*H545))/2)/1000000</f>
        <v>196.664354558824</v>
      </c>
      <c r="AG545" s="10">
        <f>AC545*1.25*'Parametros'!$B$3*(AB545-(AC545*1.25*'Parametros'!$B$3/(0.85*'Parametros'!$B$2*H545))/2)/1000000</f>
        <v>196.664354558824</v>
      </c>
      <c r="AH545" s="10">
        <f>N545+(AF545+AG545)/D545</f>
        <v>292.944765802592</v>
      </c>
      <c r="AI545" s="10">
        <f>MIN(O545,MAX(N545,AH545))</f>
        <v>159.613</v>
      </c>
      <c r="AJ545" s="10">
        <f>0.17*SQRT('Parametros'!$B$2)*H545*MIN(U545,AB545)/1000</f>
        <v>177.230413924022</v>
      </c>
      <c r="AK545" s="10">
        <f>MAX(AI545/'Parametros'!$B$6-AJ545,0)</f>
        <v>35.5869194093118</v>
      </c>
      <c r="AL545" s="10">
        <f>0.66*SQRT('Parametros'!$B$2)*H545*MIN(U545,AB545)/1000</f>
        <v>688.071018763848</v>
      </c>
      <c r="AM545" s="10" t="str">
        <f>IF(AK545&lt;=AL545,"CUMPLE","NO CUMPLE")</f>
        <v>CUMPLE</v>
      </c>
      <c r="AN545" s="15" t="inlineStr">
        <is>
          <t>Nº3 cerrado</t>
        </is>
      </c>
      <c r="AO545" s="17" t="n">
        <v>2</v>
      </c>
      <c r="AP545" s="10">
        <f>ROUNDDOWN(MIN(IF(AK545=0,1000000000,AO545*'Parametros'!$B$11*'Parametros'!$B$4*MIN(U545,AB545)/(AK545*1000)),IF(AV545=0,1000000000,'Parametros'!$B$11/AV545),MIN(U545,AB545)/4,8*'Parametros'!$B$12,24*'Parametros'!$B$9,300)/10,0)*10</f>
        <v>120</v>
      </c>
      <c r="AQ545" s="10">
        <f>ROUNDDOWN(MIN(IF(AK545=0,1000000000,AO545*'Parametros'!$B$11*'Parametros'!$B$4*MIN(U545,AB545)/(AK545*1000)),IF(AV545=0,1000000000,'Parametros'!$B$11/AV545),MIN(U545,AB545)/2,600)/10,0)*10</f>
        <v>240</v>
      </c>
      <c r="AR545" s="10">
        <f>'Parametros'!$B$6*(AJ545+AO545*'Parametros'!$B$11*'Parametros'!$B$4*MIN(U545,AB545)/AP545/1000)</f>
        <v>316.520822943016</v>
      </c>
      <c r="AS545" s="10" t="str">
        <f>IF(AND(AM545="CUMPLE",AR545&gt;=AI545),"CUMPLE","NO CUMPLE")</f>
        <v>CUMPLE</v>
      </c>
      <c r="AT545" s="10">
        <f>'Parametros'!$B$6*0.083*SQRT('Parametros'!$B$2)*(H545*I545)^2/(2*(H545+I545))/1000000</f>
        <v>8.39093065800685</v>
      </c>
      <c r="AU545" s="10" t="str">
        <f>IF(Q545&lt;=AT545,"DESPRECIABLE","DISEÑAR")</f>
        <v>DESPRECIABLE</v>
      </c>
      <c r="AV545" s="10">
        <f>IF(Q545&lt;=AT545,0,Q545*1000000/('Parametros'!$B$6*2*0.85*(H545-2*'Parametros'!$B$7)*(I545-2*'Parametros'!$B$7)*'Parametros'!$B$4))</f>
        <v>0</v>
      </c>
      <c r="AW545" s="10">
        <f>AV545*2*((H545-2*'Parametros'!$B$7)+(I545-2*'Parametros'!$B$7))*'Parametros'!$B$4/'Parametros'!$B$3</f>
        <v>0</v>
      </c>
      <c r="AX545" s="17" t="n">
        <v>0</v>
      </c>
      <c r="AY545" s="10" t="str">
        <f>IF(AV545=0,"DESPRECIABLE",IF('Parametros'!$B$11/AP545&gt;=AV545,"CUMPLE","NO CUMPLE"))</f>
        <v>DESPRECIABLE</v>
      </c>
      <c r="AZ545" s="10" t="str">
        <f>IF(AND(X545="CUMPLE",AE545="CUMPLE",AS545="CUMPLE",OR(AY545="CUMPLE",AY545="DESPRECIABLE")),IF(OR(F545&lt;&gt;H545,G545&lt;&gt;I545),"CUMPLE - REANALIZAR SAP","CUMPLE"),"NO CUMPLE")</f>
        <v>CUMPLE - REANALIZAR SAP</v>
      </c>
    </row>
    <row r="546">
      <c r="A546" s="27" t="inlineStr">
        <is>
          <t>VR3</t>
        </is>
      </c>
      <c r="B546" s="27" t="inlineStr">
        <is>
          <t>1353</t>
        </is>
      </c>
      <c r="C546" s="10" t="n">
        <v>1</v>
      </c>
      <c r="D546" s="10" t="n">
        <v>3.3</v>
      </c>
      <c r="E546" s="10" t="n">
        <v>3.3</v>
      </c>
      <c r="F546" s="10" t="n">
        <v>350</v>
      </c>
      <c r="G546" s="10" t="n">
        <v>400</v>
      </c>
      <c r="H546" s="28" t="n">
        <v>400</v>
      </c>
      <c r="I546" s="28" t="n">
        <v>550</v>
      </c>
      <c r="J546" s="16" t="n">
        <v>118.1729</v>
      </c>
      <c r="K546" s="10" t="inlineStr">
        <is>
          <t>1353</t>
        </is>
      </c>
      <c r="L546" s="16" t="n">
        <v>70.5779</v>
      </c>
      <c r="M546" s="10" t="inlineStr">
        <is>
          <t>1353</t>
        </is>
      </c>
      <c r="N546" s="16" t="n">
        <v>96.738</v>
      </c>
      <c r="O546" s="16" t="n">
        <v>298.742</v>
      </c>
      <c r="P546" s="10" t="inlineStr">
        <is>
          <t>1353</t>
        </is>
      </c>
      <c r="Q546" s="16" t="n">
        <v>0.9489</v>
      </c>
      <c r="R546" s="10">
        <f>MAX(MAX(1.4/'Parametros'!$B$3,0.25*SQRT('Parametros'!$B$2)/'Parametros'!$B$3)*H546*U546,(0.85*'Parametros'!$B$2/'Parametros'!$B$3)*(1-SQRT(1-2*(J546*1000000/('Parametros'!$B$5*H546*U546^2))/(0.85*'Parametros'!$B$2)))*H546*U546)</f>
        <v>656.733333333333</v>
      </c>
      <c r="S546" s="17" t="n">
        <v>4</v>
      </c>
      <c r="T546" s="18" t="n">
        <v>1</v>
      </c>
      <c r="U546" s="10">
        <f>IF(T546=1,I546-('Parametros'!$B$7+'Parametros'!$B$9+'Parametros'!$B$12/2),I546-(ROUNDUP(S546/2,0)*('Parametros'!$B$7+'Parametros'!$B$9+'Parametros'!$B$12/2)+ROUNDDOWN(S546/2,0)*('Parametros'!$B$7+'Parametros'!$B$9+'Parametros'!$B$12/2+'Parametros'!$B$12+'Parametros'!$B$10))/S546)</f>
        <v>492.55</v>
      </c>
      <c r="V546" s="10">
        <f>S546*'Parametros'!$B$8</f>
        <v>796</v>
      </c>
      <c r="W546" s="10">
        <f>'Parametros'!$B$5*V546*'Parametros'!$B$3*(U546-(V546*'Parametros'!$B$3/(0.85*'Parametros'!$B$2*H546))/2)/1000000</f>
        <v>142.919145105882</v>
      </c>
      <c r="X546" s="10" t="str">
        <f>IF(W546&gt;=J546,"CUMPLE","NO CUMPLE")</f>
        <v>CUMPLE</v>
      </c>
      <c r="Y546" s="10">
        <f>MAX(MAX(1.4/'Parametros'!$B$3,0.25*SQRT('Parametros'!$B$2)/'Parametros'!$B$3)*H546*AB546,(0.85*'Parametros'!$B$2/'Parametros'!$B$3)*(1-SQRT(1-2*(L546*1000000/('Parametros'!$B$5*H546*AB546^2))/(0.85*'Parametros'!$B$2)))*H546*AB546)</f>
        <v>656.733333333333</v>
      </c>
      <c r="Z546" s="17" t="n">
        <v>4</v>
      </c>
      <c r="AA546" s="18" t="n">
        <v>1</v>
      </c>
      <c r="AB546" s="10">
        <f>IF(AA546=1,I546-('Parametros'!$B$7+'Parametros'!$B$9+'Parametros'!$B$12/2),I546-(ROUNDUP(Z546/2,0)*('Parametros'!$B$7+'Parametros'!$B$9+'Parametros'!$B$12/2)+ROUNDDOWN(Z546/2,0)*('Parametros'!$B$7+'Parametros'!$B$9+'Parametros'!$B$12/2+'Parametros'!$B$12+'Parametros'!$B$10))/Z546)</f>
        <v>492.55</v>
      </c>
      <c r="AC546" s="10">
        <f>Z546*'Parametros'!$B$8</f>
        <v>796</v>
      </c>
      <c r="AD546" s="10">
        <f>'Parametros'!$B$5*AC546*'Parametros'!$B$3*(AB546-(AC546*'Parametros'!$B$3/(0.85*'Parametros'!$B$2*H546))/2)/1000000</f>
        <v>142.919145105882</v>
      </c>
      <c r="AE546" s="10" t="str">
        <f>IF(AD546&gt;=L546,"CUMPLE","NO CUMPLE")</f>
        <v>CUMPLE</v>
      </c>
      <c r="AF546" s="10">
        <f>V546*1.25*'Parametros'!$B$3*(U546-(V546*1.25*'Parametros'!$B$3/(0.85*'Parametros'!$B$2*H546))/2)/1000000</f>
        <v>196.664354558824</v>
      </c>
      <c r="AG546" s="10">
        <f>AC546*1.25*'Parametros'!$B$3*(AB546-(AC546*1.25*'Parametros'!$B$3/(0.85*'Parametros'!$B$2*H546))/2)/1000000</f>
        <v>196.664354558824</v>
      </c>
      <c r="AH546" s="10">
        <f>N546+(AF546+AG546)/D546</f>
        <v>215.928517914439</v>
      </c>
      <c r="AI546" s="10">
        <f>MIN(O546,MAX(N546,AH546))</f>
        <v>215.928517914439</v>
      </c>
      <c r="AJ546" s="10">
        <f>0.17*SQRT('Parametros'!$B$2)*H546*MIN(U546,AB546)/1000</f>
        <v>177.230413924022</v>
      </c>
      <c r="AK546" s="10">
        <f>MAX(AI546/'Parametros'!$B$6-AJ546,0)</f>
        <v>110.674276628563</v>
      </c>
      <c r="AL546" s="10">
        <f>0.66*SQRT('Parametros'!$B$2)*H546*MIN(U546,AB546)/1000</f>
        <v>688.071018763848</v>
      </c>
      <c r="AM546" s="10" t="str">
        <f>IF(AK546&lt;=AL546,"CUMPLE","NO CUMPLE")</f>
        <v>CUMPLE</v>
      </c>
      <c r="AN546" s="15" t="inlineStr">
        <is>
          <t>Nº3 cerrado</t>
        </is>
      </c>
      <c r="AO546" s="17" t="n">
        <v>2</v>
      </c>
      <c r="AP546" s="10">
        <f>ROUNDDOWN(MIN(IF(AK546=0,1000000000,AO546*'Parametros'!$B$11*'Parametros'!$B$4*MIN(U546,AB546)/(AK546*1000)),IF(AV546=0,1000000000,'Parametros'!$B$11/AV546),MIN(U546,AB546)/4,8*'Parametros'!$B$12,24*'Parametros'!$B$9,300)/10,0)*10</f>
        <v>120</v>
      </c>
      <c r="AQ546" s="10">
        <f>ROUNDDOWN(MIN(IF(AK546=0,1000000000,AO546*'Parametros'!$B$11*'Parametros'!$B$4*MIN(U546,AB546)/(AK546*1000)),IF(AV546=0,1000000000,'Parametros'!$B$11/AV546),MIN(U546,AB546)/2,600)/10,0)*10</f>
        <v>240</v>
      </c>
      <c r="AR546" s="10">
        <f>'Parametros'!$B$6*(AJ546+AO546*'Parametros'!$B$11*'Parametros'!$B$4*MIN(U546,AB546)/AP546/1000)</f>
        <v>316.520822943016</v>
      </c>
      <c r="AS546" s="10" t="str">
        <f>IF(AND(AM546="CUMPLE",AR546&gt;=AI546),"CUMPLE","NO CUMPLE")</f>
        <v>CUMPLE</v>
      </c>
      <c r="AT546" s="10">
        <f>'Parametros'!$B$6*0.083*SQRT('Parametros'!$B$2)*(H546*I546)^2/(2*(H546+I546))/1000000</f>
        <v>8.39093065800685</v>
      </c>
      <c r="AU546" s="10" t="str">
        <f>IF(Q546&lt;=AT546,"DESPRECIABLE","DISEÑAR")</f>
        <v>DESPRECIABLE</v>
      </c>
      <c r="AV546" s="10">
        <f>IF(Q546&lt;=AT546,0,Q546*1000000/('Parametros'!$B$6*2*0.85*(H546-2*'Parametros'!$B$7)*(I546-2*'Parametros'!$B$7)*'Parametros'!$B$4))</f>
        <v>0</v>
      </c>
      <c r="AW546" s="10">
        <f>AV546*2*((H546-2*'Parametros'!$B$7)+(I546-2*'Parametros'!$B$7))*'Parametros'!$B$4/'Parametros'!$B$3</f>
        <v>0</v>
      </c>
      <c r="AX546" s="17" t="n">
        <v>0</v>
      </c>
      <c r="AY546" s="10" t="str">
        <f>IF(AV546=0,"DESPRECIABLE",IF('Parametros'!$B$11/AP546&gt;=AV546,"CUMPLE","NO CUMPLE"))</f>
        <v>DESPRECIABLE</v>
      </c>
      <c r="AZ546" s="10" t="str">
        <f>IF(AND(X546="CUMPLE",AE546="CUMPLE",AS546="CUMPLE",OR(AY546="CUMPLE",AY546="DESPRECIABLE")),IF(OR(F546&lt;&gt;H546,G546&lt;&gt;I546),"CUMPLE - REANALIZAR SAP","CUMPLE"),"NO CUMPLE")</f>
        <v>CUMPLE - REANALIZAR SAP</v>
      </c>
    </row>
    <row r="547">
      <c r="A547" s="27" t="inlineStr">
        <is>
          <t>VR3</t>
        </is>
      </c>
      <c r="B547" s="27" t="inlineStr">
        <is>
          <t>1354</t>
        </is>
      </c>
      <c r="C547" s="10" t="n">
        <v>1</v>
      </c>
      <c r="D547" s="10" t="n">
        <v>3.3</v>
      </c>
      <c r="E547" s="10" t="n">
        <v>3.3</v>
      </c>
      <c r="F547" s="10" t="n">
        <v>350</v>
      </c>
      <c r="G547" s="10" t="n">
        <v>400</v>
      </c>
      <c r="H547" s="28" t="n">
        <v>400</v>
      </c>
      <c r="I547" s="28" t="n">
        <v>550</v>
      </c>
      <c r="J547" s="16" t="n">
        <v>118.2323</v>
      </c>
      <c r="K547" s="10" t="inlineStr">
        <is>
          <t>1354</t>
        </is>
      </c>
      <c r="L547" s="16" t="n">
        <v>70.54340000000001</v>
      </c>
      <c r="M547" s="10" t="inlineStr">
        <is>
          <t>1354</t>
        </is>
      </c>
      <c r="N547" s="16" t="n">
        <v>96.699</v>
      </c>
      <c r="O547" s="16" t="n">
        <v>298.707</v>
      </c>
      <c r="P547" s="10" t="inlineStr">
        <is>
          <t>1354</t>
        </is>
      </c>
      <c r="Q547" s="16" t="n">
        <v>0.9449</v>
      </c>
      <c r="R547" s="10">
        <f>MAX(MAX(1.4/'Parametros'!$B$3,0.25*SQRT('Parametros'!$B$2)/'Parametros'!$B$3)*H547*U547,(0.85*'Parametros'!$B$2/'Parametros'!$B$3)*(1-SQRT(1-2*(J547*1000000/('Parametros'!$B$5*H547*U547^2))/(0.85*'Parametros'!$B$2)))*H547*U547)</f>
        <v>656.733333333333</v>
      </c>
      <c r="S547" s="17" t="n">
        <v>4</v>
      </c>
      <c r="T547" s="18" t="n">
        <v>1</v>
      </c>
      <c r="U547" s="10">
        <f>IF(T547=1,I547-('Parametros'!$B$7+'Parametros'!$B$9+'Parametros'!$B$12/2),I547-(ROUNDUP(S547/2,0)*('Parametros'!$B$7+'Parametros'!$B$9+'Parametros'!$B$12/2)+ROUNDDOWN(S547/2,0)*('Parametros'!$B$7+'Parametros'!$B$9+'Parametros'!$B$12/2+'Parametros'!$B$12+'Parametros'!$B$10))/S547)</f>
        <v>492.55</v>
      </c>
      <c r="V547" s="10">
        <f>S547*'Parametros'!$B$8</f>
        <v>796</v>
      </c>
      <c r="W547" s="10">
        <f>'Parametros'!$B$5*V547*'Parametros'!$B$3*(U547-(V547*'Parametros'!$B$3/(0.85*'Parametros'!$B$2*H547))/2)/1000000</f>
        <v>142.919145105882</v>
      </c>
      <c r="X547" s="10" t="str">
        <f>IF(W547&gt;=J547,"CUMPLE","NO CUMPLE")</f>
        <v>CUMPLE</v>
      </c>
      <c r="Y547" s="10">
        <f>MAX(MAX(1.4/'Parametros'!$B$3,0.25*SQRT('Parametros'!$B$2)/'Parametros'!$B$3)*H547*AB547,(0.85*'Parametros'!$B$2/'Parametros'!$B$3)*(1-SQRT(1-2*(L547*1000000/('Parametros'!$B$5*H547*AB547^2))/(0.85*'Parametros'!$B$2)))*H547*AB547)</f>
        <v>656.733333333333</v>
      </c>
      <c r="Z547" s="17" t="n">
        <v>4</v>
      </c>
      <c r="AA547" s="18" t="n">
        <v>1</v>
      </c>
      <c r="AB547" s="10">
        <f>IF(AA547=1,I547-('Parametros'!$B$7+'Parametros'!$B$9+'Parametros'!$B$12/2),I547-(ROUNDUP(Z547/2,0)*('Parametros'!$B$7+'Parametros'!$B$9+'Parametros'!$B$12/2)+ROUNDDOWN(Z547/2,0)*('Parametros'!$B$7+'Parametros'!$B$9+'Parametros'!$B$12/2+'Parametros'!$B$12+'Parametros'!$B$10))/Z547)</f>
        <v>492.55</v>
      </c>
      <c r="AC547" s="10">
        <f>Z547*'Parametros'!$B$8</f>
        <v>796</v>
      </c>
      <c r="AD547" s="10">
        <f>'Parametros'!$B$5*AC547*'Parametros'!$B$3*(AB547-(AC547*'Parametros'!$B$3/(0.85*'Parametros'!$B$2*H547))/2)/1000000</f>
        <v>142.919145105882</v>
      </c>
      <c r="AE547" s="10" t="str">
        <f>IF(AD547&gt;=L547,"CUMPLE","NO CUMPLE")</f>
        <v>CUMPLE</v>
      </c>
      <c r="AF547" s="10">
        <f>V547*1.25*'Parametros'!$B$3*(U547-(V547*1.25*'Parametros'!$B$3/(0.85*'Parametros'!$B$2*H547))/2)/1000000</f>
        <v>196.664354558824</v>
      </c>
      <c r="AG547" s="10">
        <f>AC547*1.25*'Parametros'!$B$3*(AB547-(AC547*1.25*'Parametros'!$B$3/(0.85*'Parametros'!$B$2*H547))/2)/1000000</f>
        <v>196.664354558824</v>
      </c>
      <c r="AH547" s="10">
        <f>N547+(AF547+AG547)/D547</f>
        <v>215.889517914438</v>
      </c>
      <c r="AI547" s="10">
        <f>MIN(O547,MAX(N547,AH547))</f>
        <v>215.889517914438</v>
      </c>
      <c r="AJ547" s="10">
        <f>0.17*SQRT('Parametros'!$B$2)*H547*MIN(U547,AB547)/1000</f>
        <v>177.230413924022</v>
      </c>
      <c r="AK547" s="10">
        <f>MAX(AI547/'Parametros'!$B$6-AJ547,0)</f>
        <v>110.622276628563</v>
      </c>
      <c r="AL547" s="10">
        <f>0.66*SQRT('Parametros'!$B$2)*H547*MIN(U547,AB547)/1000</f>
        <v>688.071018763848</v>
      </c>
      <c r="AM547" s="10" t="str">
        <f>IF(AK547&lt;=AL547,"CUMPLE","NO CUMPLE")</f>
        <v>CUMPLE</v>
      </c>
      <c r="AN547" s="15" t="inlineStr">
        <is>
          <t>Nº3 cerrado</t>
        </is>
      </c>
      <c r="AO547" s="17" t="n">
        <v>2</v>
      </c>
      <c r="AP547" s="10">
        <f>ROUNDDOWN(MIN(IF(AK547=0,1000000000,AO547*'Parametros'!$B$11*'Parametros'!$B$4*MIN(U547,AB547)/(AK547*1000)),IF(AV547=0,1000000000,'Parametros'!$B$11/AV547),MIN(U547,AB547)/4,8*'Parametros'!$B$12,24*'Parametros'!$B$9,300)/10,0)*10</f>
        <v>120</v>
      </c>
      <c r="AQ547" s="10">
        <f>ROUNDDOWN(MIN(IF(AK547=0,1000000000,AO547*'Parametros'!$B$11*'Parametros'!$B$4*MIN(U547,AB547)/(AK547*1000)),IF(AV547=0,1000000000,'Parametros'!$B$11/AV547),MIN(U547,AB547)/2,600)/10,0)*10</f>
        <v>240</v>
      </c>
      <c r="AR547" s="10">
        <f>'Parametros'!$B$6*(AJ547+AO547*'Parametros'!$B$11*'Parametros'!$B$4*MIN(U547,AB547)/AP547/1000)</f>
        <v>316.520822943016</v>
      </c>
      <c r="AS547" s="10" t="str">
        <f>IF(AND(AM547="CUMPLE",AR547&gt;=AI547),"CUMPLE","NO CUMPLE")</f>
        <v>CUMPLE</v>
      </c>
      <c r="AT547" s="10">
        <f>'Parametros'!$B$6*0.083*SQRT('Parametros'!$B$2)*(H547*I547)^2/(2*(H547+I547))/1000000</f>
        <v>8.39093065800685</v>
      </c>
      <c r="AU547" s="10" t="str">
        <f>IF(Q547&lt;=AT547,"DESPRECIABLE","DISEÑAR")</f>
        <v>DESPRECIABLE</v>
      </c>
      <c r="AV547" s="10">
        <f>IF(Q547&lt;=AT547,0,Q547*1000000/('Parametros'!$B$6*2*0.85*(H547-2*'Parametros'!$B$7)*(I547-2*'Parametros'!$B$7)*'Parametros'!$B$4))</f>
        <v>0</v>
      </c>
      <c r="AW547" s="10">
        <f>AV547*2*((H547-2*'Parametros'!$B$7)+(I547-2*'Parametros'!$B$7))*'Parametros'!$B$4/'Parametros'!$B$3</f>
        <v>0</v>
      </c>
      <c r="AX547" s="17" t="n">
        <v>0</v>
      </c>
      <c r="AY547" s="10" t="str">
        <f>IF(AV547=0,"DESPRECIABLE",IF('Parametros'!$B$11/AP547&gt;=AV547,"CUMPLE","NO CUMPLE"))</f>
        <v>DESPRECIABLE</v>
      </c>
      <c r="AZ547" s="10" t="str">
        <f>IF(AND(X547="CUMPLE",AE547="CUMPLE",AS547="CUMPLE",OR(AY547="CUMPLE",AY547="DESPRECIABLE")),IF(OR(F547&lt;&gt;H547,G547&lt;&gt;I547),"CUMPLE - REANALIZAR SAP","CUMPLE"),"NO CUMPLE")</f>
        <v>CUMPLE - REANALIZAR SAP</v>
      </c>
    </row>
    <row r="548">
      <c r="A548" s="27" t="inlineStr">
        <is>
          <t>VR3</t>
        </is>
      </c>
      <c r="B548" s="27" t="inlineStr">
        <is>
          <t>1355</t>
        </is>
      </c>
      <c r="C548" s="10" t="n">
        <v>1</v>
      </c>
      <c r="D548" s="10" t="n">
        <v>3.3</v>
      </c>
      <c r="E548" s="10" t="n">
        <v>3.3</v>
      </c>
      <c r="F548" s="10" t="n">
        <v>350</v>
      </c>
      <c r="G548" s="10" t="n">
        <v>400</v>
      </c>
      <c r="H548" s="28" t="n">
        <v>400</v>
      </c>
      <c r="I548" s="28" t="n">
        <v>550</v>
      </c>
      <c r="J548" s="16" t="n">
        <v>115.2281</v>
      </c>
      <c r="K548" s="10" t="inlineStr">
        <is>
          <t>1355</t>
        </is>
      </c>
      <c r="L548" s="16" t="n">
        <v>55.543</v>
      </c>
      <c r="M548" s="10" t="inlineStr">
        <is>
          <t>1355</t>
        </is>
      </c>
      <c r="N548" s="16" t="n">
        <v>90.592</v>
      </c>
      <c r="O548" s="16" t="n">
        <v>271.336</v>
      </c>
      <c r="P548" s="10" t="inlineStr">
        <is>
          <t>1355</t>
        </is>
      </c>
      <c r="Q548" s="16" t="n">
        <v>0.8381999999999999</v>
      </c>
      <c r="R548" s="10">
        <f>MAX(MAX(1.4/'Parametros'!$B$3,0.25*SQRT('Parametros'!$B$2)/'Parametros'!$B$3)*H548*U548,(0.85*'Parametros'!$B$2/'Parametros'!$B$3)*(1-SQRT(1-2*(J548*1000000/('Parametros'!$B$5*H548*U548^2))/(0.85*'Parametros'!$B$2)))*H548*U548)</f>
        <v>656.733333333333</v>
      </c>
      <c r="S548" s="17" t="n">
        <v>4</v>
      </c>
      <c r="T548" s="18" t="n">
        <v>1</v>
      </c>
      <c r="U548" s="10">
        <f>IF(T548=1,I548-('Parametros'!$B$7+'Parametros'!$B$9+'Parametros'!$B$12/2),I548-(ROUNDUP(S548/2,0)*('Parametros'!$B$7+'Parametros'!$B$9+'Parametros'!$B$12/2)+ROUNDDOWN(S548/2,0)*('Parametros'!$B$7+'Parametros'!$B$9+'Parametros'!$B$12/2+'Parametros'!$B$12+'Parametros'!$B$10))/S548)</f>
        <v>492.55</v>
      </c>
      <c r="V548" s="10">
        <f>S548*'Parametros'!$B$8</f>
        <v>796</v>
      </c>
      <c r="W548" s="10">
        <f>'Parametros'!$B$5*V548*'Parametros'!$B$3*(U548-(V548*'Parametros'!$B$3/(0.85*'Parametros'!$B$2*H548))/2)/1000000</f>
        <v>142.919145105882</v>
      </c>
      <c r="X548" s="10" t="str">
        <f>IF(W548&gt;=J548,"CUMPLE","NO CUMPLE")</f>
        <v>CUMPLE</v>
      </c>
      <c r="Y548" s="10">
        <f>MAX(MAX(1.4/'Parametros'!$B$3,0.25*SQRT('Parametros'!$B$2)/'Parametros'!$B$3)*H548*AB548,(0.85*'Parametros'!$B$2/'Parametros'!$B$3)*(1-SQRT(1-2*(L548*1000000/('Parametros'!$B$5*H548*AB548^2))/(0.85*'Parametros'!$B$2)))*H548*AB548)</f>
        <v>656.733333333333</v>
      </c>
      <c r="Z548" s="17" t="n">
        <v>4</v>
      </c>
      <c r="AA548" s="18" t="n">
        <v>1</v>
      </c>
      <c r="AB548" s="10">
        <f>IF(AA548=1,I548-('Parametros'!$B$7+'Parametros'!$B$9+'Parametros'!$B$12/2),I548-(ROUNDUP(Z548/2,0)*('Parametros'!$B$7+'Parametros'!$B$9+'Parametros'!$B$12/2)+ROUNDDOWN(Z548/2,0)*('Parametros'!$B$7+'Parametros'!$B$9+'Parametros'!$B$12/2+'Parametros'!$B$12+'Parametros'!$B$10))/Z548)</f>
        <v>492.55</v>
      </c>
      <c r="AC548" s="10">
        <f>Z548*'Parametros'!$B$8</f>
        <v>796</v>
      </c>
      <c r="AD548" s="10">
        <f>'Parametros'!$B$5*AC548*'Parametros'!$B$3*(AB548-(AC548*'Parametros'!$B$3/(0.85*'Parametros'!$B$2*H548))/2)/1000000</f>
        <v>142.919145105882</v>
      </c>
      <c r="AE548" s="10" t="str">
        <f>IF(AD548&gt;=L548,"CUMPLE","NO CUMPLE")</f>
        <v>CUMPLE</v>
      </c>
      <c r="AF548" s="10">
        <f>V548*1.25*'Parametros'!$B$3*(U548-(V548*1.25*'Parametros'!$B$3/(0.85*'Parametros'!$B$2*H548))/2)/1000000</f>
        <v>196.664354558824</v>
      </c>
      <c r="AG548" s="10">
        <f>AC548*1.25*'Parametros'!$B$3*(AB548-(AC548*1.25*'Parametros'!$B$3/(0.85*'Parametros'!$B$2*H548))/2)/1000000</f>
        <v>196.664354558824</v>
      </c>
      <c r="AH548" s="10">
        <f>N548+(AF548+AG548)/D548</f>
        <v>209.782517914439</v>
      </c>
      <c r="AI548" s="10">
        <f>MIN(O548,MAX(N548,AH548))</f>
        <v>209.782517914439</v>
      </c>
      <c r="AJ548" s="10">
        <f>0.17*SQRT('Parametros'!$B$2)*H548*MIN(U548,AB548)/1000</f>
        <v>177.230413924022</v>
      </c>
      <c r="AK548" s="10">
        <f>MAX(AI548/'Parametros'!$B$6-AJ548,0)</f>
        <v>102.479609961897</v>
      </c>
      <c r="AL548" s="10">
        <f>0.66*SQRT('Parametros'!$B$2)*H548*MIN(U548,AB548)/1000</f>
        <v>688.071018763848</v>
      </c>
      <c r="AM548" s="10" t="str">
        <f>IF(AK548&lt;=AL548,"CUMPLE","NO CUMPLE")</f>
        <v>CUMPLE</v>
      </c>
      <c r="AN548" s="15" t="inlineStr">
        <is>
          <t>Nº3 cerrado</t>
        </is>
      </c>
      <c r="AO548" s="17" t="n">
        <v>2</v>
      </c>
      <c r="AP548" s="10">
        <f>ROUNDDOWN(MIN(IF(AK548=0,1000000000,AO548*'Parametros'!$B$11*'Parametros'!$B$4*MIN(U548,AB548)/(AK548*1000)),IF(AV548=0,1000000000,'Parametros'!$B$11/AV548),MIN(U548,AB548)/4,8*'Parametros'!$B$12,24*'Parametros'!$B$9,300)/10,0)*10</f>
        <v>120</v>
      </c>
      <c r="AQ548" s="10">
        <f>ROUNDDOWN(MIN(IF(AK548=0,1000000000,AO548*'Parametros'!$B$11*'Parametros'!$B$4*MIN(U548,AB548)/(AK548*1000)),IF(AV548=0,1000000000,'Parametros'!$B$11/AV548),MIN(U548,AB548)/2,600)/10,0)*10</f>
        <v>240</v>
      </c>
      <c r="AR548" s="10">
        <f>'Parametros'!$B$6*(AJ548+AO548*'Parametros'!$B$11*'Parametros'!$B$4*MIN(U548,AB548)/AP548/1000)</f>
        <v>316.520822943016</v>
      </c>
      <c r="AS548" s="10" t="str">
        <f>IF(AND(AM548="CUMPLE",AR548&gt;=AI548),"CUMPLE","NO CUMPLE")</f>
        <v>CUMPLE</v>
      </c>
      <c r="AT548" s="10">
        <f>'Parametros'!$B$6*0.083*SQRT('Parametros'!$B$2)*(H548*I548)^2/(2*(H548+I548))/1000000</f>
        <v>8.39093065800685</v>
      </c>
      <c r="AU548" s="10" t="str">
        <f>IF(Q548&lt;=AT548,"DESPRECIABLE","DISEÑAR")</f>
        <v>DESPRECIABLE</v>
      </c>
      <c r="AV548" s="10">
        <f>IF(Q548&lt;=AT548,0,Q548*1000000/('Parametros'!$B$6*2*0.85*(H548-2*'Parametros'!$B$7)*(I548-2*'Parametros'!$B$7)*'Parametros'!$B$4))</f>
        <v>0</v>
      </c>
      <c r="AW548" s="10">
        <f>AV548*2*((H548-2*'Parametros'!$B$7)+(I548-2*'Parametros'!$B$7))*'Parametros'!$B$4/'Parametros'!$B$3</f>
        <v>0</v>
      </c>
      <c r="AX548" s="17" t="n">
        <v>0</v>
      </c>
      <c r="AY548" s="10" t="str">
        <f>IF(AV548=0,"DESPRECIABLE",IF('Parametros'!$B$11/AP548&gt;=AV548,"CUMPLE","NO CUMPLE"))</f>
        <v>DESPRECIABLE</v>
      </c>
      <c r="AZ548" s="10" t="str">
        <f>IF(AND(X548="CUMPLE",AE548="CUMPLE",AS548="CUMPLE",OR(AY548="CUMPLE",AY548="DESPRECIABLE")),IF(OR(F548&lt;&gt;H548,G548&lt;&gt;I548),"CUMPLE - REANALIZAR SAP","CUMPLE"),"NO CUMPLE")</f>
        <v>CUMPLE - REANALIZAR SAP</v>
      </c>
    </row>
    <row r="549">
      <c r="A549" s="27" t="inlineStr">
        <is>
          <t>VR3</t>
        </is>
      </c>
      <c r="B549" s="27" t="inlineStr">
        <is>
          <t>1356</t>
        </is>
      </c>
      <c r="C549" s="10" t="n">
        <v>1</v>
      </c>
      <c r="D549" s="10" t="n">
        <v>3.3</v>
      </c>
      <c r="E549" s="10" t="n">
        <v>3.3</v>
      </c>
      <c r="F549" s="10" t="n">
        <v>350</v>
      </c>
      <c r="G549" s="10" t="n">
        <v>400</v>
      </c>
      <c r="H549" s="28" t="n">
        <v>400</v>
      </c>
      <c r="I549" s="28" t="n">
        <v>550</v>
      </c>
      <c r="J549" s="16" t="n">
        <v>115.2785</v>
      </c>
      <c r="K549" s="10" t="inlineStr">
        <is>
          <t>1356</t>
        </is>
      </c>
      <c r="L549" s="16" t="n">
        <v>55.5135</v>
      </c>
      <c r="M549" s="10" t="inlineStr">
        <is>
          <t>1356</t>
        </is>
      </c>
      <c r="N549" s="16" t="n">
        <v>90.61199999999999</v>
      </c>
      <c r="O549" s="16" t="n">
        <v>271.359</v>
      </c>
      <c r="P549" s="10" t="inlineStr">
        <is>
          <t>1356</t>
        </is>
      </c>
      <c r="Q549" s="16" t="n">
        <v>0.839</v>
      </c>
      <c r="R549" s="10">
        <f>MAX(MAX(1.4/'Parametros'!$B$3,0.25*SQRT('Parametros'!$B$2)/'Parametros'!$B$3)*H549*U549,(0.85*'Parametros'!$B$2/'Parametros'!$B$3)*(1-SQRT(1-2*(J549*1000000/('Parametros'!$B$5*H549*U549^2))/(0.85*'Parametros'!$B$2)))*H549*U549)</f>
        <v>656.733333333333</v>
      </c>
      <c r="S549" s="17" t="n">
        <v>4</v>
      </c>
      <c r="T549" s="18" t="n">
        <v>1</v>
      </c>
      <c r="U549" s="10">
        <f>IF(T549=1,I549-('Parametros'!$B$7+'Parametros'!$B$9+'Parametros'!$B$12/2),I549-(ROUNDUP(S549/2,0)*('Parametros'!$B$7+'Parametros'!$B$9+'Parametros'!$B$12/2)+ROUNDDOWN(S549/2,0)*('Parametros'!$B$7+'Parametros'!$B$9+'Parametros'!$B$12/2+'Parametros'!$B$12+'Parametros'!$B$10))/S549)</f>
        <v>492.55</v>
      </c>
      <c r="V549" s="10">
        <f>S549*'Parametros'!$B$8</f>
        <v>796</v>
      </c>
      <c r="W549" s="10">
        <f>'Parametros'!$B$5*V549*'Parametros'!$B$3*(U549-(V549*'Parametros'!$B$3/(0.85*'Parametros'!$B$2*H549))/2)/1000000</f>
        <v>142.919145105882</v>
      </c>
      <c r="X549" s="10" t="str">
        <f>IF(W549&gt;=J549,"CUMPLE","NO CUMPLE")</f>
        <v>CUMPLE</v>
      </c>
      <c r="Y549" s="10">
        <f>MAX(MAX(1.4/'Parametros'!$B$3,0.25*SQRT('Parametros'!$B$2)/'Parametros'!$B$3)*H549*AB549,(0.85*'Parametros'!$B$2/'Parametros'!$B$3)*(1-SQRT(1-2*(L549*1000000/('Parametros'!$B$5*H549*AB549^2))/(0.85*'Parametros'!$B$2)))*H549*AB549)</f>
        <v>656.733333333333</v>
      </c>
      <c r="Z549" s="17" t="n">
        <v>4</v>
      </c>
      <c r="AA549" s="18" t="n">
        <v>1</v>
      </c>
      <c r="AB549" s="10">
        <f>IF(AA549=1,I549-('Parametros'!$B$7+'Parametros'!$B$9+'Parametros'!$B$12/2),I549-(ROUNDUP(Z549/2,0)*('Parametros'!$B$7+'Parametros'!$B$9+'Parametros'!$B$12/2)+ROUNDDOWN(Z549/2,0)*('Parametros'!$B$7+'Parametros'!$B$9+'Parametros'!$B$12/2+'Parametros'!$B$12+'Parametros'!$B$10))/Z549)</f>
        <v>492.55</v>
      </c>
      <c r="AC549" s="10">
        <f>Z549*'Parametros'!$B$8</f>
        <v>796</v>
      </c>
      <c r="AD549" s="10">
        <f>'Parametros'!$B$5*AC549*'Parametros'!$B$3*(AB549-(AC549*'Parametros'!$B$3/(0.85*'Parametros'!$B$2*H549))/2)/1000000</f>
        <v>142.919145105882</v>
      </c>
      <c r="AE549" s="10" t="str">
        <f>IF(AD549&gt;=L549,"CUMPLE","NO CUMPLE")</f>
        <v>CUMPLE</v>
      </c>
      <c r="AF549" s="10">
        <f>V549*1.25*'Parametros'!$B$3*(U549-(V549*1.25*'Parametros'!$B$3/(0.85*'Parametros'!$B$2*H549))/2)/1000000</f>
        <v>196.664354558824</v>
      </c>
      <c r="AG549" s="10">
        <f>AC549*1.25*'Parametros'!$B$3*(AB549-(AC549*1.25*'Parametros'!$B$3/(0.85*'Parametros'!$B$2*H549))/2)/1000000</f>
        <v>196.664354558824</v>
      </c>
      <c r="AH549" s="10">
        <f>N549+(AF549+AG549)/D549</f>
        <v>209.802517914439</v>
      </c>
      <c r="AI549" s="10">
        <f>MIN(O549,MAX(N549,AH549))</f>
        <v>209.802517914439</v>
      </c>
      <c r="AJ549" s="10">
        <f>0.17*SQRT('Parametros'!$B$2)*H549*MIN(U549,AB549)/1000</f>
        <v>177.230413924022</v>
      </c>
      <c r="AK549" s="10">
        <f>MAX(AI549/'Parametros'!$B$6-AJ549,0)</f>
        <v>102.506276628563</v>
      </c>
      <c r="AL549" s="10">
        <f>0.66*SQRT('Parametros'!$B$2)*H549*MIN(U549,AB549)/1000</f>
        <v>688.071018763848</v>
      </c>
      <c r="AM549" s="10" t="str">
        <f>IF(AK549&lt;=AL549,"CUMPLE","NO CUMPLE")</f>
        <v>CUMPLE</v>
      </c>
      <c r="AN549" s="15" t="inlineStr">
        <is>
          <t>Nº3 cerrado</t>
        </is>
      </c>
      <c r="AO549" s="17" t="n">
        <v>2</v>
      </c>
      <c r="AP549" s="10">
        <f>ROUNDDOWN(MIN(IF(AK549=0,1000000000,AO549*'Parametros'!$B$11*'Parametros'!$B$4*MIN(U549,AB549)/(AK549*1000)),IF(AV549=0,1000000000,'Parametros'!$B$11/AV549),MIN(U549,AB549)/4,8*'Parametros'!$B$12,24*'Parametros'!$B$9,300)/10,0)*10</f>
        <v>120</v>
      </c>
      <c r="AQ549" s="10">
        <f>ROUNDDOWN(MIN(IF(AK549=0,1000000000,AO549*'Parametros'!$B$11*'Parametros'!$B$4*MIN(U549,AB549)/(AK549*1000)),IF(AV549=0,1000000000,'Parametros'!$B$11/AV549),MIN(U549,AB549)/2,600)/10,0)*10</f>
        <v>240</v>
      </c>
      <c r="AR549" s="10">
        <f>'Parametros'!$B$6*(AJ549+AO549*'Parametros'!$B$11*'Parametros'!$B$4*MIN(U549,AB549)/AP549/1000)</f>
        <v>316.520822943016</v>
      </c>
      <c r="AS549" s="10" t="str">
        <f>IF(AND(AM549="CUMPLE",AR549&gt;=AI549),"CUMPLE","NO CUMPLE")</f>
        <v>CUMPLE</v>
      </c>
      <c r="AT549" s="10">
        <f>'Parametros'!$B$6*0.083*SQRT('Parametros'!$B$2)*(H549*I549)^2/(2*(H549+I549))/1000000</f>
        <v>8.39093065800685</v>
      </c>
      <c r="AU549" s="10" t="str">
        <f>IF(Q549&lt;=AT549,"DESPRECIABLE","DISEÑAR")</f>
        <v>DESPRECIABLE</v>
      </c>
      <c r="AV549" s="10">
        <f>IF(Q549&lt;=AT549,0,Q549*1000000/('Parametros'!$B$6*2*0.85*(H549-2*'Parametros'!$B$7)*(I549-2*'Parametros'!$B$7)*'Parametros'!$B$4))</f>
        <v>0</v>
      </c>
      <c r="AW549" s="10">
        <f>AV549*2*((H549-2*'Parametros'!$B$7)+(I549-2*'Parametros'!$B$7))*'Parametros'!$B$4/'Parametros'!$B$3</f>
        <v>0</v>
      </c>
      <c r="AX549" s="17" t="n">
        <v>0</v>
      </c>
      <c r="AY549" s="10" t="str">
        <f>IF(AV549=0,"DESPRECIABLE",IF('Parametros'!$B$11/AP549&gt;=AV549,"CUMPLE","NO CUMPLE"))</f>
        <v>DESPRECIABLE</v>
      </c>
      <c r="AZ549" s="10" t="str">
        <f>IF(AND(X549="CUMPLE",AE549="CUMPLE",AS549="CUMPLE",OR(AY549="CUMPLE",AY549="DESPRECIABLE")),IF(OR(F549&lt;&gt;H549,G549&lt;&gt;I549),"CUMPLE - REANALIZAR SAP","CUMPLE"),"NO CUMPLE")</f>
        <v>CUMPLE - REANALIZAR SAP</v>
      </c>
    </row>
    <row r="550">
      <c r="A550" s="27" t="inlineStr">
        <is>
          <t>VR3</t>
        </is>
      </c>
      <c r="B550" s="27" t="inlineStr">
        <is>
          <t>1357</t>
        </is>
      </c>
      <c r="C550" s="10" t="n">
        <v>1</v>
      </c>
      <c r="D550" s="10" t="n">
        <v>3.3</v>
      </c>
      <c r="E550" s="10" t="n">
        <v>3.3</v>
      </c>
      <c r="F550" s="10" t="n">
        <v>350</v>
      </c>
      <c r="G550" s="10" t="n">
        <v>400</v>
      </c>
      <c r="H550" s="28" t="n">
        <v>400</v>
      </c>
      <c r="I550" s="28" t="n">
        <v>550</v>
      </c>
      <c r="J550" s="16" t="n">
        <v>101.5588</v>
      </c>
      <c r="K550" s="10" t="inlineStr">
        <is>
          <t>1357</t>
        </is>
      </c>
      <c r="L550" s="16" t="n">
        <v>36.1594</v>
      </c>
      <c r="M550" s="10" t="inlineStr">
        <is>
          <t>1357</t>
        </is>
      </c>
      <c r="N550" s="16" t="n">
        <v>82.468</v>
      </c>
      <c r="O550" s="16" t="n">
        <v>219.389</v>
      </c>
      <c r="P550" s="10" t="inlineStr">
        <is>
          <t>1357</t>
        </is>
      </c>
      <c r="Q550" s="16" t="n">
        <v>0.7209</v>
      </c>
      <c r="R550" s="10">
        <f>MAX(MAX(1.4/'Parametros'!$B$3,0.25*SQRT('Parametros'!$B$2)/'Parametros'!$B$3)*H550*U550,(0.85*'Parametros'!$B$2/'Parametros'!$B$3)*(1-SQRT(1-2*(J550*1000000/('Parametros'!$B$5*H550*U550^2))/(0.85*'Parametros'!$B$2)))*H550*U550)</f>
        <v>656.733333333333</v>
      </c>
      <c r="S550" s="17" t="n">
        <v>4</v>
      </c>
      <c r="T550" s="18" t="n">
        <v>1</v>
      </c>
      <c r="U550" s="10">
        <f>IF(T550=1,I550-('Parametros'!$B$7+'Parametros'!$B$9+'Parametros'!$B$12/2),I550-(ROUNDUP(S550/2,0)*('Parametros'!$B$7+'Parametros'!$B$9+'Parametros'!$B$12/2)+ROUNDDOWN(S550/2,0)*('Parametros'!$B$7+'Parametros'!$B$9+'Parametros'!$B$12/2+'Parametros'!$B$12+'Parametros'!$B$10))/S550)</f>
        <v>492.55</v>
      </c>
      <c r="V550" s="10">
        <f>S550*'Parametros'!$B$8</f>
        <v>796</v>
      </c>
      <c r="W550" s="10">
        <f>'Parametros'!$B$5*V550*'Parametros'!$B$3*(U550-(V550*'Parametros'!$B$3/(0.85*'Parametros'!$B$2*H550))/2)/1000000</f>
        <v>142.919145105882</v>
      </c>
      <c r="X550" s="10" t="str">
        <f>IF(W550&gt;=J550,"CUMPLE","NO CUMPLE")</f>
        <v>CUMPLE</v>
      </c>
      <c r="Y550" s="10">
        <f>MAX(MAX(1.4/'Parametros'!$B$3,0.25*SQRT('Parametros'!$B$2)/'Parametros'!$B$3)*H550*AB550,(0.85*'Parametros'!$B$2/'Parametros'!$B$3)*(1-SQRT(1-2*(L550*1000000/('Parametros'!$B$5*H550*AB550^2))/(0.85*'Parametros'!$B$2)))*H550*AB550)</f>
        <v>656.733333333333</v>
      </c>
      <c r="Z550" s="17" t="n">
        <v>4</v>
      </c>
      <c r="AA550" s="18" t="n">
        <v>1</v>
      </c>
      <c r="AB550" s="10">
        <f>IF(AA550=1,I550-('Parametros'!$B$7+'Parametros'!$B$9+'Parametros'!$B$12/2),I550-(ROUNDUP(Z550/2,0)*('Parametros'!$B$7+'Parametros'!$B$9+'Parametros'!$B$12/2)+ROUNDDOWN(Z550/2,0)*('Parametros'!$B$7+'Parametros'!$B$9+'Parametros'!$B$12/2+'Parametros'!$B$12+'Parametros'!$B$10))/Z550)</f>
        <v>492.55</v>
      </c>
      <c r="AC550" s="10">
        <f>Z550*'Parametros'!$B$8</f>
        <v>796</v>
      </c>
      <c r="AD550" s="10">
        <f>'Parametros'!$B$5*AC550*'Parametros'!$B$3*(AB550-(AC550*'Parametros'!$B$3/(0.85*'Parametros'!$B$2*H550))/2)/1000000</f>
        <v>142.919145105882</v>
      </c>
      <c r="AE550" s="10" t="str">
        <f>IF(AD550&gt;=L550,"CUMPLE","NO CUMPLE")</f>
        <v>CUMPLE</v>
      </c>
      <c r="AF550" s="10">
        <f>V550*1.25*'Parametros'!$B$3*(U550-(V550*1.25*'Parametros'!$B$3/(0.85*'Parametros'!$B$2*H550))/2)/1000000</f>
        <v>196.664354558824</v>
      </c>
      <c r="AG550" s="10">
        <f>AC550*1.25*'Parametros'!$B$3*(AB550-(AC550*1.25*'Parametros'!$B$3/(0.85*'Parametros'!$B$2*H550))/2)/1000000</f>
        <v>196.664354558824</v>
      </c>
      <c r="AH550" s="10">
        <f>N550+(AF550+AG550)/D550</f>
        <v>201.658517914439</v>
      </c>
      <c r="AI550" s="10">
        <f>MIN(O550,MAX(N550,AH550))</f>
        <v>201.658517914439</v>
      </c>
      <c r="AJ550" s="10">
        <f>0.17*SQRT('Parametros'!$B$2)*H550*MIN(U550,AB550)/1000</f>
        <v>177.230413924022</v>
      </c>
      <c r="AK550" s="10">
        <f>MAX(AI550/'Parametros'!$B$6-AJ550,0)</f>
        <v>91.6476099618965</v>
      </c>
      <c r="AL550" s="10">
        <f>0.66*SQRT('Parametros'!$B$2)*H550*MIN(U550,AB550)/1000</f>
        <v>688.071018763848</v>
      </c>
      <c r="AM550" s="10" t="str">
        <f>IF(AK550&lt;=AL550,"CUMPLE","NO CUMPLE")</f>
        <v>CUMPLE</v>
      </c>
      <c r="AN550" s="15" t="inlineStr">
        <is>
          <t>Nº3 cerrado</t>
        </is>
      </c>
      <c r="AO550" s="17" t="n">
        <v>2</v>
      </c>
      <c r="AP550" s="10">
        <f>ROUNDDOWN(MIN(IF(AK550=0,1000000000,AO550*'Parametros'!$B$11*'Parametros'!$B$4*MIN(U550,AB550)/(AK550*1000)),IF(AV550=0,1000000000,'Parametros'!$B$11/AV550),MIN(U550,AB550)/4,8*'Parametros'!$B$12,24*'Parametros'!$B$9,300)/10,0)*10</f>
        <v>120</v>
      </c>
      <c r="AQ550" s="10">
        <f>ROUNDDOWN(MIN(IF(AK550=0,1000000000,AO550*'Parametros'!$B$11*'Parametros'!$B$4*MIN(U550,AB550)/(AK550*1000)),IF(AV550=0,1000000000,'Parametros'!$B$11/AV550),MIN(U550,AB550)/2,600)/10,0)*10</f>
        <v>240</v>
      </c>
      <c r="AR550" s="10">
        <f>'Parametros'!$B$6*(AJ550+AO550*'Parametros'!$B$11*'Parametros'!$B$4*MIN(U550,AB550)/AP550/1000)</f>
        <v>316.520822943016</v>
      </c>
      <c r="AS550" s="10" t="str">
        <f>IF(AND(AM550="CUMPLE",AR550&gt;=AI550),"CUMPLE","NO CUMPLE")</f>
        <v>CUMPLE</v>
      </c>
      <c r="AT550" s="10">
        <f>'Parametros'!$B$6*0.083*SQRT('Parametros'!$B$2)*(H550*I550)^2/(2*(H550+I550))/1000000</f>
        <v>8.39093065800685</v>
      </c>
      <c r="AU550" s="10" t="str">
        <f>IF(Q550&lt;=AT550,"DESPRECIABLE","DISEÑAR")</f>
        <v>DESPRECIABLE</v>
      </c>
      <c r="AV550" s="10">
        <f>IF(Q550&lt;=AT550,0,Q550*1000000/('Parametros'!$B$6*2*0.85*(H550-2*'Parametros'!$B$7)*(I550-2*'Parametros'!$B$7)*'Parametros'!$B$4))</f>
        <v>0</v>
      </c>
      <c r="AW550" s="10">
        <f>AV550*2*((H550-2*'Parametros'!$B$7)+(I550-2*'Parametros'!$B$7))*'Parametros'!$B$4/'Parametros'!$B$3</f>
        <v>0</v>
      </c>
      <c r="AX550" s="17" t="n">
        <v>0</v>
      </c>
      <c r="AY550" s="10" t="str">
        <f>IF(AV550=0,"DESPRECIABLE",IF('Parametros'!$B$11/AP550&gt;=AV550,"CUMPLE","NO CUMPLE"))</f>
        <v>DESPRECIABLE</v>
      </c>
      <c r="AZ550" s="10" t="str">
        <f>IF(AND(X550="CUMPLE",AE550="CUMPLE",AS550="CUMPLE",OR(AY550="CUMPLE",AY550="DESPRECIABLE")),IF(OR(F550&lt;&gt;H550,G550&lt;&gt;I550),"CUMPLE - REANALIZAR SAP","CUMPLE"),"NO CUMPLE")</f>
        <v>CUMPLE - REANALIZAR SAP</v>
      </c>
    </row>
    <row r="551">
      <c r="A551" s="27" t="inlineStr">
        <is>
          <t>VR3</t>
        </is>
      </c>
      <c r="B551" s="27" t="inlineStr">
        <is>
          <t>1358</t>
        </is>
      </c>
      <c r="C551" s="10" t="n">
        <v>1</v>
      </c>
      <c r="D551" s="10" t="n">
        <v>3.3</v>
      </c>
      <c r="E551" s="10" t="n">
        <v>3.3</v>
      </c>
      <c r="F551" s="10" t="n">
        <v>350</v>
      </c>
      <c r="G551" s="10" t="n">
        <v>400</v>
      </c>
      <c r="H551" s="28" t="n">
        <v>400</v>
      </c>
      <c r="I551" s="28" t="n">
        <v>550</v>
      </c>
      <c r="J551" s="16" t="n">
        <v>101.6477</v>
      </c>
      <c r="K551" s="10" t="inlineStr">
        <is>
          <t>1358</t>
        </is>
      </c>
      <c r="L551" s="16" t="n">
        <v>36.2186</v>
      </c>
      <c r="M551" s="10" t="inlineStr">
        <is>
          <t>1358</t>
        </is>
      </c>
      <c r="N551" s="16" t="n">
        <v>82.52500000000001</v>
      </c>
      <c r="O551" s="16" t="n">
        <v>219.45</v>
      </c>
      <c r="P551" s="10" t="inlineStr">
        <is>
          <t>1358</t>
        </is>
      </c>
      <c r="Q551" s="16" t="n">
        <v>0.7169</v>
      </c>
      <c r="R551" s="10">
        <f>MAX(MAX(1.4/'Parametros'!$B$3,0.25*SQRT('Parametros'!$B$2)/'Parametros'!$B$3)*H551*U551,(0.85*'Parametros'!$B$2/'Parametros'!$B$3)*(1-SQRT(1-2*(J551*1000000/('Parametros'!$B$5*H551*U551^2))/(0.85*'Parametros'!$B$2)))*H551*U551)</f>
        <v>656.733333333333</v>
      </c>
      <c r="S551" s="17" t="n">
        <v>4</v>
      </c>
      <c r="T551" s="18" t="n">
        <v>1</v>
      </c>
      <c r="U551" s="10">
        <f>IF(T551=1,I551-('Parametros'!$B$7+'Parametros'!$B$9+'Parametros'!$B$12/2),I551-(ROUNDUP(S551/2,0)*('Parametros'!$B$7+'Parametros'!$B$9+'Parametros'!$B$12/2)+ROUNDDOWN(S551/2,0)*('Parametros'!$B$7+'Parametros'!$B$9+'Parametros'!$B$12/2+'Parametros'!$B$12+'Parametros'!$B$10))/S551)</f>
        <v>492.55</v>
      </c>
      <c r="V551" s="10">
        <f>S551*'Parametros'!$B$8</f>
        <v>796</v>
      </c>
      <c r="W551" s="10">
        <f>'Parametros'!$B$5*V551*'Parametros'!$B$3*(U551-(V551*'Parametros'!$B$3/(0.85*'Parametros'!$B$2*H551))/2)/1000000</f>
        <v>142.919145105882</v>
      </c>
      <c r="X551" s="10" t="str">
        <f>IF(W551&gt;=J551,"CUMPLE","NO CUMPLE")</f>
        <v>CUMPLE</v>
      </c>
      <c r="Y551" s="10">
        <f>MAX(MAX(1.4/'Parametros'!$B$3,0.25*SQRT('Parametros'!$B$2)/'Parametros'!$B$3)*H551*AB551,(0.85*'Parametros'!$B$2/'Parametros'!$B$3)*(1-SQRT(1-2*(L551*1000000/('Parametros'!$B$5*H551*AB551^2))/(0.85*'Parametros'!$B$2)))*H551*AB551)</f>
        <v>656.733333333333</v>
      </c>
      <c r="Z551" s="17" t="n">
        <v>4</v>
      </c>
      <c r="AA551" s="18" t="n">
        <v>1</v>
      </c>
      <c r="AB551" s="10">
        <f>IF(AA551=1,I551-('Parametros'!$B$7+'Parametros'!$B$9+'Parametros'!$B$12/2),I551-(ROUNDUP(Z551/2,0)*('Parametros'!$B$7+'Parametros'!$B$9+'Parametros'!$B$12/2)+ROUNDDOWN(Z551/2,0)*('Parametros'!$B$7+'Parametros'!$B$9+'Parametros'!$B$12/2+'Parametros'!$B$12+'Parametros'!$B$10))/Z551)</f>
        <v>492.55</v>
      </c>
      <c r="AC551" s="10">
        <f>Z551*'Parametros'!$B$8</f>
        <v>796</v>
      </c>
      <c r="AD551" s="10">
        <f>'Parametros'!$B$5*AC551*'Parametros'!$B$3*(AB551-(AC551*'Parametros'!$B$3/(0.85*'Parametros'!$B$2*H551))/2)/1000000</f>
        <v>142.919145105882</v>
      </c>
      <c r="AE551" s="10" t="str">
        <f>IF(AD551&gt;=L551,"CUMPLE","NO CUMPLE")</f>
        <v>CUMPLE</v>
      </c>
      <c r="AF551" s="10">
        <f>V551*1.25*'Parametros'!$B$3*(U551-(V551*1.25*'Parametros'!$B$3/(0.85*'Parametros'!$B$2*H551))/2)/1000000</f>
        <v>196.664354558824</v>
      </c>
      <c r="AG551" s="10">
        <f>AC551*1.25*'Parametros'!$B$3*(AB551-(AC551*1.25*'Parametros'!$B$3/(0.85*'Parametros'!$B$2*H551))/2)/1000000</f>
        <v>196.664354558824</v>
      </c>
      <c r="AH551" s="10">
        <f>N551+(AF551+AG551)/D551</f>
        <v>201.715517914439</v>
      </c>
      <c r="AI551" s="10">
        <f>MIN(O551,MAX(N551,AH551))</f>
        <v>201.715517914439</v>
      </c>
      <c r="AJ551" s="10">
        <f>0.17*SQRT('Parametros'!$B$2)*H551*MIN(U551,AB551)/1000</f>
        <v>177.230413924022</v>
      </c>
      <c r="AK551" s="10">
        <f>MAX(AI551/'Parametros'!$B$6-AJ551,0)</f>
        <v>91.7236099618965</v>
      </c>
      <c r="AL551" s="10">
        <f>0.66*SQRT('Parametros'!$B$2)*H551*MIN(U551,AB551)/1000</f>
        <v>688.071018763848</v>
      </c>
      <c r="AM551" s="10" t="str">
        <f>IF(AK551&lt;=AL551,"CUMPLE","NO CUMPLE")</f>
        <v>CUMPLE</v>
      </c>
      <c r="AN551" s="15" t="inlineStr">
        <is>
          <t>Nº3 cerrado</t>
        </is>
      </c>
      <c r="AO551" s="17" t="n">
        <v>2</v>
      </c>
      <c r="AP551" s="10">
        <f>ROUNDDOWN(MIN(IF(AK551=0,1000000000,AO551*'Parametros'!$B$11*'Parametros'!$B$4*MIN(U551,AB551)/(AK551*1000)),IF(AV551=0,1000000000,'Parametros'!$B$11/AV551),MIN(U551,AB551)/4,8*'Parametros'!$B$12,24*'Parametros'!$B$9,300)/10,0)*10</f>
        <v>120</v>
      </c>
      <c r="AQ551" s="10">
        <f>ROUNDDOWN(MIN(IF(AK551=0,1000000000,AO551*'Parametros'!$B$11*'Parametros'!$B$4*MIN(U551,AB551)/(AK551*1000)),IF(AV551=0,1000000000,'Parametros'!$B$11/AV551),MIN(U551,AB551)/2,600)/10,0)*10</f>
        <v>240</v>
      </c>
      <c r="AR551" s="10">
        <f>'Parametros'!$B$6*(AJ551+AO551*'Parametros'!$B$11*'Parametros'!$B$4*MIN(U551,AB551)/AP551/1000)</f>
        <v>316.520822943016</v>
      </c>
      <c r="AS551" s="10" t="str">
        <f>IF(AND(AM551="CUMPLE",AR551&gt;=AI551),"CUMPLE","NO CUMPLE")</f>
        <v>CUMPLE</v>
      </c>
      <c r="AT551" s="10">
        <f>'Parametros'!$B$6*0.083*SQRT('Parametros'!$B$2)*(H551*I551)^2/(2*(H551+I551))/1000000</f>
        <v>8.39093065800685</v>
      </c>
      <c r="AU551" s="10" t="str">
        <f>IF(Q551&lt;=AT551,"DESPRECIABLE","DISEÑAR")</f>
        <v>DESPRECIABLE</v>
      </c>
      <c r="AV551" s="10">
        <f>IF(Q551&lt;=AT551,0,Q551*1000000/('Parametros'!$B$6*2*0.85*(H551-2*'Parametros'!$B$7)*(I551-2*'Parametros'!$B$7)*'Parametros'!$B$4))</f>
        <v>0</v>
      </c>
      <c r="AW551" s="10">
        <f>AV551*2*((H551-2*'Parametros'!$B$7)+(I551-2*'Parametros'!$B$7))*'Parametros'!$B$4/'Parametros'!$B$3</f>
        <v>0</v>
      </c>
      <c r="AX551" s="17" t="n">
        <v>0</v>
      </c>
      <c r="AY551" s="10" t="str">
        <f>IF(AV551=0,"DESPRECIABLE",IF('Parametros'!$B$11/AP551&gt;=AV551,"CUMPLE","NO CUMPLE"))</f>
        <v>DESPRECIABLE</v>
      </c>
      <c r="AZ551" s="10" t="str">
        <f>IF(AND(X551="CUMPLE",AE551="CUMPLE",AS551="CUMPLE",OR(AY551="CUMPLE",AY551="DESPRECIABLE")),IF(OR(F551&lt;&gt;H551,G551&lt;&gt;I551),"CUMPLE - REANALIZAR SAP","CUMPLE"),"NO CUMPLE")</f>
        <v>CUMPLE - REANALIZAR SAP</v>
      </c>
    </row>
    <row r="552">
      <c r="A552" s="27" t="inlineStr">
        <is>
          <t>VR3</t>
        </is>
      </c>
      <c r="B552" s="27" t="inlineStr">
        <is>
          <t>1359</t>
        </is>
      </c>
      <c r="C552" s="10" t="n">
        <v>1</v>
      </c>
      <c r="D552" s="10" t="n">
        <v>3.3</v>
      </c>
      <c r="E552" s="10" t="n">
        <v>3.3</v>
      </c>
      <c r="F552" s="10" t="n">
        <v>350</v>
      </c>
      <c r="G552" s="10" t="n">
        <v>400</v>
      </c>
      <c r="H552" s="28" t="n">
        <v>400</v>
      </c>
      <c r="I552" s="28" t="n">
        <v>550</v>
      </c>
      <c r="J552" s="16" t="n">
        <v>83.0307</v>
      </c>
      <c r="K552" s="10" t="inlineStr">
        <is>
          <t>1359</t>
        </is>
      </c>
      <c r="L552" s="16" t="n">
        <v>17.8736</v>
      </c>
      <c r="M552" s="10" t="inlineStr">
        <is>
          <t>1359</t>
        </is>
      </c>
      <c r="N552" s="16" t="n">
        <v>71.89400000000001</v>
      </c>
      <c r="O552" s="16" t="n">
        <v>151.562</v>
      </c>
      <c r="P552" s="10" t="inlineStr">
        <is>
          <t>1359</t>
        </is>
      </c>
      <c r="Q552" s="16" t="n">
        <v>0.4788</v>
      </c>
      <c r="R552" s="10">
        <f>MAX(MAX(1.4/'Parametros'!$B$3,0.25*SQRT('Parametros'!$B$2)/'Parametros'!$B$3)*H552*U552,(0.85*'Parametros'!$B$2/'Parametros'!$B$3)*(1-SQRT(1-2*(J552*1000000/('Parametros'!$B$5*H552*U552^2))/(0.85*'Parametros'!$B$2)))*H552*U552)</f>
        <v>656.733333333333</v>
      </c>
      <c r="S552" s="17" t="n">
        <v>4</v>
      </c>
      <c r="T552" s="18" t="n">
        <v>1</v>
      </c>
      <c r="U552" s="10">
        <f>IF(T552=1,I552-('Parametros'!$B$7+'Parametros'!$B$9+'Parametros'!$B$12/2),I552-(ROUNDUP(S552/2,0)*('Parametros'!$B$7+'Parametros'!$B$9+'Parametros'!$B$12/2)+ROUNDDOWN(S552/2,0)*('Parametros'!$B$7+'Parametros'!$B$9+'Parametros'!$B$12/2+'Parametros'!$B$12+'Parametros'!$B$10))/S552)</f>
        <v>492.55</v>
      </c>
      <c r="V552" s="10">
        <f>S552*'Parametros'!$B$8</f>
        <v>796</v>
      </c>
      <c r="W552" s="10">
        <f>'Parametros'!$B$5*V552*'Parametros'!$B$3*(U552-(V552*'Parametros'!$B$3/(0.85*'Parametros'!$B$2*H552))/2)/1000000</f>
        <v>142.919145105882</v>
      </c>
      <c r="X552" s="10" t="str">
        <f>IF(W552&gt;=J552,"CUMPLE","NO CUMPLE")</f>
        <v>CUMPLE</v>
      </c>
      <c r="Y552" s="10">
        <f>MAX(MAX(1.4/'Parametros'!$B$3,0.25*SQRT('Parametros'!$B$2)/'Parametros'!$B$3)*H552*AB552,(0.85*'Parametros'!$B$2/'Parametros'!$B$3)*(1-SQRT(1-2*(L552*1000000/('Parametros'!$B$5*H552*AB552^2))/(0.85*'Parametros'!$B$2)))*H552*AB552)</f>
        <v>656.733333333333</v>
      </c>
      <c r="Z552" s="17" t="n">
        <v>4</v>
      </c>
      <c r="AA552" s="18" t="n">
        <v>1</v>
      </c>
      <c r="AB552" s="10">
        <f>IF(AA552=1,I552-('Parametros'!$B$7+'Parametros'!$B$9+'Parametros'!$B$12/2),I552-(ROUNDUP(Z552/2,0)*('Parametros'!$B$7+'Parametros'!$B$9+'Parametros'!$B$12/2)+ROUNDDOWN(Z552/2,0)*('Parametros'!$B$7+'Parametros'!$B$9+'Parametros'!$B$12/2+'Parametros'!$B$12+'Parametros'!$B$10))/Z552)</f>
        <v>492.55</v>
      </c>
      <c r="AC552" s="10">
        <f>Z552*'Parametros'!$B$8</f>
        <v>796</v>
      </c>
      <c r="AD552" s="10">
        <f>'Parametros'!$B$5*AC552*'Parametros'!$B$3*(AB552-(AC552*'Parametros'!$B$3/(0.85*'Parametros'!$B$2*H552))/2)/1000000</f>
        <v>142.919145105882</v>
      </c>
      <c r="AE552" s="10" t="str">
        <f>IF(AD552&gt;=L552,"CUMPLE","NO CUMPLE")</f>
        <v>CUMPLE</v>
      </c>
      <c r="AF552" s="10">
        <f>V552*1.25*'Parametros'!$B$3*(U552-(V552*1.25*'Parametros'!$B$3/(0.85*'Parametros'!$B$2*H552))/2)/1000000</f>
        <v>196.664354558824</v>
      </c>
      <c r="AG552" s="10">
        <f>AC552*1.25*'Parametros'!$B$3*(AB552-(AC552*1.25*'Parametros'!$B$3/(0.85*'Parametros'!$B$2*H552))/2)/1000000</f>
        <v>196.664354558824</v>
      </c>
      <c r="AH552" s="10">
        <f>N552+(AF552+AG552)/D552</f>
        <v>191.084517914439</v>
      </c>
      <c r="AI552" s="10">
        <f>MIN(O552,MAX(N552,AH552))</f>
        <v>151.562</v>
      </c>
      <c r="AJ552" s="10">
        <f>0.17*SQRT('Parametros'!$B$2)*H552*MIN(U552,AB552)/1000</f>
        <v>177.230413924022</v>
      </c>
      <c r="AK552" s="10">
        <f>MAX(AI552/'Parametros'!$B$6-AJ552,0)</f>
        <v>24.8522527426452</v>
      </c>
      <c r="AL552" s="10">
        <f>0.66*SQRT('Parametros'!$B$2)*H552*MIN(U552,AB552)/1000</f>
        <v>688.071018763848</v>
      </c>
      <c r="AM552" s="10" t="str">
        <f>IF(AK552&lt;=AL552,"CUMPLE","NO CUMPLE")</f>
        <v>CUMPLE</v>
      </c>
      <c r="AN552" s="15" t="inlineStr">
        <is>
          <t>Nº3 cerrado</t>
        </is>
      </c>
      <c r="AO552" s="17" t="n">
        <v>2</v>
      </c>
      <c r="AP552" s="10">
        <f>ROUNDDOWN(MIN(IF(AK552=0,1000000000,AO552*'Parametros'!$B$11*'Parametros'!$B$4*MIN(U552,AB552)/(AK552*1000)),IF(AV552=0,1000000000,'Parametros'!$B$11/AV552),MIN(U552,AB552)/4,8*'Parametros'!$B$12,24*'Parametros'!$B$9,300)/10,0)*10</f>
        <v>120</v>
      </c>
      <c r="AQ552" s="10">
        <f>ROUNDDOWN(MIN(IF(AK552=0,1000000000,AO552*'Parametros'!$B$11*'Parametros'!$B$4*MIN(U552,AB552)/(AK552*1000)),IF(AV552=0,1000000000,'Parametros'!$B$11/AV552),MIN(U552,AB552)/2,600)/10,0)*10</f>
        <v>240</v>
      </c>
      <c r="AR552" s="10">
        <f>'Parametros'!$B$6*(AJ552+AO552*'Parametros'!$B$11*'Parametros'!$B$4*MIN(U552,AB552)/AP552/1000)</f>
        <v>316.520822943016</v>
      </c>
      <c r="AS552" s="10" t="str">
        <f>IF(AND(AM552="CUMPLE",AR552&gt;=AI552),"CUMPLE","NO CUMPLE")</f>
        <v>CUMPLE</v>
      </c>
      <c r="AT552" s="10">
        <f>'Parametros'!$B$6*0.083*SQRT('Parametros'!$B$2)*(H552*I552)^2/(2*(H552+I552))/1000000</f>
        <v>8.39093065800685</v>
      </c>
      <c r="AU552" s="10" t="str">
        <f>IF(Q552&lt;=AT552,"DESPRECIABLE","DISEÑAR")</f>
        <v>DESPRECIABLE</v>
      </c>
      <c r="AV552" s="10">
        <f>IF(Q552&lt;=AT552,0,Q552*1000000/('Parametros'!$B$6*2*0.85*(H552-2*'Parametros'!$B$7)*(I552-2*'Parametros'!$B$7)*'Parametros'!$B$4))</f>
        <v>0</v>
      </c>
      <c r="AW552" s="10">
        <f>AV552*2*((H552-2*'Parametros'!$B$7)+(I552-2*'Parametros'!$B$7))*'Parametros'!$B$4/'Parametros'!$B$3</f>
        <v>0</v>
      </c>
      <c r="AX552" s="17" t="n">
        <v>0</v>
      </c>
      <c r="AY552" s="10" t="str">
        <f>IF(AV552=0,"DESPRECIABLE",IF('Parametros'!$B$11/AP552&gt;=AV552,"CUMPLE","NO CUMPLE"))</f>
        <v>DESPRECIABLE</v>
      </c>
      <c r="AZ552" s="10" t="str">
        <f>IF(AND(X552="CUMPLE",AE552="CUMPLE",AS552="CUMPLE",OR(AY552="CUMPLE",AY552="DESPRECIABLE")),IF(OR(F552&lt;&gt;H552,G552&lt;&gt;I552),"CUMPLE - REANALIZAR SAP","CUMPLE"),"NO CUMPLE")</f>
        <v>CUMPLE - REANALIZAR SAP</v>
      </c>
    </row>
    <row r="553">
      <c r="A553" s="27" t="inlineStr">
        <is>
          <t>VR3</t>
        </is>
      </c>
      <c r="B553" s="27" t="inlineStr">
        <is>
          <t>1360</t>
        </is>
      </c>
      <c r="C553" s="10" t="n">
        <v>1</v>
      </c>
      <c r="D553" s="10" t="n">
        <v>3.3</v>
      </c>
      <c r="E553" s="10" t="n">
        <v>3.3</v>
      </c>
      <c r="F553" s="10" t="n">
        <v>350</v>
      </c>
      <c r="G553" s="10" t="n">
        <v>400</v>
      </c>
      <c r="H553" s="28" t="n">
        <v>400</v>
      </c>
      <c r="I553" s="28" t="n">
        <v>550</v>
      </c>
      <c r="J553" s="16" t="n">
        <v>83.1247</v>
      </c>
      <c r="K553" s="10" t="inlineStr">
        <is>
          <t>1360</t>
        </is>
      </c>
      <c r="L553" s="16" t="n">
        <v>17.9402</v>
      </c>
      <c r="M553" s="10" t="inlineStr">
        <is>
          <t>1360</t>
        </is>
      </c>
      <c r="N553" s="16" t="n">
        <v>71.95099999999999</v>
      </c>
      <c r="O553" s="16" t="n">
        <v>151.62</v>
      </c>
      <c r="P553" s="10" t="inlineStr">
        <is>
          <t>1360</t>
        </is>
      </c>
      <c r="Q553" s="16" t="n">
        <v>0.4767</v>
      </c>
      <c r="R553" s="10">
        <f>MAX(MAX(1.4/'Parametros'!$B$3,0.25*SQRT('Parametros'!$B$2)/'Parametros'!$B$3)*H553*U553,(0.85*'Parametros'!$B$2/'Parametros'!$B$3)*(1-SQRT(1-2*(J553*1000000/('Parametros'!$B$5*H553*U553^2))/(0.85*'Parametros'!$B$2)))*H553*U553)</f>
        <v>656.733333333333</v>
      </c>
      <c r="S553" s="17" t="n">
        <v>4</v>
      </c>
      <c r="T553" s="18" t="n">
        <v>1</v>
      </c>
      <c r="U553" s="10">
        <f>IF(T553=1,I553-('Parametros'!$B$7+'Parametros'!$B$9+'Parametros'!$B$12/2),I553-(ROUNDUP(S553/2,0)*('Parametros'!$B$7+'Parametros'!$B$9+'Parametros'!$B$12/2)+ROUNDDOWN(S553/2,0)*('Parametros'!$B$7+'Parametros'!$B$9+'Parametros'!$B$12/2+'Parametros'!$B$12+'Parametros'!$B$10))/S553)</f>
        <v>492.55</v>
      </c>
      <c r="V553" s="10">
        <f>S553*'Parametros'!$B$8</f>
        <v>796</v>
      </c>
      <c r="W553" s="10">
        <f>'Parametros'!$B$5*V553*'Parametros'!$B$3*(U553-(V553*'Parametros'!$B$3/(0.85*'Parametros'!$B$2*H553))/2)/1000000</f>
        <v>142.919145105882</v>
      </c>
      <c r="X553" s="10" t="str">
        <f>IF(W553&gt;=J553,"CUMPLE","NO CUMPLE")</f>
        <v>CUMPLE</v>
      </c>
      <c r="Y553" s="10">
        <f>MAX(MAX(1.4/'Parametros'!$B$3,0.25*SQRT('Parametros'!$B$2)/'Parametros'!$B$3)*H553*AB553,(0.85*'Parametros'!$B$2/'Parametros'!$B$3)*(1-SQRT(1-2*(L553*1000000/('Parametros'!$B$5*H553*AB553^2))/(0.85*'Parametros'!$B$2)))*H553*AB553)</f>
        <v>656.733333333333</v>
      </c>
      <c r="Z553" s="17" t="n">
        <v>4</v>
      </c>
      <c r="AA553" s="18" t="n">
        <v>1</v>
      </c>
      <c r="AB553" s="10">
        <f>IF(AA553=1,I553-('Parametros'!$B$7+'Parametros'!$B$9+'Parametros'!$B$12/2),I553-(ROUNDUP(Z553/2,0)*('Parametros'!$B$7+'Parametros'!$B$9+'Parametros'!$B$12/2)+ROUNDDOWN(Z553/2,0)*('Parametros'!$B$7+'Parametros'!$B$9+'Parametros'!$B$12/2+'Parametros'!$B$12+'Parametros'!$B$10))/Z553)</f>
        <v>492.55</v>
      </c>
      <c r="AC553" s="10">
        <f>Z553*'Parametros'!$B$8</f>
        <v>796</v>
      </c>
      <c r="AD553" s="10">
        <f>'Parametros'!$B$5*AC553*'Parametros'!$B$3*(AB553-(AC553*'Parametros'!$B$3/(0.85*'Parametros'!$B$2*H553))/2)/1000000</f>
        <v>142.919145105882</v>
      </c>
      <c r="AE553" s="10" t="str">
        <f>IF(AD553&gt;=L553,"CUMPLE","NO CUMPLE")</f>
        <v>CUMPLE</v>
      </c>
      <c r="AF553" s="10">
        <f>V553*1.25*'Parametros'!$B$3*(U553-(V553*1.25*'Parametros'!$B$3/(0.85*'Parametros'!$B$2*H553))/2)/1000000</f>
        <v>196.664354558824</v>
      </c>
      <c r="AG553" s="10">
        <f>AC553*1.25*'Parametros'!$B$3*(AB553-(AC553*1.25*'Parametros'!$B$3/(0.85*'Parametros'!$B$2*H553))/2)/1000000</f>
        <v>196.664354558824</v>
      </c>
      <c r="AH553" s="10">
        <f>N553+(AF553+AG553)/D553</f>
        <v>191.141517914439</v>
      </c>
      <c r="AI553" s="10">
        <f>MIN(O553,MAX(N553,AH553))</f>
        <v>151.62</v>
      </c>
      <c r="AJ553" s="10">
        <f>0.17*SQRT('Parametros'!$B$2)*H553*MIN(U553,AB553)/1000</f>
        <v>177.230413924022</v>
      </c>
      <c r="AK553" s="10">
        <f>MAX(AI553/'Parametros'!$B$6-AJ553,0)</f>
        <v>24.9295860759785</v>
      </c>
      <c r="AL553" s="10">
        <f>0.66*SQRT('Parametros'!$B$2)*H553*MIN(U553,AB553)/1000</f>
        <v>688.071018763848</v>
      </c>
      <c r="AM553" s="10" t="str">
        <f>IF(AK553&lt;=AL553,"CUMPLE","NO CUMPLE")</f>
        <v>CUMPLE</v>
      </c>
      <c r="AN553" s="15" t="inlineStr">
        <is>
          <t>Nº3 cerrado</t>
        </is>
      </c>
      <c r="AO553" s="17" t="n">
        <v>2</v>
      </c>
      <c r="AP553" s="10">
        <f>ROUNDDOWN(MIN(IF(AK553=0,1000000000,AO553*'Parametros'!$B$11*'Parametros'!$B$4*MIN(U553,AB553)/(AK553*1000)),IF(AV553=0,1000000000,'Parametros'!$B$11/AV553),MIN(U553,AB553)/4,8*'Parametros'!$B$12,24*'Parametros'!$B$9,300)/10,0)*10</f>
        <v>120</v>
      </c>
      <c r="AQ553" s="10">
        <f>ROUNDDOWN(MIN(IF(AK553=0,1000000000,AO553*'Parametros'!$B$11*'Parametros'!$B$4*MIN(U553,AB553)/(AK553*1000)),IF(AV553=0,1000000000,'Parametros'!$B$11/AV553),MIN(U553,AB553)/2,600)/10,0)*10</f>
        <v>240</v>
      </c>
      <c r="AR553" s="10">
        <f>'Parametros'!$B$6*(AJ553+AO553*'Parametros'!$B$11*'Parametros'!$B$4*MIN(U553,AB553)/AP553/1000)</f>
        <v>316.520822943016</v>
      </c>
      <c r="AS553" s="10" t="str">
        <f>IF(AND(AM553="CUMPLE",AR553&gt;=AI553),"CUMPLE","NO CUMPLE")</f>
        <v>CUMPLE</v>
      </c>
      <c r="AT553" s="10">
        <f>'Parametros'!$B$6*0.083*SQRT('Parametros'!$B$2)*(H553*I553)^2/(2*(H553+I553))/1000000</f>
        <v>8.39093065800685</v>
      </c>
      <c r="AU553" s="10" t="str">
        <f>IF(Q553&lt;=AT553,"DESPRECIABLE","DISEÑAR")</f>
        <v>DESPRECIABLE</v>
      </c>
      <c r="AV553" s="10">
        <f>IF(Q553&lt;=AT553,0,Q553*1000000/('Parametros'!$B$6*2*0.85*(H553-2*'Parametros'!$B$7)*(I553-2*'Parametros'!$B$7)*'Parametros'!$B$4))</f>
        <v>0</v>
      </c>
      <c r="AW553" s="10">
        <f>AV553*2*((H553-2*'Parametros'!$B$7)+(I553-2*'Parametros'!$B$7))*'Parametros'!$B$4/'Parametros'!$B$3</f>
        <v>0</v>
      </c>
      <c r="AX553" s="17" t="n">
        <v>0</v>
      </c>
      <c r="AY553" s="10" t="str">
        <f>IF(AV553=0,"DESPRECIABLE",IF('Parametros'!$B$11/AP553&gt;=AV553,"CUMPLE","NO CUMPLE"))</f>
        <v>DESPRECIABLE</v>
      </c>
      <c r="AZ553" s="10" t="str">
        <f>IF(AND(X553="CUMPLE",AE553="CUMPLE",AS553="CUMPLE",OR(AY553="CUMPLE",AY553="DESPRECIABLE")),IF(OR(F553&lt;&gt;H553,G553&lt;&gt;I553),"CUMPLE - REANALIZAR SAP","CUMPLE"),"NO CUMPLE")</f>
        <v>CUMPLE - REANALIZAR SAP</v>
      </c>
    </row>
    <row r="554">
      <c r="A554" s="27" t="inlineStr">
        <is>
          <t>VR3</t>
        </is>
      </c>
      <c r="B554" s="27" t="inlineStr">
        <is>
          <t>1361</t>
        </is>
      </c>
      <c r="C554" s="10" t="n">
        <v>1</v>
      </c>
      <c r="D554" s="10" t="n">
        <v>3.3</v>
      </c>
      <c r="E554" s="10" t="n">
        <v>3.3</v>
      </c>
      <c r="F554" s="10" t="n">
        <v>350</v>
      </c>
      <c r="G554" s="10" t="n">
        <v>400</v>
      </c>
      <c r="H554" s="28" t="n">
        <v>400</v>
      </c>
      <c r="I554" s="28" t="n">
        <v>550</v>
      </c>
      <c r="J554" s="16" t="n">
        <v>54.2802</v>
      </c>
      <c r="K554" s="10" t="inlineStr">
        <is>
          <t>1361</t>
        </is>
      </c>
      <c r="L554" s="16" t="n">
        <v>2.7867</v>
      </c>
      <c r="M554" s="10" t="inlineStr">
        <is>
          <t>1361</t>
        </is>
      </c>
      <c r="N554" s="16" t="n">
        <v>44.624</v>
      </c>
      <c r="O554" s="16" t="n">
        <v>74.3</v>
      </c>
      <c r="P554" s="10" t="inlineStr">
        <is>
          <t>1361</t>
        </is>
      </c>
      <c r="Q554" s="16" t="n">
        <v>0.4647</v>
      </c>
      <c r="R554" s="10">
        <f>MAX(MAX(1.4/'Parametros'!$B$3,0.25*SQRT('Parametros'!$B$2)/'Parametros'!$B$3)*H554*U554,(0.85*'Parametros'!$B$2/'Parametros'!$B$3)*(1-SQRT(1-2*(J554*1000000/('Parametros'!$B$5*H554*U554^2))/(0.85*'Parametros'!$B$2)))*H554*U554)</f>
        <v>656.733333333333</v>
      </c>
      <c r="S554" s="17" t="n">
        <v>4</v>
      </c>
      <c r="T554" s="18" t="n">
        <v>1</v>
      </c>
      <c r="U554" s="10">
        <f>IF(T554=1,I554-('Parametros'!$B$7+'Parametros'!$B$9+'Parametros'!$B$12/2),I554-(ROUNDUP(S554/2,0)*('Parametros'!$B$7+'Parametros'!$B$9+'Parametros'!$B$12/2)+ROUNDDOWN(S554/2,0)*('Parametros'!$B$7+'Parametros'!$B$9+'Parametros'!$B$12/2+'Parametros'!$B$12+'Parametros'!$B$10))/S554)</f>
        <v>492.55</v>
      </c>
      <c r="V554" s="10">
        <f>S554*'Parametros'!$B$8</f>
        <v>796</v>
      </c>
      <c r="W554" s="10">
        <f>'Parametros'!$B$5*V554*'Parametros'!$B$3*(U554-(V554*'Parametros'!$B$3/(0.85*'Parametros'!$B$2*H554))/2)/1000000</f>
        <v>142.919145105882</v>
      </c>
      <c r="X554" s="10" t="str">
        <f>IF(W554&gt;=J554,"CUMPLE","NO CUMPLE")</f>
        <v>CUMPLE</v>
      </c>
      <c r="Y554" s="10">
        <f>MAX(MAX(1.4/'Parametros'!$B$3,0.25*SQRT('Parametros'!$B$2)/'Parametros'!$B$3)*H554*AB554,(0.85*'Parametros'!$B$2/'Parametros'!$B$3)*(1-SQRT(1-2*(L554*1000000/('Parametros'!$B$5*H554*AB554^2))/(0.85*'Parametros'!$B$2)))*H554*AB554)</f>
        <v>656.733333333333</v>
      </c>
      <c r="Z554" s="17" t="n">
        <v>4</v>
      </c>
      <c r="AA554" s="18" t="n">
        <v>1</v>
      </c>
      <c r="AB554" s="10">
        <f>IF(AA554=1,I554-('Parametros'!$B$7+'Parametros'!$B$9+'Parametros'!$B$12/2),I554-(ROUNDUP(Z554/2,0)*('Parametros'!$B$7+'Parametros'!$B$9+'Parametros'!$B$12/2)+ROUNDDOWN(Z554/2,0)*('Parametros'!$B$7+'Parametros'!$B$9+'Parametros'!$B$12/2+'Parametros'!$B$12+'Parametros'!$B$10))/Z554)</f>
        <v>492.55</v>
      </c>
      <c r="AC554" s="10">
        <f>Z554*'Parametros'!$B$8</f>
        <v>796</v>
      </c>
      <c r="AD554" s="10">
        <f>'Parametros'!$B$5*AC554*'Parametros'!$B$3*(AB554-(AC554*'Parametros'!$B$3/(0.85*'Parametros'!$B$2*H554))/2)/1000000</f>
        <v>142.919145105882</v>
      </c>
      <c r="AE554" s="10" t="str">
        <f>IF(AD554&gt;=L554,"CUMPLE","NO CUMPLE")</f>
        <v>CUMPLE</v>
      </c>
      <c r="AF554" s="10">
        <f>V554*1.25*'Parametros'!$B$3*(U554-(V554*1.25*'Parametros'!$B$3/(0.85*'Parametros'!$B$2*H554))/2)/1000000</f>
        <v>196.664354558824</v>
      </c>
      <c r="AG554" s="10">
        <f>AC554*1.25*'Parametros'!$B$3*(AB554-(AC554*1.25*'Parametros'!$B$3/(0.85*'Parametros'!$B$2*H554))/2)/1000000</f>
        <v>196.664354558824</v>
      </c>
      <c r="AH554" s="10">
        <f>N554+(AF554+AG554)/D554</f>
        <v>163.814517914439</v>
      </c>
      <c r="AI554" s="10">
        <f>MIN(O554,MAX(N554,AH554))</f>
        <v>74.3</v>
      </c>
      <c r="AJ554" s="10">
        <f>0.17*SQRT('Parametros'!$B$2)*H554*MIN(U554,AB554)/1000</f>
        <v>177.230413924022</v>
      </c>
      <c r="AK554" s="10">
        <f>MAX(AI554/'Parametros'!$B$6-AJ554,0)</f>
        <v>0</v>
      </c>
      <c r="AL554" s="10">
        <f>0.66*SQRT('Parametros'!$B$2)*H554*MIN(U554,AB554)/1000</f>
        <v>688.071018763848</v>
      </c>
      <c r="AM554" s="10" t="str">
        <f>IF(AK554&lt;=AL554,"CUMPLE","NO CUMPLE")</f>
        <v>CUMPLE</v>
      </c>
      <c r="AN554" s="15" t="inlineStr">
        <is>
          <t>Nº3 cerrado</t>
        </is>
      </c>
      <c r="AO554" s="17" t="n">
        <v>2</v>
      </c>
      <c r="AP554" s="10">
        <f>ROUNDDOWN(MIN(IF(AK554=0,1000000000,AO554*'Parametros'!$B$11*'Parametros'!$B$4*MIN(U554,AB554)/(AK554*1000)),IF(AV554=0,1000000000,'Parametros'!$B$11/AV554),MIN(U554,AB554)/4,8*'Parametros'!$B$12,24*'Parametros'!$B$9,300)/10,0)*10</f>
        <v>120</v>
      </c>
      <c r="AQ554" s="10">
        <f>ROUNDDOWN(MIN(IF(AK554=0,1000000000,AO554*'Parametros'!$B$11*'Parametros'!$B$4*MIN(U554,AB554)/(AK554*1000)),IF(AV554=0,1000000000,'Parametros'!$B$11/AV554),MIN(U554,AB554)/2,600)/10,0)*10</f>
        <v>240</v>
      </c>
      <c r="AR554" s="10">
        <f>'Parametros'!$B$6*(AJ554+AO554*'Parametros'!$B$11*'Parametros'!$B$4*MIN(U554,AB554)/AP554/1000)</f>
        <v>316.520822943016</v>
      </c>
      <c r="AS554" s="10" t="str">
        <f>IF(AND(AM554="CUMPLE",AR554&gt;=AI554),"CUMPLE","NO CUMPLE")</f>
        <v>CUMPLE</v>
      </c>
      <c r="AT554" s="10">
        <f>'Parametros'!$B$6*0.083*SQRT('Parametros'!$B$2)*(H554*I554)^2/(2*(H554+I554))/1000000</f>
        <v>8.39093065800685</v>
      </c>
      <c r="AU554" s="10" t="str">
        <f>IF(Q554&lt;=AT554,"DESPRECIABLE","DISEÑAR")</f>
        <v>DESPRECIABLE</v>
      </c>
      <c r="AV554" s="10">
        <f>IF(Q554&lt;=AT554,0,Q554*1000000/('Parametros'!$B$6*2*0.85*(H554-2*'Parametros'!$B$7)*(I554-2*'Parametros'!$B$7)*'Parametros'!$B$4))</f>
        <v>0</v>
      </c>
      <c r="AW554" s="10">
        <f>AV554*2*((H554-2*'Parametros'!$B$7)+(I554-2*'Parametros'!$B$7))*'Parametros'!$B$4/'Parametros'!$B$3</f>
        <v>0</v>
      </c>
      <c r="AX554" s="17" t="n">
        <v>0</v>
      </c>
      <c r="AY554" s="10" t="str">
        <f>IF(AV554=0,"DESPRECIABLE",IF('Parametros'!$B$11/AP554&gt;=AV554,"CUMPLE","NO CUMPLE"))</f>
        <v>DESPRECIABLE</v>
      </c>
      <c r="AZ554" s="10" t="str">
        <f>IF(AND(X554="CUMPLE",AE554="CUMPLE",AS554="CUMPLE",OR(AY554="CUMPLE",AY554="DESPRECIABLE")),IF(OR(F554&lt;&gt;H554,G554&lt;&gt;I554),"CUMPLE - REANALIZAR SAP","CUMPLE"),"NO CUMPLE")</f>
        <v>CUMPLE - REANALIZAR SAP</v>
      </c>
    </row>
    <row r="555">
      <c r="A555" s="27" t="inlineStr">
        <is>
          <t>VR3</t>
        </is>
      </c>
      <c r="B555" s="27" t="inlineStr">
        <is>
          <t>1362</t>
        </is>
      </c>
      <c r="C555" s="10" t="n">
        <v>1</v>
      </c>
      <c r="D555" s="10" t="n">
        <v>3.3</v>
      </c>
      <c r="E555" s="10" t="n">
        <v>3.3</v>
      </c>
      <c r="F555" s="10" t="n">
        <v>350</v>
      </c>
      <c r="G555" s="10" t="n">
        <v>400</v>
      </c>
      <c r="H555" s="28" t="n">
        <v>400</v>
      </c>
      <c r="I555" s="28" t="n">
        <v>550</v>
      </c>
      <c r="J555" s="16" t="n">
        <v>54.3529</v>
      </c>
      <c r="K555" s="10" t="inlineStr">
        <is>
          <t>1362</t>
        </is>
      </c>
      <c r="L555" s="16" t="n">
        <v>2.814</v>
      </c>
      <c r="M555" s="10" t="inlineStr">
        <is>
          <t>1362</t>
        </is>
      </c>
      <c r="N555" s="16" t="n">
        <v>44.67</v>
      </c>
      <c r="O555" s="16" t="n">
        <v>74.34399999999999</v>
      </c>
      <c r="P555" s="10" t="inlineStr">
        <is>
          <t>1362</t>
        </is>
      </c>
      <c r="Q555" s="16" t="n">
        <v>0.4607</v>
      </c>
      <c r="R555" s="10">
        <f>MAX(MAX(1.4/'Parametros'!$B$3,0.25*SQRT('Parametros'!$B$2)/'Parametros'!$B$3)*H555*U555,(0.85*'Parametros'!$B$2/'Parametros'!$B$3)*(1-SQRT(1-2*(J555*1000000/('Parametros'!$B$5*H555*U555^2))/(0.85*'Parametros'!$B$2)))*H555*U555)</f>
        <v>656.733333333333</v>
      </c>
      <c r="S555" s="17" t="n">
        <v>4</v>
      </c>
      <c r="T555" s="18" t="n">
        <v>1</v>
      </c>
      <c r="U555" s="10">
        <f>IF(T555=1,I555-('Parametros'!$B$7+'Parametros'!$B$9+'Parametros'!$B$12/2),I555-(ROUNDUP(S555/2,0)*('Parametros'!$B$7+'Parametros'!$B$9+'Parametros'!$B$12/2)+ROUNDDOWN(S555/2,0)*('Parametros'!$B$7+'Parametros'!$B$9+'Parametros'!$B$12/2+'Parametros'!$B$12+'Parametros'!$B$10))/S555)</f>
        <v>492.55</v>
      </c>
      <c r="V555" s="10">
        <f>S555*'Parametros'!$B$8</f>
        <v>796</v>
      </c>
      <c r="W555" s="10">
        <f>'Parametros'!$B$5*V555*'Parametros'!$B$3*(U555-(V555*'Parametros'!$B$3/(0.85*'Parametros'!$B$2*H555))/2)/1000000</f>
        <v>142.919145105882</v>
      </c>
      <c r="X555" s="10" t="str">
        <f>IF(W555&gt;=J555,"CUMPLE","NO CUMPLE")</f>
        <v>CUMPLE</v>
      </c>
      <c r="Y555" s="10">
        <f>MAX(MAX(1.4/'Parametros'!$B$3,0.25*SQRT('Parametros'!$B$2)/'Parametros'!$B$3)*H555*AB555,(0.85*'Parametros'!$B$2/'Parametros'!$B$3)*(1-SQRT(1-2*(L555*1000000/('Parametros'!$B$5*H555*AB555^2))/(0.85*'Parametros'!$B$2)))*H555*AB555)</f>
        <v>656.733333333333</v>
      </c>
      <c r="Z555" s="17" t="n">
        <v>4</v>
      </c>
      <c r="AA555" s="18" t="n">
        <v>1</v>
      </c>
      <c r="AB555" s="10">
        <f>IF(AA555=1,I555-('Parametros'!$B$7+'Parametros'!$B$9+'Parametros'!$B$12/2),I555-(ROUNDUP(Z555/2,0)*('Parametros'!$B$7+'Parametros'!$B$9+'Parametros'!$B$12/2)+ROUNDDOWN(Z555/2,0)*('Parametros'!$B$7+'Parametros'!$B$9+'Parametros'!$B$12/2+'Parametros'!$B$12+'Parametros'!$B$10))/Z555)</f>
        <v>492.55</v>
      </c>
      <c r="AC555" s="10">
        <f>Z555*'Parametros'!$B$8</f>
        <v>796</v>
      </c>
      <c r="AD555" s="10">
        <f>'Parametros'!$B$5*AC555*'Parametros'!$B$3*(AB555-(AC555*'Parametros'!$B$3/(0.85*'Parametros'!$B$2*H555))/2)/1000000</f>
        <v>142.919145105882</v>
      </c>
      <c r="AE555" s="10" t="str">
        <f>IF(AD555&gt;=L555,"CUMPLE","NO CUMPLE")</f>
        <v>CUMPLE</v>
      </c>
      <c r="AF555" s="10">
        <f>V555*1.25*'Parametros'!$B$3*(U555-(V555*1.25*'Parametros'!$B$3/(0.85*'Parametros'!$B$2*H555))/2)/1000000</f>
        <v>196.664354558824</v>
      </c>
      <c r="AG555" s="10">
        <f>AC555*1.25*'Parametros'!$B$3*(AB555-(AC555*1.25*'Parametros'!$B$3/(0.85*'Parametros'!$B$2*H555))/2)/1000000</f>
        <v>196.664354558824</v>
      </c>
      <c r="AH555" s="10">
        <f>N555+(AF555+AG555)/D555</f>
        <v>163.860517914439</v>
      </c>
      <c r="AI555" s="10">
        <f>MIN(O555,MAX(N555,AH555))</f>
        <v>74.344</v>
      </c>
      <c r="AJ555" s="10">
        <f>0.17*SQRT('Parametros'!$B$2)*H555*MIN(U555,AB555)/1000</f>
        <v>177.230413924022</v>
      </c>
      <c r="AK555" s="10">
        <f>MAX(AI555/'Parametros'!$B$6-AJ555,0)</f>
        <v>0</v>
      </c>
      <c r="AL555" s="10">
        <f>0.66*SQRT('Parametros'!$B$2)*H555*MIN(U555,AB555)/1000</f>
        <v>688.071018763848</v>
      </c>
      <c r="AM555" s="10" t="str">
        <f>IF(AK555&lt;=AL555,"CUMPLE","NO CUMPLE")</f>
        <v>CUMPLE</v>
      </c>
      <c r="AN555" s="15" t="inlineStr">
        <is>
          <t>Nº3 cerrado</t>
        </is>
      </c>
      <c r="AO555" s="17" t="n">
        <v>2</v>
      </c>
      <c r="AP555" s="10">
        <f>ROUNDDOWN(MIN(IF(AK555=0,1000000000,AO555*'Parametros'!$B$11*'Parametros'!$B$4*MIN(U555,AB555)/(AK555*1000)),IF(AV555=0,1000000000,'Parametros'!$B$11/AV555),MIN(U555,AB555)/4,8*'Parametros'!$B$12,24*'Parametros'!$B$9,300)/10,0)*10</f>
        <v>120</v>
      </c>
      <c r="AQ555" s="10">
        <f>ROUNDDOWN(MIN(IF(AK555=0,1000000000,AO555*'Parametros'!$B$11*'Parametros'!$B$4*MIN(U555,AB555)/(AK555*1000)),IF(AV555=0,1000000000,'Parametros'!$B$11/AV555),MIN(U555,AB555)/2,600)/10,0)*10</f>
        <v>240</v>
      </c>
      <c r="AR555" s="10">
        <f>'Parametros'!$B$6*(AJ555+AO555*'Parametros'!$B$11*'Parametros'!$B$4*MIN(U555,AB555)/AP555/1000)</f>
        <v>316.520822943016</v>
      </c>
      <c r="AS555" s="10" t="str">
        <f>IF(AND(AM555="CUMPLE",AR555&gt;=AI555),"CUMPLE","NO CUMPLE")</f>
        <v>CUMPLE</v>
      </c>
      <c r="AT555" s="10">
        <f>'Parametros'!$B$6*0.083*SQRT('Parametros'!$B$2)*(H555*I555)^2/(2*(H555+I555))/1000000</f>
        <v>8.39093065800685</v>
      </c>
      <c r="AU555" s="10" t="str">
        <f>IF(Q555&lt;=AT555,"DESPRECIABLE","DISEÑAR")</f>
        <v>DESPRECIABLE</v>
      </c>
      <c r="AV555" s="10">
        <f>IF(Q555&lt;=AT555,0,Q555*1000000/('Parametros'!$B$6*2*0.85*(H555-2*'Parametros'!$B$7)*(I555-2*'Parametros'!$B$7)*'Parametros'!$B$4))</f>
        <v>0</v>
      </c>
      <c r="AW555" s="10">
        <f>AV555*2*((H555-2*'Parametros'!$B$7)+(I555-2*'Parametros'!$B$7))*'Parametros'!$B$4/'Parametros'!$B$3</f>
        <v>0</v>
      </c>
      <c r="AX555" s="17" t="n">
        <v>0</v>
      </c>
      <c r="AY555" s="10" t="str">
        <f>IF(AV555=0,"DESPRECIABLE",IF('Parametros'!$B$11/AP555&gt;=AV555,"CUMPLE","NO CUMPLE"))</f>
        <v>DESPRECIABLE</v>
      </c>
      <c r="AZ555" s="10" t="str">
        <f>IF(AND(X555="CUMPLE",AE555="CUMPLE",AS555="CUMPLE",OR(AY555="CUMPLE",AY555="DESPRECIABLE")),IF(OR(F555&lt;&gt;H555,G555&lt;&gt;I555),"CUMPLE - REANALIZAR SAP","CUMPLE"),"NO CUMPLE")</f>
        <v>CUMPLE - REANALIZAR SAP</v>
      </c>
    </row>
    <row r="556">
      <c r="A556" s="29" t="inlineStr">
        <is>
          <t>VRAUX</t>
        </is>
      </c>
      <c r="B556" s="29" t="inlineStr">
        <is>
          <t>105</t>
        </is>
      </c>
      <c r="C556" s="10" t="n">
        <v>1</v>
      </c>
      <c r="D556" s="10" t="n">
        <v>2.6</v>
      </c>
      <c r="E556" s="10" t="n">
        <v>2.6</v>
      </c>
      <c r="F556" s="10" t="n">
        <v>350</v>
      </c>
      <c r="G556" s="10" t="n">
        <v>400</v>
      </c>
      <c r="H556" s="15" t="n">
        <v>350</v>
      </c>
      <c r="I556" s="15" t="n">
        <v>400</v>
      </c>
      <c r="J556" s="16" t="n">
        <v>32.1846</v>
      </c>
      <c r="K556" s="10" t="inlineStr">
        <is>
          <t>105</t>
        </is>
      </c>
      <c r="L556" s="16" t="n">
        <v>28.9541</v>
      </c>
      <c r="M556" s="10" t="inlineStr">
        <is>
          <t>105</t>
        </is>
      </c>
      <c r="N556" s="16" t="n">
        <v>27.241</v>
      </c>
      <c r="O556" s="16" t="n">
        <v>118.107</v>
      </c>
      <c r="P556" s="10" t="inlineStr">
        <is>
          <t>105</t>
        </is>
      </c>
      <c r="Q556" s="16" t="n">
        <v>0.4075</v>
      </c>
      <c r="R556" s="10">
        <f>MAX(MAX(1.4/'Parametros'!$B$3,0.25*SQRT('Parametros'!$B$2)/'Parametros'!$B$3)*H556*U556,(0.85*'Parametros'!$B$2/'Parametros'!$B$3)*(1-SQRT(1-2*(J556*1000000/('Parametros'!$B$5*H556*U556^2))/(0.85*'Parametros'!$B$2)))*H556*U556)</f>
        <v>399.641666666667</v>
      </c>
      <c r="S556" s="17" t="n">
        <v>3</v>
      </c>
      <c r="T556" s="18" t="n">
        <v>1</v>
      </c>
      <c r="U556" s="10">
        <f>IF(T556=1,I556-('Parametros'!$B$7+'Parametros'!$B$9+'Parametros'!$B$12/2),I556-(ROUNDUP(S556/2,0)*('Parametros'!$B$7+'Parametros'!$B$9+'Parametros'!$B$12/2)+ROUNDDOWN(S556/2,0)*('Parametros'!$B$7+'Parametros'!$B$9+'Parametros'!$B$12/2+'Parametros'!$B$12+'Parametros'!$B$10))/S556)</f>
        <v>342.55</v>
      </c>
      <c r="V556" s="10">
        <f>S556*'Parametros'!$B$8</f>
        <v>597</v>
      </c>
      <c r="W556" s="10">
        <f>'Parametros'!$B$5*V556*'Parametros'!$B$3*(U556-(V556*'Parametros'!$B$3/(0.85*'Parametros'!$B$2*H556))/2)/1000000</f>
        <v>73.905520182353</v>
      </c>
      <c r="X556" s="10" t="str">
        <f>IF(W556&gt;=J556,"CUMPLE","NO CUMPLE")</f>
        <v>CUMPLE</v>
      </c>
      <c r="Y556" s="10">
        <f>MAX(MAX(1.4/'Parametros'!$B$3,0.25*SQRT('Parametros'!$B$2)/'Parametros'!$B$3)*H556*AB556,(0.85*'Parametros'!$B$2/'Parametros'!$B$3)*(1-SQRT(1-2*(L556*1000000/('Parametros'!$B$5*H556*AB556^2))/(0.85*'Parametros'!$B$2)))*H556*AB556)</f>
        <v>399.641666666667</v>
      </c>
      <c r="Z556" s="17" t="n">
        <v>3</v>
      </c>
      <c r="AA556" s="18" t="n">
        <v>1</v>
      </c>
      <c r="AB556" s="10">
        <f>IF(AA556=1,I556-('Parametros'!$B$7+'Parametros'!$B$9+'Parametros'!$B$12/2),I556-(ROUNDUP(Z556/2,0)*('Parametros'!$B$7+'Parametros'!$B$9+'Parametros'!$B$12/2)+ROUNDDOWN(Z556/2,0)*('Parametros'!$B$7+'Parametros'!$B$9+'Parametros'!$B$12/2+'Parametros'!$B$12+'Parametros'!$B$10))/Z556)</f>
        <v>342.55</v>
      </c>
      <c r="AC556" s="10">
        <f>Z556*'Parametros'!$B$8</f>
        <v>597</v>
      </c>
      <c r="AD556" s="10">
        <f>'Parametros'!$B$5*AC556*'Parametros'!$B$3*(AB556-(AC556*'Parametros'!$B$3/(0.85*'Parametros'!$B$2*H556))/2)/1000000</f>
        <v>73.905520182353</v>
      </c>
      <c r="AE556" s="10" t="str">
        <f>IF(AD556&gt;=L556,"CUMPLE","NO CUMPLE")</f>
        <v>CUMPLE</v>
      </c>
      <c r="AF556" s="10">
        <f>V556*1.25*'Parametros'!$B$3*(U556-(V556*1.25*'Parametros'!$B$3/(0.85*'Parametros'!$B$2*H556))/2)/1000000</f>
        <v>101.467261323529</v>
      </c>
      <c r="AG556" s="10">
        <f>AC556*1.25*'Parametros'!$B$3*(AB556-(AC556*1.25*'Parametros'!$B$3/(0.85*'Parametros'!$B$2*H556))/2)/1000000</f>
        <v>101.467261323529</v>
      </c>
      <c r="AH556" s="10">
        <f>N556+(AF556+AG556)/D556</f>
        <v>105.292739479638</v>
      </c>
      <c r="AI556" s="10">
        <f>MIN(O556,MAX(N556,AH556))</f>
        <v>105.292739479638</v>
      </c>
      <c r="AJ556" s="10">
        <f>0.17*SQRT('Parametros'!$B$2)*H556*MIN(U556,AB556)/1000</f>
        <v>107.849951281016</v>
      </c>
      <c r="AK556" s="10">
        <f>MAX(AI556/'Parametros'!$B$6-AJ556,0)</f>
        <v>32.5403680251681</v>
      </c>
      <c r="AL556" s="10">
        <f>0.66*SQRT('Parametros'!$B$2)*H556*MIN(U556,AB556)/1000</f>
        <v>418.711575561591</v>
      </c>
      <c r="AM556" s="10" t="str">
        <f>IF(AK556&lt;=AL556,"CUMPLE","NO CUMPLE")</f>
        <v>CUMPLE</v>
      </c>
      <c r="AN556" s="15" t="inlineStr">
        <is>
          <t>Nº3 cerrado</t>
        </is>
      </c>
      <c r="AO556" s="17" t="n">
        <v>2</v>
      </c>
      <c r="AP556" s="10">
        <f>ROUNDDOWN(MIN(IF(AK556=0,1000000000,AO556*'Parametros'!$B$11*'Parametros'!$B$4*MIN(U556,AB556)/(AK556*1000)),IF(AV556=0,1000000000,'Parametros'!$B$11/AV556),MIN(U556,AB556)/4,8*'Parametros'!$B$12,24*'Parametros'!$B$9,300)/10,0)*10</f>
        <v>80</v>
      </c>
      <c r="AQ556" s="10">
        <f>ROUNDDOWN(MIN(IF(AK556=0,1000000000,AO556*'Parametros'!$B$11*'Parametros'!$B$4*MIN(U556,AB556)/(AK556*1000)),IF(AV556=0,1000000000,'Parametros'!$B$11/AV556),MIN(U556,AB556)/2,600)/10,0)*10</f>
        <v>170</v>
      </c>
      <c r="AR556" s="10">
        <f>'Parametros'!$B$6*(AJ556+AO556*'Parametros'!$B$11*'Parametros'!$B$4*MIN(U556,AB556)/AP556/1000)</f>
        <v>272.415732210762</v>
      </c>
      <c r="AS556" s="10" t="str">
        <f>IF(AND(AM556="CUMPLE",AR556&gt;=AI556),"CUMPLE","NO CUMPLE")</f>
        <v>CUMPLE</v>
      </c>
      <c r="AT556" s="10">
        <f>'Parametros'!$B$6*0.083*SQRT('Parametros'!$B$2)*(H556*I556)^2/(2*(H556+I556))/1000000</f>
        <v>4.30410823283988</v>
      </c>
      <c r="AU556" s="10" t="str">
        <f>IF(Q556&lt;=AT556,"DESPRECIABLE","DISEÑAR")</f>
        <v>DESPRECIABLE</v>
      </c>
      <c r="AV556" s="10">
        <f>IF(Q556&lt;=AT556,0,Q556*1000000/('Parametros'!$B$6*2*0.85*(H556-2*'Parametros'!$B$7)*(I556-2*'Parametros'!$B$7)*'Parametros'!$B$4))</f>
        <v>0</v>
      </c>
      <c r="AW556" s="10">
        <f>AV556*2*((H556-2*'Parametros'!$B$7)+(I556-2*'Parametros'!$B$7))*'Parametros'!$B$4/'Parametros'!$B$3</f>
        <v>0</v>
      </c>
      <c r="AX556" s="17" t="n">
        <v>0</v>
      </c>
      <c r="AY556" s="10" t="str">
        <f>IF(AV556=0,"DESPRECIABLE",IF('Parametros'!$B$11/AP556&gt;=AV556,"CUMPLE","NO CUMPLE"))</f>
        <v>DESPRECIABLE</v>
      </c>
      <c r="AZ556" s="10" t="str">
        <f>IF(AND(X556="CUMPLE",AE556="CUMPLE",AS556="CUMPLE",OR(AY556="CUMPLE",AY556="DESPRECIABLE")),IF(OR(F556&lt;&gt;H556,G556&lt;&gt;I556),"CUMPLE - REANALIZAR SAP","CUMPLE"),"NO CUMPLE")</f>
        <v>CUMPLE</v>
      </c>
    </row>
    <row r="557">
      <c r="A557" s="29" t="inlineStr">
        <is>
          <t>VRAUX</t>
        </is>
      </c>
      <c r="B557" s="29" t="inlineStr">
        <is>
          <t>106</t>
        </is>
      </c>
      <c r="C557" s="10" t="n">
        <v>1</v>
      </c>
      <c r="D557" s="10" t="n">
        <v>2.6</v>
      </c>
      <c r="E557" s="10" t="n">
        <v>2.6</v>
      </c>
      <c r="F557" s="10" t="n">
        <v>350</v>
      </c>
      <c r="G557" s="10" t="n">
        <v>400</v>
      </c>
      <c r="H557" s="15" t="n">
        <v>350</v>
      </c>
      <c r="I557" s="15" t="n">
        <v>400</v>
      </c>
      <c r="J557" s="16" t="n">
        <v>32.1798</v>
      </c>
      <c r="K557" s="10" t="inlineStr">
        <is>
          <t>106</t>
        </is>
      </c>
      <c r="L557" s="16" t="n">
        <v>28.9565</v>
      </c>
      <c r="M557" s="10" t="inlineStr">
        <is>
          <t>106</t>
        </is>
      </c>
      <c r="N557" s="16" t="n">
        <v>27.237</v>
      </c>
      <c r="O557" s="16" t="n">
        <v>118.102</v>
      </c>
      <c r="P557" s="10" t="inlineStr">
        <is>
          <t>106</t>
        </is>
      </c>
      <c r="Q557" s="16" t="n">
        <v>0.4075</v>
      </c>
      <c r="R557" s="10">
        <f>MAX(MAX(1.4/'Parametros'!$B$3,0.25*SQRT('Parametros'!$B$2)/'Parametros'!$B$3)*H557*U557,(0.85*'Parametros'!$B$2/'Parametros'!$B$3)*(1-SQRT(1-2*(J557*1000000/('Parametros'!$B$5*H557*U557^2))/(0.85*'Parametros'!$B$2)))*H557*U557)</f>
        <v>399.641666666667</v>
      </c>
      <c r="S557" s="17" t="n">
        <v>3</v>
      </c>
      <c r="T557" s="18" t="n">
        <v>1</v>
      </c>
      <c r="U557" s="10">
        <f>IF(T557=1,I557-('Parametros'!$B$7+'Parametros'!$B$9+'Parametros'!$B$12/2),I557-(ROUNDUP(S557/2,0)*('Parametros'!$B$7+'Parametros'!$B$9+'Parametros'!$B$12/2)+ROUNDDOWN(S557/2,0)*('Parametros'!$B$7+'Parametros'!$B$9+'Parametros'!$B$12/2+'Parametros'!$B$12+'Parametros'!$B$10))/S557)</f>
        <v>342.55</v>
      </c>
      <c r="V557" s="10">
        <f>S557*'Parametros'!$B$8</f>
        <v>597</v>
      </c>
      <c r="W557" s="10">
        <f>'Parametros'!$B$5*V557*'Parametros'!$B$3*(U557-(V557*'Parametros'!$B$3/(0.85*'Parametros'!$B$2*H557))/2)/1000000</f>
        <v>73.905520182353</v>
      </c>
      <c r="X557" s="10" t="str">
        <f>IF(W557&gt;=J557,"CUMPLE","NO CUMPLE")</f>
        <v>CUMPLE</v>
      </c>
      <c r="Y557" s="10">
        <f>MAX(MAX(1.4/'Parametros'!$B$3,0.25*SQRT('Parametros'!$B$2)/'Parametros'!$B$3)*H557*AB557,(0.85*'Parametros'!$B$2/'Parametros'!$B$3)*(1-SQRT(1-2*(L557*1000000/('Parametros'!$B$5*H557*AB557^2))/(0.85*'Parametros'!$B$2)))*H557*AB557)</f>
        <v>399.641666666667</v>
      </c>
      <c r="Z557" s="17" t="n">
        <v>3</v>
      </c>
      <c r="AA557" s="18" t="n">
        <v>1</v>
      </c>
      <c r="AB557" s="10">
        <f>IF(AA557=1,I557-('Parametros'!$B$7+'Parametros'!$B$9+'Parametros'!$B$12/2),I557-(ROUNDUP(Z557/2,0)*('Parametros'!$B$7+'Parametros'!$B$9+'Parametros'!$B$12/2)+ROUNDDOWN(Z557/2,0)*('Parametros'!$B$7+'Parametros'!$B$9+'Parametros'!$B$12/2+'Parametros'!$B$12+'Parametros'!$B$10))/Z557)</f>
        <v>342.55</v>
      </c>
      <c r="AC557" s="10">
        <f>Z557*'Parametros'!$B$8</f>
        <v>597</v>
      </c>
      <c r="AD557" s="10">
        <f>'Parametros'!$B$5*AC557*'Parametros'!$B$3*(AB557-(AC557*'Parametros'!$B$3/(0.85*'Parametros'!$B$2*H557))/2)/1000000</f>
        <v>73.905520182353</v>
      </c>
      <c r="AE557" s="10" t="str">
        <f>IF(AD557&gt;=L557,"CUMPLE","NO CUMPLE")</f>
        <v>CUMPLE</v>
      </c>
      <c r="AF557" s="10">
        <f>V557*1.25*'Parametros'!$B$3*(U557-(V557*1.25*'Parametros'!$B$3/(0.85*'Parametros'!$B$2*H557))/2)/1000000</f>
        <v>101.467261323529</v>
      </c>
      <c r="AG557" s="10">
        <f>AC557*1.25*'Parametros'!$B$3*(AB557-(AC557*1.25*'Parametros'!$B$3/(0.85*'Parametros'!$B$2*H557))/2)/1000000</f>
        <v>101.467261323529</v>
      </c>
      <c r="AH557" s="10">
        <f>N557+(AF557+AG557)/D557</f>
        <v>105.288739479638</v>
      </c>
      <c r="AI557" s="10">
        <f>MIN(O557,MAX(N557,AH557))</f>
        <v>105.288739479638</v>
      </c>
      <c r="AJ557" s="10">
        <f>0.17*SQRT('Parametros'!$B$2)*H557*MIN(U557,AB557)/1000</f>
        <v>107.849951281016</v>
      </c>
      <c r="AK557" s="10">
        <f>MAX(AI557/'Parametros'!$B$6-AJ557,0)</f>
        <v>32.5350346918348</v>
      </c>
      <c r="AL557" s="10">
        <f>0.66*SQRT('Parametros'!$B$2)*H557*MIN(U557,AB557)/1000</f>
        <v>418.711575561591</v>
      </c>
      <c r="AM557" s="10" t="str">
        <f>IF(AK557&lt;=AL557,"CUMPLE","NO CUMPLE")</f>
        <v>CUMPLE</v>
      </c>
      <c r="AN557" s="15" t="inlineStr">
        <is>
          <t>Nº3 cerrado</t>
        </is>
      </c>
      <c r="AO557" s="17" t="n">
        <v>2</v>
      </c>
      <c r="AP557" s="10">
        <f>ROUNDDOWN(MIN(IF(AK557=0,1000000000,AO557*'Parametros'!$B$11*'Parametros'!$B$4*MIN(U557,AB557)/(AK557*1000)),IF(AV557=0,1000000000,'Parametros'!$B$11/AV557),MIN(U557,AB557)/4,8*'Parametros'!$B$12,24*'Parametros'!$B$9,300)/10,0)*10</f>
        <v>80</v>
      </c>
      <c r="AQ557" s="10">
        <f>ROUNDDOWN(MIN(IF(AK557=0,1000000000,AO557*'Parametros'!$B$11*'Parametros'!$B$4*MIN(U557,AB557)/(AK557*1000)),IF(AV557=0,1000000000,'Parametros'!$B$11/AV557),MIN(U557,AB557)/2,600)/10,0)*10</f>
        <v>170</v>
      </c>
      <c r="AR557" s="10">
        <f>'Parametros'!$B$6*(AJ557+AO557*'Parametros'!$B$11*'Parametros'!$B$4*MIN(U557,AB557)/AP557/1000)</f>
        <v>272.415732210762</v>
      </c>
      <c r="AS557" s="10" t="str">
        <f>IF(AND(AM557="CUMPLE",AR557&gt;=AI557),"CUMPLE","NO CUMPLE")</f>
        <v>CUMPLE</v>
      </c>
      <c r="AT557" s="10">
        <f>'Parametros'!$B$6*0.083*SQRT('Parametros'!$B$2)*(H557*I557)^2/(2*(H557+I557))/1000000</f>
        <v>4.30410823283988</v>
      </c>
      <c r="AU557" s="10" t="str">
        <f>IF(Q557&lt;=AT557,"DESPRECIABLE","DISEÑAR")</f>
        <v>DESPRECIABLE</v>
      </c>
      <c r="AV557" s="10">
        <f>IF(Q557&lt;=AT557,0,Q557*1000000/('Parametros'!$B$6*2*0.85*(H557-2*'Parametros'!$B$7)*(I557-2*'Parametros'!$B$7)*'Parametros'!$B$4))</f>
        <v>0</v>
      </c>
      <c r="AW557" s="10">
        <f>AV557*2*((H557-2*'Parametros'!$B$7)+(I557-2*'Parametros'!$B$7))*'Parametros'!$B$4/'Parametros'!$B$3</f>
        <v>0</v>
      </c>
      <c r="AX557" s="17" t="n">
        <v>0</v>
      </c>
      <c r="AY557" s="10" t="str">
        <f>IF(AV557=0,"DESPRECIABLE",IF('Parametros'!$B$11/AP557&gt;=AV557,"CUMPLE","NO CUMPLE"))</f>
        <v>DESPRECIABLE</v>
      </c>
      <c r="AZ557" s="10" t="str">
        <f>IF(AND(X557="CUMPLE",AE557="CUMPLE",AS557="CUMPLE",OR(AY557="CUMPLE",AY557="DESPRECIABLE")),IF(OR(F557&lt;&gt;H557,G557&lt;&gt;I557),"CUMPLE - REANALIZAR SAP","CUMPLE"),"NO CUMPLE")</f>
        <v>CUMPLE</v>
      </c>
    </row>
    <row r="558">
      <c r="A558" s="29" t="inlineStr">
        <is>
          <t>VRAUX</t>
        </is>
      </c>
      <c r="B558" s="29" t="inlineStr">
        <is>
          <t>107</t>
        </is>
      </c>
      <c r="C558" s="10" t="n">
        <v>1</v>
      </c>
      <c r="D558" s="10" t="n">
        <v>2.6</v>
      </c>
      <c r="E558" s="10" t="n">
        <v>2.6</v>
      </c>
      <c r="F558" s="10" t="n">
        <v>350</v>
      </c>
      <c r="G558" s="10" t="n">
        <v>400</v>
      </c>
      <c r="H558" s="15" t="n">
        <v>350</v>
      </c>
      <c r="I558" s="15" t="n">
        <v>400</v>
      </c>
      <c r="J558" s="16" t="n">
        <v>32.1985</v>
      </c>
      <c r="K558" s="10" t="inlineStr">
        <is>
          <t>107</t>
        </is>
      </c>
      <c r="L558" s="16" t="n">
        <v>28.9454</v>
      </c>
      <c r="M558" s="10" t="inlineStr">
        <is>
          <t>107</t>
        </is>
      </c>
      <c r="N558" s="16" t="n">
        <v>27.251</v>
      </c>
      <c r="O558" s="16" t="n">
        <v>118.116</v>
      </c>
      <c r="P558" s="10" t="inlineStr">
        <is>
          <t>107</t>
        </is>
      </c>
      <c r="Q558" s="16" t="n">
        <v>0.4071</v>
      </c>
      <c r="R558" s="10">
        <f>MAX(MAX(1.4/'Parametros'!$B$3,0.25*SQRT('Parametros'!$B$2)/'Parametros'!$B$3)*H558*U558,(0.85*'Parametros'!$B$2/'Parametros'!$B$3)*(1-SQRT(1-2*(J558*1000000/('Parametros'!$B$5*H558*U558^2))/(0.85*'Parametros'!$B$2)))*H558*U558)</f>
        <v>399.641666666667</v>
      </c>
      <c r="S558" s="17" t="n">
        <v>3</v>
      </c>
      <c r="T558" s="18" t="n">
        <v>1</v>
      </c>
      <c r="U558" s="10">
        <f>IF(T558=1,I558-('Parametros'!$B$7+'Parametros'!$B$9+'Parametros'!$B$12/2),I558-(ROUNDUP(S558/2,0)*('Parametros'!$B$7+'Parametros'!$B$9+'Parametros'!$B$12/2)+ROUNDDOWN(S558/2,0)*('Parametros'!$B$7+'Parametros'!$B$9+'Parametros'!$B$12/2+'Parametros'!$B$12+'Parametros'!$B$10))/S558)</f>
        <v>342.55</v>
      </c>
      <c r="V558" s="10">
        <f>S558*'Parametros'!$B$8</f>
        <v>597</v>
      </c>
      <c r="W558" s="10">
        <f>'Parametros'!$B$5*V558*'Parametros'!$B$3*(U558-(V558*'Parametros'!$B$3/(0.85*'Parametros'!$B$2*H558))/2)/1000000</f>
        <v>73.905520182353</v>
      </c>
      <c r="X558" s="10" t="str">
        <f>IF(W558&gt;=J558,"CUMPLE","NO CUMPLE")</f>
        <v>CUMPLE</v>
      </c>
      <c r="Y558" s="10">
        <f>MAX(MAX(1.4/'Parametros'!$B$3,0.25*SQRT('Parametros'!$B$2)/'Parametros'!$B$3)*H558*AB558,(0.85*'Parametros'!$B$2/'Parametros'!$B$3)*(1-SQRT(1-2*(L558*1000000/('Parametros'!$B$5*H558*AB558^2))/(0.85*'Parametros'!$B$2)))*H558*AB558)</f>
        <v>399.641666666667</v>
      </c>
      <c r="Z558" s="17" t="n">
        <v>3</v>
      </c>
      <c r="AA558" s="18" t="n">
        <v>1</v>
      </c>
      <c r="AB558" s="10">
        <f>IF(AA558=1,I558-('Parametros'!$B$7+'Parametros'!$B$9+'Parametros'!$B$12/2),I558-(ROUNDUP(Z558/2,0)*('Parametros'!$B$7+'Parametros'!$B$9+'Parametros'!$B$12/2)+ROUNDDOWN(Z558/2,0)*('Parametros'!$B$7+'Parametros'!$B$9+'Parametros'!$B$12/2+'Parametros'!$B$12+'Parametros'!$B$10))/Z558)</f>
        <v>342.55</v>
      </c>
      <c r="AC558" s="10">
        <f>Z558*'Parametros'!$B$8</f>
        <v>597</v>
      </c>
      <c r="AD558" s="10">
        <f>'Parametros'!$B$5*AC558*'Parametros'!$B$3*(AB558-(AC558*'Parametros'!$B$3/(0.85*'Parametros'!$B$2*H558))/2)/1000000</f>
        <v>73.905520182353</v>
      </c>
      <c r="AE558" s="10" t="str">
        <f>IF(AD558&gt;=L558,"CUMPLE","NO CUMPLE")</f>
        <v>CUMPLE</v>
      </c>
      <c r="AF558" s="10">
        <f>V558*1.25*'Parametros'!$B$3*(U558-(V558*1.25*'Parametros'!$B$3/(0.85*'Parametros'!$B$2*H558))/2)/1000000</f>
        <v>101.467261323529</v>
      </c>
      <c r="AG558" s="10">
        <f>AC558*1.25*'Parametros'!$B$3*(AB558-(AC558*1.25*'Parametros'!$B$3/(0.85*'Parametros'!$B$2*H558))/2)/1000000</f>
        <v>101.467261323529</v>
      </c>
      <c r="AH558" s="10">
        <f>N558+(AF558+AG558)/D558</f>
        <v>105.302739479638</v>
      </c>
      <c r="AI558" s="10">
        <f>MIN(O558,MAX(N558,AH558))</f>
        <v>105.302739479638</v>
      </c>
      <c r="AJ558" s="10">
        <f>0.17*SQRT('Parametros'!$B$2)*H558*MIN(U558,AB558)/1000</f>
        <v>107.849951281016</v>
      </c>
      <c r="AK558" s="10">
        <f>MAX(AI558/'Parametros'!$B$6-AJ558,0)</f>
        <v>32.5537013585014</v>
      </c>
      <c r="AL558" s="10">
        <f>0.66*SQRT('Parametros'!$B$2)*H558*MIN(U558,AB558)/1000</f>
        <v>418.711575561591</v>
      </c>
      <c r="AM558" s="10" t="str">
        <f>IF(AK558&lt;=AL558,"CUMPLE","NO CUMPLE")</f>
        <v>CUMPLE</v>
      </c>
      <c r="AN558" s="15" t="inlineStr">
        <is>
          <t>Nº3 cerrado</t>
        </is>
      </c>
      <c r="AO558" s="17" t="n">
        <v>2</v>
      </c>
      <c r="AP558" s="10">
        <f>ROUNDDOWN(MIN(IF(AK558=0,1000000000,AO558*'Parametros'!$B$11*'Parametros'!$B$4*MIN(U558,AB558)/(AK558*1000)),IF(AV558=0,1000000000,'Parametros'!$B$11/AV558),MIN(U558,AB558)/4,8*'Parametros'!$B$12,24*'Parametros'!$B$9,300)/10,0)*10</f>
        <v>80</v>
      </c>
      <c r="AQ558" s="10">
        <f>ROUNDDOWN(MIN(IF(AK558=0,1000000000,AO558*'Parametros'!$B$11*'Parametros'!$B$4*MIN(U558,AB558)/(AK558*1000)),IF(AV558=0,1000000000,'Parametros'!$B$11/AV558),MIN(U558,AB558)/2,600)/10,0)*10</f>
        <v>170</v>
      </c>
      <c r="AR558" s="10">
        <f>'Parametros'!$B$6*(AJ558+AO558*'Parametros'!$B$11*'Parametros'!$B$4*MIN(U558,AB558)/AP558/1000)</f>
        <v>272.415732210762</v>
      </c>
      <c r="AS558" s="10" t="str">
        <f>IF(AND(AM558="CUMPLE",AR558&gt;=AI558),"CUMPLE","NO CUMPLE")</f>
        <v>CUMPLE</v>
      </c>
      <c r="AT558" s="10">
        <f>'Parametros'!$B$6*0.083*SQRT('Parametros'!$B$2)*(H558*I558)^2/(2*(H558+I558))/1000000</f>
        <v>4.30410823283988</v>
      </c>
      <c r="AU558" s="10" t="str">
        <f>IF(Q558&lt;=AT558,"DESPRECIABLE","DISEÑAR")</f>
        <v>DESPRECIABLE</v>
      </c>
      <c r="AV558" s="10">
        <f>IF(Q558&lt;=AT558,0,Q558*1000000/('Parametros'!$B$6*2*0.85*(H558-2*'Parametros'!$B$7)*(I558-2*'Parametros'!$B$7)*'Parametros'!$B$4))</f>
        <v>0</v>
      </c>
      <c r="AW558" s="10">
        <f>AV558*2*((H558-2*'Parametros'!$B$7)+(I558-2*'Parametros'!$B$7))*'Parametros'!$B$4/'Parametros'!$B$3</f>
        <v>0</v>
      </c>
      <c r="AX558" s="17" t="n">
        <v>0</v>
      </c>
      <c r="AY558" s="10" t="str">
        <f>IF(AV558=0,"DESPRECIABLE",IF('Parametros'!$B$11/AP558&gt;=AV558,"CUMPLE","NO CUMPLE"))</f>
        <v>DESPRECIABLE</v>
      </c>
      <c r="AZ558" s="10" t="str">
        <f>IF(AND(X558="CUMPLE",AE558="CUMPLE",AS558="CUMPLE",OR(AY558="CUMPLE",AY558="DESPRECIABLE")),IF(OR(F558&lt;&gt;H558,G558&lt;&gt;I558),"CUMPLE - REANALIZAR SAP","CUMPLE"),"NO CUMPLE")</f>
        <v>CUMPLE</v>
      </c>
    </row>
    <row r="559">
      <c r="A559" s="29" t="inlineStr">
        <is>
          <t>VRAUX</t>
        </is>
      </c>
      <c r="B559" s="29" t="inlineStr">
        <is>
          <t>108</t>
        </is>
      </c>
      <c r="C559" s="10" t="n">
        <v>1</v>
      </c>
      <c r="D559" s="10" t="n">
        <v>2.6</v>
      </c>
      <c r="E559" s="10" t="n">
        <v>2.6</v>
      </c>
      <c r="F559" s="10" t="n">
        <v>350</v>
      </c>
      <c r="G559" s="10" t="n">
        <v>400</v>
      </c>
      <c r="H559" s="15" t="n">
        <v>350</v>
      </c>
      <c r="I559" s="15" t="n">
        <v>400</v>
      </c>
      <c r="J559" s="16" t="n">
        <v>32.2013</v>
      </c>
      <c r="K559" s="10" t="inlineStr">
        <is>
          <t>108</t>
        </is>
      </c>
      <c r="L559" s="16" t="n">
        <v>28.9442</v>
      </c>
      <c r="M559" s="10" t="inlineStr">
        <is>
          <t>108</t>
        </is>
      </c>
      <c r="N559" s="16" t="n">
        <v>27.253</v>
      </c>
      <c r="O559" s="16" t="n">
        <v>118.119</v>
      </c>
      <c r="P559" s="10" t="inlineStr">
        <is>
          <t>108</t>
        </is>
      </c>
      <c r="Q559" s="16" t="n">
        <v>0.4076</v>
      </c>
      <c r="R559" s="10">
        <f>MAX(MAX(1.4/'Parametros'!$B$3,0.25*SQRT('Parametros'!$B$2)/'Parametros'!$B$3)*H559*U559,(0.85*'Parametros'!$B$2/'Parametros'!$B$3)*(1-SQRT(1-2*(J559*1000000/('Parametros'!$B$5*H559*U559^2))/(0.85*'Parametros'!$B$2)))*H559*U559)</f>
        <v>399.641666666667</v>
      </c>
      <c r="S559" s="17" t="n">
        <v>3</v>
      </c>
      <c r="T559" s="18" t="n">
        <v>1</v>
      </c>
      <c r="U559" s="10">
        <f>IF(T559=1,I559-('Parametros'!$B$7+'Parametros'!$B$9+'Parametros'!$B$12/2),I559-(ROUNDUP(S559/2,0)*('Parametros'!$B$7+'Parametros'!$B$9+'Parametros'!$B$12/2)+ROUNDDOWN(S559/2,0)*('Parametros'!$B$7+'Parametros'!$B$9+'Parametros'!$B$12/2+'Parametros'!$B$12+'Parametros'!$B$10))/S559)</f>
        <v>342.55</v>
      </c>
      <c r="V559" s="10">
        <f>S559*'Parametros'!$B$8</f>
        <v>597</v>
      </c>
      <c r="W559" s="10">
        <f>'Parametros'!$B$5*V559*'Parametros'!$B$3*(U559-(V559*'Parametros'!$B$3/(0.85*'Parametros'!$B$2*H559))/2)/1000000</f>
        <v>73.905520182353</v>
      </c>
      <c r="X559" s="10" t="str">
        <f>IF(W559&gt;=J559,"CUMPLE","NO CUMPLE")</f>
        <v>CUMPLE</v>
      </c>
      <c r="Y559" s="10">
        <f>MAX(MAX(1.4/'Parametros'!$B$3,0.25*SQRT('Parametros'!$B$2)/'Parametros'!$B$3)*H559*AB559,(0.85*'Parametros'!$B$2/'Parametros'!$B$3)*(1-SQRT(1-2*(L559*1000000/('Parametros'!$B$5*H559*AB559^2))/(0.85*'Parametros'!$B$2)))*H559*AB559)</f>
        <v>399.641666666667</v>
      </c>
      <c r="Z559" s="17" t="n">
        <v>3</v>
      </c>
      <c r="AA559" s="18" t="n">
        <v>1</v>
      </c>
      <c r="AB559" s="10">
        <f>IF(AA559=1,I559-('Parametros'!$B$7+'Parametros'!$B$9+'Parametros'!$B$12/2),I559-(ROUNDUP(Z559/2,0)*('Parametros'!$B$7+'Parametros'!$B$9+'Parametros'!$B$12/2)+ROUNDDOWN(Z559/2,0)*('Parametros'!$B$7+'Parametros'!$B$9+'Parametros'!$B$12/2+'Parametros'!$B$12+'Parametros'!$B$10))/Z559)</f>
        <v>342.55</v>
      </c>
      <c r="AC559" s="10">
        <f>Z559*'Parametros'!$B$8</f>
        <v>597</v>
      </c>
      <c r="AD559" s="10">
        <f>'Parametros'!$B$5*AC559*'Parametros'!$B$3*(AB559-(AC559*'Parametros'!$B$3/(0.85*'Parametros'!$B$2*H559))/2)/1000000</f>
        <v>73.905520182353</v>
      </c>
      <c r="AE559" s="10" t="str">
        <f>IF(AD559&gt;=L559,"CUMPLE","NO CUMPLE")</f>
        <v>CUMPLE</v>
      </c>
      <c r="AF559" s="10">
        <f>V559*1.25*'Parametros'!$B$3*(U559-(V559*1.25*'Parametros'!$B$3/(0.85*'Parametros'!$B$2*H559))/2)/1000000</f>
        <v>101.467261323529</v>
      </c>
      <c r="AG559" s="10">
        <f>AC559*1.25*'Parametros'!$B$3*(AB559-(AC559*1.25*'Parametros'!$B$3/(0.85*'Parametros'!$B$2*H559))/2)/1000000</f>
        <v>101.467261323529</v>
      </c>
      <c r="AH559" s="10">
        <f>N559+(AF559+AG559)/D559</f>
        <v>105.304739479638</v>
      </c>
      <c r="AI559" s="10">
        <f>MIN(O559,MAX(N559,AH559))</f>
        <v>105.304739479638</v>
      </c>
      <c r="AJ559" s="10">
        <f>0.17*SQRT('Parametros'!$B$2)*H559*MIN(U559,AB559)/1000</f>
        <v>107.849951281016</v>
      </c>
      <c r="AK559" s="10">
        <f>MAX(AI559/'Parametros'!$B$6-AJ559,0)</f>
        <v>32.5563680251681</v>
      </c>
      <c r="AL559" s="10">
        <f>0.66*SQRT('Parametros'!$B$2)*H559*MIN(U559,AB559)/1000</f>
        <v>418.711575561591</v>
      </c>
      <c r="AM559" s="10" t="str">
        <f>IF(AK559&lt;=AL559,"CUMPLE","NO CUMPLE")</f>
        <v>CUMPLE</v>
      </c>
      <c r="AN559" s="15" t="inlineStr">
        <is>
          <t>Nº3 cerrado</t>
        </is>
      </c>
      <c r="AO559" s="17" t="n">
        <v>2</v>
      </c>
      <c r="AP559" s="10">
        <f>ROUNDDOWN(MIN(IF(AK559=0,1000000000,AO559*'Parametros'!$B$11*'Parametros'!$B$4*MIN(U559,AB559)/(AK559*1000)),IF(AV559=0,1000000000,'Parametros'!$B$11/AV559),MIN(U559,AB559)/4,8*'Parametros'!$B$12,24*'Parametros'!$B$9,300)/10,0)*10</f>
        <v>80</v>
      </c>
      <c r="AQ559" s="10">
        <f>ROUNDDOWN(MIN(IF(AK559=0,1000000000,AO559*'Parametros'!$B$11*'Parametros'!$B$4*MIN(U559,AB559)/(AK559*1000)),IF(AV559=0,1000000000,'Parametros'!$B$11/AV559),MIN(U559,AB559)/2,600)/10,0)*10</f>
        <v>170</v>
      </c>
      <c r="AR559" s="10">
        <f>'Parametros'!$B$6*(AJ559+AO559*'Parametros'!$B$11*'Parametros'!$B$4*MIN(U559,AB559)/AP559/1000)</f>
        <v>272.415732210762</v>
      </c>
      <c r="AS559" s="10" t="str">
        <f>IF(AND(AM559="CUMPLE",AR559&gt;=AI559),"CUMPLE","NO CUMPLE")</f>
        <v>CUMPLE</v>
      </c>
      <c r="AT559" s="10">
        <f>'Parametros'!$B$6*0.083*SQRT('Parametros'!$B$2)*(H559*I559)^2/(2*(H559+I559))/1000000</f>
        <v>4.30410823283988</v>
      </c>
      <c r="AU559" s="10" t="str">
        <f>IF(Q559&lt;=AT559,"DESPRECIABLE","DISEÑAR")</f>
        <v>DESPRECIABLE</v>
      </c>
      <c r="AV559" s="10">
        <f>IF(Q559&lt;=AT559,0,Q559*1000000/('Parametros'!$B$6*2*0.85*(H559-2*'Parametros'!$B$7)*(I559-2*'Parametros'!$B$7)*'Parametros'!$B$4))</f>
        <v>0</v>
      </c>
      <c r="AW559" s="10">
        <f>AV559*2*((H559-2*'Parametros'!$B$7)+(I559-2*'Parametros'!$B$7))*'Parametros'!$B$4/'Parametros'!$B$3</f>
        <v>0</v>
      </c>
      <c r="AX559" s="17" t="n">
        <v>0</v>
      </c>
      <c r="AY559" s="10" t="str">
        <f>IF(AV559=0,"DESPRECIABLE",IF('Parametros'!$B$11/AP559&gt;=AV559,"CUMPLE","NO CUMPLE"))</f>
        <v>DESPRECIABLE</v>
      </c>
      <c r="AZ559" s="10" t="str">
        <f>IF(AND(X559="CUMPLE",AE559="CUMPLE",AS559="CUMPLE",OR(AY559="CUMPLE",AY559="DESPRECIABLE")),IF(OR(F559&lt;&gt;H559,G559&lt;&gt;I559),"CUMPLE - REANALIZAR SAP","CUMPLE"),"NO CUMPLE")</f>
        <v>CUMPLE</v>
      </c>
    </row>
    <row r="560">
      <c r="A560" s="29" t="inlineStr">
        <is>
          <t>VRAUX</t>
        </is>
      </c>
      <c r="B560" s="29" t="inlineStr">
        <is>
          <t>109</t>
        </is>
      </c>
      <c r="C560" s="10" t="n">
        <v>1</v>
      </c>
      <c r="D560" s="10" t="n">
        <v>2.5</v>
      </c>
      <c r="E560" s="10" t="n">
        <v>2.5</v>
      </c>
      <c r="F560" s="10" t="n">
        <v>350</v>
      </c>
      <c r="G560" s="10" t="n">
        <v>400</v>
      </c>
      <c r="H560" s="15" t="n">
        <v>350</v>
      </c>
      <c r="I560" s="15" t="n">
        <v>400</v>
      </c>
      <c r="J560" s="16" t="n">
        <v>37.2856</v>
      </c>
      <c r="K560" s="10" t="inlineStr">
        <is>
          <t>109</t>
        </is>
      </c>
      <c r="L560" s="16" t="n">
        <v>33.3104</v>
      </c>
      <c r="M560" s="10" t="inlineStr">
        <is>
          <t>109</t>
        </is>
      </c>
      <c r="N560" s="16" t="n">
        <v>29.603</v>
      </c>
      <c r="O560" s="16" t="n">
        <v>120.894</v>
      </c>
      <c r="P560" s="10" t="inlineStr">
        <is>
          <t>109</t>
        </is>
      </c>
      <c r="Q560" s="16" t="n">
        <v>3.4222</v>
      </c>
      <c r="R560" s="10">
        <f>MAX(MAX(1.4/'Parametros'!$B$3,0.25*SQRT('Parametros'!$B$2)/'Parametros'!$B$3)*H560*U560,(0.85*'Parametros'!$B$2/'Parametros'!$B$3)*(1-SQRT(1-2*(J560*1000000/('Parametros'!$B$5*H560*U560^2))/(0.85*'Parametros'!$B$2)))*H560*U560)</f>
        <v>399.641666666667</v>
      </c>
      <c r="S560" s="17" t="n">
        <v>3</v>
      </c>
      <c r="T560" s="18" t="n">
        <v>1</v>
      </c>
      <c r="U560" s="10">
        <f>IF(T560=1,I560-('Parametros'!$B$7+'Parametros'!$B$9+'Parametros'!$B$12/2),I560-(ROUNDUP(S560/2,0)*('Parametros'!$B$7+'Parametros'!$B$9+'Parametros'!$B$12/2)+ROUNDDOWN(S560/2,0)*('Parametros'!$B$7+'Parametros'!$B$9+'Parametros'!$B$12/2+'Parametros'!$B$12+'Parametros'!$B$10))/S560)</f>
        <v>342.55</v>
      </c>
      <c r="V560" s="10">
        <f>S560*'Parametros'!$B$8</f>
        <v>597</v>
      </c>
      <c r="W560" s="10">
        <f>'Parametros'!$B$5*V560*'Parametros'!$B$3*(U560-(V560*'Parametros'!$B$3/(0.85*'Parametros'!$B$2*H560))/2)/1000000</f>
        <v>73.905520182353</v>
      </c>
      <c r="X560" s="10" t="str">
        <f>IF(W560&gt;=J560,"CUMPLE","NO CUMPLE")</f>
        <v>CUMPLE</v>
      </c>
      <c r="Y560" s="10">
        <f>MAX(MAX(1.4/'Parametros'!$B$3,0.25*SQRT('Parametros'!$B$2)/'Parametros'!$B$3)*H560*AB560,(0.85*'Parametros'!$B$2/'Parametros'!$B$3)*(1-SQRT(1-2*(L560*1000000/('Parametros'!$B$5*H560*AB560^2))/(0.85*'Parametros'!$B$2)))*H560*AB560)</f>
        <v>399.641666666667</v>
      </c>
      <c r="Z560" s="17" t="n">
        <v>3</v>
      </c>
      <c r="AA560" s="18" t="n">
        <v>1</v>
      </c>
      <c r="AB560" s="10">
        <f>IF(AA560=1,I560-('Parametros'!$B$7+'Parametros'!$B$9+'Parametros'!$B$12/2),I560-(ROUNDUP(Z560/2,0)*('Parametros'!$B$7+'Parametros'!$B$9+'Parametros'!$B$12/2)+ROUNDDOWN(Z560/2,0)*('Parametros'!$B$7+'Parametros'!$B$9+'Parametros'!$B$12/2+'Parametros'!$B$12+'Parametros'!$B$10))/Z560)</f>
        <v>342.55</v>
      </c>
      <c r="AC560" s="10">
        <f>Z560*'Parametros'!$B$8</f>
        <v>597</v>
      </c>
      <c r="AD560" s="10">
        <f>'Parametros'!$B$5*AC560*'Parametros'!$B$3*(AB560-(AC560*'Parametros'!$B$3/(0.85*'Parametros'!$B$2*H560))/2)/1000000</f>
        <v>73.905520182353</v>
      </c>
      <c r="AE560" s="10" t="str">
        <f>IF(AD560&gt;=L560,"CUMPLE","NO CUMPLE")</f>
        <v>CUMPLE</v>
      </c>
      <c r="AF560" s="10">
        <f>V560*1.25*'Parametros'!$B$3*(U560-(V560*1.25*'Parametros'!$B$3/(0.85*'Parametros'!$B$2*H560))/2)/1000000</f>
        <v>101.467261323529</v>
      </c>
      <c r="AG560" s="10">
        <f>AC560*1.25*'Parametros'!$B$3*(AB560-(AC560*1.25*'Parametros'!$B$3/(0.85*'Parametros'!$B$2*H560))/2)/1000000</f>
        <v>101.467261323529</v>
      </c>
      <c r="AH560" s="10">
        <f>N560+(AF560+AG560)/D560</f>
        <v>110.776809058824</v>
      </c>
      <c r="AI560" s="10">
        <f>MIN(O560,MAX(N560,AH560))</f>
        <v>110.776809058824</v>
      </c>
      <c r="AJ560" s="10">
        <f>0.17*SQRT('Parametros'!$B$2)*H560*MIN(U560,AB560)/1000</f>
        <v>107.849951281016</v>
      </c>
      <c r="AK560" s="10">
        <f>MAX(AI560/'Parametros'!$B$6-AJ560,0)</f>
        <v>39.8524607974155</v>
      </c>
      <c r="AL560" s="10">
        <f>0.66*SQRT('Parametros'!$B$2)*H560*MIN(U560,AB560)/1000</f>
        <v>418.711575561591</v>
      </c>
      <c r="AM560" s="10" t="str">
        <f>IF(AK560&lt;=AL560,"CUMPLE","NO CUMPLE")</f>
        <v>CUMPLE</v>
      </c>
      <c r="AN560" s="15" t="inlineStr">
        <is>
          <t>Nº3 cerrado</t>
        </is>
      </c>
      <c r="AO560" s="17" t="n">
        <v>2</v>
      </c>
      <c r="AP560" s="10">
        <f>ROUNDDOWN(MIN(IF(AK560=0,1000000000,AO560*'Parametros'!$B$11*'Parametros'!$B$4*MIN(U560,AB560)/(AK560*1000)),IF(AV560=0,1000000000,'Parametros'!$B$11/AV560),MIN(U560,AB560)/4,8*'Parametros'!$B$12,24*'Parametros'!$B$9,300)/10,0)*10</f>
        <v>80</v>
      </c>
      <c r="AQ560" s="10">
        <f>ROUNDDOWN(MIN(IF(AK560=0,1000000000,AO560*'Parametros'!$B$11*'Parametros'!$B$4*MIN(U560,AB560)/(AK560*1000)),IF(AV560=0,1000000000,'Parametros'!$B$11/AV560),MIN(U560,AB560)/2,600)/10,0)*10</f>
        <v>170</v>
      </c>
      <c r="AR560" s="10">
        <f>'Parametros'!$B$6*(AJ560+AO560*'Parametros'!$B$11*'Parametros'!$B$4*MIN(U560,AB560)/AP560/1000)</f>
        <v>272.415732210762</v>
      </c>
      <c r="AS560" s="10" t="str">
        <f>IF(AND(AM560="CUMPLE",AR560&gt;=AI560),"CUMPLE","NO CUMPLE")</f>
        <v>CUMPLE</v>
      </c>
      <c r="AT560" s="10">
        <f>'Parametros'!$B$6*0.083*SQRT('Parametros'!$B$2)*(H560*I560)^2/(2*(H560+I560))/1000000</f>
        <v>4.30410823283988</v>
      </c>
      <c r="AU560" s="10" t="str">
        <f>IF(Q560&lt;=AT560,"DESPRECIABLE","DISEÑAR")</f>
        <v>DESPRECIABLE</v>
      </c>
      <c r="AV560" s="10">
        <f>IF(Q560&lt;=AT560,0,Q560*1000000/('Parametros'!$B$6*2*0.85*(H560-2*'Parametros'!$B$7)*(I560-2*'Parametros'!$B$7)*'Parametros'!$B$4))</f>
        <v>0</v>
      </c>
      <c r="AW560" s="10">
        <f>AV560*2*((H560-2*'Parametros'!$B$7)+(I560-2*'Parametros'!$B$7))*'Parametros'!$B$4/'Parametros'!$B$3</f>
        <v>0</v>
      </c>
      <c r="AX560" s="17" t="n">
        <v>0</v>
      </c>
      <c r="AY560" s="10" t="str">
        <f>IF(AV560=0,"DESPRECIABLE",IF('Parametros'!$B$11/AP560&gt;=AV560,"CUMPLE","NO CUMPLE"))</f>
        <v>DESPRECIABLE</v>
      </c>
      <c r="AZ560" s="10" t="str">
        <f>IF(AND(X560="CUMPLE",AE560="CUMPLE",AS560="CUMPLE",OR(AY560="CUMPLE",AY560="DESPRECIABLE")),IF(OR(F560&lt;&gt;H560,G560&lt;&gt;I560),"CUMPLE - REANALIZAR SAP","CUMPLE"),"NO CUMPLE")</f>
        <v>CUMPLE</v>
      </c>
    </row>
    <row r="561">
      <c r="A561" s="29" t="inlineStr">
        <is>
          <t>VRAUX</t>
        </is>
      </c>
      <c r="B561" s="29" t="inlineStr">
        <is>
          <t>110</t>
        </is>
      </c>
      <c r="C561" s="10" t="n">
        <v>1</v>
      </c>
      <c r="D561" s="10" t="n">
        <v>2.5</v>
      </c>
      <c r="E561" s="10" t="n">
        <v>2.5</v>
      </c>
      <c r="F561" s="10" t="n">
        <v>350</v>
      </c>
      <c r="G561" s="10" t="n">
        <v>400</v>
      </c>
      <c r="H561" s="15" t="n">
        <v>350</v>
      </c>
      <c r="I561" s="15" t="n">
        <v>400</v>
      </c>
      <c r="J561" s="16" t="n">
        <v>37.2951</v>
      </c>
      <c r="K561" s="10" t="inlineStr">
        <is>
          <t>110</t>
        </is>
      </c>
      <c r="L561" s="16" t="n">
        <v>33.3035</v>
      </c>
      <c r="M561" s="10" t="inlineStr">
        <is>
          <t>110</t>
        </is>
      </c>
      <c r="N561" s="16" t="n">
        <v>29.565</v>
      </c>
      <c r="O561" s="16" t="n">
        <v>120.85</v>
      </c>
      <c r="P561" s="10" t="inlineStr">
        <is>
          <t>110</t>
        </is>
      </c>
      <c r="Q561" s="16" t="n">
        <v>3.4144</v>
      </c>
      <c r="R561" s="10">
        <f>MAX(MAX(1.4/'Parametros'!$B$3,0.25*SQRT('Parametros'!$B$2)/'Parametros'!$B$3)*H561*U561,(0.85*'Parametros'!$B$2/'Parametros'!$B$3)*(1-SQRT(1-2*(J561*1000000/('Parametros'!$B$5*H561*U561^2))/(0.85*'Parametros'!$B$2)))*H561*U561)</f>
        <v>399.641666666667</v>
      </c>
      <c r="S561" s="17" t="n">
        <v>3</v>
      </c>
      <c r="T561" s="18" t="n">
        <v>1</v>
      </c>
      <c r="U561" s="10">
        <f>IF(T561=1,I561-('Parametros'!$B$7+'Parametros'!$B$9+'Parametros'!$B$12/2),I561-(ROUNDUP(S561/2,0)*('Parametros'!$B$7+'Parametros'!$B$9+'Parametros'!$B$12/2)+ROUNDDOWN(S561/2,0)*('Parametros'!$B$7+'Parametros'!$B$9+'Parametros'!$B$12/2+'Parametros'!$B$12+'Parametros'!$B$10))/S561)</f>
        <v>342.55</v>
      </c>
      <c r="V561" s="10">
        <f>S561*'Parametros'!$B$8</f>
        <v>597</v>
      </c>
      <c r="W561" s="10">
        <f>'Parametros'!$B$5*V561*'Parametros'!$B$3*(U561-(V561*'Parametros'!$B$3/(0.85*'Parametros'!$B$2*H561))/2)/1000000</f>
        <v>73.905520182353</v>
      </c>
      <c r="X561" s="10" t="str">
        <f>IF(W561&gt;=J561,"CUMPLE","NO CUMPLE")</f>
        <v>CUMPLE</v>
      </c>
      <c r="Y561" s="10">
        <f>MAX(MAX(1.4/'Parametros'!$B$3,0.25*SQRT('Parametros'!$B$2)/'Parametros'!$B$3)*H561*AB561,(0.85*'Parametros'!$B$2/'Parametros'!$B$3)*(1-SQRT(1-2*(L561*1000000/('Parametros'!$B$5*H561*AB561^2))/(0.85*'Parametros'!$B$2)))*H561*AB561)</f>
        <v>399.641666666667</v>
      </c>
      <c r="Z561" s="17" t="n">
        <v>3</v>
      </c>
      <c r="AA561" s="18" t="n">
        <v>1</v>
      </c>
      <c r="AB561" s="10">
        <f>IF(AA561=1,I561-('Parametros'!$B$7+'Parametros'!$B$9+'Parametros'!$B$12/2),I561-(ROUNDUP(Z561/2,0)*('Parametros'!$B$7+'Parametros'!$B$9+'Parametros'!$B$12/2)+ROUNDDOWN(Z561/2,0)*('Parametros'!$B$7+'Parametros'!$B$9+'Parametros'!$B$12/2+'Parametros'!$B$12+'Parametros'!$B$10))/Z561)</f>
        <v>342.55</v>
      </c>
      <c r="AC561" s="10">
        <f>Z561*'Parametros'!$B$8</f>
        <v>597</v>
      </c>
      <c r="AD561" s="10">
        <f>'Parametros'!$B$5*AC561*'Parametros'!$B$3*(AB561-(AC561*'Parametros'!$B$3/(0.85*'Parametros'!$B$2*H561))/2)/1000000</f>
        <v>73.905520182353</v>
      </c>
      <c r="AE561" s="10" t="str">
        <f>IF(AD561&gt;=L561,"CUMPLE","NO CUMPLE")</f>
        <v>CUMPLE</v>
      </c>
      <c r="AF561" s="10">
        <f>V561*1.25*'Parametros'!$B$3*(U561-(V561*1.25*'Parametros'!$B$3/(0.85*'Parametros'!$B$2*H561))/2)/1000000</f>
        <v>101.467261323529</v>
      </c>
      <c r="AG561" s="10">
        <f>AC561*1.25*'Parametros'!$B$3*(AB561-(AC561*1.25*'Parametros'!$B$3/(0.85*'Parametros'!$B$2*H561))/2)/1000000</f>
        <v>101.467261323529</v>
      </c>
      <c r="AH561" s="10">
        <f>N561+(AF561+AG561)/D561</f>
        <v>110.738809058824</v>
      </c>
      <c r="AI561" s="10">
        <f>MIN(O561,MAX(N561,AH561))</f>
        <v>110.738809058824</v>
      </c>
      <c r="AJ561" s="10">
        <f>0.17*SQRT('Parametros'!$B$2)*H561*MIN(U561,AB561)/1000</f>
        <v>107.849951281016</v>
      </c>
      <c r="AK561" s="10">
        <f>MAX(AI561/'Parametros'!$B$6-AJ561,0)</f>
        <v>39.8017941307488</v>
      </c>
      <c r="AL561" s="10">
        <f>0.66*SQRT('Parametros'!$B$2)*H561*MIN(U561,AB561)/1000</f>
        <v>418.711575561591</v>
      </c>
      <c r="AM561" s="10" t="str">
        <f>IF(AK561&lt;=AL561,"CUMPLE","NO CUMPLE")</f>
        <v>CUMPLE</v>
      </c>
      <c r="AN561" s="15" t="inlineStr">
        <is>
          <t>Nº3 cerrado</t>
        </is>
      </c>
      <c r="AO561" s="17" t="n">
        <v>2</v>
      </c>
      <c r="AP561" s="10">
        <f>ROUNDDOWN(MIN(IF(AK561=0,1000000000,AO561*'Parametros'!$B$11*'Parametros'!$B$4*MIN(U561,AB561)/(AK561*1000)),IF(AV561=0,1000000000,'Parametros'!$B$11/AV561),MIN(U561,AB561)/4,8*'Parametros'!$B$12,24*'Parametros'!$B$9,300)/10,0)*10</f>
        <v>80</v>
      </c>
      <c r="AQ561" s="10">
        <f>ROUNDDOWN(MIN(IF(AK561=0,1000000000,AO561*'Parametros'!$B$11*'Parametros'!$B$4*MIN(U561,AB561)/(AK561*1000)),IF(AV561=0,1000000000,'Parametros'!$B$11/AV561),MIN(U561,AB561)/2,600)/10,0)*10</f>
        <v>170</v>
      </c>
      <c r="AR561" s="10">
        <f>'Parametros'!$B$6*(AJ561+AO561*'Parametros'!$B$11*'Parametros'!$B$4*MIN(U561,AB561)/AP561/1000)</f>
        <v>272.415732210762</v>
      </c>
      <c r="AS561" s="10" t="str">
        <f>IF(AND(AM561="CUMPLE",AR561&gt;=AI561),"CUMPLE","NO CUMPLE")</f>
        <v>CUMPLE</v>
      </c>
      <c r="AT561" s="10">
        <f>'Parametros'!$B$6*0.083*SQRT('Parametros'!$B$2)*(H561*I561)^2/(2*(H561+I561))/1000000</f>
        <v>4.30410823283988</v>
      </c>
      <c r="AU561" s="10" t="str">
        <f>IF(Q561&lt;=AT561,"DESPRECIABLE","DISEÑAR")</f>
        <v>DESPRECIABLE</v>
      </c>
      <c r="AV561" s="10">
        <f>IF(Q561&lt;=AT561,0,Q561*1000000/('Parametros'!$B$6*2*0.85*(H561-2*'Parametros'!$B$7)*(I561-2*'Parametros'!$B$7)*'Parametros'!$B$4))</f>
        <v>0</v>
      </c>
      <c r="AW561" s="10">
        <f>AV561*2*((H561-2*'Parametros'!$B$7)+(I561-2*'Parametros'!$B$7))*'Parametros'!$B$4/'Parametros'!$B$3</f>
        <v>0</v>
      </c>
      <c r="AX561" s="17" t="n">
        <v>0</v>
      </c>
      <c r="AY561" s="10" t="str">
        <f>IF(AV561=0,"DESPRECIABLE",IF('Parametros'!$B$11/AP561&gt;=AV561,"CUMPLE","NO CUMPLE"))</f>
        <v>DESPRECIABLE</v>
      </c>
      <c r="AZ561" s="10" t="str">
        <f>IF(AND(X561="CUMPLE",AE561="CUMPLE",AS561="CUMPLE",OR(AY561="CUMPLE",AY561="DESPRECIABLE")),IF(OR(F561&lt;&gt;H561,G561&lt;&gt;I561),"CUMPLE - REANALIZAR SAP","CUMPLE"),"NO CUMPLE")</f>
        <v>CUMPLE</v>
      </c>
    </row>
    <row r="562">
      <c r="A562" s="29" t="inlineStr">
        <is>
          <t>VRAUX</t>
        </is>
      </c>
      <c r="B562" s="29" t="inlineStr">
        <is>
          <t>111</t>
        </is>
      </c>
      <c r="C562" s="10" t="n">
        <v>1</v>
      </c>
      <c r="D562" s="10" t="n">
        <v>2.5</v>
      </c>
      <c r="E562" s="10" t="n">
        <v>2.5</v>
      </c>
      <c r="F562" s="10" t="n">
        <v>350</v>
      </c>
      <c r="G562" s="10" t="n">
        <v>400</v>
      </c>
      <c r="H562" s="15" t="n">
        <v>350</v>
      </c>
      <c r="I562" s="15" t="n">
        <v>400</v>
      </c>
      <c r="J562" s="16" t="n">
        <v>37.3076</v>
      </c>
      <c r="K562" s="10" t="inlineStr">
        <is>
          <t>111</t>
        </is>
      </c>
      <c r="L562" s="16" t="n">
        <v>33.289</v>
      </c>
      <c r="M562" s="10" t="inlineStr">
        <is>
          <t>111</t>
        </is>
      </c>
      <c r="N562" s="16" t="n">
        <v>29.553</v>
      </c>
      <c r="O562" s="16" t="n">
        <v>120.829</v>
      </c>
      <c r="P562" s="10" t="inlineStr">
        <is>
          <t>111</t>
        </is>
      </c>
      <c r="Q562" s="16" t="n">
        <v>3.4131</v>
      </c>
      <c r="R562" s="10">
        <f>MAX(MAX(1.4/'Parametros'!$B$3,0.25*SQRT('Parametros'!$B$2)/'Parametros'!$B$3)*H562*U562,(0.85*'Parametros'!$B$2/'Parametros'!$B$3)*(1-SQRT(1-2*(J562*1000000/('Parametros'!$B$5*H562*U562^2))/(0.85*'Parametros'!$B$2)))*H562*U562)</f>
        <v>399.641666666667</v>
      </c>
      <c r="S562" s="17" t="n">
        <v>3</v>
      </c>
      <c r="T562" s="18" t="n">
        <v>1</v>
      </c>
      <c r="U562" s="10">
        <f>IF(T562=1,I562-('Parametros'!$B$7+'Parametros'!$B$9+'Parametros'!$B$12/2),I562-(ROUNDUP(S562/2,0)*('Parametros'!$B$7+'Parametros'!$B$9+'Parametros'!$B$12/2)+ROUNDDOWN(S562/2,0)*('Parametros'!$B$7+'Parametros'!$B$9+'Parametros'!$B$12/2+'Parametros'!$B$12+'Parametros'!$B$10))/S562)</f>
        <v>342.55</v>
      </c>
      <c r="V562" s="10">
        <f>S562*'Parametros'!$B$8</f>
        <v>597</v>
      </c>
      <c r="W562" s="10">
        <f>'Parametros'!$B$5*V562*'Parametros'!$B$3*(U562-(V562*'Parametros'!$B$3/(0.85*'Parametros'!$B$2*H562))/2)/1000000</f>
        <v>73.905520182353</v>
      </c>
      <c r="X562" s="10" t="str">
        <f>IF(W562&gt;=J562,"CUMPLE","NO CUMPLE")</f>
        <v>CUMPLE</v>
      </c>
      <c r="Y562" s="10">
        <f>MAX(MAX(1.4/'Parametros'!$B$3,0.25*SQRT('Parametros'!$B$2)/'Parametros'!$B$3)*H562*AB562,(0.85*'Parametros'!$B$2/'Parametros'!$B$3)*(1-SQRT(1-2*(L562*1000000/('Parametros'!$B$5*H562*AB562^2))/(0.85*'Parametros'!$B$2)))*H562*AB562)</f>
        <v>399.641666666667</v>
      </c>
      <c r="Z562" s="17" t="n">
        <v>3</v>
      </c>
      <c r="AA562" s="18" t="n">
        <v>1</v>
      </c>
      <c r="AB562" s="10">
        <f>IF(AA562=1,I562-('Parametros'!$B$7+'Parametros'!$B$9+'Parametros'!$B$12/2),I562-(ROUNDUP(Z562/2,0)*('Parametros'!$B$7+'Parametros'!$B$9+'Parametros'!$B$12/2)+ROUNDDOWN(Z562/2,0)*('Parametros'!$B$7+'Parametros'!$B$9+'Parametros'!$B$12/2+'Parametros'!$B$12+'Parametros'!$B$10))/Z562)</f>
        <v>342.55</v>
      </c>
      <c r="AC562" s="10">
        <f>Z562*'Parametros'!$B$8</f>
        <v>597</v>
      </c>
      <c r="AD562" s="10">
        <f>'Parametros'!$B$5*AC562*'Parametros'!$B$3*(AB562-(AC562*'Parametros'!$B$3/(0.85*'Parametros'!$B$2*H562))/2)/1000000</f>
        <v>73.905520182353</v>
      </c>
      <c r="AE562" s="10" t="str">
        <f>IF(AD562&gt;=L562,"CUMPLE","NO CUMPLE")</f>
        <v>CUMPLE</v>
      </c>
      <c r="AF562" s="10">
        <f>V562*1.25*'Parametros'!$B$3*(U562-(V562*1.25*'Parametros'!$B$3/(0.85*'Parametros'!$B$2*H562))/2)/1000000</f>
        <v>101.467261323529</v>
      </c>
      <c r="AG562" s="10">
        <f>AC562*1.25*'Parametros'!$B$3*(AB562-(AC562*1.25*'Parametros'!$B$3/(0.85*'Parametros'!$B$2*H562))/2)/1000000</f>
        <v>101.467261323529</v>
      </c>
      <c r="AH562" s="10">
        <f>N562+(AF562+AG562)/D562</f>
        <v>110.726809058824</v>
      </c>
      <c r="AI562" s="10">
        <f>MIN(O562,MAX(N562,AH562))</f>
        <v>110.726809058824</v>
      </c>
      <c r="AJ562" s="10">
        <f>0.17*SQRT('Parametros'!$B$2)*H562*MIN(U562,AB562)/1000</f>
        <v>107.849951281016</v>
      </c>
      <c r="AK562" s="10">
        <f>MAX(AI562/'Parametros'!$B$6-AJ562,0)</f>
        <v>39.7857941307488</v>
      </c>
      <c r="AL562" s="10">
        <f>0.66*SQRT('Parametros'!$B$2)*H562*MIN(U562,AB562)/1000</f>
        <v>418.711575561591</v>
      </c>
      <c r="AM562" s="10" t="str">
        <f>IF(AK562&lt;=AL562,"CUMPLE","NO CUMPLE")</f>
        <v>CUMPLE</v>
      </c>
      <c r="AN562" s="15" t="inlineStr">
        <is>
          <t>Nº3 cerrado</t>
        </is>
      </c>
      <c r="AO562" s="17" t="n">
        <v>2</v>
      </c>
      <c r="AP562" s="10">
        <f>ROUNDDOWN(MIN(IF(AK562=0,1000000000,AO562*'Parametros'!$B$11*'Parametros'!$B$4*MIN(U562,AB562)/(AK562*1000)),IF(AV562=0,1000000000,'Parametros'!$B$11/AV562),MIN(U562,AB562)/4,8*'Parametros'!$B$12,24*'Parametros'!$B$9,300)/10,0)*10</f>
        <v>80</v>
      </c>
      <c r="AQ562" s="10">
        <f>ROUNDDOWN(MIN(IF(AK562=0,1000000000,AO562*'Parametros'!$B$11*'Parametros'!$B$4*MIN(U562,AB562)/(AK562*1000)),IF(AV562=0,1000000000,'Parametros'!$B$11/AV562),MIN(U562,AB562)/2,600)/10,0)*10</f>
        <v>170</v>
      </c>
      <c r="AR562" s="10">
        <f>'Parametros'!$B$6*(AJ562+AO562*'Parametros'!$B$11*'Parametros'!$B$4*MIN(U562,AB562)/AP562/1000)</f>
        <v>272.415732210762</v>
      </c>
      <c r="AS562" s="10" t="str">
        <f>IF(AND(AM562="CUMPLE",AR562&gt;=AI562),"CUMPLE","NO CUMPLE")</f>
        <v>CUMPLE</v>
      </c>
      <c r="AT562" s="10">
        <f>'Parametros'!$B$6*0.083*SQRT('Parametros'!$B$2)*(H562*I562)^2/(2*(H562+I562))/1000000</f>
        <v>4.30410823283988</v>
      </c>
      <c r="AU562" s="10" t="str">
        <f>IF(Q562&lt;=AT562,"DESPRECIABLE","DISEÑAR")</f>
        <v>DESPRECIABLE</v>
      </c>
      <c r="AV562" s="10">
        <f>IF(Q562&lt;=AT562,0,Q562*1000000/('Parametros'!$B$6*2*0.85*(H562-2*'Parametros'!$B$7)*(I562-2*'Parametros'!$B$7)*'Parametros'!$B$4))</f>
        <v>0</v>
      </c>
      <c r="AW562" s="10">
        <f>AV562*2*((H562-2*'Parametros'!$B$7)+(I562-2*'Parametros'!$B$7))*'Parametros'!$B$4/'Parametros'!$B$3</f>
        <v>0</v>
      </c>
      <c r="AX562" s="17" t="n">
        <v>0</v>
      </c>
      <c r="AY562" s="10" t="str">
        <f>IF(AV562=0,"DESPRECIABLE",IF('Parametros'!$B$11/AP562&gt;=AV562,"CUMPLE","NO CUMPLE"))</f>
        <v>DESPRECIABLE</v>
      </c>
      <c r="AZ562" s="10" t="str">
        <f>IF(AND(X562="CUMPLE",AE562="CUMPLE",AS562="CUMPLE",OR(AY562="CUMPLE",AY562="DESPRECIABLE")),IF(OR(F562&lt;&gt;H562,G562&lt;&gt;I562),"CUMPLE - REANALIZAR SAP","CUMPLE"),"NO CUMPLE")</f>
        <v>CUMPLE</v>
      </c>
    </row>
    <row r="563">
      <c r="A563" s="29" t="inlineStr">
        <is>
          <t>VRAUX</t>
        </is>
      </c>
      <c r="B563" s="29" t="inlineStr">
        <is>
          <t>112</t>
        </is>
      </c>
      <c r="C563" s="10" t="n">
        <v>1</v>
      </c>
      <c r="D563" s="10" t="n">
        <v>2.5</v>
      </c>
      <c r="E563" s="10" t="n">
        <v>2.5</v>
      </c>
      <c r="F563" s="10" t="n">
        <v>350</v>
      </c>
      <c r="G563" s="10" t="n">
        <v>400</v>
      </c>
      <c r="H563" s="15" t="n">
        <v>350</v>
      </c>
      <c r="I563" s="15" t="n">
        <v>400</v>
      </c>
      <c r="J563" s="16" t="n">
        <v>37.3003</v>
      </c>
      <c r="K563" s="10" t="inlineStr">
        <is>
          <t>112</t>
        </is>
      </c>
      <c r="L563" s="16" t="n">
        <v>33.2949</v>
      </c>
      <c r="M563" s="10" t="inlineStr">
        <is>
          <t>112</t>
        </is>
      </c>
      <c r="N563" s="16" t="n">
        <v>29.586</v>
      </c>
      <c r="O563" s="16" t="n">
        <v>120.869</v>
      </c>
      <c r="P563" s="10" t="inlineStr">
        <is>
          <t>112</t>
        </is>
      </c>
      <c r="Q563" s="16" t="n">
        <v>3.421</v>
      </c>
      <c r="R563" s="10">
        <f>MAX(MAX(1.4/'Parametros'!$B$3,0.25*SQRT('Parametros'!$B$2)/'Parametros'!$B$3)*H563*U563,(0.85*'Parametros'!$B$2/'Parametros'!$B$3)*(1-SQRT(1-2*(J563*1000000/('Parametros'!$B$5*H563*U563^2))/(0.85*'Parametros'!$B$2)))*H563*U563)</f>
        <v>399.641666666667</v>
      </c>
      <c r="S563" s="17" t="n">
        <v>3</v>
      </c>
      <c r="T563" s="18" t="n">
        <v>1</v>
      </c>
      <c r="U563" s="10">
        <f>IF(T563=1,I563-('Parametros'!$B$7+'Parametros'!$B$9+'Parametros'!$B$12/2),I563-(ROUNDUP(S563/2,0)*('Parametros'!$B$7+'Parametros'!$B$9+'Parametros'!$B$12/2)+ROUNDDOWN(S563/2,0)*('Parametros'!$B$7+'Parametros'!$B$9+'Parametros'!$B$12/2+'Parametros'!$B$12+'Parametros'!$B$10))/S563)</f>
        <v>342.55</v>
      </c>
      <c r="V563" s="10">
        <f>S563*'Parametros'!$B$8</f>
        <v>597</v>
      </c>
      <c r="W563" s="10">
        <f>'Parametros'!$B$5*V563*'Parametros'!$B$3*(U563-(V563*'Parametros'!$B$3/(0.85*'Parametros'!$B$2*H563))/2)/1000000</f>
        <v>73.905520182353</v>
      </c>
      <c r="X563" s="10" t="str">
        <f>IF(W563&gt;=J563,"CUMPLE","NO CUMPLE")</f>
        <v>CUMPLE</v>
      </c>
      <c r="Y563" s="10">
        <f>MAX(MAX(1.4/'Parametros'!$B$3,0.25*SQRT('Parametros'!$B$2)/'Parametros'!$B$3)*H563*AB563,(0.85*'Parametros'!$B$2/'Parametros'!$B$3)*(1-SQRT(1-2*(L563*1000000/('Parametros'!$B$5*H563*AB563^2))/(0.85*'Parametros'!$B$2)))*H563*AB563)</f>
        <v>399.641666666667</v>
      </c>
      <c r="Z563" s="17" t="n">
        <v>3</v>
      </c>
      <c r="AA563" s="18" t="n">
        <v>1</v>
      </c>
      <c r="AB563" s="10">
        <f>IF(AA563=1,I563-('Parametros'!$B$7+'Parametros'!$B$9+'Parametros'!$B$12/2),I563-(ROUNDUP(Z563/2,0)*('Parametros'!$B$7+'Parametros'!$B$9+'Parametros'!$B$12/2)+ROUNDDOWN(Z563/2,0)*('Parametros'!$B$7+'Parametros'!$B$9+'Parametros'!$B$12/2+'Parametros'!$B$12+'Parametros'!$B$10))/Z563)</f>
        <v>342.55</v>
      </c>
      <c r="AC563" s="10">
        <f>Z563*'Parametros'!$B$8</f>
        <v>597</v>
      </c>
      <c r="AD563" s="10">
        <f>'Parametros'!$B$5*AC563*'Parametros'!$B$3*(AB563-(AC563*'Parametros'!$B$3/(0.85*'Parametros'!$B$2*H563))/2)/1000000</f>
        <v>73.905520182353</v>
      </c>
      <c r="AE563" s="10" t="str">
        <f>IF(AD563&gt;=L563,"CUMPLE","NO CUMPLE")</f>
        <v>CUMPLE</v>
      </c>
      <c r="AF563" s="10">
        <f>V563*1.25*'Parametros'!$B$3*(U563-(V563*1.25*'Parametros'!$B$3/(0.85*'Parametros'!$B$2*H563))/2)/1000000</f>
        <v>101.467261323529</v>
      </c>
      <c r="AG563" s="10">
        <f>AC563*1.25*'Parametros'!$B$3*(AB563-(AC563*1.25*'Parametros'!$B$3/(0.85*'Parametros'!$B$2*H563))/2)/1000000</f>
        <v>101.467261323529</v>
      </c>
      <c r="AH563" s="10">
        <f>N563+(AF563+AG563)/D563</f>
        <v>110.759809058824</v>
      </c>
      <c r="AI563" s="10">
        <f>MIN(O563,MAX(N563,AH563))</f>
        <v>110.759809058824</v>
      </c>
      <c r="AJ563" s="10">
        <f>0.17*SQRT('Parametros'!$B$2)*H563*MIN(U563,AB563)/1000</f>
        <v>107.849951281016</v>
      </c>
      <c r="AK563" s="10">
        <f>MAX(AI563/'Parametros'!$B$6-AJ563,0)</f>
        <v>39.8297941307488</v>
      </c>
      <c r="AL563" s="10">
        <f>0.66*SQRT('Parametros'!$B$2)*H563*MIN(U563,AB563)/1000</f>
        <v>418.711575561591</v>
      </c>
      <c r="AM563" s="10" t="str">
        <f>IF(AK563&lt;=AL563,"CUMPLE","NO CUMPLE")</f>
        <v>CUMPLE</v>
      </c>
      <c r="AN563" s="15" t="inlineStr">
        <is>
          <t>Nº3 cerrado</t>
        </is>
      </c>
      <c r="AO563" s="17" t="n">
        <v>2</v>
      </c>
      <c r="AP563" s="10">
        <f>ROUNDDOWN(MIN(IF(AK563=0,1000000000,AO563*'Parametros'!$B$11*'Parametros'!$B$4*MIN(U563,AB563)/(AK563*1000)),IF(AV563=0,1000000000,'Parametros'!$B$11/AV563),MIN(U563,AB563)/4,8*'Parametros'!$B$12,24*'Parametros'!$B$9,300)/10,0)*10</f>
        <v>80</v>
      </c>
      <c r="AQ563" s="10">
        <f>ROUNDDOWN(MIN(IF(AK563=0,1000000000,AO563*'Parametros'!$B$11*'Parametros'!$B$4*MIN(U563,AB563)/(AK563*1000)),IF(AV563=0,1000000000,'Parametros'!$B$11/AV563),MIN(U563,AB563)/2,600)/10,0)*10</f>
        <v>170</v>
      </c>
      <c r="AR563" s="10">
        <f>'Parametros'!$B$6*(AJ563+AO563*'Parametros'!$B$11*'Parametros'!$B$4*MIN(U563,AB563)/AP563/1000)</f>
        <v>272.415732210762</v>
      </c>
      <c r="AS563" s="10" t="str">
        <f>IF(AND(AM563="CUMPLE",AR563&gt;=AI563),"CUMPLE","NO CUMPLE")</f>
        <v>CUMPLE</v>
      </c>
      <c r="AT563" s="10">
        <f>'Parametros'!$B$6*0.083*SQRT('Parametros'!$B$2)*(H563*I563)^2/(2*(H563+I563))/1000000</f>
        <v>4.30410823283988</v>
      </c>
      <c r="AU563" s="10" t="str">
        <f>IF(Q563&lt;=AT563,"DESPRECIABLE","DISEÑAR")</f>
        <v>DESPRECIABLE</v>
      </c>
      <c r="AV563" s="10">
        <f>IF(Q563&lt;=AT563,0,Q563*1000000/('Parametros'!$B$6*2*0.85*(H563-2*'Parametros'!$B$7)*(I563-2*'Parametros'!$B$7)*'Parametros'!$B$4))</f>
        <v>0</v>
      </c>
      <c r="AW563" s="10">
        <f>AV563*2*((H563-2*'Parametros'!$B$7)+(I563-2*'Parametros'!$B$7))*'Parametros'!$B$4/'Parametros'!$B$3</f>
        <v>0</v>
      </c>
      <c r="AX563" s="17" t="n">
        <v>0</v>
      </c>
      <c r="AY563" s="10" t="str">
        <f>IF(AV563=0,"DESPRECIABLE",IF('Parametros'!$B$11/AP563&gt;=AV563,"CUMPLE","NO CUMPLE"))</f>
        <v>DESPRECIABLE</v>
      </c>
      <c r="AZ563" s="10" t="str">
        <f>IF(AND(X563="CUMPLE",AE563="CUMPLE",AS563="CUMPLE",OR(AY563="CUMPLE",AY563="DESPRECIABLE")),IF(OR(F563&lt;&gt;H563,G563&lt;&gt;I563),"CUMPLE - REANALIZAR SAP","CUMPLE"),"NO CUMPLE")</f>
        <v>CUMPLE</v>
      </c>
    </row>
    <row r="564">
      <c r="A564" s="29" t="inlineStr">
        <is>
          <t>VRAUX</t>
        </is>
      </c>
      <c r="B564" s="29" t="inlineStr">
        <is>
          <t>113</t>
        </is>
      </c>
      <c r="C564" s="10" t="n">
        <v>1</v>
      </c>
      <c r="D564" s="10" t="n">
        <v>2.6</v>
      </c>
      <c r="E564" s="10" t="n">
        <v>2.6</v>
      </c>
      <c r="F564" s="10" t="n">
        <v>350</v>
      </c>
      <c r="G564" s="10" t="n">
        <v>400</v>
      </c>
      <c r="H564" s="15" t="n">
        <v>350</v>
      </c>
      <c r="I564" s="15" t="n">
        <v>400</v>
      </c>
      <c r="J564" s="16" t="n">
        <v>29.3274</v>
      </c>
      <c r="K564" s="10" t="inlineStr">
        <is>
          <t>113</t>
        </is>
      </c>
      <c r="L564" s="16" t="n">
        <v>27.0911</v>
      </c>
      <c r="M564" s="10" t="inlineStr">
        <is>
          <t>113</t>
        </is>
      </c>
      <c r="N564" s="16" t="n">
        <v>26.023</v>
      </c>
      <c r="O564" s="16" t="n">
        <v>110.811</v>
      </c>
      <c r="P564" s="10" t="inlineStr">
        <is>
          <t>113</t>
        </is>
      </c>
      <c r="Q564" s="16" t="n">
        <v>0.2853</v>
      </c>
      <c r="R564" s="10">
        <f>MAX(MAX(1.4/'Parametros'!$B$3,0.25*SQRT('Parametros'!$B$2)/'Parametros'!$B$3)*H564*U564,(0.85*'Parametros'!$B$2/'Parametros'!$B$3)*(1-SQRT(1-2*(J564*1000000/('Parametros'!$B$5*H564*U564^2))/(0.85*'Parametros'!$B$2)))*H564*U564)</f>
        <v>399.641666666667</v>
      </c>
      <c r="S564" s="17" t="n">
        <v>3</v>
      </c>
      <c r="T564" s="18" t="n">
        <v>1</v>
      </c>
      <c r="U564" s="10">
        <f>IF(T564=1,I564-('Parametros'!$B$7+'Parametros'!$B$9+'Parametros'!$B$12/2),I564-(ROUNDUP(S564/2,0)*('Parametros'!$B$7+'Parametros'!$B$9+'Parametros'!$B$12/2)+ROUNDDOWN(S564/2,0)*('Parametros'!$B$7+'Parametros'!$B$9+'Parametros'!$B$12/2+'Parametros'!$B$12+'Parametros'!$B$10))/S564)</f>
        <v>342.55</v>
      </c>
      <c r="V564" s="10">
        <f>S564*'Parametros'!$B$8</f>
        <v>597</v>
      </c>
      <c r="W564" s="10">
        <f>'Parametros'!$B$5*V564*'Parametros'!$B$3*(U564-(V564*'Parametros'!$B$3/(0.85*'Parametros'!$B$2*H564))/2)/1000000</f>
        <v>73.905520182353</v>
      </c>
      <c r="X564" s="10" t="str">
        <f>IF(W564&gt;=J564,"CUMPLE","NO CUMPLE")</f>
        <v>CUMPLE</v>
      </c>
      <c r="Y564" s="10">
        <f>MAX(MAX(1.4/'Parametros'!$B$3,0.25*SQRT('Parametros'!$B$2)/'Parametros'!$B$3)*H564*AB564,(0.85*'Parametros'!$B$2/'Parametros'!$B$3)*(1-SQRT(1-2*(L564*1000000/('Parametros'!$B$5*H564*AB564^2))/(0.85*'Parametros'!$B$2)))*H564*AB564)</f>
        <v>399.641666666667</v>
      </c>
      <c r="Z564" s="17" t="n">
        <v>3</v>
      </c>
      <c r="AA564" s="18" t="n">
        <v>1</v>
      </c>
      <c r="AB564" s="10">
        <f>IF(AA564=1,I564-('Parametros'!$B$7+'Parametros'!$B$9+'Parametros'!$B$12/2),I564-(ROUNDUP(Z564/2,0)*('Parametros'!$B$7+'Parametros'!$B$9+'Parametros'!$B$12/2)+ROUNDDOWN(Z564/2,0)*('Parametros'!$B$7+'Parametros'!$B$9+'Parametros'!$B$12/2+'Parametros'!$B$12+'Parametros'!$B$10))/Z564)</f>
        <v>342.55</v>
      </c>
      <c r="AC564" s="10">
        <f>Z564*'Parametros'!$B$8</f>
        <v>597</v>
      </c>
      <c r="AD564" s="10">
        <f>'Parametros'!$B$5*AC564*'Parametros'!$B$3*(AB564-(AC564*'Parametros'!$B$3/(0.85*'Parametros'!$B$2*H564))/2)/1000000</f>
        <v>73.905520182353</v>
      </c>
      <c r="AE564" s="10" t="str">
        <f>IF(AD564&gt;=L564,"CUMPLE","NO CUMPLE")</f>
        <v>CUMPLE</v>
      </c>
      <c r="AF564" s="10">
        <f>V564*1.25*'Parametros'!$B$3*(U564-(V564*1.25*'Parametros'!$B$3/(0.85*'Parametros'!$B$2*H564))/2)/1000000</f>
        <v>101.467261323529</v>
      </c>
      <c r="AG564" s="10">
        <f>AC564*1.25*'Parametros'!$B$3*(AB564-(AC564*1.25*'Parametros'!$B$3/(0.85*'Parametros'!$B$2*H564))/2)/1000000</f>
        <v>101.467261323529</v>
      </c>
      <c r="AH564" s="10">
        <f>N564+(AF564+AG564)/D564</f>
        <v>104.074739479638</v>
      </c>
      <c r="AI564" s="10">
        <f>MIN(O564,MAX(N564,AH564))</f>
        <v>104.074739479638</v>
      </c>
      <c r="AJ564" s="10">
        <f>0.17*SQRT('Parametros'!$B$2)*H564*MIN(U564,AB564)/1000</f>
        <v>107.849951281016</v>
      </c>
      <c r="AK564" s="10">
        <f>MAX(AI564/'Parametros'!$B$6-AJ564,0)</f>
        <v>30.9163680251681</v>
      </c>
      <c r="AL564" s="10">
        <f>0.66*SQRT('Parametros'!$B$2)*H564*MIN(U564,AB564)/1000</f>
        <v>418.711575561591</v>
      </c>
      <c r="AM564" s="10" t="str">
        <f>IF(AK564&lt;=AL564,"CUMPLE","NO CUMPLE")</f>
        <v>CUMPLE</v>
      </c>
      <c r="AN564" s="15" t="inlineStr">
        <is>
          <t>Nº3 cerrado</t>
        </is>
      </c>
      <c r="AO564" s="17" t="n">
        <v>2</v>
      </c>
      <c r="AP564" s="10">
        <f>ROUNDDOWN(MIN(IF(AK564=0,1000000000,AO564*'Parametros'!$B$11*'Parametros'!$B$4*MIN(U564,AB564)/(AK564*1000)),IF(AV564=0,1000000000,'Parametros'!$B$11/AV564),MIN(U564,AB564)/4,8*'Parametros'!$B$12,24*'Parametros'!$B$9,300)/10,0)*10</f>
        <v>80</v>
      </c>
      <c r="AQ564" s="10">
        <f>ROUNDDOWN(MIN(IF(AK564=0,1000000000,AO564*'Parametros'!$B$11*'Parametros'!$B$4*MIN(U564,AB564)/(AK564*1000)),IF(AV564=0,1000000000,'Parametros'!$B$11/AV564),MIN(U564,AB564)/2,600)/10,0)*10</f>
        <v>170</v>
      </c>
      <c r="AR564" s="10">
        <f>'Parametros'!$B$6*(AJ564+AO564*'Parametros'!$B$11*'Parametros'!$B$4*MIN(U564,AB564)/AP564/1000)</f>
        <v>272.415732210762</v>
      </c>
      <c r="AS564" s="10" t="str">
        <f>IF(AND(AM564="CUMPLE",AR564&gt;=AI564),"CUMPLE","NO CUMPLE")</f>
        <v>CUMPLE</v>
      </c>
      <c r="AT564" s="10">
        <f>'Parametros'!$B$6*0.083*SQRT('Parametros'!$B$2)*(H564*I564)^2/(2*(H564+I564))/1000000</f>
        <v>4.30410823283988</v>
      </c>
      <c r="AU564" s="10" t="str">
        <f>IF(Q564&lt;=AT564,"DESPRECIABLE","DISEÑAR")</f>
        <v>DESPRECIABLE</v>
      </c>
      <c r="AV564" s="10">
        <f>IF(Q564&lt;=AT564,0,Q564*1000000/('Parametros'!$B$6*2*0.85*(H564-2*'Parametros'!$B$7)*(I564-2*'Parametros'!$B$7)*'Parametros'!$B$4))</f>
        <v>0</v>
      </c>
      <c r="AW564" s="10">
        <f>AV564*2*((H564-2*'Parametros'!$B$7)+(I564-2*'Parametros'!$B$7))*'Parametros'!$B$4/'Parametros'!$B$3</f>
        <v>0</v>
      </c>
      <c r="AX564" s="17" t="n">
        <v>0</v>
      </c>
      <c r="AY564" s="10" t="str">
        <f>IF(AV564=0,"DESPRECIABLE",IF('Parametros'!$B$11/AP564&gt;=AV564,"CUMPLE","NO CUMPLE"))</f>
        <v>DESPRECIABLE</v>
      </c>
      <c r="AZ564" s="10" t="str">
        <f>IF(AND(X564="CUMPLE",AE564="CUMPLE",AS564="CUMPLE",OR(AY564="CUMPLE",AY564="DESPRECIABLE")),IF(OR(F564&lt;&gt;H564,G564&lt;&gt;I564),"CUMPLE - REANALIZAR SAP","CUMPLE"),"NO CUMPLE")</f>
        <v>CUMPLE</v>
      </c>
    </row>
    <row r="565">
      <c r="A565" s="29" t="inlineStr">
        <is>
          <t>VRAUX</t>
        </is>
      </c>
      <c r="B565" s="29" t="inlineStr">
        <is>
          <t>114</t>
        </is>
      </c>
      <c r="C565" s="10" t="n">
        <v>1</v>
      </c>
      <c r="D565" s="10" t="n">
        <v>2.6</v>
      </c>
      <c r="E565" s="10" t="n">
        <v>2.6</v>
      </c>
      <c r="F565" s="10" t="n">
        <v>350</v>
      </c>
      <c r="G565" s="10" t="n">
        <v>400</v>
      </c>
      <c r="H565" s="15" t="n">
        <v>350</v>
      </c>
      <c r="I565" s="15" t="n">
        <v>400</v>
      </c>
      <c r="J565" s="16" t="n">
        <v>29.3241</v>
      </c>
      <c r="K565" s="10" t="inlineStr">
        <is>
          <t>114</t>
        </is>
      </c>
      <c r="L565" s="16" t="n">
        <v>27.0893</v>
      </c>
      <c r="M565" s="10" t="inlineStr">
        <is>
          <t>114</t>
        </is>
      </c>
      <c r="N565" s="16" t="n">
        <v>26.02</v>
      </c>
      <c r="O565" s="16" t="n">
        <v>110.809</v>
      </c>
      <c r="P565" s="10" t="inlineStr">
        <is>
          <t>114</t>
        </is>
      </c>
      <c r="Q565" s="16" t="n">
        <v>0.2816</v>
      </c>
      <c r="R565" s="10">
        <f>MAX(MAX(1.4/'Parametros'!$B$3,0.25*SQRT('Parametros'!$B$2)/'Parametros'!$B$3)*H565*U565,(0.85*'Parametros'!$B$2/'Parametros'!$B$3)*(1-SQRT(1-2*(J565*1000000/('Parametros'!$B$5*H565*U565^2))/(0.85*'Parametros'!$B$2)))*H565*U565)</f>
        <v>399.641666666667</v>
      </c>
      <c r="S565" s="17" t="n">
        <v>3</v>
      </c>
      <c r="T565" s="18" t="n">
        <v>1</v>
      </c>
      <c r="U565" s="10">
        <f>IF(T565=1,I565-('Parametros'!$B$7+'Parametros'!$B$9+'Parametros'!$B$12/2),I565-(ROUNDUP(S565/2,0)*('Parametros'!$B$7+'Parametros'!$B$9+'Parametros'!$B$12/2)+ROUNDDOWN(S565/2,0)*('Parametros'!$B$7+'Parametros'!$B$9+'Parametros'!$B$12/2+'Parametros'!$B$12+'Parametros'!$B$10))/S565)</f>
        <v>342.55</v>
      </c>
      <c r="V565" s="10">
        <f>S565*'Parametros'!$B$8</f>
        <v>597</v>
      </c>
      <c r="W565" s="10">
        <f>'Parametros'!$B$5*V565*'Parametros'!$B$3*(U565-(V565*'Parametros'!$B$3/(0.85*'Parametros'!$B$2*H565))/2)/1000000</f>
        <v>73.905520182353</v>
      </c>
      <c r="X565" s="10" t="str">
        <f>IF(W565&gt;=J565,"CUMPLE","NO CUMPLE")</f>
        <v>CUMPLE</v>
      </c>
      <c r="Y565" s="10">
        <f>MAX(MAX(1.4/'Parametros'!$B$3,0.25*SQRT('Parametros'!$B$2)/'Parametros'!$B$3)*H565*AB565,(0.85*'Parametros'!$B$2/'Parametros'!$B$3)*(1-SQRT(1-2*(L565*1000000/('Parametros'!$B$5*H565*AB565^2))/(0.85*'Parametros'!$B$2)))*H565*AB565)</f>
        <v>399.641666666667</v>
      </c>
      <c r="Z565" s="17" t="n">
        <v>3</v>
      </c>
      <c r="AA565" s="18" t="n">
        <v>1</v>
      </c>
      <c r="AB565" s="10">
        <f>IF(AA565=1,I565-('Parametros'!$B$7+'Parametros'!$B$9+'Parametros'!$B$12/2),I565-(ROUNDUP(Z565/2,0)*('Parametros'!$B$7+'Parametros'!$B$9+'Parametros'!$B$12/2)+ROUNDDOWN(Z565/2,0)*('Parametros'!$B$7+'Parametros'!$B$9+'Parametros'!$B$12/2+'Parametros'!$B$12+'Parametros'!$B$10))/Z565)</f>
        <v>342.55</v>
      </c>
      <c r="AC565" s="10">
        <f>Z565*'Parametros'!$B$8</f>
        <v>597</v>
      </c>
      <c r="AD565" s="10">
        <f>'Parametros'!$B$5*AC565*'Parametros'!$B$3*(AB565-(AC565*'Parametros'!$B$3/(0.85*'Parametros'!$B$2*H565))/2)/1000000</f>
        <v>73.905520182353</v>
      </c>
      <c r="AE565" s="10" t="str">
        <f>IF(AD565&gt;=L565,"CUMPLE","NO CUMPLE")</f>
        <v>CUMPLE</v>
      </c>
      <c r="AF565" s="10">
        <f>V565*1.25*'Parametros'!$B$3*(U565-(V565*1.25*'Parametros'!$B$3/(0.85*'Parametros'!$B$2*H565))/2)/1000000</f>
        <v>101.467261323529</v>
      </c>
      <c r="AG565" s="10">
        <f>AC565*1.25*'Parametros'!$B$3*(AB565-(AC565*1.25*'Parametros'!$B$3/(0.85*'Parametros'!$B$2*H565))/2)/1000000</f>
        <v>101.467261323529</v>
      </c>
      <c r="AH565" s="10">
        <f>N565+(AF565+AG565)/D565</f>
        <v>104.071739479638</v>
      </c>
      <c r="AI565" s="10">
        <f>MIN(O565,MAX(N565,AH565))</f>
        <v>104.071739479638</v>
      </c>
      <c r="AJ565" s="10">
        <f>0.17*SQRT('Parametros'!$B$2)*H565*MIN(U565,AB565)/1000</f>
        <v>107.849951281016</v>
      </c>
      <c r="AK565" s="10">
        <f>MAX(AI565/'Parametros'!$B$6-AJ565,0)</f>
        <v>30.9123680251681</v>
      </c>
      <c r="AL565" s="10">
        <f>0.66*SQRT('Parametros'!$B$2)*H565*MIN(U565,AB565)/1000</f>
        <v>418.711575561591</v>
      </c>
      <c r="AM565" s="10" t="str">
        <f>IF(AK565&lt;=AL565,"CUMPLE","NO CUMPLE")</f>
        <v>CUMPLE</v>
      </c>
      <c r="AN565" s="15" t="inlineStr">
        <is>
          <t>Nº3 cerrado</t>
        </is>
      </c>
      <c r="AO565" s="17" t="n">
        <v>2</v>
      </c>
      <c r="AP565" s="10">
        <f>ROUNDDOWN(MIN(IF(AK565=0,1000000000,AO565*'Parametros'!$B$11*'Parametros'!$B$4*MIN(U565,AB565)/(AK565*1000)),IF(AV565=0,1000000000,'Parametros'!$B$11/AV565),MIN(U565,AB565)/4,8*'Parametros'!$B$12,24*'Parametros'!$B$9,300)/10,0)*10</f>
        <v>80</v>
      </c>
      <c r="AQ565" s="10">
        <f>ROUNDDOWN(MIN(IF(AK565=0,1000000000,AO565*'Parametros'!$B$11*'Parametros'!$B$4*MIN(U565,AB565)/(AK565*1000)),IF(AV565=0,1000000000,'Parametros'!$B$11/AV565),MIN(U565,AB565)/2,600)/10,0)*10</f>
        <v>170</v>
      </c>
      <c r="AR565" s="10">
        <f>'Parametros'!$B$6*(AJ565+AO565*'Parametros'!$B$11*'Parametros'!$B$4*MIN(U565,AB565)/AP565/1000)</f>
        <v>272.415732210762</v>
      </c>
      <c r="AS565" s="10" t="str">
        <f>IF(AND(AM565="CUMPLE",AR565&gt;=AI565),"CUMPLE","NO CUMPLE")</f>
        <v>CUMPLE</v>
      </c>
      <c r="AT565" s="10">
        <f>'Parametros'!$B$6*0.083*SQRT('Parametros'!$B$2)*(H565*I565)^2/(2*(H565+I565))/1000000</f>
        <v>4.30410823283988</v>
      </c>
      <c r="AU565" s="10" t="str">
        <f>IF(Q565&lt;=AT565,"DESPRECIABLE","DISEÑAR")</f>
        <v>DESPRECIABLE</v>
      </c>
      <c r="AV565" s="10">
        <f>IF(Q565&lt;=AT565,0,Q565*1000000/('Parametros'!$B$6*2*0.85*(H565-2*'Parametros'!$B$7)*(I565-2*'Parametros'!$B$7)*'Parametros'!$B$4))</f>
        <v>0</v>
      </c>
      <c r="AW565" s="10">
        <f>AV565*2*((H565-2*'Parametros'!$B$7)+(I565-2*'Parametros'!$B$7))*'Parametros'!$B$4/'Parametros'!$B$3</f>
        <v>0</v>
      </c>
      <c r="AX565" s="17" t="n">
        <v>0</v>
      </c>
      <c r="AY565" s="10" t="str">
        <f>IF(AV565=0,"DESPRECIABLE",IF('Parametros'!$B$11/AP565&gt;=AV565,"CUMPLE","NO CUMPLE"))</f>
        <v>DESPRECIABLE</v>
      </c>
      <c r="AZ565" s="10" t="str">
        <f>IF(AND(X565="CUMPLE",AE565="CUMPLE",AS565="CUMPLE",OR(AY565="CUMPLE",AY565="DESPRECIABLE")),IF(OR(F565&lt;&gt;H565,G565&lt;&gt;I565),"CUMPLE - REANALIZAR SAP","CUMPLE"),"NO CUMPLE")</f>
        <v>CUMPLE</v>
      </c>
    </row>
    <row r="566">
      <c r="A566" s="29" t="inlineStr">
        <is>
          <t>VRAUX</t>
        </is>
      </c>
      <c r="B566" s="29" t="inlineStr">
        <is>
          <t>115</t>
        </is>
      </c>
      <c r="C566" s="10" t="n">
        <v>1</v>
      </c>
      <c r="D566" s="10" t="n">
        <v>2.6</v>
      </c>
      <c r="E566" s="10" t="n">
        <v>2.6</v>
      </c>
      <c r="F566" s="10" t="n">
        <v>350</v>
      </c>
      <c r="G566" s="10" t="n">
        <v>400</v>
      </c>
      <c r="H566" s="15" t="n">
        <v>350</v>
      </c>
      <c r="I566" s="15" t="n">
        <v>400</v>
      </c>
      <c r="J566" s="16" t="n">
        <v>29.3031</v>
      </c>
      <c r="K566" s="10" t="inlineStr">
        <is>
          <t>115</t>
        </is>
      </c>
      <c r="L566" s="16" t="n">
        <v>27.0766</v>
      </c>
      <c r="M566" s="10" t="inlineStr">
        <is>
          <t>115</t>
        </is>
      </c>
      <c r="N566" s="16" t="n">
        <v>26.004</v>
      </c>
      <c r="O566" s="16" t="n">
        <v>110.792</v>
      </c>
      <c r="P566" s="10" t="inlineStr">
        <is>
          <t>115</t>
        </is>
      </c>
      <c r="Q566" s="16" t="n">
        <v>0.2836</v>
      </c>
      <c r="R566" s="10">
        <f>MAX(MAX(1.4/'Parametros'!$B$3,0.25*SQRT('Parametros'!$B$2)/'Parametros'!$B$3)*H566*U566,(0.85*'Parametros'!$B$2/'Parametros'!$B$3)*(1-SQRT(1-2*(J566*1000000/('Parametros'!$B$5*H566*U566^2))/(0.85*'Parametros'!$B$2)))*H566*U566)</f>
        <v>399.641666666667</v>
      </c>
      <c r="S566" s="17" t="n">
        <v>3</v>
      </c>
      <c r="T566" s="18" t="n">
        <v>1</v>
      </c>
      <c r="U566" s="10">
        <f>IF(T566=1,I566-('Parametros'!$B$7+'Parametros'!$B$9+'Parametros'!$B$12/2),I566-(ROUNDUP(S566/2,0)*('Parametros'!$B$7+'Parametros'!$B$9+'Parametros'!$B$12/2)+ROUNDDOWN(S566/2,0)*('Parametros'!$B$7+'Parametros'!$B$9+'Parametros'!$B$12/2+'Parametros'!$B$12+'Parametros'!$B$10))/S566)</f>
        <v>342.55</v>
      </c>
      <c r="V566" s="10">
        <f>S566*'Parametros'!$B$8</f>
        <v>597</v>
      </c>
      <c r="W566" s="10">
        <f>'Parametros'!$B$5*V566*'Parametros'!$B$3*(U566-(V566*'Parametros'!$B$3/(0.85*'Parametros'!$B$2*H566))/2)/1000000</f>
        <v>73.905520182353</v>
      </c>
      <c r="X566" s="10" t="str">
        <f>IF(W566&gt;=J566,"CUMPLE","NO CUMPLE")</f>
        <v>CUMPLE</v>
      </c>
      <c r="Y566" s="10">
        <f>MAX(MAX(1.4/'Parametros'!$B$3,0.25*SQRT('Parametros'!$B$2)/'Parametros'!$B$3)*H566*AB566,(0.85*'Parametros'!$B$2/'Parametros'!$B$3)*(1-SQRT(1-2*(L566*1000000/('Parametros'!$B$5*H566*AB566^2))/(0.85*'Parametros'!$B$2)))*H566*AB566)</f>
        <v>399.641666666667</v>
      </c>
      <c r="Z566" s="17" t="n">
        <v>3</v>
      </c>
      <c r="AA566" s="18" t="n">
        <v>1</v>
      </c>
      <c r="AB566" s="10">
        <f>IF(AA566=1,I566-('Parametros'!$B$7+'Parametros'!$B$9+'Parametros'!$B$12/2),I566-(ROUNDUP(Z566/2,0)*('Parametros'!$B$7+'Parametros'!$B$9+'Parametros'!$B$12/2)+ROUNDDOWN(Z566/2,0)*('Parametros'!$B$7+'Parametros'!$B$9+'Parametros'!$B$12/2+'Parametros'!$B$12+'Parametros'!$B$10))/Z566)</f>
        <v>342.55</v>
      </c>
      <c r="AC566" s="10">
        <f>Z566*'Parametros'!$B$8</f>
        <v>597</v>
      </c>
      <c r="AD566" s="10">
        <f>'Parametros'!$B$5*AC566*'Parametros'!$B$3*(AB566-(AC566*'Parametros'!$B$3/(0.85*'Parametros'!$B$2*H566))/2)/1000000</f>
        <v>73.905520182353</v>
      </c>
      <c r="AE566" s="10" t="str">
        <f>IF(AD566&gt;=L566,"CUMPLE","NO CUMPLE")</f>
        <v>CUMPLE</v>
      </c>
      <c r="AF566" s="10">
        <f>V566*1.25*'Parametros'!$B$3*(U566-(V566*1.25*'Parametros'!$B$3/(0.85*'Parametros'!$B$2*H566))/2)/1000000</f>
        <v>101.467261323529</v>
      </c>
      <c r="AG566" s="10">
        <f>AC566*1.25*'Parametros'!$B$3*(AB566-(AC566*1.25*'Parametros'!$B$3/(0.85*'Parametros'!$B$2*H566))/2)/1000000</f>
        <v>101.467261323529</v>
      </c>
      <c r="AH566" s="10">
        <f>N566+(AF566+AG566)/D566</f>
        <v>104.055739479638</v>
      </c>
      <c r="AI566" s="10">
        <f>MIN(O566,MAX(N566,AH566))</f>
        <v>104.055739479638</v>
      </c>
      <c r="AJ566" s="10">
        <f>0.17*SQRT('Parametros'!$B$2)*H566*MIN(U566,AB566)/1000</f>
        <v>107.849951281016</v>
      </c>
      <c r="AK566" s="10">
        <f>MAX(AI566/'Parametros'!$B$6-AJ566,0)</f>
        <v>30.8910346918348</v>
      </c>
      <c r="AL566" s="10">
        <f>0.66*SQRT('Parametros'!$B$2)*H566*MIN(U566,AB566)/1000</f>
        <v>418.711575561591</v>
      </c>
      <c r="AM566" s="10" t="str">
        <f>IF(AK566&lt;=AL566,"CUMPLE","NO CUMPLE")</f>
        <v>CUMPLE</v>
      </c>
      <c r="AN566" s="15" t="inlineStr">
        <is>
          <t>Nº3 cerrado</t>
        </is>
      </c>
      <c r="AO566" s="17" t="n">
        <v>2</v>
      </c>
      <c r="AP566" s="10">
        <f>ROUNDDOWN(MIN(IF(AK566=0,1000000000,AO566*'Parametros'!$B$11*'Parametros'!$B$4*MIN(U566,AB566)/(AK566*1000)),IF(AV566=0,1000000000,'Parametros'!$B$11/AV566),MIN(U566,AB566)/4,8*'Parametros'!$B$12,24*'Parametros'!$B$9,300)/10,0)*10</f>
        <v>80</v>
      </c>
      <c r="AQ566" s="10">
        <f>ROUNDDOWN(MIN(IF(AK566=0,1000000000,AO566*'Parametros'!$B$11*'Parametros'!$B$4*MIN(U566,AB566)/(AK566*1000)),IF(AV566=0,1000000000,'Parametros'!$B$11/AV566),MIN(U566,AB566)/2,600)/10,0)*10</f>
        <v>170</v>
      </c>
      <c r="AR566" s="10">
        <f>'Parametros'!$B$6*(AJ566+AO566*'Parametros'!$B$11*'Parametros'!$B$4*MIN(U566,AB566)/AP566/1000)</f>
        <v>272.415732210762</v>
      </c>
      <c r="AS566" s="10" t="str">
        <f>IF(AND(AM566="CUMPLE",AR566&gt;=AI566),"CUMPLE","NO CUMPLE")</f>
        <v>CUMPLE</v>
      </c>
      <c r="AT566" s="10">
        <f>'Parametros'!$B$6*0.083*SQRT('Parametros'!$B$2)*(H566*I566)^2/(2*(H566+I566))/1000000</f>
        <v>4.30410823283988</v>
      </c>
      <c r="AU566" s="10" t="str">
        <f>IF(Q566&lt;=AT566,"DESPRECIABLE","DISEÑAR")</f>
        <v>DESPRECIABLE</v>
      </c>
      <c r="AV566" s="10">
        <f>IF(Q566&lt;=AT566,0,Q566*1000000/('Parametros'!$B$6*2*0.85*(H566-2*'Parametros'!$B$7)*(I566-2*'Parametros'!$B$7)*'Parametros'!$B$4))</f>
        <v>0</v>
      </c>
      <c r="AW566" s="10">
        <f>AV566*2*((H566-2*'Parametros'!$B$7)+(I566-2*'Parametros'!$B$7))*'Parametros'!$B$4/'Parametros'!$B$3</f>
        <v>0</v>
      </c>
      <c r="AX566" s="17" t="n">
        <v>0</v>
      </c>
      <c r="AY566" s="10" t="str">
        <f>IF(AV566=0,"DESPRECIABLE",IF('Parametros'!$B$11/AP566&gt;=AV566,"CUMPLE","NO CUMPLE"))</f>
        <v>DESPRECIABLE</v>
      </c>
      <c r="AZ566" s="10" t="str">
        <f>IF(AND(X566="CUMPLE",AE566="CUMPLE",AS566="CUMPLE",OR(AY566="CUMPLE",AY566="DESPRECIABLE")),IF(OR(F566&lt;&gt;H566,G566&lt;&gt;I566),"CUMPLE - REANALIZAR SAP","CUMPLE"),"NO CUMPLE")</f>
        <v>CUMPLE</v>
      </c>
    </row>
    <row r="567">
      <c r="A567" s="29" t="inlineStr">
        <is>
          <t>VRAUX</t>
        </is>
      </c>
      <c r="B567" s="29" t="inlineStr">
        <is>
          <t>116</t>
        </is>
      </c>
      <c r="C567" s="10" t="n">
        <v>1</v>
      </c>
      <c r="D567" s="10" t="n">
        <v>2.6</v>
      </c>
      <c r="E567" s="10" t="n">
        <v>2.6</v>
      </c>
      <c r="F567" s="10" t="n">
        <v>350</v>
      </c>
      <c r="G567" s="10" t="n">
        <v>400</v>
      </c>
      <c r="H567" s="15" t="n">
        <v>350</v>
      </c>
      <c r="I567" s="15" t="n">
        <v>400</v>
      </c>
      <c r="J567" s="16" t="n">
        <v>29.3026</v>
      </c>
      <c r="K567" s="10" t="inlineStr">
        <is>
          <t>116</t>
        </is>
      </c>
      <c r="L567" s="16" t="n">
        <v>27.0763</v>
      </c>
      <c r="M567" s="10" t="inlineStr">
        <is>
          <t>116</t>
        </is>
      </c>
      <c r="N567" s="16" t="n">
        <v>26.004</v>
      </c>
      <c r="O567" s="16" t="n">
        <v>110.793</v>
      </c>
      <c r="P567" s="10" t="inlineStr">
        <is>
          <t>116</t>
        </is>
      </c>
      <c r="Q567" s="16" t="n">
        <v>0.2854</v>
      </c>
      <c r="R567" s="10">
        <f>MAX(MAX(1.4/'Parametros'!$B$3,0.25*SQRT('Parametros'!$B$2)/'Parametros'!$B$3)*H567*U567,(0.85*'Parametros'!$B$2/'Parametros'!$B$3)*(1-SQRT(1-2*(J567*1000000/('Parametros'!$B$5*H567*U567^2))/(0.85*'Parametros'!$B$2)))*H567*U567)</f>
        <v>399.641666666667</v>
      </c>
      <c r="S567" s="17" t="n">
        <v>3</v>
      </c>
      <c r="T567" s="18" t="n">
        <v>1</v>
      </c>
      <c r="U567" s="10">
        <f>IF(T567=1,I567-('Parametros'!$B$7+'Parametros'!$B$9+'Parametros'!$B$12/2),I567-(ROUNDUP(S567/2,0)*('Parametros'!$B$7+'Parametros'!$B$9+'Parametros'!$B$12/2)+ROUNDDOWN(S567/2,0)*('Parametros'!$B$7+'Parametros'!$B$9+'Parametros'!$B$12/2+'Parametros'!$B$12+'Parametros'!$B$10))/S567)</f>
        <v>342.55</v>
      </c>
      <c r="V567" s="10">
        <f>S567*'Parametros'!$B$8</f>
        <v>597</v>
      </c>
      <c r="W567" s="10">
        <f>'Parametros'!$B$5*V567*'Parametros'!$B$3*(U567-(V567*'Parametros'!$B$3/(0.85*'Parametros'!$B$2*H567))/2)/1000000</f>
        <v>73.905520182353</v>
      </c>
      <c r="X567" s="10" t="str">
        <f>IF(W567&gt;=J567,"CUMPLE","NO CUMPLE")</f>
        <v>CUMPLE</v>
      </c>
      <c r="Y567" s="10">
        <f>MAX(MAX(1.4/'Parametros'!$B$3,0.25*SQRT('Parametros'!$B$2)/'Parametros'!$B$3)*H567*AB567,(0.85*'Parametros'!$B$2/'Parametros'!$B$3)*(1-SQRT(1-2*(L567*1000000/('Parametros'!$B$5*H567*AB567^2))/(0.85*'Parametros'!$B$2)))*H567*AB567)</f>
        <v>399.641666666667</v>
      </c>
      <c r="Z567" s="17" t="n">
        <v>3</v>
      </c>
      <c r="AA567" s="18" t="n">
        <v>1</v>
      </c>
      <c r="AB567" s="10">
        <f>IF(AA567=1,I567-('Parametros'!$B$7+'Parametros'!$B$9+'Parametros'!$B$12/2),I567-(ROUNDUP(Z567/2,0)*('Parametros'!$B$7+'Parametros'!$B$9+'Parametros'!$B$12/2)+ROUNDDOWN(Z567/2,0)*('Parametros'!$B$7+'Parametros'!$B$9+'Parametros'!$B$12/2+'Parametros'!$B$12+'Parametros'!$B$10))/Z567)</f>
        <v>342.55</v>
      </c>
      <c r="AC567" s="10">
        <f>Z567*'Parametros'!$B$8</f>
        <v>597</v>
      </c>
      <c r="AD567" s="10">
        <f>'Parametros'!$B$5*AC567*'Parametros'!$B$3*(AB567-(AC567*'Parametros'!$B$3/(0.85*'Parametros'!$B$2*H567))/2)/1000000</f>
        <v>73.905520182353</v>
      </c>
      <c r="AE567" s="10" t="str">
        <f>IF(AD567&gt;=L567,"CUMPLE","NO CUMPLE")</f>
        <v>CUMPLE</v>
      </c>
      <c r="AF567" s="10">
        <f>V567*1.25*'Parametros'!$B$3*(U567-(V567*1.25*'Parametros'!$B$3/(0.85*'Parametros'!$B$2*H567))/2)/1000000</f>
        <v>101.467261323529</v>
      </c>
      <c r="AG567" s="10">
        <f>AC567*1.25*'Parametros'!$B$3*(AB567-(AC567*1.25*'Parametros'!$B$3/(0.85*'Parametros'!$B$2*H567))/2)/1000000</f>
        <v>101.467261323529</v>
      </c>
      <c r="AH567" s="10">
        <f>N567+(AF567+AG567)/D567</f>
        <v>104.055739479638</v>
      </c>
      <c r="AI567" s="10">
        <f>MIN(O567,MAX(N567,AH567))</f>
        <v>104.055739479638</v>
      </c>
      <c r="AJ567" s="10">
        <f>0.17*SQRT('Parametros'!$B$2)*H567*MIN(U567,AB567)/1000</f>
        <v>107.849951281016</v>
      </c>
      <c r="AK567" s="10">
        <f>MAX(AI567/'Parametros'!$B$6-AJ567,0)</f>
        <v>30.8910346918348</v>
      </c>
      <c r="AL567" s="10">
        <f>0.66*SQRT('Parametros'!$B$2)*H567*MIN(U567,AB567)/1000</f>
        <v>418.711575561591</v>
      </c>
      <c r="AM567" s="10" t="str">
        <f>IF(AK567&lt;=AL567,"CUMPLE","NO CUMPLE")</f>
        <v>CUMPLE</v>
      </c>
      <c r="AN567" s="15" t="inlineStr">
        <is>
          <t>Nº3 cerrado</t>
        </is>
      </c>
      <c r="AO567" s="17" t="n">
        <v>2</v>
      </c>
      <c r="AP567" s="10">
        <f>ROUNDDOWN(MIN(IF(AK567=0,1000000000,AO567*'Parametros'!$B$11*'Parametros'!$B$4*MIN(U567,AB567)/(AK567*1000)),IF(AV567=0,1000000000,'Parametros'!$B$11/AV567),MIN(U567,AB567)/4,8*'Parametros'!$B$12,24*'Parametros'!$B$9,300)/10,0)*10</f>
        <v>80</v>
      </c>
      <c r="AQ567" s="10">
        <f>ROUNDDOWN(MIN(IF(AK567=0,1000000000,AO567*'Parametros'!$B$11*'Parametros'!$B$4*MIN(U567,AB567)/(AK567*1000)),IF(AV567=0,1000000000,'Parametros'!$B$11/AV567),MIN(U567,AB567)/2,600)/10,0)*10</f>
        <v>170</v>
      </c>
      <c r="AR567" s="10">
        <f>'Parametros'!$B$6*(AJ567+AO567*'Parametros'!$B$11*'Parametros'!$B$4*MIN(U567,AB567)/AP567/1000)</f>
        <v>272.415732210762</v>
      </c>
      <c r="AS567" s="10" t="str">
        <f>IF(AND(AM567="CUMPLE",AR567&gt;=AI567),"CUMPLE","NO CUMPLE")</f>
        <v>CUMPLE</v>
      </c>
      <c r="AT567" s="10">
        <f>'Parametros'!$B$6*0.083*SQRT('Parametros'!$B$2)*(H567*I567)^2/(2*(H567+I567))/1000000</f>
        <v>4.30410823283988</v>
      </c>
      <c r="AU567" s="10" t="str">
        <f>IF(Q567&lt;=AT567,"DESPRECIABLE","DISEÑAR")</f>
        <v>DESPRECIABLE</v>
      </c>
      <c r="AV567" s="10">
        <f>IF(Q567&lt;=AT567,0,Q567*1000000/('Parametros'!$B$6*2*0.85*(H567-2*'Parametros'!$B$7)*(I567-2*'Parametros'!$B$7)*'Parametros'!$B$4))</f>
        <v>0</v>
      </c>
      <c r="AW567" s="10">
        <f>AV567*2*((H567-2*'Parametros'!$B$7)+(I567-2*'Parametros'!$B$7))*'Parametros'!$B$4/'Parametros'!$B$3</f>
        <v>0</v>
      </c>
      <c r="AX567" s="17" t="n">
        <v>0</v>
      </c>
      <c r="AY567" s="10" t="str">
        <f>IF(AV567=0,"DESPRECIABLE",IF('Parametros'!$B$11/AP567&gt;=AV567,"CUMPLE","NO CUMPLE"))</f>
        <v>DESPRECIABLE</v>
      </c>
      <c r="AZ567" s="10" t="str">
        <f>IF(AND(X567="CUMPLE",AE567="CUMPLE",AS567="CUMPLE",OR(AY567="CUMPLE",AY567="DESPRECIABLE")),IF(OR(F567&lt;&gt;H567,G567&lt;&gt;I567),"CUMPLE - REANALIZAR SAP","CUMPLE"),"NO CUMPLE")</f>
        <v>CUMPLE</v>
      </c>
    </row>
    <row r="568">
      <c r="A568" s="29" t="inlineStr">
        <is>
          <t>VRAUX</t>
        </is>
      </c>
      <c r="B568" s="29" t="inlineStr">
        <is>
          <t>117</t>
        </is>
      </c>
      <c r="C568" s="10" t="n">
        <v>1</v>
      </c>
      <c r="D568" s="10" t="n">
        <v>2.5</v>
      </c>
      <c r="E568" s="10" t="n">
        <v>2.5</v>
      </c>
      <c r="F568" s="10" t="n">
        <v>350</v>
      </c>
      <c r="G568" s="10" t="n">
        <v>400</v>
      </c>
      <c r="H568" s="15" t="n">
        <v>350</v>
      </c>
      <c r="I568" s="15" t="n">
        <v>400</v>
      </c>
      <c r="J568" s="16" t="n">
        <v>32.8</v>
      </c>
      <c r="K568" s="10" t="inlineStr">
        <is>
          <t>117</t>
        </is>
      </c>
      <c r="L568" s="16" t="n">
        <v>30.3044</v>
      </c>
      <c r="M568" s="10" t="inlineStr">
        <is>
          <t>117</t>
        </is>
      </c>
      <c r="N568" s="16" t="n">
        <v>28.048</v>
      </c>
      <c r="O568" s="16" t="n">
        <v>110.23</v>
      </c>
      <c r="P568" s="10" t="inlineStr">
        <is>
          <t>117</t>
        </is>
      </c>
      <c r="Q568" s="16" t="n">
        <v>3.8701</v>
      </c>
      <c r="R568" s="10">
        <f>MAX(MAX(1.4/'Parametros'!$B$3,0.25*SQRT('Parametros'!$B$2)/'Parametros'!$B$3)*H568*U568,(0.85*'Parametros'!$B$2/'Parametros'!$B$3)*(1-SQRT(1-2*(J568*1000000/('Parametros'!$B$5*H568*U568^2))/(0.85*'Parametros'!$B$2)))*H568*U568)</f>
        <v>399.641666666667</v>
      </c>
      <c r="S568" s="17" t="n">
        <v>3</v>
      </c>
      <c r="T568" s="18" t="n">
        <v>1</v>
      </c>
      <c r="U568" s="10">
        <f>IF(T568=1,I568-('Parametros'!$B$7+'Parametros'!$B$9+'Parametros'!$B$12/2),I568-(ROUNDUP(S568/2,0)*('Parametros'!$B$7+'Parametros'!$B$9+'Parametros'!$B$12/2)+ROUNDDOWN(S568/2,0)*('Parametros'!$B$7+'Parametros'!$B$9+'Parametros'!$B$12/2+'Parametros'!$B$12+'Parametros'!$B$10))/S568)</f>
        <v>342.55</v>
      </c>
      <c r="V568" s="10">
        <f>S568*'Parametros'!$B$8</f>
        <v>597</v>
      </c>
      <c r="W568" s="10">
        <f>'Parametros'!$B$5*V568*'Parametros'!$B$3*(U568-(V568*'Parametros'!$B$3/(0.85*'Parametros'!$B$2*H568))/2)/1000000</f>
        <v>73.905520182353</v>
      </c>
      <c r="X568" s="10" t="str">
        <f>IF(W568&gt;=J568,"CUMPLE","NO CUMPLE")</f>
        <v>CUMPLE</v>
      </c>
      <c r="Y568" s="10">
        <f>MAX(MAX(1.4/'Parametros'!$B$3,0.25*SQRT('Parametros'!$B$2)/'Parametros'!$B$3)*H568*AB568,(0.85*'Parametros'!$B$2/'Parametros'!$B$3)*(1-SQRT(1-2*(L568*1000000/('Parametros'!$B$5*H568*AB568^2))/(0.85*'Parametros'!$B$2)))*H568*AB568)</f>
        <v>399.641666666667</v>
      </c>
      <c r="Z568" s="17" t="n">
        <v>3</v>
      </c>
      <c r="AA568" s="18" t="n">
        <v>1</v>
      </c>
      <c r="AB568" s="10">
        <f>IF(AA568=1,I568-('Parametros'!$B$7+'Parametros'!$B$9+'Parametros'!$B$12/2),I568-(ROUNDUP(Z568/2,0)*('Parametros'!$B$7+'Parametros'!$B$9+'Parametros'!$B$12/2)+ROUNDDOWN(Z568/2,0)*('Parametros'!$B$7+'Parametros'!$B$9+'Parametros'!$B$12/2+'Parametros'!$B$12+'Parametros'!$B$10))/Z568)</f>
        <v>342.55</v>
      </c>
      <c r="AC568" s="10">
        <f>Z568*'Parametros'!$B$8</f>
        <v>597</v>
      </c>
      <c r="AD568" s="10">
        <f>'Parametros'!$B$5*AC568*'Parametros'!$B$3*(AB568-(AC568*'Parametros'!$B$3/(0.85*'Parametros'!$B$2*H568))/2)/1000000</f>
        <v>73.905520182353</v>
      </c>
      <c r="AE568" s="10" t="str">
        <f>IF(AD568&gt;=L568,"CUMPLE","NO CUMPLE")</f>
        <v>CUMPLE</v>
      </c>
      <c r="AF568" s="10">
        <f>V568*1.25*'Parametros'!$B$3*(U568-(V568*1.25*'Parametros'!$B$3/(0.85*'Parametros'!$B$2*H568))/2)/1000000</f>
        <v>101.467261323529</v>
      </c>
      <c r="AG568" s="10">
        <f>AC568*1.25*'Parametros'!$B$3*(AB568-(AC568*1.25*'Parametros'!$B$3/(0.85*'Parametros'!$B$2*H568))/2)/1000000</f>
        <v>101.467261323529</v>
      </c>
      <c r="AH568" s="10">
        <f>N568+(AF568+AG568)/D568</f>
        <v>109.221809058824</v>
      </c>
      <c r="AI568" s="10">
        <f>MIN(O568,MAX(N568,AH568))</f>
        <v>109.221809058824</v>
      </c>
      <c r="AJ568" s="10">
        <f>0.17*SQRT('Parametros'!$B$2)*H568*MIN(U568,AB568)/1000</f>
        <v>107.849951281016</v>
      </c>
      <c r="AK568" s="10">
        <f>MAX(AI568/'Parametros'!$B$6-AJ568,0)</f>
        <v>37.7791274640821</v>
      </c>
      <c r="AL568" s="10">
        <f>0.66*SQRT('Parametros'!$B$2)*H568*MIN(U568,AB568)/1000</f>
        <v>418.711575561591</v>
      </c>
      <c r="AM568" s="10" t="str">
        <f>IF(AK568&lt;=AL568,"CUMPLE","NO CUMPLE")</f>
        <v>CUMPLE</v>
      </c>
      <c r="AN568" s="15" t="inlineStr">
        <is>
          <t>Nº3 cerrado</t>
        </is>
      </c>
      <c r="AO568" s="17" t="n">
        <v>2</v>
      </c>
      <c r="AP568" s="10">
        <f>ROUNDDOWN(MIN(IF(AK568=0,1000000000,AO568*'Parametros'!$B$11*'Parametros'!$B$4*MIN(U568,AB568)/(AK568*1000)),IF(AV568=0,1000000000,'Parametros'!$B$11/AV568),MIN(U568,AB568)/4,8*'Parametros'!$B$12,24*'Parametros'!$B$9,300)/10,0)*10</f>
        <v>80</v>
      </c>
      <c r="AQ568" s="10">
        <f>ROUNDDOWN(MIN(IF(AK568=0,1000000000,AO568*'Parametros'!$B$11*'Parametros'!$B$4*MIN(U568,AB568)/(AK568*1000)),IF(AV568=0,1000000000,'Parametros'!$B$11/AV568),MIN(U568,AB568)/2,600)/10,0)*10</f>
        <v>170</v>
      </c>
      <c r="AR568" s="10">
        <f>'Parametros'!$B$6*(AJ568+AO568*'Parametros'!$B$11*'Parametros'!$B$4*MIN(U568,AB568)/AP568/1000)</f>
        <v>272.415732210762</v>
      </c>
      <c r="AS568" s="10" t="str">
        <f>IF(AND(AM568="CUMPLE",AR568&gt;=AI568),"CUMPLE","NO CUMPLE")</f>
        <v>CUMPLE</v>
      </c>
      <c r="AT568" s="10">
        <f>'Parametros'!$B$6*0.083*SQRT('Parametros'!$B$2)*(H568*I568)^2/(2*(H568+I568))/1000000</f>
        <v>4.30410823283988</v>
      </c>
      <c r="AU568" s="10" t="str">
        <f>IF(Q568&lt;=AT568,"DESPRECIABLE","DISEÑAR")</f>
        <v>DESPRECIABLE</v>
      </c>
      <c r="AV568" s="10">
        <f>IF(Q568&lt;=AT568,0,Q568*1000000/('Parametros'!$B$6*2*0.85*(H568-2*'Parametros'!$B$7)*(I568-2*'Parametros'!$B$7)*'Parametros'!$B$4))</f>
        <v>0</v>
      </c>
      <c r="AW568" s="10">
        <f>AV568*2*((H568-2*'Parametros'!$B$7)+(I568-2*'Parametros'!$B$7))*'Parametros'!$B$4/'Parametros'!$B$3</f>
        <v>0</v>
      </c>
      <c r="AX568" s="17" t="n">
        <v>0</v>
      </c>
      <c r="AY568" s="10" t="str">
        <f>IF(AV568=0,"DESPRECIABLE",IF('Parametros'!$B$11/AP568&gt;=AV568,"CUMPLE","NO CUMPLE"))</f>
        <v>DESPRECIABLE</v>
      </c>
      <c r="AZ568" s="10" t="str">
        <f>IF(AND(X568="CUMPLE",AE568="CUMPLE",AS568="CUMPLE",OR(AY568="CUMPLE",AY568="DESPRECIABLE")),IF(OR(F568&lt;&gt;H568,G568&lt;&gt;I568),"CUMPLE - REANALIZAR SAP","CUMPLE"),"NO CUMPLE")</f>
        <v>CUMPLE</v>
      </c>
    </row>
    <row r="569">
      <c r="A569" s="29" t="inlineStr">
        <is>
          <t>VRAUX</t>
        </is>
      </c>
      <c r="B569" s="29" t="inlineStr">
        <is>
          <t>118</t>
        </is>
      </c>
      <c r="C569" s="10" t="n">
        <v>1</v>
      </c>
      <c r="D569" s="10" t="n">
        <v>2.5</v>
      </c>
      <c r="E569" s="10" t="n">
        <v>2.5</v>
      </c>
      <c r="F569" s="10" t="n">
        <v>350</v>
      </c>
      <c r="G569" s="10" t="n">
        <v>400</v>
      </c>
      <c r="H569" s="15" t="n">
        <v>350</v>
      </c>
      <c r="I569" s="15" t="n">
        <v>400</v>
      </c>
      <c r="J569" s="16" t="n">
        <v>32.8097</v>
      </c>
      <c r="K569" s="10" t="inlineStr">
        <is>
          <t>118</t>
        </is>
      </c>
      <c r="L569" s="16" t="n">
        <v>30.2979</v>
      </c>
      <c r="M569" s="10" t="inlineStr">
        <is>
          <t>118</t>
        </is>
      </c>
      <c r="N569" s="16" t="n">
        <v>28.007</v>
      </c>
      <c r="O569" s="16" t="n">
        <v>110.184</v>
      </c>
      <c r="P569" s="10" t="inlineStr">
        <is>
          <t>118</t>
        </is>
      </c>
      <c r="Q569" s="16" t="n">
        <v>3.8622</v>
      </c>
      <c r="R569" s="10">
        <f>MAX(MAX(1.4/'Parametros'!$B$3,0.25*SQRT('Parametros'!$B$2)/'Parametros'!$B$3)*H569*U569,(0.85*'Parametros'!$B$2/'Parametros'!$B$3)*(1-SQRT(1-2*(J569*1000000/('Parametros'!$B$5*H569*U569^2))/(0.85*'Parametros'!$B$2)))*H569*U569)</f>
        <v>399.641666666667</v>
      </c>
      <c r="S569" s="17" t="n">
        <v>3</v>
      </c>
      <c r="T569" s="18" t="n">
        <v>1</v>
      </c>
      <c r="U569" s="10">
        <f>IF(T569=1,I569-('Parametros'!$B$7+'Parametros'!$B$9+'Parametros'!$B$12/2),I569-(ROUNDUP(S569/2,0)*('Parametros'!$B$7+'Parametros'!$B$9+'Parametros'!$B$12/2)+ROUNDDOWN(S569/2,0)*('Parametros'!$B$7+'Parametros'!$B$9+'Parametros'!$B$12/2+'Parametros'!$B$12+'Parametros'!$B$10))/S569)</f>
        <v>342.55</v>
      </c>
      <c r="V569" s="10">
        <f>S569*'Parametros'!$B$8</f>
        <v>597</v>
      </c>
      <c r="W569" s="10">
        <f>'Parametros'!$B$5*V569*'Parametros'!$B$3*(U569-(V569*'Parametros'!$B$3/(0.85*'Parametros'!$B$2*H569))/2)/1000000</f>
        <v>73.905520182353</v>
      </c>
      <c r="X569" s="10" t="str">
        <f>IF(W569&gt;=J569,"CUMPLE","NO CUMPLE")</f>
        <v>CUMPLE</v>
      </c>
      <c r="Y569" s="10">
        <f>MAX(MAX(1.4/'Parametros'!$B$3,0.25*SQRT('Parametros'!$B$2)/'Parametros'!$B$3)*H569*AB569,(0.85*'Parametros'!$B$2/'Parametros'!$B$3)*(1-SQRT(1-2*(L569*1000000/('Parametros'!$B$5*H569*AB569^2))/(0.85*'Parametros'!$B$2)))*H569*AB569)</f>
        <v>399.641666666667</v>
      </c>
      <c r="Z569" s="17" t="n">
        <v>3</v>
      </c>
      <c r="AA569" s="18" t="n">
        <v>1</v>
      </c>
      <c r="AB569" s="10">
        <f>IF(AA569=1,I569-('Parametros'!$B$7+'Parametros'!$B$9+'Parametros'!$B$12/2),I569-(ROUNDUP(Z569/2,0)*('Parametros'!$B$7+'Parametros'!$B$9+'Parametros'!$B$12/2)+ROUNDDOWN(Z569/2,0)*('Parametros'!$B$7+'Parametros'!$B$9+'Parametros'!$B$12/2+'Parametros'!$B$12+'Parametros'!$B$10))/Z569)</f>
        <v>342.55</v>
      </c>
      <c r="AC569" s="10">
        <f>Z569*'Parametros'!$B$8</f>
        <v>597</v>
      </c>
      <c r="AD569" s="10">
        <f>'Parametros'!$B$5*AC569*'Parametros'!$B$3*(AB569-(AC569*'Parametros'!$B$3/(0.85*'Parametros'!$B$2*H569))/2)/1000000</f>
        <v>73.905520182353</v>
      </c>
      <c r="AE569" s="10" t="str">
        <f>IF(AD569&gt;=L569,"CUMPLE","NO CUMPLE")</f>
        <v>CUMPLE</v>
      </c>
      <c r="AF569" s="10">
        <f>V569*1.25*'Parametros'!$B$3*(U569-(V569*1.25*'Parametros'!$B$3/(0.85*'Parametros'!$B$2*H569))/2)/1000000</f>
        <v>101.467261323529</v>
      </c>
      <c r="AG569" s="10">
        <f>AC569*1.25*'Parametros'!$B$3*(AB569-(AC569*1.25*'Parametros'!$B$3/(0.85*'Parametros'!$B$2*H569))/2)/1000000</f>
        <v>101.467261323529</v>
      </c>
      <c r="AH569" s="10">
        <f>N569+(AF569+AG569)/D569</f>
        <v>109.180809058824</v>
      </c>
      <c r="AI569" s="10">
        <f>MIN(O569,MAX(N569,AH569))</f>
        <v>109.180809058824</v>
      </c>
      <c r="AJ569" s="10">
        <f>0.17*SQRT('Parametros'!$B$2)*H569*MIN(U569,AB569)/1000</f>
        <v>107.849951281016</v>
      </c>
      <c r="AK569" s="10">
        <f>MAX(AI569/'Parametros'!$B$6-AJ569,0)</f>
        <v>37.7244607974155</v>
      </c>
      <c r="AL569" s="10">
        <f>0.66*SQRT('Parametros'!$B$2)*H569*MIN(U569,AB569)/1000</f>
        <v>418.711575561591</v>
      </c>
      <c r="AM569" s="10" t="str">
        <f>IF(AK569&lt;=AL569,"CUMPLE","NO CUMPLE")</f>
        <v>CUMPLE</v>
      </c>
      <c r="AN569" s="15" t="inlineStr">
        <is>
          <t>Nº3 cerrado</t>
        </is>
      </c>
      <c r="AO569" s="17" t="n">
        <v>2</v>
      </c>
      <c r="AP569" s="10">
        <f>ROUNDDOWN(MIN(IF(AK569=0,1000000000,AO569*'Parametros'!$B$11*'Parametros'!$B$4*MIN(U569,AB569)/(AK569*1000)),IF(AV569=0,1000000000,'Parametros'!$B$11/AV569),MIN(U569,AB569)/4,8*'Parametros'!$B$12,24*'Parametros'!$B$9,300)/10,0)*10</f>
        <v>80</v>
      </c>
      <c r="AQ569" s="10">
        <f>ROUNDDOWN(MIN(IF(AK569=0,1000000000,AO569*'Parametros'!$B$11*'Parametros'!$B$4*MIN(U569,AB569)/(AK569*1000)),IF(AV569=0,1000000000,'Parametros'!$B$11/AV569),MIN(U569,AB569)/2,600)/10,0)*10</f>
        <v>170</v>
      </c>
      <c r="AR569" s="10">
        <f>'Parametros'!$B$6*(AJ569+AO569*'Parametros'!$B$11*'Parametros'!$B$4*MIN(U569,AB569)/AP569/1000)</f>
        <v>272.415732210762</v>
      </c>
      <c r="AS569" s="10" t="str">
        <f>IF(AND(AM569="CUMPLE",AR569&gt;=AI569),"CUMPLE","NO CUMPLE")</f>
        <v>CUMPLE</v>
      </c>
      <c r="AT569" s="10">
        <f>'Parametros'!$B$6*0.083*SQRT('Parametros'!$B$2)*(H569*I569)^2/(2*(H569+I569))/1000000</f>
        <v>4.30410823283988</v>
      </c>
      <c r="AU569" s="10" t="str">
        <f>IF(Q569&lt;=AT569,"DESPRECIABLE","DISEÑAR")</f>
        <v>DESPRECIABLE</v>
      </c>
      <c r="AV569" s="10">
        <f>IF(Q569&lt;=AT569,0,Q569*1000000/('Parametros'!$B$6*2*0.85*(H569-2*'Parametros'!$B$7)*(I569-2*'Parametros'!$B$7)*'Parametros'!$B$4))</f>
        <v>0</v>
      </c>
      <c r="AW569" s="10">
        <f>AV569*2*((H569-2*'Parametros'!$B$7)+(I569-2*'Parametros'!$B$7))*'Parametros'!$B$4/'Parametros'!$B$3</f>
        <v>0</v>
      </c>
      <c r="AX569" s="17" t="n">
        <v>0</v>
      </c>
      <c r="AY569" s="10" t="str">
        <f>IF(AV569=0,"DESPRECIABLE",IF('Parametros'!$B$11/AP569&gt;=AV569,"CUMPLE","NO CUMPLE"))</f>
        <v>DESPRECIABLE</v>
      </c>
      <c r="AZ569" s="10" t="str">
        <f>IF(AND(X569="CUMPLE",AE569="CUMPLE",AS569="CUMPLE",OR(AY569="CUMPLE",AY569="DESPRECIABLE")),IF(OR(F569&lt;&gt;H569,G569&lt;&gt;I569),"CUMPLE - REANALIZAR SAP","CUMPLE"),"NO CUMPLE")</f>
        <v>CUMPLE</v>
      </c>
    </row>
    <row r="570">
      <c r="A570" s="29" t="inlineStr">
        <is>
          <t>VRAUX</t>
        </is>
      </c>
      <c r="B570" s="29" t="inlineStr">
        <is>
          <t>119</t>
        </is>
      </c>
      <c r="C570" s="10" t="n">
        <v>1</v>
      </c>
      <c r="D570" s="10" t="n">
        <v>2.5</v>
      </c>
      <c r="E570" s="10" t="n">
        <v>2.5</v>
      </c>
      <c r="F570" s="10" t="n">
        <v>350</v>
      </c>
      <c r="G570" s="10" t="n">
        <v>400</v>
      </c>
      <c r="H570" s="15" t="n">
        <v>350</v>
      </c>
      <c r="I570" s="15" t="n">
        <v>400</v>
      </c>
      <c r="J570" s="16" t="n">
        <v>32.843</v>
      </c>
      <c r="K570" s="10" t="inlineStr">
        <is>
          <t>119</t>
        </is>
      </c>
      <c r="L570" s="16" t="n">
        <v>30.2804</v>
      </c>
      <c r="M570" s="10" t="inlineStr">
        <is>
          <t>119</t>
        </is>
      </c>
      <c r="N570" s="16" t="n">
        <v>27.986</v>
      </c>
      <c r="O570" s="16" t="n">
        <v>110.163</v>
      </c>
      <c r="P570" s="10" t="inlineStr">
        <is>
          <t>119</t>
        </is>
      </c>
      <c r="Q570" s="16" t="n">
        <v>3.8625</v>
      </c>
      <c r="R570" s="10">
        <f>MAX(MAX(1.4/'Parametros'!$B$3,0.25*SQRT('Parametros'!$B$2)/'Parametros'!$B$3)*H570*U570,(0.85*'Parametros'!$B$2/'Parametros'!$B$3)*(1-SQRT(1-2*(J570*1000000/('Parametros'!$B$5*H570*U570^2))/(0.85*'Parametros'!$B$2)))*H570*U570)</f>
        <v>399.641666666667</v>
      </c>
      <c r="S570" s="17" t="n">
        <v>3</v>
      </c>
      <c r="T570" s="18" t="n">
        <v>1</v>
      </c>
      <c r="U570" s="10">
        <f>IF(T570=1,I570-('Parametros'!$B$7+'Parametros'!$B$9+'Parametros'!$B$12/2),I570-(ROUNDUP(S570/2,0)*('Parametros'!$B$7+'Parametros'!$B$9+'Parametros'!$B$12/2)+ROUNDDOWN(S570/2,0)*('Parametros'!$B$7+'Parametros'!$B$9+'Parametros'!$B$12/2+'Parametros'!$B$12+'Parametros'!$B$10))/S570)</f>
        <v>342.55</v>
      </c>
      <c r="V570" s="10">
        <f>S570*'Parametros'!$B$8</f>
        <v>597</v>
      </c>
      <c r="W570" s="10">
        <f>'Parametros'!$B$5*V570*'Parametros'!$B$3*(U570-(V570*'Parametros'!$B$3/(0.85*'Parametros'!$B$2*H570))/2)/1000000</f>
        <v>73.905520182353</v>
      </c>
      <c r="X570" s="10" t="str">
        <f>IF(W570&gt;=J570,"CUMPLE","NO CUMPLE")</f>
        <v>CUMPLE</v>
      </c>
      <c r="Y570" s="10">
        <f>MAX(MAX(1.4/'Parametros'!$B$3,0.25*SQRT('Parametros'!$B$2)/'Parametros'!$B$3)*H570*AB570,(0.85*'Parametros'!$B$2/'Parametros'!$B$3)*(1-SQRT(1-2*(L570*1000000/('Parametros'!$B$5*H570*AB570^2))/(0.85*'Parametros'!$B$2)))*H570*AB570)</f>
        <v>399.641666666667</v>
      </c>
      <c r="Z570" s="17" t="n">
        <v>3</v>
      </c>
      <c r="AA570" s="18" t="n">
        <v>1</v>
      </c>
      <c r="AB570" s="10">
        <f>IF(AA570=1,I570-('Parametros'!$B$7+'Parametros'!$B$9+'Parametros'!$B$12/2),I570-(ROUNDUP(Z570/2,0)*('Parametros'!$B$7+'Parametros'!$B$9+'Parametros'!$B$12/2)+ROUNDDOWN(Z570/2,0)*('Parametros'!$B$7+'Parametros'!$B$9+'Parametros'!$B$12/2+'Parametros'!$B$12+'Parametros'!$B$10))/Z570)</f>
        <v>342.55</v>
      </c>
      <c r="AC570" s="10">
        <f>Z570*'Parametros'!$B$8</f>
        <v>597</v>
      </c>
      <c r="AD570" s="10">
        <f>'Parametros'!$B$5*AC570*'Parametros'!$B$3*(AB570-(AC570*'Parametros'!$B$3/(0.85*'Parametros'!$B$2*H570))/2)/1000000</f>
        <v>73.905520182353</v>
      </c>
      <c r="AE570" s="10" t="str">
        <f>IF(AD570&gt;=L570,"CUMPLE","NO CUMPLE")</f>
        <v>CUMPLE</v>
      </c>
      <c r="AF570" s="10">
        <f>V570*1.25*'Parametros'!$B$3*(U570-(V570*1.25*'Parametros'!$B$3/(0.85*'Parametros'!$B$2*H570))/2)/1000000</f>
        <v>101.467261323529</v>
      </c>
      <c r="AG570" s="10">
        <f>AC570*1.25*'Parametros'!$B$3*(AB570-(AC570*1.25*'Parametros'!$B$3/(0.85*'Parametros'!$B$2*H570))/2)/1000000</f>
        <v>101.467261323529</v>
      </c>
      <c r="AH570" s="10">
        <f>N570+(AF570+AG570)/D570</f>
        <v>109.159809058824</v>
      </c>
      <c r="AI570" s="10">
        <f>MIN(O570,MAX(N570,AH570))</f>
        <v>109.159809058824</v>
      </c>
      <c r="AJ570" s="10">
        <f>0.17*SQRT('Parametros'!$B$2)*H570*MIN(U570,AB570)/1000</f>
        <v>107.849951281016</v>
      </c>
      <c r="AK570" s="10">
        <f>MAX(AI570/'Parametros'!$B$6-AJ570,0)</f>
        <v>37.6964607974155</v>
      </c>
      <c r="AL570" s="10">
        <f>0.66*SQRT('Parametros'!$B$2)*H570*MIN(U570,AB570)/1000</f>
        <v>418.711575561591</v>
      </c>
      <c r="AM570" s="10" t="str">
        <f>IF(AK570&lt;=AL570,"CUMPLE","NO CUMPLE")</f>
        <v>CUMPLE</v>
      </c>
      <c r="AN570" s="15" t="inlineStr">
        <is>
          <t>Nº3 cerrado</t>
        </is>
      </c>
      <c r="AO570" s="17" t="n">
        <v>2</v>
      </c>
      <c r="AP570" s="10">
        <f>ROUNDDOWN(MIN(IF(AK570=0,1000000000,AO570*'Parametros'!$B$11*'Parametros'!$B$4*MIN(U570,AB570)/(AK570*1000)),IF(AV570=0,1000000000,'Parametros'!$B$11/AV570),MIN(U570,AB570)/4,8*'Parametros'!$B$12,24*'Parametros'!$B$9,300)/10,0)*10</f>
        <v>80</v>
      </c>
      <c r="AQ570" s="10">
        <f>ROUNDDOWN(MIN(IF(AK570=0,1000000000,AO570*'Parametros'!$B$11*'Parametros'!$B$4*MIN(U570,AB570)/(AK570*1000)),IF(AV570=0,1000000000,'Parametros'!$B$11/AV570),MIN(U570,AB570)/2,600)/10,0)*10</f>
        <v>170</v>
      </c>
      <c r="AR570" s="10">
        <f>'Parametros'!$B$6*(AJ570+AO570*'Parametros'!$B$11*'Parametros'!$B$4*MIN(U570,AB570)/AP570/1000)</f>
        <v>272.415732210762</v>
      </c>
      <c r="AS570" s="10" t="str">
        <f>IF(AND(AM570="CUMPLE",AR570&gt;=AI570),"CUMPLE","NO CUMPLE")</f>
        <v>CUMPLE</v>
      </c>
      <c r="AT570" s="10">
        <f>'Parametros'!$B$6*0.083*SQRT('Parametros'!$B$2)*(H570*I570)^2/(2*(H570+I570))/1000000</f>
        <v>4.30410823283988</v>
      </c>
      <c r="AU570" s="10" t="str">
        <f>IF(Q570&lt;=AT570,"DESPRECIABLE","DISEÑAR")</f>
        <v>DESPRECIABLE</v>
      </c>
      <c r="AV570" s="10">
        <f>IF(Q570&lt;=AT570,0,Q570*1000000/('Parametros'!$B$6*2*0.85*(H570-2*'Parametros'!$B$7)*(I570-2*'Parametros'!$B$7)*'Parametros'!$B$4))</f>
        <v>0</v>
      </c>
      <c r="AW570" s="10">
        <f>AV570*2*((H570-2*'Parametros'!$B$7)+(I570-2*'Parametros'!$B$7))*'Parametros'!$B$4/'Parametros'!$B$3</f>
        <v>0</v>
      </c>
      <c r="AX570" s="17" t="n">
        <v>0</v>
      </c>
      <c r="AY570" s="10" t="str">
        <f>IF(AV570=0,"DESPRECIABLE",IF('Parametros'!$B$11/AP570&gt;=AV570,"CUMPLE","NO CUMPLE"))</f>
        <v>DESPRECIABLE</v>
      </c>
      <c r="AZ570" s="10" t="str">
        <f>IF(AND(X570="CUMPLE",AE570="CUMPLE",AS570="CUMPLE",OR(AY570="CUMPLE",AY570="DESPRECIABLE")),IF(OR(F570&lt;&gt;H570,G570&lt;&gt;I570),"CUMPLE - REANALIZAR SAP","CUMPLE"),"NO CUMPLE")</f>
        <v>CUMPLE</v>
      </c>
    </row>
    <row r="571">
      <c r="A571" s="29" t="inlineStr">
        <is>
          <t>VRAUX</t>
        </is>
      </c>
      <c r="B571" s="29" t="inlineStr">
        <is>
          <t>120</t>
        </is>
      </c>
      <c r="C571" s="10" t="n">
        <v>1</v>
      </c>
      <c r="D571" s="10" t="n">
        <v>2.5</v>
      </c>
      <c r="E571" s="10" t="n">
        <v>2.5</v>
      </c>
      <c r="F571" s="10" t="n">
        <v>350</v>
      </c>
      <c r="G571" s="10" t="n">
        <v>400</v>
      </c>
      <c r="H571" s="15" t="n">
        <v>350</v>
      </c>
      <c r="I571" s="15" t="n">
        <v>400</v>
      </c>
      <c r="J571" s="16" t="n">
        <v>32.8458</v>
      </c>
      <c r="K571" s="10" t="inlineStr">
        <is>
          <t>120</t>
        </is>
      </c>
      <c r="L571" s="16" t="n">
        <v>30.2789</v>
      </c>
      <c r="M571" s="10" t="inlineStr">
        <is>
          <t>120</t>
        </is>
      </c>
      <c r="N571" s="16" t="n">
        <v>27.984</v>
      </c>
      <c r="O571" s="16" t="n">
        <v>110.161</v>
      </c>
      <c r="P571" s="10" t="inlineStr">
        <is>
          <t>120</t>
        </is>
      </c>
      <c r="Q571" s="16" t="n">
        <v>3.8608</v>
      </c>
      <c r="R571" s="10">
        <f>MAX(MAX(1.4/'Parametros'!$B$3,0.25*SQRT('Parametros'!$B$2)/'Parametros'!$B$3)*H571*U571,(0.85*'Parametros'!$B$2/'Parametros'!$B$3)*(1-SQRT(1-2*(J571*1000000/('Parametros'!$B$5*H571*U571^2))/(0.85*'Parametros'!$B$2)))*H571*U571)</f>
        <v>399.641666666667</v>
      </c>
      <c r="S571" s="17" t="n">
        <v>3</v>
      </c>
      <c r="T571" s="18" t="n">
        <v>1</v>
      </c>
      <c r="U571" s="10">
        <f>IF(T571=1,I571-('Parametros'!$B$7+'Parametros'!$B$9+'Parametros'!$B$12/2),I571-(ROUNDUP(S571/2,0)*('Parametros'!$B$7+'Parametros'!$B$9+'Parametros'!$B$12/2)+ROUNDDOWN(S571/2,0)*('Parametros'!$B$7+'Parametros'!$B$9+'Parametros'!$B$12/2+'Parametros'!$B$12+'Parametros'!$B$10))/S571)</f>
        <v>342.55</v>
      </c>
      <c r="V571" s="10">
        <f>S571*'Parametros'!$B$8</f>
        <v>597</v>
      </c>
      <c r="W571" s="10">
        <f>'Parametros'!$B$5*V571*'Parametros'!$B$3*(U571-(V571*'Parametros'!$B$3/(0.85*'Parametros'!$B$2*H571))/2)/1000000</f>
        <v>73.905520182353</v>
      </c>
      <c r="X571" s="10" t="str">
        <f>IF(W571&gt;=J571,"CUMPLE","NO CUMPLE")</f>
        <v>CUMPLE</v>
      </c>
      <c r="Y571" s="10">
        <f>MAX(MAX(1.4/'Parametros'!$B$3,0.25*SQRT('Parametros'!$B$2)/'Parametros'!$B$3)*H571*AB571,(0.85*'Parametros'!$B$2/'Parametros'!$B$3)*(1-SQRT(1-2*(L571*1000000/('Parametros'!$B$5*H571*AB571^2))/(0.85*'Parametros'!$B$2)))*H571*AB571)</f>
        <v>399.641666666667</v>
      </c>
      <c r="Z571" s="17" t="n">
        <v>3</v>
      </c>
      <c r="AA571" s="18" t="n">
        <v>1</v>
      </c>
      <c r="AB571" s="10">
        <f>IF(AA571=1,I571-('Parametros'!$B$7+'Parametros'!$B$9+'Parametros'!$B$12/2),I571-(ROUNDUP(Z571/2,0)*('Parametros'!$B$7+'Parametros'!$B$9+'Parametros'!$B$12/2)+ROUNDDOWN(Z571/2,0)*('Parametros'!$B$7+'Parametros'!$B$9+'Parametros'!$B$12/2+'Parametros'!$B$12+'Parametros'!$B$10))/Z571)</f>
        <v>342.55</v>
      </c>
      <c r="AC571" s="10">
        <f>Z571*'Parametros'!$B$8</f>
        <v>597</v>
      </c>
      <c r="AD571" s="10">
        <f>'Parametros'!$B$5*AC571*'Parametros'!$B$3*(AB571-(AC571*'Parametros'!$B$3/(0.85*'Parametros'!$B$2*H571))/2)/1000000</f>
        <v>73.905520182353</v>
      </c>
      <c r="AE571" s="10" t="str">
        <f>IF(AD571&gt;=L571,"CUMPLE","NO CUMPLE")</f>
        <v>CUMPLE</v>
      </c>
      <c r="AF571" s="10">
        <f>V571*1.25*'Parametros'!$B$3*(U571-(V571*1.25*'Parametros'!$B$3/(0.85*'Parametros'!$B$2*H571))/2)/1000000</f>
        <v>101.467261323529</v>
      </c>
      <c r="AG571" s="10">
        <f>AC571*1.25*'Parametros'!$B$3*(AB571-(AC571*1.25*'Parametros'!$B$3/(0.85*'Parametros'!$B$2*H571))/2)/1000000</f>
        <v>101.467261323529</v>
      </c>
      <c r="AH571" s="10">
        <f>N571+(AF571+AG571)/D571</f>
        <v>109.157809058824</v>
      </c>
      <c r="AI571" s="10">
        <f>MIN(O571,MAX(N571,AH571))</f>
        <v>109.157809058824</v>
      </c>
      <c r="AJ571" s="10">
        <f>0.17*SQRT('Parametros'!$B$2)*H571*MIN(U571,AB571)/1000</f>
        <v>107.849951281016</v>
      </c>
      <c r="AK571" s="10">
        <f>MAX(AI571/'Parametros'!$B$6-AJ571,0)</f>
        <v>37.6937941307488</v>
      </c>
      <c r="AL571" s="10">
        <f>0.66*SQRT('Parametros'!$B$2)*H571*MIN(U571,AB571)/1000</f>
        <v>418.711575561591</v>
      </c>
      <c r="AM571" s="10" t="str">
        <f>IF(AK571&lt;=AL571,"CUMPLE","NO CUMPLE")</f>
        <v>CUMPLE</v>
      </c>
      <c r="AN571" s="15" t="inlineStr">
        <is>
          <t>Nº3 cerrado</t>
        </is>
      </c>
      <c r="AO571" s="17" t="n">
        <v>2</v>
      </c>
      <c r="AP571" s="10">
        <f>ROUNDDOWN(MIN(IF(AK571=0,1000000000,AO571*'Parametros'!$B$11*'Parametros'!$B$4*MIN(U571,AB571)/(AK571*1000)),IF(AV571=0,1000000000,'Parametros'!$B$11/AV571),MIN(U571,AB571)/4,8*'Parametros'!$B$12,24*'Parametros'!$B$9,300)/10,0)*10</f>
        <v>80</v>
      </c>
      <c r="AQ571" s="10">
        <f>ROUNDDOWN(MIN(IF(AK571=0,1000000000,AO571*'Parametros'!$B$11*'Parametros'!$B$4*MIN(U571,AB571)/(AK571*1000)),IF(AV571=0,1000000000,'Parametros'!$B$11/AV571),MIN(U571,AB571)/2,600)/10,0)*10</f>
        <v>170</v>
      </c>
      <c r="AR571" s="10">
        <f>'Parametros'!$B$6*(AJ571+AO571*'Parametros'!$B$11*'Parametros'!$B$4*MIN(U571,AB571)/AP571/1000)</f>
        <v>272.415732210762</v>
      </c>
      <c r="AS571" s="10" t="str">
        <f>IF(AND(AM571="CUMPLE",AR571&gt;=AI571),"CUMPLE","NO CUMPLE")</f>
        <v>CUMPLE</v>
      </c>
      <c r="AT571" s="10">
        <f>'Parametros'!$B$6*0.083*SQRT('Parametros'!$B$2)*(H571*I571)^2/(2*(H571+I571))/1000000</f>
        <v>4.30410823283988</v>
      </c>
      <c r="AU571" s="10" t="str">
        <f>IF(Q571&lt;=AT571,"DESPRECIABLE","DISEÑAR")</f>
        <v>DESPRECIABLE</v>
      </c>
      <c r="AV571" s="10">
        <f>IF(Q571&lt;=AT571,0,Q571*1000000/('Parametros'!$B$6*2*0.85*(H571-2*'Parametros'!$B$7)*(I571-2*'Parametros'!$B$7)*'Parametros'!$B$4))</f>
        <v>0</v>
      </c>
      <c r="AW571" s="10">
        <f>AV571*2*((H571-2*'Parametros'!$B$7)+(I571-2*'Parametros'!$B$7))*'Parametros'!$B$4/'Parametros'!$B$3</f>
        <v>0</v>
      </c>
      <c r="AX571" s="17" t="n">
        <v>0</v>
      </c>
      <c r="AY571" s="10" t="str">
        <f>IF(AV571=0,"DESPRECIABLE",IF('Parametros'!$B$11/AP571&gt;=AV571,"CUMPLE","NO CUMPLE"))</f>
        <v>DESPRECIABLE</v>
      </c>
      <c r="AZ571" s="10" t="str">
        <f>IF(AND(X571="CUMPLE",AE571="CUMPLE",AS571="CUMPLE",OR(AY571="CUMPLE",AY571="DESPRECIABLE")),IF(OR(F571&lt;&gt;H571,G571&lt;&gt;I571),"CUMPLE - REANALIZAR SAP","CUMPLE"),"NO CUMPLE")</f>
        <v>CUMPLE</v>
      </c>
    </row>
    <row r="572">
      <c r="A572" s="29" t="inlineStr">
        <is>
          <t>VRAUX</t>
        </is>
      </c>
      <c r="B572" s="29" t="inlineStr">
        <is>
          <t>121</t>
        </is>
      </c>
      <c r="C572" s="10" t="n">
        <v>1</v>
      </c>
      <c r="D572" s="10" t="n">
        <v>2.6</v>
      </c>
      <c r="E572" s="10" t="n">
        <v>2.6</v>
      </c>
      <c r="F572" s="10" t="n">
        <v>350</v>
      </c>
      <c r="G572" s="10" t="n">
        <v>400</v>
      </c>
      <c r="H572" s="15" t="n">
        <v>350</v>
      </c>
      <c r="I572" s="15" t="n">
        <v>400</v>
      </c>
      <c r="J572" s="16" t="n">
        <v>23.6118</v>
      </c>
      <c r="K572" s="10" t="inlineStr">
        <is>
          <t>121</t>
        </is>
      </c>
      <c r="L572" s="16" t="n">
        <v>20.7849</v>
      </c>
      <c r="M572" s="10" t="inlineStr">
        <is>
          <t>121</t>
        </is>
      </c>
      <c r="N572" s="16" t="n">
        <v>21.437</v>
      </c>
      <c r="O572" s="16" t="n">
        <v>86.92700000000001</v>
      </c>
      <c r="P572" s="10" t="inlineStr">
        <is>
          <t>121</t>
        </is>
      </c>
      <c r="Q572" s="16" t="n">
        <v>0.1981</v>
      </c>
      <c r="R572" s="10">
        <f>MAX(MAX(1.4/'Parametros'!$B$3,0.25*SQRT('Parametros'!$B$2)/'Parametros'!$B$3)*H572*U572,(0.85*'Parametros'!$B$2/'Parametros'!$B$3)*(1-SQRT(1-2*(J572*1000000/('Parametros'!$B$5*H572*U572^2))/(0.85*'Parametros'!$B$2)))*H572*U572)</f>
        <v>399.641666666667</v>
      </c>
      <c r="S572" s="17" t="n">
        <v>3</v>
      </c>
      <c r="T572" s="18" t="n">
        <v>1</v>
      </c>
      <c r="U572" s="10">
        <f>IF(T572=1,I572-('Parametros'!$B$7+'Parametros'!$B$9+'Parametros'!$B$12/2),I572-(ROUNDUP(S572/2,0)*('Parametros'!$B$7+'Parametros'!$B$9+'Parametros'!$B$12/2)+ROUNDDOWN(S572/2,0)*('Parametros'!$B$7+'Parametros'!$B$9+'Parametros'!$B$12/2+'Parametros'!$B$12+'Parametros'!$B$10))/S572)</f>
        <v>342.55</v>
      </c>
      <c r="V572" s="10">
        <f>S572*'Parametros'!$B$8</f>
        <v>597</v>
      </c>
      <c r="W572" s="10">
        <f>'Parametros'!$B$5*V572*'Parametros'!$B$3*(U572-(V572*'Parametros'!$B$3/(0.85*'Parametros'!$B$2*H572))/2)/1000000</f>
        <v>73.905520182353</v>
      </c>
      <c r="X572" s="10" t="str">
        <f>IF(W572&gt;=J572,"CUMPLE","NO CUMPLE")</f>
        <v>CUMPLE</v>
      </c>
      <c r="Y572" s="10">
        <f>MAX(MAX(1.4/'Parametros'!$B$3,0.25*SQRT('Parametros'!$B$2)/'Parametros'!$B$3)*H572*AB572,(0.85*'Parametros'!$B$2/'Parametros'!$B$3)*(1-SQRT(1-2*(L572*1000000/('Parametros'!$B$5*H572*AB572^2))/(0.85*'Parametros'!$B$2)))*H572*AB572)</f>
        <v>399.641666666667</v>
      </c>
      <c r="Z572" s="17" t="n">
        <v>3</v>
      </c>
      <c r="AA572" s="18" t="n">
        <v>1</v>
      </c>
      <c r="AB572" s="10">
        <f>IF(AA572=1,I572-('Parametros'!$B$7+'Parametros'!$B$9+'Parametros'!$B$12/2),I572-(ROUNDUP(Z572/2,0)*('Parametros'!$B$7+'Parametros'!$B$9+'Parametros'!$B$12/2)+ROUNDDOWN(Z572/2,0)*('Parametros'!$B$7+'Parametros'!$B$9+'Parametros'!$B$12/2+'Parametros'!$B$12+'Parametros'!$B$10))/Z572)</f>
        <v>342.55</v>
      </c>
      <c r="AC572" s="10">
        <f>Z572*'Parametros'!$B$8</f>
        <v>597</v>
      </c>
      <c r="AD572" s="10">
        <f>'Parametros'!$B$5*AC572*'Parametros'!$B$3*(AB572-(AC572*'Parametros'!$B$3/(0.85*'Parametros'!$B$2*H572))/2)/1000000</f>
        <v>73.905520182353</v>
      </c>
      <c r="AE572" s="10" t="str">
        <f>IF(AD572&gt;=L572,"CUMPLE","NO CUMPLE")</f>
        <v>CUMPLE</v>
      </c>
      <c r="AF572" s="10">
        <f>V572*1.25*'Parametros'!$B$3*(U572-(V572*1.25*'Parametros'!$B$3/(0.85*'Parametros'!$B$2*H572))/2)/1000000</f>
        <v>101.467261323529</v>
      </c>
      <c r="AG572" s="10">
        <f>AC572*1.25*'Parametros'!$B$3*(AB572-(AC572*1.25*'Parametros'!$B$3/(0.85*'Parametros'!$B$2*H572))/2)/1000000</f>
        <v>101.467261323529</v>
      </c>
      <c r="AH572" s="10">
        <f>N572+(AF572+AG572)/D572</f>
        <v>99.488739479638</v>
      </c>
      <c r="AI572" s="10">
        <f>MIN(O572,MAX(N572,AH572))</f>
        <v>86.927</v>
      </c>
      <c r="AJ572" s="10">
        <f>0.17*SQRT('Parametros'!$B$2)*H572*MIN(U572,AB572)/1000</f>
        <v>107.849951281016</v>
      </c>
      <c r="AK572" s="10">
        <f>MAX(AI572/'Parametros'!$B$6-AJ572,0)</f>
        <v>8.05271538565077</v>
      </c>
      <c r="AL572" s="10">
        <f>0.66*SQRT('Parametros'!$B$2)*H572*MIN(U572,AB572)/1000</f>
        <v>418.711575561591</v>
      </c>
      <c r="AM572" s="10" t="str">
        <f>IF(AK572&lt;=AL572,"CUMPLE","NO CUMPLE")</f>
        <v>CUMPLE</v>
      </c>
      <c r="AN572" s="15" t="inlineStr">
        <is>
          <t>Nº3 cerrado</t>
        </is>
      </c>
      <c r="AO572" s="17" t="n">
        <v>2</v>
      </c>
      <c r="AP572" s="10">
        <f>ROUNDDOWN(MIN(IF(AK572=0,1000000000,AO572*'Parametros'!$B$11*'Parametros'!$B$4*MIN(U572,AB572)/(AK572*1000)),IF(AV572=0,1000000000,'Parametros'!$B$11/AV572),MIN(U572,AB572)/4,8*'Parametros'!$B$12,24*'Parametros'!$B$9,300)/10,0)*10</f>
        <v>80</v>
      </c>
      <c r="AQ572" s="10">
        <f>ROUNDDOWN(MIN(IF(AK572=0,1000000000,AO572*'Parametros'!$B$11*'Parametros'!$B$4*MIN(U572,AB572)/(AK572*1000)),IF(AV572=0,1000000000,'Parametros'!$B$11/AV572),MIN(U572,AB572)/2,600)/10,0)*10</f>
        <v>170</v>
      </c>
      <c r="AR572" s="10">
        <f>'Parametros'!$B$6*(AJ572+AO572*'Parametros'!$B$11*'Parametros'!$B$4*MIN(U572,AB572)/AP572/1000)</f>
        <v>272.415732210762</v>
      </c>
      <c r="AS572" s="10" t="str">
        <f>IF(AND(AM572="CUMPLE",AR572&gt;=AI572),"CUMPLE","NO CUMPLE")</f>
        <v>CUMPLE</v>
      </c>
      <c r="AT572" s="10">
        <f>'Parametros'!$B$6*0.083*SQRT('Parametros'!$B$2)*(H572*I572)^2/(2*(H572+I572))/1000000</f>
        <v>4.30410823283988</v>
      </c>
      <c r="AU572" s="10" t="str">
        <f>IF(Q572&lt;=AT572,"DESPRECIABLE","DISEÑAR")</f>
        <v>DESPRECIABLE</v>
      </c>
      <c r="AV572" s="10">
        <f>IF(Q572&lt;=AT572,0,Q572*1000000/('Parametros'!$B$6*2*0.85*(H572-2*'Parametros'!$B$7)*(I572-2*'Parametros'!$B$7)*'Parametros'!$B$4))</f>
        <v>0</v>
      </c>
      <c r="AW572" s="10">
        <f>AV572*2*((H572-2*'Parametros'!$B$7)+(I572-2*'Parametros'!$B$7))*'Parametros'!$B$4/'Parametros'!$B$3</f>
        <v>0</v>
      </c>
      <c r="AX572" s="17" t="n">
        <v>0</v>
      </c>
      <c r="AY572" s="10" t="str">
        <f>IF(AV572=0,"DESPRECIABLE",IF('Parametros'!$B$11/AP572&gt;=AV572,"CUMPLE","NO CUMPLE"))</f>
        <v>DESPRECIABLE</v>
      </c>
      <c r="AZ572" s="10" t="str">
        <f>IF(AND(X572="CUMPLE",AE572="CUMPLE",AS572="CUMPLE",OR(AY572="CUMPLE",AY572="DESPRECIABLE")),IF(OR(F572&lt;&gt;H572,G572&lt;&gt;I572),"CUMPLE - REANALIZAR SAP","CUMPLE"),"NO CUMPLE")</f>
        <v>CUMPLE</v>
      </c>
    </row>
    <row r="573">
      <c r="A573" s="29" t="inlineStr">
        <is>
          <t>VRAUX</t>
        </is>
      </c>
      <c r="B573" s="29" t="inlineStr">
        <is>
          <t>122</t>
        </is>
      </c>
      <c r="C573" s="10" t="n">
        <v>1</v>
      </c>
      <c r="D573" s="10" t="n">
        <v>2.6</v>
      </c>
      <c r="E573" s="10" t="n">
        <v>2.6</v>
      </c>
      <c r="F573" s="10" t="n">
        <v>350</v>
      </c>
      <c r="G573" s="10" t="n">
        <v>400</v>
      </c>
      <c r="H573" s="15" t="n">
        <v>350</v>
      </c>
      <c r="I573" s="15" t="n">
        <v>400</v>
      </c>
      <c r="J573" s="16" t="n">
        <v>23.6126</v>
      </c>
      <c r="K573" s="10" t="inlineStr">
        <is>
          <t>122</t>
        </is>
      </c>
      <c r="L573" s="16" t="n">
        <v>20.7855</v>
      </c>
      <c r="M573" s="10" t="inlineStr">
        <is>
          <t>122</t>
        </is>
      </c>
      <c r="N573" s="16" t="n">
        <v>21.437</v>
      </c>
      <c r="O573" s="16" t="n">
        <v>86.926</v>
      </c>
      <c r="P573" s="10" t="inlineStr">
        <is>
          <t>122</t>
        </is>
      </c>
      <c r="Q573" s="16" t="n">
        <v>0.1956</v>
      </c>
      <c r="R573" s="10">
        <f>MAX(MAX(1.4/'Parametros'!$B$3,0.25*SQRT('Parametros'!$B$2)/'Parametros'!$B$3)*H573*U573,(0.85*'Parametros'!$B$2/'Parametros'!$B$3)*(1-SQRT(1-2*(J573*1000000/('Parametros'!$B$5*H573*U573^2))/(0.85*'Parametros'!$B$2)))*H573*U573)</f>
        <v>399.641666666667</v>
      </c>
      <c r="S573" s="17" t="n">
        <v>3</v>
      </c>
      <c r="T573" s="18" t="n">
        <v>1</v>
      </c>
      <c r="U573" s="10">
        <f>IF(T573=1,I573-('Parametros'!$B$7+'Parametros'!$B$9+'Parametros'!$B$12/2),I573-(ROUNDUP(S573/2,0)*('Parametros'!$B$7+'Parametros'!$B$9+'Parametros'!$B$12/2)+ROUNDDOWN(S573/2,0)*('Parametros'!$B$7+'Parametros'!$B$9+'Parametros'!$B$12/2+'Parametros'!$B$12+'Parametros'!$B$10))/S573)</f>
        <v>342.55</v>
      </c>
      <c r="V573" s="10">
        <f>S573*'Parametros'!$B$8</f>
        <v>597</v>
      </c>
      <c r="W573" s="10">
        <f>'Parametros'!$B$5*V573*'Parametros'!$B$3*(U573-(V573*'Parametros'!$B$3/(0.85*'Parametros'!$B$2*H573))/2)/1000000</f>
        <v>73.905520182353</v>
      </c>
      <c r="X573" s="10" t="str">
        <f>IF(W573&gt;=J573,"CUMPLE","NO CUMPLE")</f>
        <v>CUMPLE</v>
      </c>
      <c r="Y573" s="10">
        <f>MAX(MAX(1.4/'Parametros'!$B$3,0.25*SQRT('Parametros'!$B$2)/'Parametros'!$B$3)*H573*AB573,(0.85*'Parametros'!$B$2/'Parametros'!$B$3)*(1-SQRT(1-2*(L573*1000000/('Parametros'!$B$5*H573*AB573^2))/(0.85*'Parametros'!$B$2)))*H573*AB573)</f>
        <v>399.641666666667</v>
      </c>
      <c r="Z573" s="17" t="n">
        <v>3</v>
      </c>
      <c r="AA573" s="18" t="n">
        <v>1</v>
      </c>
      <c r="AB573" s="10">
        <f>IF(AA573=1,I573-('Parametros'!$B$7+'Parametros'!$B$9+'Parametros'!$B$12/2),I573-(ROUNDUP(Z573/2,0)*('Parametros'!$B$7+'Parametros'!$B$9+'Parametros'!$B$12/2)+ROUNDDOWN(Z573/2,0)*('Parametros'!$B$7+'Parametros'!$B$9+'Parametros'!$B$12/2+'Parametros'!$B$12+'Parametros'!$B$10))/Z573)</f>
        <v>342.55</v>
      </c>
      <c r="AC573" s="10">
        <f>Z573*'Parametros'!$B$8</f>
        <v>597</v>
      </c>
      <c r="AD573" s="10">
        <f>'Parametros'!$B$5*AC573*'Parametros'!$B$3*(AB573-(AC573*'Parametros'!$B$3/(0.85*'Parametros'!$B$2*H573))/2)/1000000</f>
        <v>73.905520182353</v>
      </c>
      <c r="AE573" s="10" t="str">
        <f>IF(AD573&gt;=L573,"CUMPLE","NO CUMPLE")</f>
        <v>CUMPLE</v>
      </c>
      <c r="AF573" s="10">
        <f>V573*1.25*'Parametros'!$B$3*(U573-(V573*1.25*'Parametros'!$B$3/(0.85*'Parametros'!$B$2*H573))/2)/1000000</f>
        <v>101.467261323529</v>
      </c>
      <c r="AG573" s="10">
        <f>AC573*1.25*'Parametros'!$B$3*(AB573-(AC573*1.25*'Parametros'!$B$3/(0.85*'Parametros'!$B$2*H573))/2)/1000000</f>
        <v>101.467261323529</v>
      </c>
      <c r="AH573" s="10">
        <f>N573+(AF573+AG573)/D573</f>
        <v>99.488739479638</v>
      </c>
      <c r="AI573" s="10">
        <f>MIN(O573,MAX(N573,AH573))</f>
        <v>86.926</v>
      </c>
      <c r="AJ573" s="10">
        <f>0.17*SQRT('Parametros'!$B$2)*H573*MIN(U573,AB573)/1000</f>
        <v>107.849951281016</v>
      </c>
      <c r="AK573" s="10">
        <f>MAX(AI573/'Parametros'!$B$6-AJ573,0)</f>
        <v>8.05138205231744</v>
      </c>
      <c r="AL573" s="10">
        <f>0.66*SQRT('Parametros'!$B$2)*H573*MIN(U573,AB573)/1000</f>
        <v>418.711575561591</v>
      </c>
      <c r="AM573" s="10" t="str">
        <f>IF(AK573&lt;=AL573,"CUMPLE","NO CUMPLE")</f>
        <v>CUMPLE</v>
      </c>
      <c r="AN573" s="15" t="inlineStr">
        <is>
          <t>Nº3 cerrado</t>
        </is>
      </c>
      <c r="AO573" s="17" t="n">
        <v>2</v>
      </c>
      <c r="AP573" s="10">
        <f>ROUNDDOWN(MIN(IF(AK573=0,1000000000,AO573*'Parametros'!$B$11*'Parametros'!$B$4*MIN(U573,AB573)/(AK573*1000)),IF(AV573=0,1000000000,'Parametros'!$B$11/AV573),MIN(U573,AB573)/4,8*'Parametros'!$B$12,24*'Parametros'!$B$9,300)/10,0)*10</f>
        <v>80</v>
      </c>
      <c r="AQ573" s="10">
        <f>ROUNDDOWN(MIN(IF(AK573=0,1000000000,AO573*'Parametros'!$B$11*'Parametros'!$B$4*MIN(U573,AB573)/(AK573*1000)),IF(AV573=0,1000000000,'Parametros'!$B$11/AV573),MIN(U573,AB573)/2,600)/10,0)*10</f>
        <v>170</v>
      </c>
      <c r="AR573" s="10">
        <f>'Parametros'!$B$6*(AJ573+AO573*'Parametros'!$B$11*'Parametros'!$B$4*MIN(U573,AB573)/AP573/1000)</f>
        <v>272.415732210762</v>
      </c>
      <c r="AS573" s="10" t="str">
        <f>IF(AND(AM573="CUMPLE",AR573&gt;=AI573),"CUMPLE","NO CUMPLE")</f>
        <v>CUMPLE</v>
      </c>
      <c r="AT573" s="10">
        <f>'Parametros'!$B$6*0.083*SQRT('Parametros'!$B$2)*(H573*I573)^2/(2*(H573+I573))/1000000</f>
        <v>4.30410823283988</v>
      </c>
      <c r="AU573" s="10" t="str">
        <f>IF(Q573&lt;=AT573,"DESPRECIABLE","DISEÑAR")</f>
        <v>DESPRECIABLE</v>
      </c>
      <c r="AV573" s="10">
        <f>IF(Q573&lt;=AT573,0,Q573*1000000/('Parametros'!$B$6*2*0.85*(H573-2*'Parametros'!$B$7)*(I573-2*'Parametros'!$B$7)*'Parametros'!$B$4))</f>
        <v>0</v>
      </c>
      <c r="AW573" s="10">
        <f>AV573*2*((H573-2*'Parametros'!$B$7)+(I573-2*'Parametros'!$B$7))*'Parametros'!$B$4/'Parametros'!$B$3</f>
        <v>0</v>
      </c>
      <c r="AX573" s="17" t="n">
        <v>0</v>
      </c>
      <c r="AY573" s="10" t="str">
        <f>IF(AV573=0,"DESPRECIABLE",IF('Parametros'!$B$11/AP573&gt;=AV573,"CUMPLE","NO CUMPLE"))</f>
        <v>DESPRECIABLE</v>
      </c>
      <c r="AZ573" s="10" t="str">
        <f>IF(AND(X573="CUMPLE",AE573="CUMPLE",AS573="CUMPLE",OR(AY573="CUMPLE",AY573="DESPRECIABLE")),IF(OR(F573&lt;&gt;H573,G573&lt;&gt;I573),"CUMPLE - REANALIZAR SAP","CUMPLE"),"NO CUMPLE")</f>
        <v>CUMPLE</v>
      </c>
    </row>
    <row r="574">
      <c r="A574" s="29" t="inlineStr">
        <is>
          <t>VRAUX</t>
        </is>
      </c>
      <c r="B574" s="29" t="inlineStr">
        <is>
          <t>123</t>
        </is>
      </c>
      <c r="C574" s="10" t="n">
        <v>1</v>
      </c>
      <c r="D574" s="10" t="n">
        <v>2.6</v>
      </c>
      <c r="E574" s="10" t="n">
        <v>2.6</v>
      </c>
      <c r="F574" s="10" t="n">
        <v>350</v>
      </c>
      <c r="G574" s="10" t="n">
        <v>400</v>
      </c>
      <c r="H574" s="15" t="n">
        <v>350</v>
      </c>
      <c r="I574" s="15" t="n">
        <v>400</v>
      </c>
      <c r="J574" s="16" t="n">
        <v>23.5832</v>
      </c>
      <c r="K574" s="10" t="inlineStr">
        <is>
          <t>123</t>
        </is>
      </c>
      <c r="L574" s="16" t="n">
        <v>20.7679</v>
      </c>
      <c r="M574" s="10" t="inlineStr">
        <is>
          <t>123</t>
        </is>
      </c>
      <c r="N574" s="16" t="n">
        <v>21.414</v>
      </c>
      <c r="O574" s="16" t="n">
        <v>86.904</v>
      </c>
      <c r="P574" s="10" t="inlineStr">
        <is>
          <t>123</t>
        </is>
      </c>
      <c r="Q574" s="16" t="n">
        <v>0.1958</v>
      </c>
      <c r="R574" s="10">
        <f>MAX(MAX(1.4/'Parametros'!$B$3,0.25*SQRT('Parametros'!$B$2)/'Parametros'!$B$3)*H574*U574,(0.85*'Parametros'!$B$2/'Parametros'!$B$3)*(1-SQRT(1-2*(J574*1000000/('Parametros'!$B$5*H574*U574^2))/(0.85*'Parametros'!$B$2)))*H574*U574)</f>
        <v>399.641666666667</v>
      </c>
      <c r="S574" s="17" t="n">
        <v>3</v>
      </c>
      <c r="T574" s="18" t="n">
        <v>1</v>
      </c>
      <c r="U574" s="10">
        <f>IF(T574=1,I574-('Parametros'!$B$7+'Parametros'!$B$9+'Parametros'!$B$12/2),I574-(ROUNDUP(S574/2,0)*('Parametros'!$B$7+'Parametros'!$B$9+'Parametros'!$B$12/2)+ROUNDDOWN(S574/2,0)*('Parametros'!$B$7+'Parametros'!$B$9+'Parametros'!$B$12/2+'Parametros'!$B$12+'Parametros'!$B$10))/S574)</f>
        <v>342.55</v>
      </c>
      <c r="V574" s="10">
        <f>S574*'Parametros'!$B$8</f>
        <v>597</v>
      </c>
      <c r="W574" s="10">
        <f>'Parametros'!$B$5*V574*'Parametros'!$B$3*(U574-(V574*'Parametros'!$B$3/(0.85*'Parametros'!$B$2*H574))/2)/1000000</f>
        <v>73.905520182353</v>
      </c>
      <c r="X574" s="10" t="str">
        <f>IF(W574&gt;=J574,"CUMPLE","NO CUMPLE")</f>
        <v>CUMPLE</v>
      </c>
      <c r="Y574" s="10">
        <f>MAX(MAX(1.4/'Parametros'!$B$3,0.25*SQRT('Parametros'!$B$2)/'Parametros'!$B$3)*H574*AB574,(0.85*'Parametros'!$B$2/'Parametros'!$B$3)*(1-SQRT(1-2*(L574*1000000/('Parametros'!$B$5*H574*AB574^2))/(0.85*'Parametros'!$B$2)))*H574*AB574)</f>
        <v>399.641666666667</v>
      </c>
      <c r="Z574" s="17" t="n">
        <v>3</v>
      </c>
      <c r="AA574" s="18" t="n">
        <v>1</v>
      </c>
      <c r="AB574" s="10">
        <f>IF(AA574=1,I574-('Parametros'!$B$7+'Parametros'!$B$9+'Parametros'!$B$12/2),I574-(ROUNDUP(Z574/2,0)*('Parametros'!$B$7+'Parametros'!$B$9+'Parametros'!$B$12/2)+ROUNDDOWN(Z574/2,0)*('Parametros'!$B$7+'Parametros'!$B$9+'Parametros'!$B$12/2+'Parametros'!$B$12+'Parametros'!$B$10))/Z574)</f>
        <v>342.55</v>
      </c>
      <c r="AC574" s="10">
        <f>Z574*'Parametros'!$B$8</f>
        <v>597</v>
      </c>
      <c r="AD574" s="10">
        <f>'Parametros'!$B$5*AC574*'Parametros'!$B$3*(AB574-(AC574*'Parametros'!$B$3/(0.85*'Parametros'!$B$2*H574))/2)/1000000</f>
        <v>73.905520182353</v>
      </c>
      <c r="AE574" s="10" t="str">
        <f>IF(AD574&gt;=L574,"CUMPLE","NO CUMPLE")</f>
        <v>CUMPLE</v>
      </c>
      <c r="AF574" s="10">
        <f>V574*1.25*'Parametros'!$B$3*(U574-(V574*1.25*'Parametros'!$B$3/(0.85*'Parametros'!$B$2*H574))/2)/1000000</f>
        <v>101.467261323529</v>
      </c>
      <c r="AG574" s="10">
        <f>AC574*1.25*'Parametros'!$B$3*(AB574-(AC574*1.25*'Parametros'!$B$3/(0.85*'Parametros'!$B$2*H574))/2)/1000000</f>
        <v>101.467261323529</v>
      </c>
      <c r="AH574" s="10">
        <f>N574+(AF574+AG574)/D574</f>
        <v>99.465739479638</v>
      </c>
      <c r="AI574" s="10">
        <f>MIN(O574,MAX(N574,AH574))</f>
        <v>86.904</v>
      </c>
      <c r="AJ574" s="10">
        <f>0.17*SQRT('Parametros'!$B$2)*H574*MIN(U574,AB574)/1000</f>
        <v>107.849951281016</v>
      </c>
      <c r="AK574" s="10">
        <f>MAX(AI574/'Parametros'!$B$6-AJ574,0)</f>
        <v>8.0220487189841</v>
      </c>
      <c r="AL574" s="10">
        <f>0.66*SQRT('Parametros'!$B$2)*H574*MIN(U574,AB574)/1000</f>
        <v>418.711575561591</v>
      </c>
      <c r="AM574" s="10" t="str">
        <f>IF(AK574&lt;=AL574,"CUMPLE","NO CUMPLE")</f>
        <v>CUMPLE</v>
      </c>
      <c r="AN574" s="15" t="inlineStr">
        <is>
          <t>Nº3 cerrado</t>
        </is>
      </c>
      <c r="AO574" s="17" t="n">
        <v>2</v>
      </c>
      <c r="AP574" s="10">
        <f>ROUNDDOWN(MIN(IF(AK574=0,1000000000,AO574*'Parametros'!$B$11*'Parametros'!$B$4*MIN(U574,AB574)/(AK574*1000)),IF(AV574=0,1000000000,'Parametros'!$B$11/AV574),MIN(U574,AB574)/4,8*'Parametros'!$B$12,24*'Parametros'!$B$9,300)/10,0)*10</f>
        <v>80</v>
      </c>
      <c r="AQ574" s="10">
        <f>ROUNDDOWN(MIN(IF(AK574=0,1000000000,AO574*'Parametros'!$B$11*'Parametros'!$B$4*MIN(U574,AB574)/(AK574*1000)),IF(AV574=0,1000000000,'Parametros'!$B$11/AV574),MIN(U574,AB574)/2,600)/10,0)*10</f>
        <v>170</v>
      </c>
      <c r="AR574" s="10">
        <f>'Parametros'!$B$6*(AJ574+AO574*'Parametros'!$B$11*'Parametros'!$B$4*MIN(U574,AB574)/AP574/1000)</f>
        <v>272.415732210762</v>
      </c>
      <c r="AS574" s="10" t="str">
        <f>IF(AND(AM574="CUMPLE",AR574&gt;=AI574),"CUMPLE","NO CUMPLE")</f>
        <v>CUMPLE</v>
      </c>
      <c r="AT574" s="10">
        <f>'Parametros'!$B$6*0.083*SQRT('Parametros'!$B$2)*(H574*I574)^2/(2*(H574+I574))/1000000</f>
        <v>4.30410823283988</v>
      </c>
      <c r="AU574" s="10" t="str">
        <f>IF(Q574&lt;=AT574,"DESPRECIABLE","DISEÑAR")</f>
        <v>DESPRECIABLE</v>
      </c>
      <c r="AV574" s="10">
        <f>IF(Q574&lt;=AT574,0,Q574*1000000/('Parametros'!$B$6*2*0.85*(H574-2*'Parametros'!$B$7)*(I574-2*'Parametros'!$B$7)*'Parametros'!$B$4))</f>
        <v>0</v>
      </c>
      <c r="AW574" s="10">
        <f>AV574*2*((H574-2*'Parametros'!$B$7)+(I574-2*'Parametros'!$B$7))*'Parametros'!$B$4/'Parametros'!$B$3</f>
        <v>0</v>
      </c>
      <c r="AX574" s="17" t="n">
        <v>0</v>
      </c>
      <c r="AY574" s="10" t="str">
        <f>IF(AV574=0,"DESPRECIABLE",IF('Parametros'!$B$11/AP574&gt;=AV574,"CUMPLE","NO CUMPLE"))</f>
        <v>DESPRECIABLE</v>
      </c>
      <c r="AZ574" s="10" t="str">
        <f>IF(AND(X574="CUMPLE",AE574="CUMPLE",AS574="CUMPLE",OR(AY574="CUMPLE",AY574="DESPRECIABLE")),IF(OR(F574&lt;&gt;H574,G574&lt;&gt;I574),"CUMPLE - REANALIZAR SAP","CUMPLE"),"NO CUMPLE")</f>
        <v>CUMPLE</v>
      </c>
    </row>
    <row r="575">
      <c r="A575" s="29" t="inlineStr">
        <is>
          <t>VRAUX</t>
        </is>
      </c>
      <c r="B575" s="29" t="inlineStr">
        <is>
          <t>124</t>
        </is>
      </c>
      <c r="C575" s="10" t="n">
        <v>1</v>
      </c>
      <c r="D575" s="10" t="n">
        <v>2.6</v>
      </c>
      <c r="E575" s="10" t="n">
        <v>2.6</v>
      </c>
      <c r="F575" s="10" t="n">
        <v>350</v>
      </c>
      <c r="G575" s="10" t="n">
        <v>400</v>
      </c>
      <c r="H575" s="15" t="n">
        <v>350</v>
      </c>
      <c r="I575" s="15" t="n">
        <v>400</v>
      </c>
      <c r="J575" s="16" t="n">
        <v>23.583</v>
      </c>
      <c r="K575" s="10" t="inlineStr">
        <is>
          <t>124</t>
        </is>
      </c>
      <c r="L575" s="16" t="n">
        <v>20.7677</v>
      </c>
      <c r="M575" s="10" t="inlineStr">
        <is>
          <t>124</t>
        </is>
      </c>
      <c r="N575" s="16" t="n">
        <v>21.414</v>
      </c>
      <c r="O575" s="16" t="n">
        <v>86.904</v>
      </c>
      <c r="P575" s="10" t="inlineStr">
        <is>
          <t>124</t>
        </is>
      </c>
      <c r="Q575" s="16" t="n">
        <v>0.1983</v>
      </c>
      <c r="R575" s="10">
        <f>MAX(MAX(1.4/'Parametros'!$B$3,0.25*SQRT('Parametros'!$B$2)/'Parametros'!$B$3)*H575*U575,(0.85*'Parametros'!$B$2/'Parametros'!$B$3)*(1-SQRT(1-2*(J575*1000000/('Parametros'!$B$5*H575*U575^2))/(0.85*'Parametros'!$B$2)))*H575*U575)</f>
        <v>399.641666666667</v>
      </c>
      <c r="S575" s="17" t="n">
        <v>3</v>
      </c>
      <c r="T575" s="18" t="n">
        <v>1</v>
      </c>
      <c r="U575" s="10">
        <f>IF(T575=1,I575-('Parametros'!$B$7+'Parametros'!$B$9+'Parametros'!$B$12/2),I575-(ROUNDUP(S575/2,0)*('Parametros'!$B$7+'Parametros'!$B$9+'Parametros'!$B$12/2)+ROUNDDOWN(S575/2,0)*('Parametros'!$B$7+'Parametros'!$B$9+'Parametros'!$B$12/2+'Parametros'!$B$12+'Parametros'!$B$10))/S575)</f>
        <v>342.55</v>
      </c>
      <c r="V575" s="10">
        <f>S575*'Parametros'!$B$8</f>
        <v>597</v>
      </c>
      <c r="W575" s="10">
        <f>'Parametros'!$B$5*V575*'Parametros'!$B$3*(U575-(V575*'Parametros'!$B$3/(0.85*'Parametros'!$B$2*H575))/2)/1000000</f>
        <v>73.905520182353</v>
      </c>
      <c r="X575" s="10" t="str">
        <f>IF(W575&gt;=J575,"CUMPLE","NO CUMPLE")</f>
        <v>CUMPLE</v>
      </c>
      <c r="Y575" s="10">
        <f>MAX(MAX(1.4/'Parametros'!$B$3,0.25*SQRT('Parametros'!$B$2)/'Parametros'!$B$3)*H575*AB575,(0.85*'Parametros'!$B$2/'Parametros'!$B$3)*(1-SQRT(1-2*(L575*1000000/('Parametros'!$B$5*H575*AB575^2))/(0.85*'Parametros'!$B$2)))*H575*AB575)</f>
        <v>399.641666666667</v>
      </c>
      <c r="Z575" s="17" t="n">
        <v>3</v>
      </c>
      <c r="AA575" s="18" t="n">
        <v>1</v>
      </c>
      <c r="AB575" s="10">
        <f>IF(AA575=1,I575-('Parametros'!$B$7+'Parametros'!$B$9+'Parametros'!$B$12/2),I575-(ROUNDUP(Z575/2,0)*('Parametros'!$B$7+'Parametros'!$B$9+'Parametros'!$B$12/2)+ROUNDDOWN(Z575/2,0)*('Parametros'!$B$7+'Parametros'!$B$9+'Parametros'!$B$12/2+'Parametros'!$B$12+'Parametros'!$B$10))/Z575)</f>
        <v>342.55</v>
      </c>
      <c r="AC575" s="10">
        <f>Z575*'Parametros'!$B$8</f>
        <v>597</v>
      </c>
      <c r="AD575" s="10">
        <f>'Parametros'!$B$5*AC575*'Parametros'!$B$3*(AB575-(AC575*'Parametros'!$B$3/(0.85*'Parametros'!$B$2*H575))/2)/1000000</f>
        <v>73.905520182353</v>
      </c>
      <c r="AE575" s="10" t="str">
        <f>IF(AD575&gt;=L575,"CUMPLE","NO CUMPLE")</f>
        <v>CUMPLE</v>
      </c>
      <c r="AF575" s="10">
        <f>V575*1.25*'Parametros'!$B$3*(U575-(V575*1.25*'Parametros'!$B$3/(0.85*'Parametros'!$B$2*H575))/2)/1000000</f>
        <v>101.467261323529</v>
      </c>
      <c r="AG575" s="10">
        <f>AC575*1.25*'Parametros'!$B$3*(AB575-(AC575*1.25*'Parametros'!$B$3/(0.85*'Parametros'!$B$2*H575))/2)/1000000</f>
        <v>101.467261323529</v>
      </c>
      <c r="AH575" s="10">
        <f>N575+(AF575+AG575)/D575</f>
        <v>99.465739479638</v>
      </c>
      <c r="AI575" s="10">
        <f>MIN(O575,MAX(N575,AH575))</f>
        <v>86.904</v>
      </c>
      <c r="AJ575" s="10">
        <f>0.17*SQRT('Parametros'!$B$2)*H575*MIN(U575,AB575)/1000</f>
        <v>107.849951281016</v>
      </c>
      <c r="AK575" s="10">
        <f>MAX(AI575/'Parametros'!$B$6-AJ575,0)</f>
        <v>8.0220487189841</v>
      </c>
      <c r="AL575" s="10">
        <f>0.66*SQRT('Parametros'!$B$2)*H575*MIN(U575,AB575)/1000</f>
        <v>418.711575561591</v>
      </c>
      <c r="AM575" s="10" t="str">
        <f>IF(AK575&lt;=AL575,"CUMPLE","NO CUMPLE")</f>
        <v>CUMPLE</v>
      </c>
      <c r="AN575" s="15" t="inlineStr">
        <is>
          <t>Nº3 cerrado</t>
        </is>
      </c>
      <c r="AO575" s="17" t="n">
        <v>2</v>
      </c>
      <c r="AP575" s="10">
        <f>ROUNDDOWN(MIN(IF(AK575=0,1000000000,AO575*'Parametros'!$B$11*'Parametros'!$B$4*MIN(U575,AB575)/(AK575*1000)),IF(AV575=0,1000000000,'Parametros'!$B$11/AV575),MIN(U575,AB575)/4,8*'Parametros'!$B$12,24*'Parametros'!$B$9,300)/10,0)*10</f>
        <v>80</v>
      </c>
      <c r="AQ575" s="10">
        <f>ROUNDDOWN(MIN(IF(AK575=0,1000000000,AO575*'Parametros'!$B$11*'Parametros'!$B$4*MIN(U575,AB575)/(AK575*1000)),IF(AV575=0,1000000000,'Parametros'!$B$11/AV575),MIN(U575,AB575)/2,600)/10,0)*10</f>
        <v>170</v>
      </c>
      <c r="AR575" s="10">
        <f>'Parametros'!$B$6*(AJ575+AO575*'Parametros'!$B$11*'Parametros'!$B$4*MIN(U575,AB575)/AP575/1000)</f>
        <v>272.415732210762</v>
      </c>
      <c r="AS575" s="10" t="str">
        <f>IF(AND(AM575="CUMPLE",AR575&gt;=AI575),"CUMPLE","NO CUMPLE")</f>
        <v>CUMPLE</v>
      </c>
      <c r="AT575" s="10">
        <f>'Parametros'!$B$6*0.083*SQRT('Parametros'!$B$2)*(H575*I575)^2/(2*(H575+I575))/1000000</f>
        <v>4.30410823283988</v>
      </c>
      <c r="AU575" s="10" t="str">
        <f>IF(Q575&lt;=AT575,"DESPRECIABLE","DISEÑAR")</f>
        <v>DESPRECIABLE</v>
      </c>
      <c r="AV575" s="10">
        <f>IF(Q575&lt;=AT575,0,Q575*1000000/('Parametros'!$B$6*2*0.85*(H575-2*'Parametros'!$B$7)*(I575-2*'Parametros'!$B$7)*'Parametros'!$B$4))</f>
        <v>0</v>
      </c>
      <c r="AW575" s="10">
        <f>AV575*2*((H575-2*'Parametros'!$B$7)+(I575-2*'Parametros'!$B$7))*'Parametros'!$B$4/'Parametros'!$B$3</f>
        <v>0</v>
      </c>
      <c r="AX575" s="17" t="n">
        <v>0</v>
      </c>
      <c r="AY575" s="10" t="str">
        <f>IF(AV575=0,"DESPRECIABLE",IF('Parametros'!$B$11/AP575&gt;=AV575,"CUMPLE","NO CUMPLE"))</f>
        <v>DESPRECIABLE</v>
      </c>
      <c r="AZ575" s="10" t="str">
        <f>IF(AND(X575="CUMPLE",AE575="CUMPLE",AS575="CUMPLE",OR(AY575="CUMPLE",AY575="DESPRECIABLE")),IF(OR(F575&lt;&gt;H575,G575&lt;&gt;I575),"CUMPLE - REANALIZAR SAP","CUMPLE"),"NO CUMPLE")</f>
        <v>CUMPLE</v>
      </c>
    </row>
    <row r="576">
      <c r="A576" s="29" t="inlineStr">
        <is>
          <t>VRAUX</t>
        </is>
      </c>
      <c r="B576" s="29" t="inlineStr">
        <is>
          <t>125</t>
        </is>
      </c>
      <c r="C576" s="10" t="n">
        <v>1</v>
      </c>
      <c r="D576" s="10" t="n">
        <v>2.5</v>
      </c>
      <c r="E576" s="10" t="n">
        <v>2.5</v>
      </c>
      <c r="F576" s="10" t="n">
        <v>350</v>
      </c>
      <c r="G576" s="10" t="n">
        <v>400</v>
      </c>
      <c r="H576" s="15" t="n">
        <v>350</v>
      </c>
      <c r="I576" s="15" t="n">
        <v>400</v>
      </c>
      <c r="J576" s="16" t="n">
        <v>25.224</v>
      </c>
      <c r="K576" s="10" t="inlineStr">
        <is>
          <t>125</t>
        </is>
      </c>
      <c r="L576" s="16" t="n">
        <v>22.916</v>
      </c>
      <c r="M576" s="10" t="inlineStr">
        <is>
          <t>125</t>
        </is>
      </c>
      <c r="N576" s="16" t="n">
        <v>23.392</v>
      </c>
      <c r="O576" s="16" t="n">
        <v>85.795</v>
      </c>
      <c r="P576" s="10" t="inlineStr">
        <is>
          <t>125</t>
        </is>
      </c>
      <c r="Q576" s="16" t="n">
        <v>3.9584</v>
      </c>
      <c r="R576" s="10">
        <f>MAX(MAX(1.4/'Parametros'!$B$3,0.25*SQRT('Parametros'!$B$2)/'Parametros'!$B$3)*H576*U576,(0.85*'Parametros'!$B$2/'Parametros'!$B$3)*(1-SQRT(1-2*(J576*1000000/('Parametros'!$B$5*H576*U576^2))/(0.85*'Parametros'!$B$2)))*H576*U576)</f>
        <v>399.641666666667</v>
      </c>
      <c r="S576" s="17" t="n">
        <v>3</v>
      </c>
      <c r="T576" s="18" t="n">
        <v>1</v>
      </c>
      <c r="U576" s="10">
        <f>IF(T576=1,I576-('Parametros'!$B$7+'Parametros'!$B$9+'Parametros'!$B$12/2),I576-(ROUNDUP(S576/2,0)*('Parametros'!$B$7+'Parametros'!$B$9+'Parametros'!$B$12/2)+ROUNDDOWN(S576/2,0)*('Parametros'!$B$7+'Parametros'!$B$9+'Parametros'!$B$12/2+'Parametros'!$B$12+'Parametros'!$B$10))/S576)</f>
        <v>342.55</v>
      </c>
      <c r="V576" s="10">
        <f>S576*'Parametros'!$B$8</f>
        <v>597</v>
      </c>
      <c r="W576" s="10">
        <f>'Parametros'!$B$5*V576*'Parametros'!$B$3*(U576-(V576*'Parametros'!$B$3/(0.85*'Parametros'!$B$2*H576))/2)/1000000</f>
        <v>73.905520182353</v>
      </c>
      <c r="X576" s="10" t="str">
        <f>IF(W576&gt;=J576,"CUMPLE","NO CUMPLE")</f>
        <v>CUMPLE</v>
      </c>
      <c r="Y576" s="10">
        <f>MAX(MAX(1.4/'Parametros'!$B$3,0.25*SQRT('Parametros'!$B$2)/'Parametros'!$B$3)*H576*AB576,(0.85*'Parametros'!$B$2/'Parametros'!$B$3)*(1-SQRT(1-2*(L576*1000000/('Parametros'!$B$5*H576*AB576^2))/(0.85*'Parametros'!$B$2)))*H576*AB576)</f>
        <v>399.641666666667</v>
      </c>
      <c r="Z576" s="17" t="n">
        <v>3</v>
      </c>
      <c r="AA576" s="18" t="n">
        <v>1</v>
      </c>
      <c r="AB576" s="10">
        <f>IF(AA576=1,I576-('Parametros'!$B$7+'Parametros'!$B$9+'Parametros'!$B$12/2),I576-(ROUNDUP(Z576/2,0)*('Parametros'!$B$7+'Parametros'!$B$9+'Parametros'!$B$12/2)+ROUNDDOWN(Z576/2,0)*('Parametros'!$B$7+'Parametros'!$B$9+'Parametros'!$B$12/2+'Parametros'!$B$12+'Parametros'!$B$10))/Z576)</f>
        <v>342.55</v>
      </c>
      <c r="AC576" s="10">
        <f>Z576*'Parametros'!$B$8</f>
        <v>597</v>
      </c>
      <c r="AD576" s="10">
        <f>'Parametros'!$B$5*AC576*'Parametros'!$B$3*(AB576-(AC576*'Parametros'!$B$3/(0.85*'Parametros'!$B$2*H576))/2)/1000000</f>
        <v>73.905520182353</v>
      </c>
      <c r="AE576" s="10" t="str">
        <f>IF(AD576&gt;=L576,"CUMPLE","NO CUMPLE")</f>
        <v>CUMPLE</v>
      </c>
      <c r="AF576" s="10">
        <f>V576*1.25*'Parametros'!$B$3*(U576-(V576*1.25*'Parametros'!$B$3/(0.85*'Parametros'!$B$2*H576))/2)/1000000</f>
        <v>101.467261323529</v>
      </c>
      <c r="AG576" s="10">
        <f>AC576*1.25*'Parametros'!$B$3*(AB576-(AC576*1.25*'Parametros'!$B$3/(0.85*'Parametros'!$B$2*H576))/2)/1000000</f>
        <v>101.467261323529</v>
      </c>
      <c r="AH576" s="10">
        <f>N576+(AF576+AG576)/D576</f>
        <v>104.565809058824</v>
      </c>
      <c r="AI576" s="10">
        <f>MIN(O576,MAX(N576,AH576))</f>
        <v>85.795</v>
      </c>
      <c r="AJ576" s="10">
        <f>0.17*SQRT('Parametros'!$B$2)*H576*MIN(U576,AB576)/1000</f>
        <v>107.849951281016</v>
      </c>
      <c r="AK576" s="10">
        <f>MAX(AI576/'Parametros'!$B$6-AJ576,0)</f>
        <v>6.54338205231743</v>
      </c>
      <c r="AL576" s="10">
        <f>0.66*SQRT('Parametros'!$B$2)*H576*MIN(U576,AB576)/1000</f>
        <v>418.711575561591</v>
      </c>
      <c r="AM576" s="10" t="str">
        <f>IF(AK576&lt;=AL576,"CUMPLE","NO CUMPLE")</f>
        <v>CUMPLE</v>
      </c>
      <c r="AN576" s="15" t="inlineStr">
        <is>
          <t>Nº3 cerrado</t>
        </is>
      </c>
      <c r="AO576" s="17" t="n">
        <v>2</v>
      </c>
      <c r="AP576" s="10">
        <f>ROUNDDOWN(MIN(IF(AK576=0,1000000000,AO576*'Parametros'!$B$11*'Parametros'!$B$4*MIN(U576,AB576)/(AK576*1000)),IF(AV576=0,1000000000,'Parametros'!$B$11/AV576),MIN(U576,AB576)/4,8*'Parametros'!$B$12,24*'Parametros'!$B$9,300)/10,0)*10</f>
        <v>80</v>
      </c>
      <c r="AQ576" s="10">
        <f>ROUNDDOWN(MIN(IF(AK576=0,1000000000,AO576*'Parametros'!$B$11*'Parametros'!$B$4*MIN(U576,AB576)/(AK576*1000)),IF(AV576=0,1000000000,'Parametros'!$B$11/AV576),MIN(U576,AB576)/2,600)/10,0)*10</f>
        <v>170</v>
      </c>
      <c r="AR576" s="10">
        <f>'Parametros'!$B$6*(AJ576+AO576*'Parametros'!$B$11*'Parametros'!$B$4*MIN(U576,AB576)/AP576/1000)</f>
        <v>272.415732210762</v>
      </c>
      <c r="AS576" s="10" t="str">
        <f>IF(AND(AM576="CUMPLE",AR576&gt;=AI576),"CUMPLE","NO CUMPLE")</f>
        <v>CUMPLE</v>
      </c>
      <c r="AT576" s="10">
        <f>'Parametros'!$B$6*0.083*SQRT('Parametros'!$B$2)*(H576*I576)^2/(2*(H576+I576))/1000000</f>
        <v>4.30410823283988</v>
      </c>
      <c r="AU576" s="10" t="str">
        <f>IF(Q576&lt;=AT576,"DESPRECIABLE","DISEÑAR")</f>
        <v>DESPRECIABLE</v>
      </c>
      <c r="AV576" s="10">
        <f>IF(Q576&lt;=AT576,0,Q576*1000000/('Parametros'!$B$6*2*0.85*(H576-2*'Parametros'!$B$7)*(I576-2*'Parametros'!$B$7)*'Parametros'!$B$4))</f>
        <v>0</v>
      </c>
      <c r="AW576" s="10">
        <f>AV576*2*((H576-2*'Parametros'!$B$7)+(I576-2*'Parametros'!$B$7))*'Parametros'!$B$4/'Parametros'!$B$3</f>
        <v>0</v>
      </c>
      <c r="AX576" s="17" t="n">
        <v>0</v>
      </c>
      <c r="AY576" s="10" t="str">
        <f>IF(AV576=0,"DESPRECIABLE",IF('Parametros'!$B$11/AP576&gt;=AV576,"CUMPLE","NO CUMPLE"))</f>
        <v>DESPRECIABLE</v>
      </c>
      <c r="AZ576" s="10" t="str">
        <f>IF(AND(X576="CUMPLE",AE576="CUMPLE",AS576="CUMPLE",OR(AY576="CUMPLE",AY576="DESPRECIABLE")),IF(OR(F576&lt;&gt;H576,G576&lt;&gt;I576),"CUMPLE - REANALIZAR SAP","CUMPLE"),"NO CUMPLE")</f>
        <v>CUMPLE</v>
      </c>
    </row>
    <row r="577">
      <c r="A577" s="29" t="inlineStr">
        <is>
          <t>VRAUX</t>
        </is>
      </c>
      <c r="B577" s="29" t="inlineStr">
        <is>
          <t>126</t>
        </is>
      </c>
      <c r="C577" s="10" t="n">
        <v>1</v>
      </c>
      <c r="D577" s="10" t="n">
        <v>2.5</v>
      </c>
      <c r="E577" s="10" t="n">
        <v>2.5</v>
      </c>
      <c r="F577" s="10" t="n">
        <v>350</v>
      </c>
      <c r="G577" s="10" t="n">
        <v>400</v>
      </c>
      <c r="H577" s="15" t="n">
        <v>350</v>
      </c>
      <c r="I577" s="15" t="n">
        <v>400</v>
      </c>
      <c r="J577" s="16" t="n">
        <v>25.1372</v>
      </c>
      <c r="K577" s="10" t="inlineStr">
        <is>
          <t>126</t>
        </is>
      </c>
      <c r="L577" s="16" t="n">
        <v>22.9103</v>
      </c>
      <c r="M577" s="10" t="inlineStr">
        <is>
          <t>126</t>
        </is>
      </c>
      <c r="N577" s="16" t="n">
        <v>23.352</v>
      </c>
      <c r="O577" s="16" t="n">
        <v>85.75</v>
      </c>
      <c r="P577" s="10" t="inlineStr">
        <is>
          <t>126</t>
        </is>
      </c>
      <c r="Q577" s="16" t="n">
        <v>3.9506</v>
      </c>
      <c r="R577" s="10">
        <f>MAX(MAX(1.4/'Parametros'!$B$3,0.25*SQRT('Parametros'!$B$2)/'Parametros'!$B$3)*H577*U577,(0.85*'Parametros'!$B$2/'Parametros'!$B$3)*(1-SQRT(1-2*(J577*1000000/('Parametros'!$B$5*H577*U577^2))/(0.85*'Parametros'!$B$2)))*H577*U577)</f>
        <v>399.641666666667</v>
      </c>
      <c r="S577" s="17" t="n">
        <v>3</v>
      </c>
      <c r="T577" s="18" t="n">
        <v>1</v>
      </c>
      <c r="U577" s="10">
        <f>IF(T577=1,I577-('Parametros'!$B$7+'Parametros'!$B$9+'Parametros'!$B$12/2),I577-(ROUNDUP(S577/2,0)*('Parametros'!$B$7+'Parametros'!$B$9+'Parametros'!$B$12/2)+ROUNDDOWN(S577/2,0)*('Parametros'!$B$7+'Parametros'!$B$9+'Parametros'!$B$12/2+'Parametros'!$B$12+'Parametros'!$B$10))/S577)</f>
        <v>342.55</v>
      </c>
      <c r="V577" s="10">
        <f>S577*'Parametros'!$B$8</f>
        <v>597</v>
      </c>
      <c r="W577" s="10">
        <f>'Parametros'!$B$5*V577*'Parametros'!$B$3*(U577-(V577*'Parametros'!$B$3/(0.85*'Parametros'!$B$2*H577))/2)/1000000</f>
        <v>73.905520182353</v>
      </c>
      <c r="X577" s="10" t="str">
        <f>IF(W577&gt;=J577,"CUMPLE","NO CUMPLE")</f>
        <v>CUMPLE</v>
      </c>
      <c r="Y577" s="10">
        <f>MAX(MAX(1.4/'Parametros'!$B$3,0.25*SQRT('Parametros'!$B$2)/'Parametros'!$B$3)*H577*AB577,(0.85*'Parametros'!$B$2/'Parametros'!$B$3)*(1-SQRT(1-2*(L577*1000000/('Parametros'!$B$5*H577*AB577^2))/(0.85*'Parametros'!$B$2)))*H577*AB577)</f>
        <v>399.641666666667</v>
      </c>
      <c r="Z577" s="17" t="n">
        <v>3</v>
      </c>
      <c r="AA577" s="18" t="n">
        <v>1</v>
      </c>
      <c r="AB577" s="10">
        <f>IF(AA577=1,I577-('Parametros'!$B$7+'Parametros'!$B$9+'Parametros'!$B$12/2),I577-(ROUNDUP(Z577/2,0)*('Parametros'!$B$7+'Parametros'!$B$9+'Parametros'!$B$12/2)+ROUNDDOWN(Z577/2,0)*('Parametros'!$B$7+'Parametros'!$B$9+'Parametros'!$B$12/2+'Parametros'!$B$12+'Parametros'!$B$10))/Z577)</f>
        <v>342.55</v>
      </c>
      <c r="AC577" s="10">
        <f>Z577*'Parametros'!$B$8</f>
        <v>597</v>
      </c>
      <c r="AD577" s="10">
        <f>'Parametros'!$B$5*AC577*'Parametros'!$B$3*(AB577-(AC577*'Parametros'!$B$3/(0.85*'Parametros'!$B$2*H577))/2)/1000000</f>
        <v>73.905520182353</v>
      </c>
      <c r="AE577" s="10" t="str">
        <f>IF(AD577&gt;=L577,"CUMPLE","NO CUMPLE")</f>
        <v>CUMPLE</v>
      </c>
      <c r="AF577" s="10">
        <f>V577*1.25*'Parametros'!$B$3*(U577-(V577*1.25*'Parametros'!$B$3/(0.85*'Parametros'!$B$2*H577))/2)/1000000</f>
        <v>101.467261323529</v>
      </c>
      <c r="AG577" s="10">
        <f>AC577*1.25*'Parametros'!$B$3*(AB577-(AC577*1.25*'Parametros'!$B$3/(0.85*'Parametros'!$B$2*H577))/2)/1000000</f>
        <v>101.467261323529</v>
      </c>
      <c r="AH577" s="10">
        <f>N577+(AF577+AG577)/D577</f>
        <v>104.525809058824</v>
      </c>
      <c r="AI577" s="10">
        <f>MIN(O577,MAX(N577,AH577))</f>
        <v>85.75</v>
      </c>
      <c r="AJ577" s="10">
        <f>0.17*SQRT('Parametros'!$B$2)*H577*MIN(U577,AB577)/1000</f>
        <v>107.849951281016</v>
      </c>
      <c r="AK577" s="10">
        <f>MAX(AI577/'Parametros'!$B$6-AJ577,0)</f>
        <v>6.48338205231742</v>
      </c>
      <c r="AL577" s="10">
        <f>0.66*SQRT('Parametros'!$B$2)*H577*MIN(U577,AB577)/1000</f>
        <v>418.711575561591</v>
      </c>
      <c r="AM577" s="10" t="str">
        <f>IF(AK577&lt;=AL577,"CUMPLE","NO CUMPLE")</f>
        <v>CUMPLE</v>
      </c>
      <c r="AN577" s="15" t="inlineStr">
        <is>
          <t>Nº3 cerrado</t>
        </is>
      </c>
      <c r="AO577" s="17" t="n">
        <v>2</v>
      </c>
      <c r="AP577" s="10">
        <f>ROUNDDOWN(MIN(IF(AK577=0,1000000000,AO577*'Parametros'!$B$11*'Parametros'!$B$4*MIN(U577,AB577)/(AK577*1000)),IF(AV577=0,1000000000,'Parametros'!$B$11/AV577),MIN(U577,AB577)/4,8*'Parametros'!$B$12,24*'Parametros'!$B$9,300)/10,0)*10</f>
        <v>80</v>
      </c>
      <c r="AQ577" s="10">
        <f>ROUNDDOWN(MIN(IF(AK577=0,1000000000,AO577*'Parametros'!$B$11*'Parametros'!$B$4*MIN(U577,AB577)/(AK577*1000)),IF(AV577=0,1000000000,'Parametros'!$B$11/AV577),MIN(U577,AB577)/2,600)/10,0)*10</f>
        <v>170</v>
      </c>
      <c r="AR577" s="10">
        <f>'Parametros'!$B$6*(AJ577+AO577*'Parametros'!$B$11*'Parametros'!$B$4*MIN(U577,AB577)/AP577/1000)</f>
        <v>272.415732210762</v>
      </c>
      <c r="AS577" s="10" t="str">
        <f>IF(AND(AM577="CUMPLE",AR577&gt;=AI577),"CUMPLE","NO CUMPLE")</f>
        <v>CUMPLE</v>
      </c>
      <c r="AT577" s="10">
        <f>'Parametros'!$B$6*0.083*SQRT('Parametros'!$B$2)*(H577*I577)^2/(2*(H577+I577))/1000000</f>
        <v>4.30410823283988</v>
      </c>
      <c r="AU577" s="10" t="str">
        <f>IF(Q577&lt;=AT577,"DESPRECIABLE","DISEÑAR")</f>
        <v>DESPRECIABLE</v>
      </c>
      <c r="AV577" s="10">
        <f>IF(Q577&lt;=AT577,0,Q577*1000000/('Parametros'!$B$6*2*0.85*(H577-2*'Parametros'!$B$7)*(I577-2*'Parametros'!$B$7)*'Parametros'!$B$4))</f>
        <v>0</v>
      </c>
      <c r="AW577" s="10">
        <f>AV577*2*((H577-2*'Parametros'!$B$7)+(I577-2*'Parametros'!$B$7))*'Parametros'!$B$4/'Parametros'!$B$3</f>
        <v>0</v>
      </c>
      <c r="AX577" s="17" t="n">
        <v>0</v>
      </c>
      <c r="AY577" s="10" t="str">
        <f>IF(AV577=0,"DESPRECIABLE",IF('Parametros'!$B$11/AP577&gt;=AV577,"CUMPLE","NO CUMPLE"))</f>
        <v>DESPRECIABLE</v>
      </c>
      <c r="AZ577" s="10" t="str">
        <f>IF(AND(X577="CUMPLE",AE577="CUMPLE",AS577="CUMPLE",OR(AY577="CUMPLE",AY577="DESPRECIABLE")),IF(OR(F577&lt;&gt;H577,G577&lt;&gt;I577),"CUMPLE - REANALIZAR SAP","CUMPLE"),"NO CUMPLE")</f>
        <v>CUMPLE</v>
      </c>
    </row>
    <row r="578">
      <c r="A578" s="29" t="inlineStr">
        <is>
          <t>VRAUX</t>
        </is>
      </c>
      <c r="B578" s="29" t="inlineStr">
        <is>
          <t>127</t>
        </is>
      </c>
      <c r="C578" s="10" t="n">
        <v>1</v>
      </c>
      <c r="D578" s="10" t="n">
        <v>2.5</v>
      </c>
      <c r="E578" s="10" t="n">
        <v>2.5</v>
      </c>
      <c r="F578" s="10" t="n">
        <v>350</v>
      </c>
      <c r="G578" s="10" t="n">
        <v>400</v>
      </c>
      <c r="H578" s="15" t="n">
        <v>350</v>
      </c>
      <c r="I578" s="15" t="n">
        <v>400</v>
      </c>
      <c r="J578" s="16" t="n">
        <v>25.1176</v>
      </c>
      <c r="K578" s="10" t="inlineStr">
        <is>
          <t>127</t>
        </is>
      </c>
      <c r="L578" s="16" t="n">
        <v>22.8921</v>
      </c>
      <c r="M578" s="10" t="inlineStr">
        <is>
          <t>127</t>
        </is>
      </c>
      <c r="N578" s="16" t="n">
        <v>23.331</v>
      </c>
      <c r="O578" s="16" t="n">
        <v>85.73</v>
      </c>
      <c r="P578" s="10" t="inlineStr">
        <is>
          <t>127</t>
        </is>
      </c>
      <c r="Q578" s="16" t="n">
        <v>3.9486</v>
      </c>
      <c r="R578" s="10">
        <f>MAX(MAX(1.4/'Parametros'!$B$3,0.25*SQRT('Parametros'!$B$2)/'Parametros'!$B$3)*H578*U578,(0.85*'Parametros'!$B$2/'Parametros'!$B$3)*(1-SQRT(1-2*(J578*1000000/('Parametros'!$B$5*H578*U578^2))/(0.85*'Parametros'!$B$2)))*H578*U578)</f>
        <v>399.641666666667</v>
      </c>
      <c r="S578" s="17" t="n">
        <v>3</v>
      </c>
      <c r="T578" s="18" t="n">
        <v>1</v>
      </c>
      <c r="U578" s="10">
        <f>IF(T578=1,I578-('Parametros'!$B$7+'Parametros'!$B$9+'Parametros'!$B$12/2),I578-(ROUNDUP(S578/2,0)*('Parametros'!$B$7+'Parametros'!$B$9+'Parametros'!$B$12/2)+ROUNDDOWN(S578/2,0)*('Parametros'!$B$7+'Parametros'!$B$9+'Parametros'!$B$12/2+'Parametros'!$B$12+'Parametros'!$B$10))/S578)</f>
        <v>342.55</v>
      </c>
      <c r="V578" s="10">
        <f>S578*'Parametros'!$B$8</f>
        <v>597</v>
      </c>
      <c r="W578" s="10">
        <f>'Parametros'!$B$5*V578*'Parametros'!$B$3*(U578-(V578*'Parametros'!$B$3/(0.85*'Parametros'!$B$2*H578))/2)/1000000</f>
        <v>73.905520182353</v>
      </c>
      <c r="X578" s="10" t="str">
        <f>IF(W578&gt;=J578,"CUMPLE","NO CUMPLE")</f>
        <v>CUMPLE</v>
      </c>
      <c r="Y578" s="10">
        <f>MAX(MAX(1.4/'Parametros'!$B$3,0.25*SQRT('Parametros'!$B$2)/'Parametros'!$B$3)*H578*AB578,(0.85*'Parametros'!$B$2/'Parametros'!$B$3)*(1-SQRT(1-2*(L578*1000000/('Parametros'!$B$5*H578*AB578^2))/(0.85*'Parametros'!$B$2)))*H578*AB578)</f>
        <v>399.641666666667</v>
      </c>
      <c r="Z578" s="17" t="n">
        <v>3</v>
      </c>
      <c r="AA578" s="18" t="n">
        <v>1</v>
      </c>
      <c r="AB578" s="10">
        <f>IF(AA578=1,I578-('Parametros'!$B$7+'Parametros'!$B$9+'Parametros'!$B$12/2),I578-(ROUNDUP(Z578/2,0)*('Parametros'!$B$7+'Parametros'!$B$9+'Parametros'!$B$12/2)+ROUNDDOWN(Z578/2,0)*('Parametros'!$B$7+'Parametros'!$B$9+'Parametros'!$B$12/2+'Parametros'!$B$12+'Parametros'!$B$10))/Z578)</f>
        <v>342.55</v>
      </c>
      <c r="AC578" s="10">
        <f>Z578*'Parametros'!$B$8</f>
        <v>597</v>
      </c>
      <c r="AD578" s="10">
        <f>'Parametros'!$B$5*AC578*'Parametros'!$B$3*(AB578-(AC578*'Parametros'!$B$3/(0.85*'Parametros'!$B$2*H578))/2)/1000000</f>
        <v>73.905520182353</v>
      </c>
      <c r="AE578" s="10" t="str">
        <f>IF(AD578&gt;=L578,"CUMPLE","NO CUMPLE")</f>
        <v>CUMPLE</v>
      </c>
      <c r="AF578" s="10">
        <f>V578*1.25*'Parametros'!$B$3*(U578-(V578*1.25*'Parametros'!$B$3/(0.85*'Parametros'!$B$2*H578))/2)/1000000</f>
        <v>101.467261323529</v>
      </c>
      <c r="AG578" s="10">
        <f>AC578*1.25*'Parametros'!$B$3*(AB578-(AC578*1.25*'Parametros'!$B$3/(0.85*'Parametros'!$B$2*H578))/2)/1000000</f>
        <v>101.467261323529</v>
      </c>
      <c r="AH578" s="10">
        <f>N578+(AF578+AG578)/D578</f>
        <v>104.504809058824</v>
      </c>
      <c r="AI578" s="10">
        <f>MIN(O578,MAX(N578,AH578))</f>
        <v>85.73</v>
      </c>
      <c r="AJ578" s="10">
        <f>0.17*SQRT('Parametros'!$B$2)*H578*MIN(U578,AB578)/1000</f>
        <v>107.849951281016</v>
      </c>
      <c r="AK578" s="10">
        <f>MAX(AI578/'Parametros'!$B$6-AJ578,0)</f>
        <v>6.45671538565077</v>
      </c>
      <c r="AL578" s="10">
        <f>0.66*SQRT('Parametros'!$B$2)*H578*MIN(U578,AB578)/1000</f>
        <v>418.711575561591</v>
      </c>
      <c r="AM578" s="10" t="str">
        <f>IF(AK578&lt;=AL578,"CUMPLE","NO CUMPLE")</f>
        <v>CUMPLE</v>
      </c>
      <c r="AN578" s="15" t="inlineStr">
        <is>
          <t>Nº3 cerrado</t>
        </is>
      </c>
      <c r="AO578" s="17" t="n">
        <v>2</v>
      </c>
      <c r="AP578" s="10">
        <f>ROUNDDOWN(MIN(IF(AK578=0,1000000000,AO578*'Parametros'!$B$11*'Parametros'!$B$4*MIN(U578,AB578)/(AK578*1000)),IF(AV578=0,1000000000,'Parametros'!$B$11/AV578),MIN(U578,AB578)/4,8*'Parametros'!$B$12,24*'Parametros'!$B$9,300)/10,0)*10</f>
        <v>80</v>
      </c>
      <c r="AQ578" s="10">
        <f>ROUNDDOWN(MIN(IF(AK578=0,1000000000,AO578*'Parametros'!$B$11*'Parametros'!$B$4*MIN(U578,AB578)/(AK578*1000)),IF(AV578=0,1000000000,'Parametros'!$B$11/AV578),MIN(U578,AB578)/2,600)/10,0)*10</f>
        <v>170</v>
      </c>
      <c r="AR578" s="10">
        <f>'Parametros'!$B$6*(AJ578+AO578*'Parametros'!$B$11*'Parametros'!$B$4*MIN(U578,AB578)/AP578/1000)</f>
        <v>272.415732210762</v>
      </c>
      <c r="AS578" s="10" t="str">
        <f>IF(AND(AM578="CUMPLE",AR578&gt;=AI578),"CUMPLE","NO CUMPLE")</f>
        <v>CUMPLE</v>
      </c>
      <c r="AT578" s="10">
        <f>'Parametros'!$B$6*0.083*SQRT('Parametros'!$B$2)*(H578*I578)^2/(2*(H578+I578))/1000000</f>
        <v>4.30410823283988</v>
      </c>
      <c r="AU578" s="10" t="str">
        <f>IF(Q578&lt;=AT578,"DESPRECIABLE","DISEÑAR")</f>
        <v>DESPRECIABLE</v>
      </c>
      <c r="AV578" s="10">
        <f>IF(Q578&lt;=AT578,0,Q578*1000000/('Parametros'!$B$6*2*0.85*(H578-2*'Parametros'!$B$7)*(I578-2*'Parametros'!$B$7)*'Parametros'!$B$4))</f>
        <v>0</v>
      </c>
      <c r="AW578" s="10">
        <f>AV578*2*((H578-2*'Parametros'!$B$7)+(I578-2*'Parametros'!$B$7))*'Parametros'!$B$4/'Parametros'!$B$3</f>
        <v>0</v>
      </c>
      <c r="AX578" s="17" t="n">
        <v>0</v>
      </c>
      <c r="AY578" s="10" t="str">
        <f>IF(AV578=0,"DESPRECIABLE",IF('Parametros'!$B$11/AP578&gt;=AV578,"CUMPLE","NO CUMPLE"))</f>
        <v>DESPRECIABLE</v>
      </c>
      <c r="AZ578" s="10" t="str">
        <f>IF(AND(X578="CUMPLE",AE578="CUMPLE",AS578="CUMPLE",OR(AY578="CUMPLE",AY578="DESPRECIABLE")),IF(OR(F578&lt;&gt;H578,G578&lt;&gt;I578),"CUMPLE - REANALIZAR SAP","CUMPLE"),"NO CUMPLE")</f>
        <v>CUMPLE</v>
      </c>
    </row>
    <row r="579">
      <c r="A579" s="29" t="inlineStr">
        <is>
          <t>VRAUX</t>
        </is>
      </c>
      <c r="B579" s="29" t="inlineStr">
        <is>
          <t>128</t>
        </is>
      </c>
      <c r="C579" s="10" t="n">
        <v>1</v>
      </c>
      <c r="D579" s="10" t="n">
        <v>2.5</v>
      </c>
      <c r="E579" s="10" t="n">
        <v>2.5</v>
      </c>
      <c r="F579" s="10" t="n">
        <v>350</v>
      </c>
      <c r="G579" s="10" t="n">
        <v>400</v>
      </c>
      <c r="H579" s="15" t="n">
        <v>350</v>
      </c>
      <c r="I579" s="15" t="n">
        <v>400</v>
      </c>
      <c r="J579" s="16" t="n">
        <v>25.192</v>
      </c>
      <c r="K579" s="10" t="inlineStr">
        <is>
          <t>128</t>
        </is>
      </c>
      <c r="L579" s="16" t="n">
        <v>22.8968</v>
      </c>
      <c r="M579" s="10" t="inlineStr">
        <is>
          <t>128</t>
        </is>
      </c>
      <c r="N579" s="16" t="n">
        <v>23.366</v>
      </c>
      <c r="O579" s="16" t="n">
        <v>85.771</v>
      </c>
      <c r="P579" s="10" t="inlineStr">
        <is>
          <t>128</t>
        </is>
      </c>
      <c r="Q579" s="16" t="n">
        <v>3.9564</v>
      </c>
      <c r="R579" s="10">
        <f>MAX(MAX(1.4/'Parametros'!$B$3,0.25*SQRT('Parametros'!$B$2)/'Parametros'!$B$3)*H579*U579,(0.85*'Parametros'!$B$2/'Parametros'!$B$3)*(1-SQRT(1-2*(J579*1000000/('Parametros'!$B$5*H579*U579^2))/(0.85*'Parametros'!$B$2)))*H579*U579)</f>
        <v>399.641666666667</v>
      </c>
      <c r="S579" s="17" t="n">
        <v>3</v>
      </c>
      <c r="T579" s="18" t="n">
        <v>1</v>
      </c>
      <c r="U579" s="10">
        <f>IF(T579=1,I579-('Parametros'!$B$7+'Parametros'!$B$9+'Parametros'!$B$12/2),I579-(ROUNDUP(S579/2,0)*('Parametros'!$B$7+'Parametros'!$B$9+'Parametros'!$B$12/2)+ROUNDDOWN(S579/2,0)*('Parametros'!$B$7+'Parametros'!$B$9+'Parametros'!$B$12/2+'Parametros'!$B$12+'Parametros'!$B$10))/S579)</f>
        <v>342.55</v>
      </c>
      <c r="V579" s="10">
        <f>S579*'Parametros'!$B$8</f>
        <v>597</v>
      </c>
      <c r="W579" s="10">
        <f>'Parametros'!$B$5*V579*'Parametros'!$B$3*(U579-(V579*'Parametros'!$B$3/(0.85*'Parametros'!$B$2*H579))/2)/1000000</f>
        <v>73.905520182353</v>
      </c>
      <c r="X579" s="10" t="str">
        <f>IF(W579&gt;=J579,"CUMPLE","NO CUMPLE")</f>
        <v>CUMPLE</v>
      </c>
      <c r="Y579" s="10">
        <f>MAX(MAX(1.4/'Parametros'!$B$3,0.25*SQRT('Parametros'!$B$2)/'Parametros'!$B$3)*H579*AB579,(0.85*'Parametros'!$B$2/'Parametros'!$B$3)*(1-SQRT(1-2*(L579*1000000/('Parametros'!$B$5*H579*AB579^2))/(0.85*'Parametros'!$B$2)))*H579*AB579)</f>
        <v>399.641666666667</v>
      </c>
      <c r="Z579" s="17" t="n">
        <v>3</v>
      </c>
      <c r="AA579" s="18" t="n">
        <v>1</v>
      </c>
      <c r="AB579" s="10">
        <f>IF(AA579=1,I579-('Parametros'!$B$7+'Parametros'!$B$9+'Parametros'!$B$12/2),I579-(ROUNDUP(Z579/2,0)*('Parametros'!$B$7+'Parametros'!$B$9+'Parametros'!$B$12/2)+ROUNDDOWN(Z579/2,0)*('Parametros'!$B$7+'Parametros'!$B$9+'Parametros'!$B$12/2+'Parametros'!$B$12+'Parametros'!$B$10))/Z579)</f>
        <v>342.55</v>
      </c>
      <c r="AC579" s="10">
        <f>Z579*'Parametros'!$B$8</f>
        <v>597</v>
      </c>
      <c r="AD579" s="10">
        <f>'Parametros'!$B$5*AC579*'Parametros'!$B$3*(AB579-(AC579*'Parametros'!$B$3/(0.85*'Parametros'!$B$2*H579))/2)/1000000</f>
        <v>73.905520182353</v>
      </c>
      <c r="AE579" s="10" t="str">
        <f>IF(AD579&gt;=L579,"CUMPLE","NO CUMPLE")</f>
        <v>CUMPLE</v>
      </c>
      <c r="AF579" s="10">
        <f>V579*1.25*'Parametros'!$B$3*(U579-(V579*1.25*'Parametros'!$B$3/(0.85*'Parametros'!$B$2*H579))/2)/1000000</f>
        <v>101.467261323529</v>
      </c>
      <c r="AG579" s="10">
        <f>AC579*1.25*'Parametros'!$B$3*(AB579-(AC579*1.25*'Parametros'!$B$3/(0.85*'Parametros'!$B$2*H579))/2)/1000000</f>
        <v>101.467261323529</v>
      </c>
      <c r="AH579" s="10">
        <f>N579+(AF579+AG579)/D579</f>
        <v>104.539809058824</v>
      </c>
      <c r="AI579" s="10">
        <f>MIN(O579,MAX(N579,AH579))</f>
        <v>85.771</v>
      </c>
      <c r="AJ579" s="10">
        <f>0.17*SQRT('Parametros'!$B$2)*H579*MIN(U579,AB579)/1000</f>
        <v>107.849951281016</v>
      </c>
      <c r="AK579" s="10">
        <f>MAX(AI579/'Parametros'!$B$6-AJ579,0)</f>
        <v>6.51138205231743</v>
      </c>
      <c r="AL579" s="10">
        <f>0.66*SQRT('Parametros'!$B$2)*H579*MIN(U579,AB579)/1000</f>
        <v>418.711575561591</v>
      </c>
      <c r="AM579" s="10" t="str">
        <f>IF(AK579&lt;=AL579,"CUMPLE","NO CUMPLE")</f>
        <v>CUMPLE</v>
      </c>
      <c r="AN579" s="15" t="inlineStr">
        <is>
          <t>Nº3 cerrado</t>
        </is>
      </c>
      <c r="AO579" s="17" t="n">
        <v>2</v>
      </c>
      <c r="AP579" s="10">
        <f>ROUNDDOWN(MIN(IF(AK579=0,1000000000,AO579*'Parametros'!$B$11*'Parametros'!$B$4*MIN(U579,AB579)/(AK579*1000)),IF(AV579=0,1000000000,'Parametros'!$B$11/AV579),MIN(U579,AB579)/4,8*'Parametros'!$B$12,24*'Parametros'!$B$9,300)/10,0)*10</f>
        <v>80</v>
      </c>
      <c r="AQ579" s="10">
        <f>ROUNDDOWN(MIN(IF(AK579=0,1000000000,AO579*'Parametros'!$B$11*'Parametros'!$B$4*MIN(U579,AB579)/(AK579*1000)),IF(AV579=0,1000000000,'Parametros'!$B$11/AV579),MIN(U579,AB579)/2,600)/10,0)*10</f>
        <v>170</v>
      </c>
      <c r="AR579" s="10">
        <f>'Parametros'!$B$6*(AJ579+AO579*'Parametros'!$B$11*'Parametros'!$B$4*MIN(U579,AB579)/AP579/1000)</f>
        <v>272.415732210762</v>
      </c>
      <c r="AS579" s="10" t="str">
        <f>IF(AND(AM579="CUMPLE",AR579&gt;=AI579),"CUMPLE","NO CUMPLE")</f>
        <v>CUMPLE</v>
      </c>
      <c r="AT579" s="10">
        <f>'Parametros'!$B$6*0.083*SQRT('Parametros'!$B$2)*(H579*I579)^2/(2*(H579+I579))/1000000</f>
        <v>4.30410823283988</v>
      </c>
      <c r="AU579" s="10" t="str">
        <f>IF(Q579&lt;=AT579,"DESPRECIABLE","DISEÑAR")</f>
        <v>DESPRECIABLE</v>
      </c>
      <c r="AV579" s="10">
        <f>IF(Q579&lt;=AT579,0,Q579*1000000/('Parametros'!$B$6*2*0.85*(H579-2*'Parametros'!$B$7)*(I579-2*'Parametros'!$B$7)*'Parametros'!$B$4))</f>
        <v>0</v>
      </c>
      <c r="AW579" s="10">
        <f>AV579*2*((H579-2*'Parametros'!$B$7)+(I579-2*'Parametros'!$B$7))*'Parametros'!$B$4/'Parametros'!$B$3</f>
        <v>0</v>
      </c>
      <c r="AX579" s="17" t="n">
        <v>0</v>
      </c>
      <c r="AY579" s="10" t="str">
        <f>IF(AV579=0,"DESPRECIABLE",IF('Parametros'!$B$11/AP579&gt;=AV579,"CUMPLE","NO CUMPLE"))</f>
        <v>DESPRECIABLE</v>
      </c>
      <c r="AZ579" s="10" t="str">
        <f>IF(AND(X579="CUMPLE",AE579="CUMPLE",AS579="CUMPLE",OR(AY579="CUMPLE",AY579="DESPRECIABLE")),IF(OR(F579&lt;&gt;H579,G579&lt;&gt;I579),"CUMPLE - REANALIZAR SAP","CUMPLE"),"NO CUMPLE")</f>
        <v>CUMPLE</v>
      </c>
    </row>
    <row r="580">
      <c r="A580" s="29" t="inlineStr">
        <is>
          <t>VRAUX</t>
        </is>
      </c>
      <c r="B580" s="29" t="inlineStr">
        <is>
          <t>129</t>
        </is>
      </c>
      <c r="C580" s="10" t="n">
        <v>1</v>
      </c>
      <c r="D580" s="10" t="n">
        <v>2.6</v>
      </c>
      <c r="E580" s="10" t="n">
        <v>2.6</v>
      </c>
      <c r="F580" s="10" t="n">
        <v>350</v>
      </c>
      <c r="G580" s="10" t="n">
        <v>400</v>
      </c>
      <c r="H580" s="15" t="n">
        <v>350</v>
      </c>
      <c r="I580" s="15" t="n">
        <v>400</v>
      </c>
      <c r="J580" s="16" t="n">
        <v>16.1432</v>
      </c>
      <c r="K580" s="10" t="inlineStr">
        <is>
          <t>129</t>
        </is>
      </c>
      <c r="L580" s="16" t="n">
        <v>12.8895</v>
      </c>
      <c r="M580" s="10" t="inlineStr">
        <is>
          <t>129</t>
        </is>
      </c>
      <c r="N580" s="16" t="n">
        <v>15.577</v>
      </c>
      <c r="O580" s="16" t="n">
        <v>56.528</v>
      </c>
      <c r="P580" s="10" t="inlineStr">
        <is>
          <t>129</t>
        </is>
      </c>
      <c r="Q580" s="16" t="n">
        <v>0.2234</v>
      </c>
      <c r="R580" s="10">
        <f>MAX(MAX(1.4/'Parametros'!$B$3,0.25*SQRT('Parametros'!$B$2)/'Parametros'!$B$3)*H580*U580,(0.85*'Parametros'!$B$2/'Parametros'!$B$3)*(1-SQRT(1-2*(J580*1000000/('Parametros'!$B$5*H580*U580^2))/(0.85*'Parametros'!$B$2)))*H580*U580)</f>
        <v>399.641666666667</v>
      </c>
      <c r="S580" s="17" t="n">
        <v>3</v>
      </c>
      <c r="T580" s="18" t="n">
        <v>1</v>
      </c>
      <c r="U580" s="10">
        <f>IF(T580=1,I580-('Parametros'!$B$7+'Parametros'!$B$9+'Parametros'!$B$12/2),I580-(ROUNDUP(S580/2,0)*('Parametros'!$B$7+'Parametros'!$B$9+'Parametros'!$B$12/2)+ROUNDDOWN(S580/2,0)*('Parametros'!$B$7+'Parametros'!$B$9+'Parametros'!$B$12/2+'Parametros'!$B$12+'Parametros'!$B$10))/S580)</f>
        <v>342.55</v>
      </c>
      <c r="V580" s="10">
        <f>S580*'Parametros'!$B$8</f>
        <v>597</v>
      </c>
      <c r="W580" s="10">
        <f>'Parametros'!$B$5*V580*'Parametros'!$B$3*(U580-(V580*'Parametros'!$B$3/(0.85*'Parametros'!$B$2*H580))/2)/1000000</f>
        <v>73.905520182353</v>
      </c>
      <c r="X580" s="10" t="str">
        <f>IF(W580&gt;=J580,"CUMPLE","NO CUMPLE")</f>
        <v>CUMPLE</v>
      </c>
      <c r="Y580" s="10">
        <f>MAX(MAX(1.4/'Parametros'!$B$3,0.25*SQRT('Parametros'!$B$2)/'Parametros'!$B$3)*H580*AB580,(0.85*'Parametros'!$B$2/'Parametros'!$B$3)*(1-SQRT(1-2*(L580*1000000/('Parametros'!$B$5*H580*AB580^2))/(0.85*'Parametros'!$B$2)))*H580*AB580)</f>
        <v>399.641666666667</v>
      </c>
      <c r="Z580" s="17" t="n">
        <v>3</v>
      </c>
      <c r="AA580" s="18" t="n">
        <v>1</v>
      </c>
      <c r="AB580" s="10">
        <f>IF(AA580=1,I580-('Parametros'!$B$7+'Parametros'!$B$9+'Parametros'!$B$12/2),I580-(ROUNDUP(Z580/2,0)*('Parametros'!$B$7+'Parametros'!$B$9+'Parametros'!$B$12/2)+ROUNDDOWN(Z580/2,0)*('Parametros'!$B$7+'Parametros'!$B$9+'Parametros'!$B$12/2+'Parametros'!$B$12+'Parametros'!$B$10))/Z580)</f>
        <v>342.55</v>
      </c>
      <c r="AC580" s="10">
        <f>Z580*'Parametros'!$B$8</f>
        <v>597</v>
      </c>
      <c r="AD580" s="10">
        <f>'Parametros'!$B$5*AC580*'Parametros'!$B$3*(AB580-(AC580*'Parametros'!$B$3/(0.85*'Parametros'!$B$2*H580))/2)/1000000</f>
        <v>73.905520182353</v>
      </c>
      <c r="AE580" s="10" t="str">
        <f>IF(AD580&gt;=L580,"CUMPLE","NO CUMPLE")</f>
        <v>CUMPLE</v>
      </c>
      <c r="AF580" s="10">
        <f>V580*1.25*'Parametros'!$B$3*(U580-(V580*1.25*'Parametros'!$B$3/(0.85*'Parametros'!$B$2*H580))/2)/1000000</f>
        <v>101.467261323529</v>
      </c>
      <c r="AG580" s="10">
        <f>AC580*1.25*'Parametros'!$B$3*(AB580-(AC580*1.25*'Parametros'!$B$3/(0.85*'Parametros'!$B$2*H580))/2)/1000000</f>
        <v>101.467261323529</v>
      </c>
      <c r="AH580" s="10">
        <f>N580+(AF580+AG580)/D580</f>
        <v>93.628739479638</v>
      </c>
      <c r="AI580" s="10">
        <f>MIN(O580,MAX(N580,AH580))</f>
        <v>56.528</v>
      </c>
      <c r="AJ580" s="10">
        <f>0.17*SQRT('Parametros'!$B$2)*H580*MIN(U580,AB580)/1000</f>
        <v>107.849951281016</v>
      </c>
      <c r="AK580" s="10">
        <f>MAX(AI580/'Parametros'!$B$6-AJ580,0)</f>
        <v>0</v>
      </c>
      <c r="AL580" s="10">
        <f>0.66*SQRT('Parametros'!$B$2)*H580*MIN(U580,AB580)/1000</f>
        <v>418.711575561591</v>
      </c>
      <c r="AM580" s="10" t="str">
        <f>IF(AK580&lt;=AL580,"CUMPLE","NO CUMPLE")</f>
        <v>CUMPLE</v>
      </c>
      <c r="AN580" s="15" t="inlineStr">
        <is>
          <t>Nº3 cerrado</t>
        </is>
      </c>
      <c r="AO580" s="17" t="n">
        <v>2</v>
      </c>
      <c r="AP580" s="10">
        <f>ROUNDDOWN(MIN(IF(AK580=0,1000000000,AO580*'Parametros'!$B$11*'Parametros'!$B$4*MIN(U580,AB580)/(AK580*1000)),IF(AV580=0,1000000000,'Parametros'!$B$11/AV580),MIN(U580,AB580)/4,8*'Parametros'!$B$12,24*'Parametros'!$B$9,300)/10,0)*10</f>
        <v>80</v>
      </c>
      <c r="AQ580" s="10">
        <f>ROUNDDOWN(MIN(IF(AK580=0,1000000000,AO580*'Parametros'!$B$11*'Parametros'!$B$4*MIN(U580,AB580)/(AK580*1000)),IF(AV580=0,1000000000,'Parametros'!$B$11/AV580),MIN(U580,AB580)/2,600)/10,0)*10</f>
        <v>170</v>
      </c>
      <c r="AR580" s="10">
        <f>'Parametros'!$B$6*(AJ580+AO580*'Parametros'!$B$11*'Parametros'!$B$4*MIN(U580,AB580)/AP580/1000)</f>
        <v>272.415732210762</v>
      </c>
      <c r="AS580" s="10" t="str">
        <f>IF(AND(AM580="CUMPLE",AR580&gt;=AI580),"CUMPLE","NO CUMPLE")</f>
        <v>CUMPLE</v>
      </c>
      <c r="AT580" s="10">
        <f>'Parametros'!$B$6*0.083*SQRT('Parametros'!$B$2)*(H580*I580)^2/(2*(H580+I580))/1000000</f>
        <v>4.30410823283988</v>
      </c>
      <c r="AU580" s="10" t="str">
        <f>IF(Q580&lt;=AT580,"DESPRECIABLE","DISEÑAR")</f>
        <v>DESPRECIABLE</v>
      </c>
      <c r="AV580" s="10">
        <f>IF(Q580&lt;=AT580,0,Q580*1000000/('Parametros'!$B$6*2*0.85*(H580-2*'Parametros'!$B$7)*(I580-2*'Parametros'!$B$7)*'Parametros'!$B$4))</f>
        <v>0</v>
      </c>
      <c r="AW580" s="10">
        <f>AV580*2*((H580-2*'Parametros'!$B$7)+(I580-2*'Parametros'!$B$7))*'Parametros'!$B$4/'Parametros'!$B$3</f>
        <v>0</v>
      </c>
      <c r="AX580" s="17" t="n">
        <v>0</v>
      </c>
      <c r="AY580" s="10" t="str">
        <f>IF(AV580=0,"DESPRECIABLE",IF('Parametros'!$B$11/AP580&gt;=AV580,"CUMPLE","NO CUMPLE"))</f>
        <v>DESPRECIABLE</v>
      </c>
      <c r="AZ580" s="10" t="str">
        <f>IF(AND(X580="CUMPLE",AE580="CUMPLE",AS580="CUMPLE",OR(AY580="CUMPLE",AY580="DESPRECIABLE")),IF(OR(F580&lt;&gt;H580,G580&lt;&gt;I580),"CUMPLE - REANALIZAR SAP","CUMPLE"),"NO CUMPLE")</f>
        <v>CUMPLE</v>
      </c>
    </row>
    <row r="581">
      <c r="A581" s="29" t="inlineStr">
        <is>
          <t>VRAUX</t>
        </is>
      </c>
      <c r="B581" s="29" t="inlineStr">
        <is>
          <t>130</t>
        </is>
      </c>
      <c r="C581" s="10" t="n">
        <v>1</v>
      </c>
      <c r="D581" s="10" t="n">
        <v>2.6</v>
      </c>
      <c r="E581" s="10" t="n">
        <v>2.6</v>
      </c>
      <c r="F581" s="10" t="n">
        <v>350</v>
      </c>
      <c r="G581" s="10" t="n">
        <v>400</v>
      </c>
      <c r="H581" s="15" t="n">
        <v>350</v>
      </c>
      <c r="I581" s="15" t="n">
        <v>400</v>
      </c>
      <c r="J581" s="16" t="n">
        <v>16.1415</v>
      </c>
      <c r="K581" s="10" t="inlineStr">
        <is>
          <t>130</t>
        </is>
      </c>
      <c r="L581" s="16" t="n">
        <v>12.8881</v>
      </c>
      <c r="M581" s="10" t="inlineStr">
        <is>
          <t>130</t>
        </is>
      </c>
      <c r="N581" s="16" t="n">
        <v>15.576</v>
      </c>
      <c r="O581" s="16" t="n">
        <v>56.527</v>
      </c>
      <c r="P581" s="10" t="inlineStr">
        <is>
          <t>130</t>
        </is>
      </c>
      <c r="Q581" s="16" t="n">
        <v>0.2192</v>
      </c>
      <c r="R581" s="10">
        <f>MAX(MAX(1.4/'Parametros'!$B$3,0.25*SQRT('Parametros'!$B$2)/'Parametros'!$B$3)*H581*U581,(0.85*'Parametros'!$B$2/'Parametros'!$B$3)*(1-SQRT(1-2*(J581*1000000/('Parametros'!$B$5*H581*U581^2))/(0.85*'Parametros'!$B$2)))*H581*U581)</f>
        <v>399.641666666667</v>
      </c>
      <c r="S581" s="17" t="n">
        <v>3</v>
      </c>
      <c r="T581" s="18" t="n">
        <v>1</v>
      </c>
      <c r="U581" s="10">
        <f>IF(T581=1,I581-('Parametros'!$B$7+'Parametros'!$B$9+'Parametros'!$B$12/2),I581-(ROUNDUP(S581/2,0)*('Parametros'!$B$7+'Parametros'!$B$9+'Parametros'!$B$12/2)+ROUNDDOWN(S581/2,0)*('Parametros'!$B$7+'Parametros'!$B$9+'Parametros'!$B$12/2+'Parametros'!$B$12+'Parametros'!$B$10))/S581)</f>
        <v>342.55</v>
      </c>
      <c r="V581" s="10">
        <f>S581*'Parametros'!$B$8</f>
        <v>597</v>
      </c>
      <c r="W581" s="10">
        <f>'Parametros'!$B$5*V581*'Parametros'!$B$3*(U581-(V581*'Parametros'!$B$3/(0.85*'Parametros'!$B$2*H581))/2)/1000000</f>
        <v>73.905520182353</v>
      </c>
      <c r="X581" s="10" t="str">
        <f>IF(W581&gt;=J581,"CUMPLE","NO CUMPLE")</f>
        <v>CUMPLE</v>
      </c>
      <c r="Y581" s="10">
        <f>MAX(MAX(1.4/'Parametros'!$B$3,0.25*SQRT('Parametros'!$B$2)/'Parametros'!$B$3)*H581*AB581,(0.85*'Parametros'!$B$2/'Parametros'!$B$3)*(1-SQRT(1-2*(L581*1000000/('Parametros'!$B$5*H581*AB581^2))/(0.85*'Parametros'!$B$2)))*H581*AB581)</f>
        <v>399.641666666667</v>
      </c>
      <c r="Z581" s="17" t="n">
        <v>3</v>
      </c>
      <c r="AA581" s="18" t="n">
        <v>1</v>
      </c>
      <c r="AB581" s="10">
        <f>IF(AA581=1,I581-('Parametros'!$B$7+'Parametros'!$B$9+'Parametros'!$B$12/2),I581-(ROUNDUP(Z581/2,0)*('Parametros'!$B$7+'Parametros'!$B$9+'Parametros'!$B$12/2)+ROUNDDOWN(Z581/2,0)*('Parametros'!$B$7+'Parametros'!$B$9+'Parametros'!$B$12/2+'Parametros'!$B$12+'Parametros'!$B$10))/Z581)</f>
        <v>342.55</v>
      </c>
      <c r="AC581" s="10">
        <f>Z581*'Parametros'!$B$8</f>
        <v>597</v>
      </c>
      <c r="AD581" s="10">
        <f>'Parametros'!$B$5*AC581*'Parametros'!$B$3*(AB581-(AC581*'Parametros'!$B$3/(0.85*'Parametros'!$B$2*H581))/2)/1000000</f>
        <v>73.905520182353</v>
      </c>
      <c r="AE581" s="10" t="str">
        <f>IF(AD581&gt;=L581,"CUMPLE","NO CUMPLE")</f>
        <v>CUMPLE</v>
      </c>
      <c r="AF581" s="10">
        <f>V581*1.25*'Parametros'!$B$3*(U581-(V581*1.25*'Parametros'!$B$3/(0.85*'Parametros'!$B$2*H581))/2)/1000000</f>
        <v>101.467261323529</v>
      </c>
      <c r="AG581" s="10">
        <f>AC581*1.25*'Parametros'!$B$3*(AB581-(AC581*1.25*'Parametros'!$B$3/(0.85*'Parametros'!$B$2*H581))/2)/1000000</f>
        <v>101.467261323529</v>
      </c>
      <c r="AH581" s="10">
        <f>N581+(AF581+AG581)/D581</f>
        <v>93.627739479638</v>
      </c>
      <c r="AI581" s="10">
        <f>MIN(O581,MAX(N581,AH581))</f>
        <v>56.527</v>
      </c>
      <c r="AJ581" s="10">
        <f>0.17*SQRT('Parametros'!$B$2)*H581*MIN(U581,AB581)/1000</f>
        <v>107.849951281016</v>
      </c>
      <c r="AK581" s="10">
        <f>MAX(AI581/'Parametros'!$B$6-AJ581,0)</f>
        <v>0</v>
      </c>
      <c r="AL581" s="10">
        <f>0.66*SQRT('Parametros'!$B$2)*H581*MIN(U581,AB581)/1000</f>
        <v>418.711575561591</v>
      </c>
      <c r="AM581" s="10" t="str">
        <f>IF(AK581&lt;=AL581,"CUMPLE","NO CUMPLE")</f>
        <v>CUMPLE</v>
      </c>
      <c r="AN581" s="15" t="inlineStr">
        <is>
          <t>Nº3 cerrado</t>
        </is>
      </c>
      <c r="AO581" s="17" t="n">
        <v>2</v>
      </c>
      <c r="AP581" s="10">
        <f>ROUNDDOWN(MIN(IF(AK581=0,1000000000,AO581*'Parametros'!$B$11*'Parametros'!$B$4*MIN(U581,AB581)/(AK581*1000)),IF(AV581=0,1000000000,'Parametros'!$B$11/AV581),MIN(U581,AB581)/4,8*'Parametros'!$B$12,24*'Parametros'!$B$9,300)/10,0)*10</f>
        <v>80</v>
      </c>
      <c r="AQ581" s="10">
        <f>ROUNDDOWN(MIN(IF(AK581=0,1000000000,AO581*'Parametros'!$B$11*'Parametros'!$B$4*MIN(U581,AB581)/(AK581*1000)),IF(AV581=0,1000000000,'Parametros'!$B$11/AV581),MIN(U581,AB581)/2,600)/10,0)*10</f>
        <v>170</v>
      </c>
      <c r="AR581" s="10">
        <f>'Parametros'!$B$6*(AJ581+AO581*'Parametros'!$B$11*'Parametros'!$B$4*MIN(U581,AB581)/AP581/1000)</f>
        <v>272.415732210762</v>
      </c>
      <c r="AS581" s="10" t="str">
        <f>IF(AND(AM581="CUMPLE",AR581&gt;=AI581),"CUMPLE","NO CUMPLE")</f>
        <v>CUMPLE</v>
      </c>
      <c r="AT581" s="10">
        <f>'Parametros'!$B$6*0.083*SQRT('Parametros'!$B$2)*(H581*I581)^2/(2*(H581+I581))/1000000</f>
        <v>4.30410823283988</v>
      </c>
      <c r="AU581" s="10" t="str">
        <f>IF(Q581&lt;=AT581,"DESPRECIABLE","DISEÑAR")</f>
        <v>DESPRECIABLE</v>
      </c>
      <c r="AV581" s="10">
        <f>IF(Q581&lt;=AT581,0,Q581*1000000/('Parametros'!$B$6*2*0.85*(H581-2*'Parametros'!$B$7)*(I581-2*'Parametros'!$B$7)*'Parametros'!$B$4))</f>
        <v>0</v>
      </c>
      <c r="AW581" s="10">
        <f>AV581*2*((H581-2*'Parametros'!$B$7)+(I581-2*'Parametros'!$B$7))*'Parametros'!$B$4/'Parametros'!$B$3</f>
        <v>0</v>
      </c>
      <c r="AX581" s="17" t="n">
        <v>0</v>
      </c>
      <c r="AY581" s="10" t="str">
        <f>IF(AV581=0,"DESPRECIABLE",IF('Parametros'!$B$11/AP581&gt;=AV581,"CUMPLE","NO CUMPLE"))</f>
        <v>DESPRECIABLE</v>
      </c>
      <c r="AZ581" s="10" t="str">
        <f>IF(AND(X581="CUMPLE",AE581="CUMPLE",AS581="CUMPLE",OR(AY581="CUMPLE",AY581="DESPRECIABLE")),IF(OR(F581&lt;&gt;H581,G581&lt;&gt;I581),"CUMPLE - REANALIZAR SAP","CUMPLE"),"NO CUMPLE")</f>
        <v>CUMPLE</v>
      </c>
    </row>
    <row r="582">
      <c r="A582" s="29" t="inlineStr">
        <is>
          <t>VRAUX</t>
        </is>
      </c>
      <c r="B582" s="29" t="inlineStr">
        <is>
          <t>131</t>
        </is>
      </c>
      <c r="C582" s="10" t="n">
        <v>1</v>
      </c>
      <c r="D582" s="10" t="n">
        <v>2.6</v>
      </c>
      <c r="E582" s="10" t="n">
        <v>2.6</v>
      </c>
      <c r="F582" s="10" t="n">
        <v>350</v>
      </c>
      <c r="G582" s="10" t="n">
        <v>400</v>
      </c>
      <c r="H582" s="15" t="n">
        <v>350</v>
      </c>
      <c r="I582" s="15" t="n">
        <v>400</v>
      </c>
      <c r="J582" s="16" t="n">
        <v>16.1089</v>
      </c>
      <c r="K582" s="10" t="inlineStr">
        <is>
          <t>131</t>
        </is>
      </c>
      <c r="L582" s="16" t="n">
        <v>12.8548</v>
      </c>
      <c r="M582" s="10" t="inlineStr">
        <is>
          <t>131</t>
        </is>
      </c>
      <c r="N582" s="16" t="n">
        <v>15.551</v>
      </c>
      <c r="O582" s="16" t="n">
        <v>56.5</v>
      </c>
      <c r="P582" s="10" t="inlineStr">
        <is>
          <t>131</t>
        </is>
      </c>
      <c r="Q582" s="16" t="n">
        <v>0.2202</v>
      </c>
      <c r="R582" s="10">
        <f>MAX(MAX(1.4/'Parametros'!$B$3,0.25*SQRT('Parametros'!$B$2)/'Parametros'!$B$3)*H582*U582,(0.85*'Parametros'!$B$2/'Parametros'!$B$3)*(1-SQRT(1-2*(J582*1000000/('Parametros'!$B$5*H582*U582^2))/(0.85*'Parametros'!$B$2)))*H582*U582)</f>
        <v>399.641666666667</v>
      </c>
      <c r="S582" s="17" t="n">
        <v>3</v>
      </c>
      <c r="T582" s="18" t="n">
        <v>1</v>
      </c>
      <c r="U582" s="10">
        <f>IF(T582=1,I582-('Parametros'!$B$7+'Parametros'!$B$9+'Parametros'!$B$12/2),I582-(ROUNDUP(S582/2,0)*('Parametros'!$B$7+'Parametros'!$B$9+'Parametros'!$B$12/2)+ROUNDDOWN(S582/2,0)*('Parametros'!$B$7+'Parametros'!$B$9+'Parametros'!$B$12/2+'Parametros'!$B$12+'Parametros'!$B$10))/S582)</f>
        <v>342.55</v>
      </c>
      <c r="V582" s="10">
        <f>S582*'Parametros'!$B$8</f>
        <v>597</v>
      </c>
      <c r="W582" s="10">
        <f>'Parametros'!$B$5*V582*'Parametros'!$B$3*(U582-(V582*'Parametros'!$B$3/(0.85*'Parametros'!$B$2*H582))/2)/1000000</f>
        <v>73.905520182353</v>
      </c>
      <c r="X582" s="10" t="str">
        <f>IF(W582&gt;=J582,"CUMPLE","NO CUMPLE")</f>
        <v>CUMPLE</v>
      </c>
      <c r="Y582" s="10">
        <f>MAX(MAX(1.4/'Parametros'!$B$3,0.25*SQRT('Parametros'!$B$2)/'Parametros'!$B$3)*H582*AB582,(0.85*'Parametros'!$B$2/'Parametros'!$B$3)*(1-SQRT(1-2*(L582*1000000/('Parametros'!$B$5*H582*AB582^2))/(0.85*'Parametros'!$B$2)))*H582*AB582)</f>
        <v>399.641666666667</v>
      </c>
      <c r="Z582" s="17" t="n">
        <v>3</v>
      </c>
      <c r="AA582" s="18" t="n">
        <v>1</v>
      </c>
      <c r="AB582" s="10">
        <f>IF(AA582=1,I582-('Parametros'!$B$7+'Parametros'!$B$9+'Parametros'!$B$12/2),I582-(ROUNDUP(Z582/2,0)*('Parametros'!$B$7+'Parametros'!$B$9+'Parametros'!$B$12/2)+ROUNDDOWN(Z582/2,0)*('Parametros'!$B$7+'Parametros'!$B$9+'Parametros'!$B$12/2+'Parametros'!$B$12+'Parametros'!$B$10))/Z582)</f>
        <v>342.55</v>
      </c>
      <c r="AC582" s="10">
        <f>Z582*'Parametros'!$B$8</f>
        <v>597</v>
      </c>
      <c r="AD582" s="10">
        <f>'Parametros'!$B$5*AC582*'Parametros'!$B$3*(AB582-(AC582*'Parametros'!$B$3/(0.85*'Parametros'!$B$2*H582))/2)/1000000</f>
        <v>73.905520182353</v>
      </c>
      <c r="AE582" s="10" t="str">
        <f>IF(AD582&gt;=L582,"CUMPLE","NO CUMPLE")</f>
        <v>CUMPLE</v>
      </c>
      <c r="AF582" s="10">
        <f>V582*1.25*'Parametros'!$B$3*(U582-(V582*1.25*'Parametros'!$B$3/(0.85*'Parametros'!$B$2*H582))/2)/1000000</f>
        <v>101.467261323529</v>
      </c>
      <c r="AG582" s="10">
        <f>AC582*1.25*'Parametros'!$B$3*(AB582-(AC582*1.25*'Parametros'!$B$3/(0.85*'Parametros'!$B$2*H582))/2)/1000000</f>
        <v>101.467261323529</v>
      </c>
      <c r="AH582" s="10">
        <f>N582+(AF582+AG582)/D582</f>
        <v>93.602739479638</v>
      </c>
      <c r="AI582" s="10">
        <f>MIN(O582,MAX(N582,AH582))</f>
        <v>56.5</v>
      </c>
      <c r="AJ582" s="10">
        <f>0.17*SQRT('Parametros'!$B$2)*H582*MIN(U582,AB582)/1000</f>
        <v>107.849951281016</v>
      </c>
      <c r="AK582" s="10">
        <f>MAX(AI582/'Parametros'!$B$6-AJ582,0)</f>
        <v>0</v>
      </c>
      <c r="AL582" s="10">
        <f>0.66*SQRT('Parametros'!$B$2)*H582*MIN(U582,AB582)/1000</f>
        <v>418.711575561591</v>
      </c>
      <c r="AM582" s="10" t="str">
        <f>IF(AK582&lt;=AL582,"CUMPLE","NO CUMPLE")</f>
        <v>CUMPLE</v>
      </c>
      <c r="AN582" s="15" t="inlineStr">
        <is>
          <t>Nº3 cerrado</t>
        </is>
      </c>
      <c r="AO582" s="17" t="n">
        <v>2</v>
      </c>
      <c r="AP582" s="10">
        <f>ROUNDDOWN(MIN(IF(AK582=0,1000000000,AO582*'Parametros'!$B$11*'Parametros'!$B$4*MIN(U582,AB582)/(AK582*1000)),IF(AV582=0,1000000000,'Parametros'!$B$11/AV582),MIN(U582,AB582)/4,8*'Parametros'!$B$12,24*'Parametros'!$B$9,300)/10,0)*10</f>
        <v>80</v>
      </c>
      <c r="AQ582" s="10">
        <f>ROUNDDOWN(MIN(IF(AK582=0,1000000000,AO582*'Parametros'!$B$11*'Parametros'!$B$4*MIN(U582,AB582)/(AK582*1000)),IF(AV582=0,1000000000,'Parametros'!$B$11/AV582),MIN(U582,AB582)/2,600)/10,0)*10</f>
        <v>170</v>
      </c>
      <c r="AR582" s="10">
        <f>'Parametros'!$B$6*(AJ582+AO582*'Parametros'!$B$11*'Parametros'!$B$4*MIN(U582,AB582)/AP582/1000)</f>
        <v>272.415732210762</v>
      </c>
      <c r="AS582" s="10" t="str">
        <f>IF(AND(AM582="CUMPLE",AR582&gt;=AI582),"CUMPLE","NO CUMPLE")</f>
        <v>CUMPLE</v>
      </c>
      <c r="AT582" s="10">
        <f>'Parametros'!$B$6*0.083*SQRT('Parametros'!$B$2)*(H582*I582)^2/(2*(H582+I582))/1000000</f>
        <v>4.30410823283988</v>
      </c>
      <c r="AU582" s="10" t="str">
        <f>IF(Q582&lt;=AT582,"DESPRECIABLE","DISEÑAR")</f>
        <v>DESPRECIABLE</v>
      </c>
      <c r="AV582" s="10">
        <f>IF(Q582&lt;=AT582,0,Q582*1000000/('Parametros'!$B$6*2*0.85*(H582-2*'Parametros'!$B$7)*(I582-2*'Parametros'!$B$7)*'Parametros'!$B$4))</f>
        <v>0</v>
      </c>
      <c r="AW582" s="10">
        <f>AV582*2*((H582-2*'Parametros'!$B$7)+(I582-2*'Parametros'!$B$7))*'Parametros'!$B$4/'Parametros'!$B$3</f>
        <v>0</v>
      </c>
      <c r="AX582" s="17" t="n">
        <v>0</v>
      </c>
      <c r="AY582" s="10" t="str">
        <f>IF(AV582=0,"DESPRECIABLE",IF('Parametros'!$B$11/AP582&gt;=AV582,"CUMPLE","NO CUMPLE"))</f>
        <v>DESPRECIABLE</v>
      </c>
      <c r="AZ582" s="10" t="str">
        <f>IF(AND(X582="CUMPLE",AE582="CUMPLE",AS582="CUMPLE",OR(AY582="CUMPLE",AY582="DESPRECIABLE")),IF(OR(F582&lt;&gt;H582,G582&lt;&gt;I582),"CUMPLE - REANALIZAR SAP","CUMPLE"),"NO CUMPLE")</f>
        <v>CUMPLE</v>
      </c>
    </row>
    <row r="583">
      <c r="A583" s="29" t="inlineStr">
        <is>
          <t>VRAUX</t>
        </is>
      </c>
      <c r="B583" s="29" t="inlineStr">
        <is>
          <t>132</t>
        </is>
      </c>
      <c r="C583" s="10" t="n">
        <v>1</v>
      </c>
      <c r="D583" s="10" t="n">
        <v>2.6</v>
      </c>
      <c r="E583" s="10" t="n">
        <v>2.6</v>
      </c>
      <c r="F583" s="10" t="n">
        <v>350</v>
      </c>
      <c r="G583" s="10" t="n">
        <v>400</v>
      </c>
      <c r="H583" s="15" t="n">
        <v>350</v>
      </c>
      <c r="I583" s="15" t="n">
        <v>400</v>
      </c>
      <c r="J583" s="16" t="n">
        <v>16.1094</v>
      </c>
      <c r="K583" s="10" t="inlineStr">
        <is>
          <t>132</t>
        </is>
      </c>
      <c r="L583" s="16" t="n">
        <v>12.8552</v>
      </c>
      <c r="M583" s="10" t="inlineStr">
        <is>
          <t>132</t>
        </is>
      </c>
      <c r="N583" s="16" t="n">
        <v>15.551</v>
      </c>
      <c r="O583" s="16" t="n">
        <v>56.501</v>
      </c>
      <c r="P583" s="10" t="inlineStr">
        <is>
          <t>132</t>
        </is>
      </c>
      <c r="Q583" s="16" t="n">
        <v>0.2236</v>
      </c>
      <c r="R583" s="10">
        <f>MAX(MAX(1.4/'Parametros'!$B$3,0.25*SQRT('Parametros'!$B$2)/'Parametros'!$B$3)*H583*U583,(0.85*'Parametros'!$B$2/'Parametros'!$B$3)*(1-SQRT(1-2*(J583*1000000/('Parametros'!$B$5*H583*U583^2))/(0.85*'Parametros'!$B$2)))*H583*U583)</f>
        <v>399.641666666667</v>
      </c>
      <c r="S583" s="17" t="n">
        <v>3</v>
      </c>
      <c r="T583" s="18" t="n">
        <v>1</v>
      </c>
      <c r="U583" s="10">
        <f>IF(T583=1,I583-('Parametros'!$B$7+'Parametros'!$B$9+'Parametros'!$B$12/2),I583-(ROUNDUP(S583/2,0)*('Parametros'!$B$7+'Parametros'!$B$9+'Parametros'!$B$12/2)+ROUNDDOWN(S583/2,0)*('Parametros'!$B$7+'Parametros'!$B$9+'Parametros'!$B$12/2+'Parametros'!$B$12+'Parametros'!$B$10))/S583)</f>
        <v>342.55</v>
      </c>
      <c r="V583" s="10">
        <f>S583*'Parametros'!$B$8</f>
        <v>597</v>
      </c>
      <c r="W583" s="10">
        <f>'Parametros'!$B$5*V583*'Parametros'!$B$3*(U583-(V583*'Parametros'!$B$3/(0.85*'Parametros'!$B$2*H583))/2)/1000000</f>
        <v>73.905520182353</v>
      </c>
      <c r="X583" s="10" t="str">
        <f>IF(W583&gt;=J583,"CUMPLE","NO CUMPLE")</f>
        <v>CUMPLE</v>
      </c>
      <c r="Y583" s="10">
        <f>MAX(MAX(1.4/'Parametros'!$B$3,0.25*SQRT('Parametros'!$B$2)/'Parametros'!$B$3)*H583*AB583,(0.85*'Parametros'!$B$2/'Parametros'!$B$3)*(1-SQRT(1-2*(L583*1000000/('Parametros'!$B$5*H583*AB583^2))/(0.85*'Parametros'!$B$2)))*H583*AB583)</f>
        <v>399.641666666667</v>
      </c>
      <c r="Z583" s="17" t="n">
        <v>3</v>
      </c>
      <c r="AA583" s="18" t="n">
        <v>1</v>
      </c>
      <c r="AB583" s="10">
        <f>IF(AA583=1,I583-('Parametros'!$B$7+'Parametros'!$B$9+'Parametros'!$B$12/2),I583-(ROUNDUP(Z583/2,0)*('Parametros'!$B$7+'Parametros'!$B$9+'Parametros'!$B$12/2)+ROUNDDOWN(Z583/2,0)*('Parametros'!$B$7+'Parametros'!$B$9+'Parametros'!$B$12/2+'Parametros'!$B$12+'Parametros'!$B$10))/Z583)</f>
        <v>342.55</v>
      </c>
      <c r="AC583" s="10">
        <f>Z583*'Parametros'!$B$8</f>
        <v>597</v>
      </c>
      <c r="AD583" s="10">
        <f>'Parametros'!$B$5*AC583*'Parametros'!$B$3*(AB583-(AC583*'Parametros'!$B$3/(0.85*'Parametros'!$B$2*H583))/2)/1000000</f>
        <v>73.905520182353</v>
      </c>
      <c r="AE583" s="10" t="str">
        <f>IF(AD583&gt;=L583,"CUMPLE","NO CUMPLE")</f>
        <v>CUMPLE</v>
      </c>
      <c r="AF583" s="10">
        <f>V583*1.25*'Parametros'!$B$3*(U583-(V583*1.25*'Parametros'!$B$3/(0.85*'Parametros'!$B$2*H583))/2)/1000000</f>
        <v>101.467261323529</v>
      </c>
      <c r="AG583" s="10">
        <f>AC583*1.25*'Parametros'!$B$3*(AB583-(AC583*1.25*'Parametros'!$B$3/(0.85*'Parametros'!$B$2*H583))/2)/1000000</f>
        <v>101.467261323529</v>
      </c>
      <c r="AH583" s="10">
        <f>N583+(AF583+AG583)/D583</f>
        <v>93.602739479638</v>
      </c>
      <c r="AI583" s="10">
        <f>MIN(O583,MAX(N583,AH583))</f>
        <v>56.501</v>
      </c>
      <c r="AJ583" s="10">
        <f>0.17*SQRT('Parametros'!$B$2)*H583*MIN(U583,AB583)/1000</f>
        <v>107.849951281016</v>
      </c>
      <c r="AK583" s="10">
        <f>MAX(AI583/'Parametros'!$B$6-AJ583,0)</f>
        <v>0</v>
      </c>
      <c r="AL583" s="10">
        <f>0.66*SQRT('Parametros'!$B$2)*H583*MIN(U583,AB583)/1000</f>
        <v>418.711575561591</v>
      </c>
      <c r="AM583" s="10" t="str">
        <f>IF(AK583&lt;=AL583,"CUMPLE","NO CUMPLE")</f>
        <v>CUMPLE</v>
      </c>
      <c r="AN583" s="15" t="inlineStr">
        <is>
          <t>Nº3 cerrado</t>
        </is>
      </c>
      <c r="AO583" s="17" t="n">
        <v>2</v>
      </c>
      <c r="AP583" s="10">
        <f>ROUNDDOWN(MIN(IF(AK583=0,1000000000,AO583*'Parametros'!$B$11*'Parametros'!$B$4*MIN(U583,AB583)/(AK583*1000)),IF(AV583=0,1000000000,'Parametros'!$B$11/AV583),MIN(U583,AB583)/4,8*'Parametros'!$B$12,24*'Parametros'!$B$9,300)/10,0)*10</f>
        <v>80</v>
      </c>
      <c r="AQ583" s="10">
        <f>ROUNDDOWN(MIN(IF(AK583=0,1000000000,AO583*'Parametros'!$B$11*'Parametros'!$B$4*MIN(U583,AB583)/(AK583*1000)),IF(AV583=0,1000000000,'Parametros'!$B$11/AV583),MIN(U583,AB583)/2,600)/10,0)*10</f>
        <v>170</v>
      </c>
      <c r="AR583" s="10">
        <f>'Parametros'!$B$6*(AJ583+AO583*'Parametros'!$B$11*'Parametros'!$B$4*MIN(U583,AB583)/AP583/1000)</f>
        <v>272.415732210762</v>
      </c>
      <c r="AS583" s="10" t="str">
        <f>IF(AND(AM583="CUMPLE",AR583&gt;=AI583),"CUMPLE","NO CUMPLE")</f>
        <v>CUMPLE</v>
      </c>
      <c r="AT583" s="10">
        <f>'Parametros'!$B$6*0.083*SQRT('Parametros'!$B$2)*(H583*I583)^2/(2*(H583+I583))/1000000</f>
        <v>4.30410823283988</v>
      </c>
      <c r="AU583" s="10" t="str">
        <f>IF(Q583&lt;=AT583,"DESPRECIABLE","DISEÑAR")</f>
        <v>DESPRECIABLE</v>
      </c>
      <c r="AV583" s="10">
        <f>IF(Q583&lt;=AT583,0,Q583*1000000/('Parametros'!$B$6*2*0.85*(H583-2*'Parametros'!$B$7)*(I583-2*'Parametros'!$B$7)*'Parametros'!$B$4))</f>
        <v>0</v>
      </c>
      <c r="AW583" s="10">
        <f>AV583*2*((H583-2*'Parametros'!$B$7)+(I583-2*'Parametros'!$B$7))*'Parametros'!$B$4/'Parametros'!$B$3</f>
        <v>0</v>
      </c>
      <c r="AX583" s="17" t="n">
        <v>0</v>
      </c>
      <c r="AY583" s="10" t="str">
        <f>IF(AV583=0,"DESPRECIABLE",IF('Parametros'!$B$11/AP583&gt;=AV583,"CUMPLE","NO CUMPLE"))</f>
        <v>DESPRECIABLE</v>
      </c>
      <c r="AZ583" s="10" t="str">
        <f>IF(AND(X583="CUMPLE",AE583="CUMPLE",AS583="CUMPLE",OR(AY583="CUMPLE",AY583="DESPRECIABLE")),IF(OR(F583&lt;&gt;H583,G583&lt;&gt;I583),"CUMPLE - REANALIZAR SAP","CUMPLE"),"NO CUMPLE")</f>
        <v>CUMPLE</v>
      </c>
    </row>
    <row r="584">
      <c r="A584" s="29" t="inlineStr">
        <is>
          <t>VRAUX</t>
        </is>
      </c>
      <c r="B584" s="29" t="inlineStr">
        <is>
          <t>133</t>
        </is>
      </c>
      <c r="C584" s="10" t="n">
        <v>1</v>
      </c>
      <c r="D584" s="10" t="n">
        <v>2.5</v>
      </c>
      <c r="E584" s="10" t="n">
        <v>2.5</v>
      </c>
      <c r="F584" s="10" t="n">
        <v>350</v>
      </c>
      <c r="G584" s="10" t="n">
        <v>400</v>
      </c>
      <c r="H584" s="15" t="n">
        <v>350</v>
      </c>
      <c r="I584" s="15" t="n">
        <v>400</v>
      </c>
      <c r="J584" s="16" t="n">
        <v>19.1022</v>
      </c>
      <c r="K584" s="10" t="inlineStr">
        <is>
          <t>133</t>
        </is>
      </c>
      <c r="L584" s="16" t="n">
        <v>13.6709</v>
      </c>
      <c r="M584" s="10" t="inlineStr">
        <is>
          <t>133</t>
        </is>
      </c>
      <c r="N584" s="16" t="n">
        <v>17.315</v>
      </c>
      <c r="O584" s="16" t="n">
        <v>54.277</v>
      </c>
      <c r="P584" s="10" t="inlineStr">
        <is>
          <t>133</t>
        </is>
      </c>
      <c r="Q584" s="16" t="n">
        <v>3.8271</v>
      </c>
      <c r="R584" s="10">
        <f>MAX(MAX(1.4/'Parametros'!$B$3,0.25*SQRT('Parametros'!$B$2)/'Parametros'!$B$3)*H584*U584,(0.85*'Parametros'!$B$2/'Parametros'!$B$3)*(1-SQRT(1-2*(J584*1000000/('Parametros'!$B$5*H584*U584^2))/(0.85*'Parametros'!$B$2)))*H584*U584)</f>
        <v>399.641666666667</v>
      </c>
      <c r="S584" s="17" t="n">
        <v>3</v>
      </c>
      <c r="T584" s="18" t="n">
        <v>1</v>
      </c>
      <c r="U584" s="10">
        <f>IF(T584=1,I584-('Parametros'!$B$7+'Parametros'!$B$9+'Parametros'!$B$12/2),I584-(ROUNDUP(S584/2,0)*('Parametros'!$B$7+'Parametros'!$B$9+'Parametros'!$B$12/2)+ROUNDDOWN(S584/2,0)*('Parametros'!$B$7+'Parametros'!$B$9+'Parametros'!$B$12/2+'Parametros'!$B$12+'Parametros'!$B$10))/S584)</f>
        <v>342.55</v>
      </c>
      <c r="V584" s="10">
        <f>S584*'Parametros'!$B$8</f>
        <v>597</v>
      </c>
      <c r="W584" s="10">
        <f>'Parametros'!$B$5*V584*'Parametros'!$B$3*(U584-(V584*'Parametros'!$B$3/(0.85*'Parametros'!$B$2*H584))/2)/1000000</f>
        <v>73.905520182353</v>
      </c>
      <c r="X584" s="10" t="str">
        <f>IF(W584&gt;=J584,"CUMPLE","NO CUMPLE")</f>
        <v>CUMPLE</v>
      </c>
      <c r="Y584" s="10">
        <f>MAX(MAX(1.4/'Parametros'!$B$3,0.25*SQRT('Parametros'!$B$2)/'Parametros'!$B$3)*H584*AB584,(0.85*'Parametros'!$B$2/'Parametros'!$B$3)*(1-SQRT(1-2*(L584*1000000/('Parametros'!$B$5*H584*AB584^2))/(0.85*'Parametros'!$B$2)))*H584*AB584)</f>
        <v>399.641666666667</v>
      </c>
      <c r="Z584" s="17" t="n">
        <v>3</v>
      </c>
      <c r="AA584" s="18" t="n">
        <v>1</v>
      </c>
      <c r="AB584" s="10">
        <f>IF(AA584=1,I584-('Parametros'!$B$7+'Parametros'!$B$9+'Parametros'!$B$12/2),I584-(ROUNDUP(Z584/2,0)*('Parametros'!$B$7+'Parametros'!$B$9+'Parametros'!$B$12/2)+ROUNDDOWN(Z584/2,0)*('Parametros'!$B$7+'Parametros'!$B$9+'Parametros'!$B$12/2+'Parametros'!$B$12+'Parametros'!$B$10))/Z584)</f>
        <v>342.55</v>
      </c>
      <c r="AC584" s="10">
        <f>Z584*'Parametros'!$B$8</f>
        <v>597</v>
      </c>
      <c r="AD584" s="10">
        <f>'Parametros'!$B$5*AC584*'Parametros'!$B$3*(AB584-(AC584*'Parametros'!$B$3/(0.85*'Parametros'!$B$2*H584))/2)/1000000</f>
        <v>73.905520182353</v>
      </c>
      <c r="AE584" s="10" t="str">
        <f>IF(AD584&gt;=L584,"CUMPLE","NO CUMPLE")</f>
        <v>CUMPLE</v>
      </c>
      <c r="AF584" s="10">
        <f>V584*1.25*'Parametros'!$B$3*(U584-(V584*1.25*'Parametros'!$B$3/(0.85*'Parametros'!$B$2*H584))/2)/1000000</f>
        <v>101.467261323529</v>
      </c>
      <c r="AG584" s="10">
        <f>AC584*1.25*'Parametros'!$B$3*(AB584-(AC584*1.25*'Parametros'!$B$3/(0.85*'Parametros'!$B$2*H584))/2)/1000000</f>
        <v>101.467261323529</v>
      </c>
      <c r="AH584" s="10">
        <f>N584+(AF584+AG584)/D584</f>
        <v>98.4888090588235</v>
      </c>
      <c r="AI584" s="10">
        <f>MIN(O584,MAX(N584,AH584))</f>
        <v>54.277</v>
      </c>
      <c r="AJ584" s="10">
        <f>0.17*SQRT('Parametros'!$B$2)*H584*MIN(U584,AB584)/1000</f>
        <v>107.849951281016</v>
      </c>
      <c r="AK584" s="10">
        <f>MAX(AI584/'Parametros'!$B$6-AJ584,0)</f>
        <v>0</v>
      </c>
      <c r="AL584" s="10">
        <f>0.66*SQRT('Parametros'!$B$2)*H584*MIN(U584,AB584)/1000</f>
        <v>418.711575561591</v>
      </c>
      <c r="AM584" s="10" t="str">
        <f>IF(AK584&lt;=AL584,"CUMPLE","NO CUMPLE")</f>
        <v>CUMPLE</v>
      </c>
      <c r="AN584" s="15" t="inlineStr">
        <is>
          <t>Nº3 cerrado</t>
        </is>
      </c>
      <c r="AO584" s="17" t="n">
        <v>2</v>
      </c>
      <c r="AP584" s="10">
        <f>ROUNDDOWN(MIN(IF(AK584=0,1000000000,AO584*'Parametros'!$B$11*'Parametros'!$B$4*MIN(U584,AB584)/(AK584*1000)),IF(AV584=0,1000000000,'Parametros'!$B$11/AV584),MIN(U584,AB584)/4,8*'Parametros'!$B$12,24*'Parametros'!$B$9,300)/10,0)*10</f>
        <v>80</v>
      </c>
      <c r="AQ584" s="10">
        <f>ROUNDDOWN(MIN(IF(AK584=0,1000000000,AO584*'Parametros'!$B$11*'Parametros'!$B$4*MIN(U584,AB584)/(AK584*1000)),IF(AV584=0,1000000000,'Parametros'!$B$11/AV584),MIN(U584,AB584)/2,600)/10,0)*10</f>
        <v>170</v>
      </c>
      <c r="AR584" s="10">
        <f>'Parametros'!$B$6*(AJ584+AO584*'Parametros'!$B$11*'Parametros'!$B$4*MIN(U584,AB584)/AP584/1000)</f>
        <v>272.415732210762</v>
      </c>
      <c r="AS584" s="10" t="str">
        <f>IF(AND(AM584="CUMPLE",AR584&gt;=AI584),"CUMPLE","NO CUMPLE")</f>
        <v>CUMPLE</v>
      </c>
      <c r="AT584" s="10">
        <f>'Parametros'!$B$6*0.083*SQRT('Parametros'!$B$2)*(H584*I584)^2/(2*(H584+I584))/1000000</f>
        <v>4.30410823283988</v>
      </c>
      <c r="AU584" s="10" t="str">
        <f>IF(Q584&lt;=AT584,"DESPRECIABLE","DISEÑAR")</f>
        <v>DESPRECIABLE</v>
      </c>
      <c r="AV584" s="10">
        <f>IF(Q584&lt;=AT584,0,Q584*1000000/('Parametros'!$B$6*2*0.85*(H584-2*'Parametros'!$B$7)*(I584-2*'Parametros'!$B$7)*'Parametros'!$B$4))</f>
        <v>0</v>
      </c>
      <c r="AW584" s="10">
        <f>AV584*2*((H584-2*'Parametros'!$B$7)+(I584-2*'Parametros'!$B$7))*'Parametros'!$B$4/'Parametros'!$B$3</f>
        <v>0</v>
      </c>
      <c r="AX584" s="17" t="n">
        <v>0</v>
      </c>
      <c r="AY584" s="10" t="str">
        <f>IF(AV584=0,"DESPRECIABLE",IF('Parametros'!$B$11/AP584&gt;=AV584,"CUMPLE","NO CUMPLE"))</f>
        <v>DESPRECIABLE</v>
      </c>
      <c r="AZ584" s="10" t="str">
        <f>IF(AND(X584="CUMPLE",AE584="CUMPLE",AS584="CUMPLE",OR(AY584="CUMPLE",AY584="DESPRECIABLE")),IF(OR(F584&lt;&gt;H584,G584&lt;&gt;I584),"CUMPLE - REANALIZAR SAP","CUMPLE"),"NO CUMPLE")</f>
        <v>CUMPLE</v>
      </c>
    </row>
    <row r="585">
      <c r="A585" s="29" t="inlineStr">
        <is>
          <t>VRAUX</t>
        </is>
      </c>
      <c r="B585" s="29" t="inlineStr">
        <is>
          <t>134</t>
        </is>
      </c>
      <c r="C585" s="10" t="n">
        <v>1</v>
      </c>
      <c r="D585" s="10" t="n">
        <v>2.5</v>
      </c>
      <c r="E585" s="10" t="n">
        <v>2.5</v>
      </c>
      <c r="F585" s="10" t="n">
        <v>350</v>
      </c>
      <c r="G585" s="10" t="n">
        <v>400</v>
      </c>
      <c r="H585" s="15" t="n">
        <v>350</v>
      </c>
      <c r="I585" s="15" t="n">
        <v>400</v>
      </c>
      <c r="J585" s="16" t="n">
        <v>19.0158</v>
      </c>
      <c r="K585" s="10" t="inlineStr">
        <is>
          <t>134</t>
        </is>
      </c>
      <c r="L585" s="16" t="n">
        <v>13.6625</v>
      </c>
      <c r="M585" s="10" t="inlineStr">
        <is>
          <t>134</t>
        </is>
      </c>
      <c r="N585" s="16" t="n">
        <v>17.277</v>
      </c>
      <c r="O585" s="16" t="n">
        <v>54.24</v>
      </c>
      <c r="P585" s="10" t="inlineStr">
        <is>
          <t>134</t>
        </is>
      </c>
      <c r="Q585" s="16" t="n">
        <v>3.8197</v>
      </c>
      <c r="R585" s="10">
        <f>MAX(MAX(1.4/'Parametros'!$B$3,0.25*SQRT('Parametros'!$B$2)/'Parametros'!$B$3)*H585*U585,(0.85*'Parametros'!$B$2/'Parametros'!$B$3)*(1-SQRT(1-2*(J585*1000000/('Parametros'!$B$5*H585*U585^2))/(0.85*'Parametros'!$B$2)))*H585*U585)</f>
        <v>399.641666666667</v>
      </c>
      <c r="S585" s="17" t="n">
        <v>3</v>
      </c>
      <c r="T585" s="18" t="n">
        <v>1</v>
      </c>
      <c r="U585" s="10">
        <f>IF(T585=1,I585-('Parametros'!$B$7+'Parametros'!$B$9+'Parametros'!$B$12/2),I585-(ROUNDUP(S585/2,0)*('Parametros'!$B$7+'Parametros'!$B$9+'Parametros'!$B$12/2)+ROUNDDOWN(S585/2,0)*('Parametros'!$B$7+'Parametros'!$B$9+'Parametros'!$B$12/2+'Parametros'!$B$12+'Parametros'!$B$10))/S585)</f>
        <v>342.55</v>
      </c>
      <c r="V585" s="10">
        <f>S585*'Parametros'!$B$8</f>
        <v>597</v>
      </c>
      <c r="W585" s="10">
        <f>'Parametros'!$B$5*V585*'Parametros'!$B$3*(U585-(V585*'Parametros'!$B$3/(0.85*'Parametros'!$B$2*H585))/2)/1000000</f>
        <v>73.905520182353</v>
      </c>
      <c r="X585" s="10" t="str">
        <f>IF(W585&gt;=J585,"CUMPLE","NO CUMPLE")</f>
        <v>CUMPLE</v>
      </c>
      <c r="Y585" s="10">
        <f>MAX(MAX(1.4/'Parametros'!$B$3,0.25*SQRT('Parametros'!$B$2)/'Parametros'!$B$3)*H585*AB585,(0.85*'Parametros'!$B$2/'Parametros'!$B$3)*(1-SQRT(1-2*(L585*1000000/('Parametros'!$B$5*H585*AB585^2))/(0.85*'Parametros'!$B$2)))*H585*AB585)</f>
        <v>399.641666666667</v>
      </c>
      <c r="Z585" s="17" t="n">
        <v>3</v>
      </c>
      <c r="AA585" s="18" t="n">
        <v>1</v>
      </c>
      <c r="AB585" s="10">
        <f>IF(AA585=1,I585-('Parametros'!$B$7+'Parametros'!$B$9+'Parametros'!$B$12/2),I585-(ROUNDUP(Z585/2,0)*('Parametros'!$B$7+'Parametros'!$B$9+'Parametros'!$B$12/2)+ROUNDDOWN(Z585/2,0)*('Parametros'!$B$7+'Parametros'!$B$9+'Parametros'!$B$12/2+'Parametros'!$B$12+'Parametros'!$B$10))/Z585)</f>
        <v>342.55</v>
      </c>
      <c r="AC585" s="10">
        <f>Z585*'Parametros'!$B$8</f>
        <v>597</v>
      </c>
      <c r="AD585" s="10">
        <f>'Parametros'!$B$5*AC585*'Parametros'!$B$3*(AB585-(AC585*'Parametros'!$B$3/(0.85*'Parametros'!$B$2*H585))/2)/1000000</f>
        <v>73.905520182353</v>
      </c>
      <c r="AE585" s="10" t="str">
        <f>IF(AD585&gt;=L585,"CUMPLE","NO CUMPLE")</f>
        <v>CUMPLE</v>
      </c>
      <c r="AF585" s="10">
        <f>V585*1.25*'Parametros'!$B$3*(U585-(V585*1.25*'Parametros'!$B$3/(0.85*'Parametros'!$B$2*H585))/2)/1000000</f>
        <v>101.467261323529</v>
      </c>
      <c r="AG585" s="10">
        <f>AC585*1.25*'Parametros'!$B$3*(AB585-(AC585*1.25*'Parametros'!$B$3/(0.85*'Parametros'!$B$2*H585))/2)/1000000</f>
        <v>101.467261323529</v>
      </c>
      <c r="AH585" s="10">
        <f>N585+(AF585+AG585)/D585</f>
        <v>98.4508090588235</v>
      </c>
      <c r="AI585" s="10">
        <f>MIN(O585,MAX(N585,AH585))</f>
        <v>54.24</v>
      </c>
      <c r="AJ585" s="10">
        <f>0.17*SQRT('Parametros'!$B$2)*H585*MIN(U585,AB585)/1000</f>
        <v>107.849951281016</v>
      </c>
      <c r="AK585" s="10">
        <f>MAX(AI585/'Parametros'!$B$6-AJ585,0)</f>
        <v>0</v>
      </c>
      <c r="AL585" s="10">
        <f>0.66*SQRT('Parametros'!$B$2)*H585*MIN(U585,AB585)/1000</f>
        <v>418.711575561591</v>
      </c>
      <c r="AM585" s="10" t="str">
        <f>IF(AK585&lt;=AL585,"CUMPLE","NO CUMPLE")</f>
        <v>CUMPLE</v>
      </c>
      <c r="AN585" s="15" t="inlineStr">
        <is>
          <t>Nº3 cerrado</t>
        </is>
      </c>
      <c r="AO585" s="17" t="n">
        <v>2</v>
      </c>
      <c r="AP585" s="10">
        <f>ROUNDDOWN(MIN(IF(AK585=0,1000000000,AO585*'Parametros'!$B$11*'Parametros'!$B$4*MIN(U585,AB585)/(AK585*1000)),IF(AV585=0,1000000000,'Parametros'!$B$11/AV585),MIN(U585,AB585)/4,8*'Parametros'!$B$12,24*'Parametros'!$B$9,300)/10,0)*10</f>
        <v>80</v>
      </c>
      <c r="AQ585" s="10">
        <f>ROUNDDOWN(MIN(IF(AK585=0,1000000000,AO585*'Parametros'!$B$11*'Parametros'!$B$4*MIN(U585,AB585)/(AK585*1000)),IF(AV585=0,1000000000,'Parametros'!$B$11/AV585),MIN(U585,AB585)/2,600)/10,0)*10</f>
        <v>170</v>
      </c>
      <c r="AR585" s="10">
        <f>'Parametros'!$B$6*(AJ585+AO585*'Parametros'!$B$11*'Parametros'!$B$4*MIN(U585,AB585)/AP585/1000)</f>
        <v>272.415732210762</v>
      </c>
      <c r="AS585" s="10" t="str">
        <f>IF(AND(AM585="CUMPLE",AR585&gt;=AI585),"CUMPLE","NO CUMPLE")</f>
        <v>CUMPLE</v>
      </c>
      <c r="AT585" s="10">
        <f>'Parametros'!$B$6*0.083*SQRT('Parametros'!$B$2)*(H585*I585)^2/(2*(H585+I585))/1000000</f>
        <v>4.30410823283988</v>
      </c>
      <c r="AU585" s="10" t="str">
        <f>IF(Q585&lt;=AT585,"DESPRECIABLE","DISEÑAR")</f>
        <v>DESPRECIABLE</v>
      </c>
      <c r="AV585" s="10">
        <f>IF(Q585&lt;=AT585,0,Q585*1000000/('Parametros'!$B$6*2*0.85*(H585-2*'Parametros'!$B$7)*(I585-2*'Parametros'!$B$7)*'Parametros'!$B$4))</f>
        <v>0</v>
      </c>
      <c r="AW585" s="10">
        <f>AV585*2*((H585-2*'Parametros'!$B$7)+(I585-2*'Parametros'!$B$7))*'Parametros'!$B$4/'Parametros'!$B$3</f>
        <v>0</v>
      </c>
      <c r="AX585" s="17" t="n">
        <v>0</v>
      </c>
      <c r="AY585" s="10" t="str">
        <f>IF(AV585=0,"DESPRECIABLE",IF('Parametros'!$B$11/AP585&gt;=AV585,"CUMPLE","NO CUMPLE"))</f>
        <v>DESPRECIABLE</v>
      </c>
      <c r="AZ585" s="10" t="str">
        <f>IF(AND(X585="CUMPLE",AE585="CUMPLE",AS585="CUMPLE",OR(AY585="CUMPLE",AY585="DESPRECIABLE")),IF(OR(F585&lt;&gt;H585,G585&lt;&gt;I585),"CUMPLE - REANALIZAR SAP","CUMPLE"),"NO CUMPLE")</f>
        <v>CUMPLE</v>
      </c>
    </row>
    <row r="586">
      <c r="A586" s="29" t="inlineStr">
        <is>
          <t>VRAUX</t>
        </is>
      </c>
      <c r="B586" s="29" t="inlineStr">
        <is>
          <t>135</t>
        </is>
      </c>
      <c r="C586" s="10" t="n">
        <v>1</v>
      </c>
      <c r="D586" s="10" t="n">
        <v>2.5</v>
      </c>
      <c r="E586" s="10" t="n">
        <v>2.5</v>
      </c>
      <c r="F586" s="10" t="n">
        <v>350</v>
      </c>
      <c r="G586" s="10" t="n">
        <v>400</v>
      </c>
      <c r="H586" s="15" t="n">
        <v>350</v>
      </c>
      <c r="I586" s="15" t="n">
        <v>400</v>
      </c>
      <c r="J586" s="16" t="n">
        <v>18.9903</v>
      </c>
      <c r="K586" s="10" t="inlineStr">
        <is>
          <t>135</t>
        </is>
      </c>
      <c r="L586" s="16" t="n">
        <v>13.622</v>
      </c>
      <c r="M586" s="10" t="inlineStr">
        <is>
          <t>135</t>
        </is>
      </c>
      <c r="N586" s="16" t="n">
        <v>17.251</v>
      </c>
      <c r="O586" s="16" t="n">
        <v>54.208</v>
      </c>
      <c r="P586" s="10" t="inlineStr">
        <is>
          <t>135</t>
        </is>
      </c>
      <c r="Q586" s="16" t="n">
        <v>3.8178</v>
      </c>
      <c r="R586" s="10">
        <f>MAX(MAX(1.4/'Parametros'!$B$3,0.25*SQRT('Parametros'!$B$2)/'Parametros'!$B$3)*H586*U586,(0.85*'Parametros'!$B$2/'Parametros'!$B$3)*(1-SQRT(1-2*(J586*1000000/('Parametros'!$B$5*H586*U586^2))/(0.85*'Parametros'!$B$2)))*H586*U586)</f>
        <v>399.641666666667</v>
      </c>
      <c r="S586" s="17" t="n">
        <v>3</v>
      </c>
      <c r="T586" s="18" t="n">
        <v>1</v>
      </c>
      <c r="U586" s="10">
        <f>IF(T586=1,I586-('Parametros'!$B$7+'Parametros'!$B$9+'Parametros'!$B$12/2),I586-(ROUNDUP(S586/2,0)*('Parametros'!$B$7+'Parametros'!$B$9+'Parametros'!$B$12/2)+ROUNDDOWN(S586/2,0)*('Parametros'!$B$7+'Parametros'!$B$9+'Parametros'!$B$12/2+'Parametros'!$B$12+'Parametros'!$B$10))/S586)</f>
        <v>342.55</v>
      </c>
      <c r="V586" s="10">
        <f>S586*'Parametros'!$B$8</f>
        <v>597</v>
      </c>
      <c r="W586" s="10">
        <f>'Parametros'!$B$5*V586*'Parametros'!$B$3*(U586-(V586*'Parametros'!$B$3/(0.85*'Parametros'!$B$2*H586))/2)/1000000</f>
        <v>73.905520182353</v>
      </c>
      <c r="X586" s="10" t="str">
        <f>IF(W586&gt;=J586,"CUMPLE","NO CUMPLE")</f>
        <v>CUMPLE</v>
      </c>
      <c r="Y586" s="10">
        <f>MAX(MAX(1.4/'Parametros'!$B$3,0.25*SQRT('Parametros'!$B$2)/'Parametros'!$B$3)*H586*AB586,(0.85*'Parametros'!$B$2/'Parametros'!$B$3)*(1-SQRT(1-2*(L586*1000000/('Parametros'!$B$5*H586*AB586^2))/(0.85*'Parametros'!$B$2)))*H586*AB586)</f>
        <v>399.641666666667</v>
      </c>
      <c r="Z586" s="17" t="n">
        <v>3</v>
      </c>
      <c r="AA586" s="18" t="n">
        <v>1</v>
      </c>
      <c r="AB586" s="10">
        <f>IF(AA586=1,I586-('Parametros'!$B$7+'Parametros'!$B$9+'Parametros'!$B$12/2),I586-(ROUNDUP(Z586/2,0)*('Parametros'!$B$7+'Parametros'!$B$9+'Parametros'!$B$12/2)+ROUNDDOWN(Z586/2,0)*('Parametros'!$B$7+'Parametros'!$B$9+'Parametros'!$B$12/2+'Parametros'!$B$12+'Parametros'!$B$10))/Z586)</f>
        <v>342.55</v>
      </c>
      <c r="AC586" s="10">
        <f>Z586*'Parametros'!$B$8</f>
        <v>597</v>
      </c>
      <c r="AD586" s="10">
        <f>'Parametros'!$B$5*AC586*'Parametros'!$B$3*(AB586-(AC586*'Parametros'!$B$3/(0.85*'Parametros'!$B$2*H586))/2)/1000000</f>
        <v>73.905520182353</v>
      </c>
      <c r="AE586" s="10" t="str">
        <f>IF(AD586&gt;=L586,"CUMPLE","NO CUMPLE")</f>
        <v>CUMPLE</v>
      </c>
      <c r="AF586" s="10">
        <f>V586*1.25*'Parametros'!$B$3*(U586-(V586*1.25*'Parametros'!$B$3/(0.85*'Parametros'!$B$2*H586))/2)/1000000</f>
        <v>101.467261323529</v>
      </c>
      <c r="AG586" s="10">
        <f>AC586*1.25*'Parametros'!$B$3*(AB586-(AC586*1.25*'Parametros'!$B$3/(0.85*'Parametros'!$B$2*H586))/2)/1000000</f>
        <v>101.467261323529</v>
      </c>
      <c r="AH586" s="10">
        <f>N586+(AF586+AG586)/D586</f>
        <v>98.4248090588235</v>
      </c>
      <c r="AI586" s="10">
        <f>MIN(O586,MAX(N586,AH586))</f>
        <v>54.208</v>
      </c>
      <c r="AJ586" s="10">
        <f>0.17*SQRT('Parametros'!$B$2)*H586*MIN(U586,AB586)/1000</f>
        <v>107.849951281016</v>
      </c>
      <c r="AK586" s="10">
        <f>MAX(AI586/'Parametros'!$B$6-AJ586,0)</f>
        <v>0</v>
      </c>
      <c r="AL586" s="10">
        <f>0.66*SQRT('Parametros'!$B$2)*H586*MIN(U586,AB586)/1000</f>
        <v>418.711575561591</v>
      </c>
      <c r="AM586" s="10" t="str">
        <f>IF(AK586&lt;=AL586,"CUMPLE","NO CUMPLE")</f>
        <v>CUMPLE</v>
      </c>
      <c r="AN586" s="15" t="inlineStr">
        <is>
          <t>Nº3 cerrado</t>
        </is>
      </c>
      <c r="AO586" s="17" t="n">
        <v>2</v>
      </c>
      <c r="AP586" s="10">
        <f>ROUNDDOWN(MIN(IF(AK586=0,1000000000,AO586*'Parametros'!$B$11*'Parametros'!$B$4*MIN(U586,AB586)/(AK586*1000)),IF(AV586=0,1000000000,'Parametros'!$B$11/AV586),MIN(U586,AB586)/4,8*'Parametros'!$B$12,24*'Parametros'!$B$9,300)/10,0)*10</f>
        <v>80</v>
      </c>
      <c r="AQ586" s="10">
        <f>ROUNDDOWN(MIN(IF(AK586=0,1000000000,AO586*'Parametros'!$B$11*'Parametros'!$B$4*MIN(U586,AB586)/(AK586*1000)),IF(AV586=0,1000000000,'Parametros'!$B$11/AV586),MIN(U586,AB586)/2,600)/10,0)*10</f>
        <v>170</v>
      </c>
      <c r="AR586" s="10">
        <f>'Parametros'!$B$6*(AJ586+AO586*'Parametros'!$B$11*'Parametros'!$B$4*MIN(U586,AB586)/AP586/1000)</f>
        <v>272.415732210762</v>
      </c>
      <c r="AS586" s="10" t="str">
        <f>IF(AND(AM586="CUMPLE",AR586&gt;=AI586),"CUMPLE","NO CUMPLE")</f>
        <v>CUMPLE</v>
      </c>
      <c r="AT586" s="10">
        <f>'Parametros'!$B$6*0.083*SQRT('Parametros'!$B$2)*(H586*I586)^2/(2*(H586+I586))/1000000</f>
        <v>4.30410823283988</v>
      </c>
      <c r="AU586" s="10" t="str">
        <f>IF(Q586&lt;=AT586,"DESPRECIABLE","DISEÑAR")</f>
        <v>DESPRECIABLE</v>
      </c>
      <c r="AV586" s="10">
        <f>IF(Q586&lt;=AT586,0,Q586*1000000/('Parametros'!$B$6*2*0.85*(H586-2*'Parametros'!$B$7)*(I586-2*'Parametros'!$B$7)*'Parametros'!$B$4))</f>
        <v>0</v>
      </c>
      <c r="AW586" s="10">
        <f>AV586*2*((H586-2*'Parametros'!$B$7)+(I586-2*'Parametros'!$B$7))*'Parametros'!$B$4/'Parametros'!$B$3</f>
        <v>0</v>
      </c>
      <c r="AX586" s="17" t="n">
        <v>0</v>
      </c>
      <c r="AY586" s="10" t="str">
        <f>IF(AV586=0,"DESPRECIABLE",IF('Parametros'!$B$11/AP586&gt;=AV586,"CUMPLE","NO CUMPLE"))</f>
        <v>DESPRECIABLE</v>
      </c>
      <c r="AZ586" s="10" t="str">
        <f>IF(AND(X586="CUMPLE",AE586="CUMPLE",AS586="CUMPLE",OR(AY586="CUMPLE",AY586="DESPRECIABLE")),IF(OR(F586&lt;&gt;H586,G586&lt;&gt;I586),"CUMPLE - REANALIZAR SAP","CUMPLE"),"NO CUMPLE")</f>
        <v>CUMPLE</v>
      </c>
    </row>
    <row r="587">
      <c r="A587" s="29" t="inlineStr">
        <is>
          <t>VRAUX</t>
        </is>
      </c>
      <c r="B587" s="29" t="inlineStr">
        <is>
          <t>136</t>
        </is>
      </c>
      <c r="C587" s="10" t="n">
        <v>1</v>
      </c>
      <c r="D587" s="10" t="n">
        <v>2.5</v>
      </c>
      <c r="E587" s="10" t="n">
        <v>2.5</v>
      </c>
      <c r="F587" s="10" t="n">
        <v>350</v>
      </c>
      <c r="G587" s="10" t="n">
        <v>400</v>
      </c>
      <c r="H587" s="15" t="n">
        <v>350</v>
      </c>
      <c r="I587" s="15" t="n">
        <v>400</v>
      </c>
      <c r="J587" s="16" t="n">
        <v>19.0662</v>
      </c>
      <c r="K587" s="10" t="inlineStr">
        <is>
          <t>136</t>
        </is>
      </c>
      <c r="L587" s="16" t="n">
        <v>13.6296</v>
      </c>
      <c r="M587" s="10" t="inlineStr">
        <is>
          <t>136</t>
        </is>
      </c>
      <c r="N587" s="16" t="n">
        <v>17.284</v>
      </c>
      <c r="O587" s="16" t="n">
        <v>54.241</v>
      </c>
      <c r="P587" s="10" t="inlineStr">
        <is>
          <t>136</t>
        </is>
      </c>
      <c r="Q587" s="16" t="n">
        <v>3.8245</v>
      </c>
      <c r="R587" s="10">
        <f>MAX(MAX(1.4/'Parametros'!$B$3,0.25*SQRT('Parametros'!$B$2)/'Parametros'!$B$3)*H587*U587,(0.85*'Parametros'!$B$2/'Parametros'!$B$3)*(1-SQRT(1-2*(J587*1000000/('Parametros'!$B$5*H587*U587^2))/(0.85*'Parametros'!$B$2)))*H587*U587)</f>
        <v>399.641666666667</v>
      </c>
      <c r="S587" s="17" t="n">
        <v>3</v>
      </c>
      <c r="T587" s="18" t="n">
        <v>1</v>
      </c>
      <c r="U587" s="10">
        <f>IF(T587=1,I587-('Parametros'!$B$7+'Parametros'!$B$9+'Parametros'!$B$12/2),I587-(ROUNDUP(S587/2,0)*('Parametros'!$B$7+'Parametros'!$B$9+'Parametros'!$B$12/2)+ROUNDDOWN(S587/2,0)*('Parametros'!$B$7+'Parametros'!$B$9+'Parametros'!$B$12/2+'Parametros'!$B$12+'Parametros'!$B$10))/S587)</f>
        <v>342.55</v>
      </c>
      <c r="V587" s="10">
        <f>S587*'Parametros'!$B$8</f>
        <v>597</v>
      </c>
      <c r="W587" s="10">
        <f>'Parametros'!$B$5*V587*'Parametros'!$B$3*(U587-(V587*'Parametros'!$B$3/(0.85*'Parametros'!$B$2*H587))/2)/1000000</f>
        <v>73.905520182353</v>
      </c>
      <c r="X587" s="10" t="str">
        <f>IF(W587&gt;=J587,"CUMPLE","NO CUMPLE")</f>
        <v>CUMPLE</v>
      </c>
      <c r="Y587" s="10">
        <f>MAX(MAX(1.4/'Parametros'!$B$3,0.25*SQRT('Parametros'!$B$2)/'Parametros'!$B$3)*H587*AB587,(0.85*'Parametros'!$B$2/'Parametros'!$B$3)*(1-SQRT(1-2*(L587*1000000/('Parametros'!$B$5*H587*AB587^2))/(0.85*'Parametros'!$B$2)))*H587*AB587)</f>
        <v>399.641666666667</v>
      </c>
      <c r="Z587" s="17" t="n">
        <v>3</v>
      </c>
      <c r="AA587" s="18" t="n">
        <v>1</v>
      </c>
      <c r="AB587" s="10">
        <f>IF(AA587=1,I587-('Parametros'!$B$7+'Parametros'!$B$9+'Parametros'!$B$12/2),I587-(ROUNDUP(Z587/2,0)*('Parametros'!$B$7+'Parametros'!$B$9+'Parametros'!$B$12/2)+ROUNDDOWN(Z587/2,0)*('Parametros'!$B$7+'Parametros'!$B$9+'Parametros'!$B$12/2+'Parametros'!$B$12+'Parametros'!$B$10))/Z587)</f>
        <v>342.55</v>
      </c>
      <c r="AC587" s="10">
        <f>Z587*'Parametros'!$B$8</f>
        <v>597</v>
      </c>
      <c r="AD587" s="10">
        <f>'Parametros'!$B$5*AC587*'Parametros'!$B$3*(AB587-(AC587*'Parametros'!$B$3/(0.85*'Parametros'!$B$2*H587))/2)/1000000</f>
        <v>73.905520182353</v>
      </c>
      <c r="AE587" s="10" t="str">
        <f>IF(AD587&gt;=L587,"CUMPLE","NO CUMPLE")</f>
        <v>CUMPLE</v>
      </c>
      <c r="AF587" s="10">
        <f>V587*1.25*'Parametros'!$B$3*(U587-(V587*1.25*'Parametros'!$B$3/(0.85*'Parametros'!$B$2*H587))/2)/1000000</f>
        <v>101.467261323529</v>
      </c>
      <c r="AG587" s="10">
        <f>AC587*1.25*'Parametros'!$B$3*(AB587-(AC587*1.25*'Parametros'!$B$3/(0.85*'Parametros'!$B$2*H587))/2)/1000000</f>
        <v>101.467261323529</v>
      </c>
      <c r="AH587" s="10">
        <f>N587+(AF587+AG587)/D587</f>
        <v>98.4578090588235</v>
      </c>
      <c r="AI587" s="10">
        <f>MIN(O587,MAX(N587,AH587))</f>
        <v>54.241</v>
      </c>
      <c r="AJ587" s="10">
        <f>0.17*SQRT('Parametros'!$B$2)*H587*MIN(U587,AB587)/1000</f>
        <v>107.849951281016</v>
      </c>
      <c r="AK587" s="10">
        <f>MAX(AI587/'Parametros'!$B$6-AJ587,0)</f>
        <v>0</v>
      </c>
      <c r="AL587" s="10">
        <f>0.66*SQRT('Parametros'!$B$2)*H587*MIN(U587,AB587)/1000</f>
        <v>418.711575561591</v>
      </c>
      <c r="AM587" s="10" t="str">
        <f>IF(AK587&lt;=AL587,"CUMPLE","NO CUMPLE")</f>
        <v>CUMPLE</v>
      </c>
      <c r="AN587" s="15" t="inlineStr">
        <is>
          <t>Nº3 cerrado</t>
        </is>
      </c>
      <c r="AO587" s="17" t="n">
        <v>2</v>
      </c>
      <c r="AP587" s="10">
        <f>ROUNDDOWN(MIN(IF(AK587=0,1000000000,AO587*'Parametros'!$B$11*'Parametros'!$B$4*MIN(U587,AB587)/(AK587*1000)),IF(AV587=0,1000000000,'Parametros'!$B$11/AV587),MIN(U587,AB587)/4,8*'Parametros'!$B$12,24*'Parametros'!$B$9,300)/10,0)*10</f>
        <v>80</v>
      </c>
      <c r="AQ587" s="10">
        <f>ROUNDDOWN(MIN(IF(AK587=0,1000000000,AO587*'Parametros'!$B$11*'Parametros'!$B$4*MIN(U587,AB587)/(AK587*1000)),IF(AV587=0,1000000000,'Parametros'!$B$11/AV587),MIN(U587,AB587)/2,600)/10,0)*10</f>
        <v>170</v>
      </c>
      <c r="AR587" s="10">
        <f>'Parametros'!$B$6*(AJ587+AO587*'Parametros'!$B$11*'Parametros'!$B$4*MIN(U587,AB587)/AP587/1000)</f>
        <v>272.415732210762</v>
      </c>
      <c r="AS587" s="10" t="str">
        <f>IF(AND(AM587="CUMPLE",AR587&gt;=AI587),"CUMPLE","NO CUMPLE")</f>
        <v>CUMPLE</v>
      </c>
      <c r="AT587" s="10">
        <f>'Parametros'!$B$6*0.083*SQRT('Parametros'!$B$2)*(H587*I587)^2/(2*(H587+I587))/1000000</f>
        <v>4.30410823283988</v>
      </c>
      <c r="AU587" s="10" t="str">
        <f>IF(Q587&lt;=AT587,"DESPRECIABLE","DISEÑAR")</f>
        <v>DESPRECIABLE</v>
      </c>
      <c r="AV587" s="10">
        <f>IF(Q587&lt;=AT587,0,Q587*1000000/('Parametros'!$B$6*2*0.85*(H587-2*'Parametros'!$B$7)*(I587-2*'Parametros'!$B$7)*'Parametros'!$B$4))</f>
        <v>0</v>
      </c>
      <c r="AW587" s="10">
        <f>AV587*2*((H587-2*'Parametros'!$B$7)+(I587-2*'Parametros'!$B$7))*'Parametros'!$B$4/'Parametros'!$B$3</f>
        <v>0</v>
      </c>
      <c r="AX587" s="17" t="n">
        <v>0</v>
      </c>
      <c r="AY587" s="10" t="str">
        <f>IF(AV587=0,"DESPRECIABLE",IF('Parametros'!$B$11/AP587&gt;=AV587,"CUMPLE","NO CUMPLE"))</f>
        <v>DESPRECIABLE</v>
      </c>
      <c r="AZ587" s="10" t="str">
        <f>IF(AND(X587="CUMPLE",AE587="CUMPLE",AS587="CUMPLE",OR(AY587="CUMPLE",AY587="DESPRECIABLE")),IF(OR(F587&lt;&gt;H587,G587&lt;&gt;I587),"CUMPLE - REANALIZAR SAP","CUMPLE"),"NO CUMPLE")</f>
        <v>CUMPLE</v>
      </c>
    </row>
    <row r="588">
      <c r="A588" s="29" t="inlineStr">
        <is>
          <t>VRAUX</t>
        </is>
      </c>
      <c r="B588" s="29" t="inlineStr">
        <is>
          <t>137</t>
        </is>
      </c>
      <c r="C588" s="10" t="n">
        <v>1</v>
      </c>
      <c r="D588" s="10" t="n">
        <v>2.6</v>
      </c>
      <c r="E588" s="10" t="n">
        <v>2.6</v>
      </c>
      <c r="F588" s="10" t="n">
        <v>350</v>
      </c>
      <c r="G588" s="10" t="n">
        <v>400</v>
      </c>
      <c r="H588" s="15" t="n">
        <v>350</v>
      </c>
      <c r="I588" s="15" t="n">
        <v>400</v>
      </c>
      <c r="J588" s="16" t="n">
        <v>8.3338</v>
      </c>
      <c r="K588" s="10" t="inlineStr">
        <is>
          <t>137</t>
        </is>
      </c>
      <c r="L588" s="16" t="n">
        <v>4.3134</v>
      </c>
      <c r="M588" s="10" t="inlineStr">
        <is>
          <t>137</t>
        </is>
      </c>
      <c r="N588" s="16" t="n">
        <v>9.032999999999999</v>
      </c>
      <c r="O588" s="16" t="n">
        <v>25.556</v>
      </c>
      <c r="P588" s="10" t="inlineStr">
        <is>
          <t>137</t>
        </is>
      </c>
      <c r="Q588" s="16" t="n">
        <v>0.2202</v>
      </c>
      <c r="R588" s="10">
        <f>MAX(MAX(1.4/'Parametros'!$B$3,0.25*SQRT('Parametros'!$B$2)/'Parametros'!$B$3)*H588*U588,(0.85*'Parametros'!$B$2/'Parametros'!$B$3)*(1-SQRT(1-2*(J588*1000000/('Parametros'!$B$5*H588*U588^2))/(0.85*'Parametros'!$B$2)))*H588*U588)</f>
        <v>399.641666666667</v>
      </c>
      <c r="S588" s="17" t="n">
        <v>3</v>
      </c>
      <c r="T588" s="18" t="n">
        <v>1</v>
      </c>
      <c r="U588" s="10">
        <f>IF(T588=1,I588-('Parametros'!$B$7+'Parametros'!$B$9+'Parametros'!$B$12/2),I588-(ROUNDUP(S588/2,0)*('Parametros'!$B$7+'Parametros'!$B$9+'Parametros'!$B$12/2)+ROUNDDOWN(S588/2,0)*('Parametros'!$B$7+'Parametros'!$B$9+'Parametros'!$B$12/2+'Parametros'!$B$12+'Parametros'!$B$10))/S588)</f>
        <v>342.55</v>
      </c>
      <c r="V588" s="10">
        <f>S588*'Parametros'!$B$8</f>
        <v>597</v>
      </c>
      <c r="W588" s="10">
        <f>'Parametros'!$B$5*V588*'Parametros'!$B$3*(U588-(V588*'Parametros'!$B$3/(0.85*'Parametros'!$B$2*H588))/2)/1000000</f>
        <v>73.905520182353</v>
      </c>
      <c r="X588" s="10" t="str">
        <f>IF(W588&gt;=J588,"CUMPLE","NO CUMPLE")</f>
        <v>CUMPLE</v>
      </c>
      <c r="Y588" s="10">
        <f>MAX(MAX(1.4/'Parametros'!$B$3,0.25*SQRT('Parametros'!$B$2)/'Parametros'!$B$3)*H588*AB588,(0.85*'Parametros'!$B$2/'Parametros'!$B$3)*(1-SQRT(1-2*(L588*1000000/('Parametros'!$B$5*H588*AB588^2))/(0.85*'Parametros'!$B$2)))*H588*AB588)</f>
        <v>399.641666666667</v>
      </c>
      <c r="Z588" s="17" t="n">
        <v>3</v>
      </c>
      <c r="AA588" s="18" t="n">
        <v>1</v>
      </c>
      <c r="AB588" s="10">
        <f>IF(AA588=1,I588-('Parametros'!$B$7+'Parametros'!$B$9+'Parametros'!$B$12/2),I588-(ROUNDUP(Z588/2,0)*('Parametros'!$B$7+'Parametros'!$B$9+'Parametros'!$B$12/2)+ROUNDDOWN(Z588/2,0)*('Parametros'!$B$7+'Parametros'!$B$9+'Parametros'!$B$12/2+'Parametros'!$B$12+'Parametros'!$B$10))/Z588)</f>
        <v>342.55</v>
      </c>
      <c r="AC588" s="10">
        <f>Z588*'Parametros'!$B$8</f>
        <v>597</v>
      </c>
      <c r="AD588" s="10">
        <f>'Parametros'!$B$5*AC588*'Parametros'!$B$3*(AB588-(AC588*'Parametros'!$B$3/(0.85*'Parametros'!$B$2*H588))/2)/1000000</f>
        <v>73.905520182353</v>
      </c>
      <c r="AE588" s="10" t="str">
        <f>IF(AD588&gt;=L588,"CUMPLE","NO CUMPLE")</f>
        <v>CUMPLE</v>
      </c>
      <c r="AF588" s="10">
        <f>V588*1.25*'Parametros'!$B$3*(U588-(V588*1.25*'Parametros'!$B$3/(0.85*'Parametros'!$B$2*H588))/2)/1000000</f>
        <v>101.467261323529</v>
      </c>
      <c r="AG588" s="10">
        <f>AC588*1.25*'Parametros'!$B$3*(AB588-(AC588*1.25*'Parametros'!$B$3/(0.85*'Parametros'!$B$2*H588))/2)/1000000</f>
        <v>101.467261323529</v>
      </c>
      <c r="AH588" s="10">
        <f>N588+(AF588+AG588)/D588</f>
        <v>87.084739479638</v>
      </c>
      <c r="AI588" s="10">
        <f>MIN(O588,MAX(N588,AH588))</f>
        <v>25.556</v>
      </c>
      <c r="AJ588" s="10">
        <f>0.17*SQRT('Parametros'!$B$2)*H588*MIN(U588,AB588)/1000</f>
        <v>107.849951281016</v>
      </c>
      <c r="AK588" s="10">
        <f>MAX(AI588/'Parametros'!$B$6-AJ588,0)</f>
        <v>0</v>
      </c>
      <c r="AL588" s="10">
        <f>0.66*SQRT('Parametros'!$B$2)*H588*MIN(U588,AB588)/1000</f>
        <v>418.711575561591</v>
      </c>
      <c r="AM588" s="10" t="str">
        <f>IF(AK588&lt;=AL588,"CUMPLE","NO CUMPLE")</f>
        <v>CUMPLE</v>
      </c>
      <c r="AN588" s="15" t="inlineStr">
        <is>
          <t>Nº3 cerrado</t>
        </is>
      </c>
      <c r="AO588" s="17" t="n">
        <v>2</v>
      </c>
      <c r="AP588" s="10">
        <f>ROUNDDOWN(MIN(IF(AK588=0,1000000000,AO588*'Parametros'!$B$11*'Parametros'!$B$4*MIN(U588,AB588)/(AK588*1000)),IF(AV588=0,1000000000,'Parametros'!$B$11/AV588),MIN(U588,AB588)/4,8*'Parametros'!$B$12,24*'Parametros'!$B$9,300)/10,0)*10</f>
        <v>80</v>
      </c>
      <c r="AQ588" s="10">
        <f>ROUNDDOWN(MIN(IF(AK588=0,1000000000,AO588*'Parametros'!$B$11*'Parametros'!$B$4*MIN(U588,AB588)/(AK588*1000)),IF(AV588=0,1000000000,'Parametros'!$B$11/AV588),MIN(U588,AB588)/2,600)/10,0)*10</f>
        <v>170</v>
      </c>
      <c r="AR588" s="10">
        <f>'Parametros'!$B$6*(AJ588+AO588*'Parametros'!$B$11*'Parametros'!$B$4*MIN(U588,AB588)/AP588/1000)</f>
        <v>272.415732210762</v>
      </c>
      <c r="AS588" s="10" t="str">
        <f>IF(AND(AM588="CUMPLE",AR588&gt;=AI588),"CUMPLE","NO CUMPLE")</f>
        <v>CUMPLE</v>
      </c>
      <c r="AT588" s="10">
        <f>'Parametros'!$B$6*0.083*SQRT('Parametros'!$B$2)*(H588*I588)^2/(2*(H588+I588))/1000000</f>
        <v>4.30410823283988</v>
      </c>
      <c r="AU588" s="10" t="str">
        <f>IF(Q588&lt;=AT588,"DESPRECIABLE","DISEÑAR")</f>
        <v>DESPRECIABLE</v>
      </c>
      <c r="AV588" s="10">
        <f>IF(Q588&lt;=AT588,0,Q588*1000000/('Parametros'!$B$6*2*0.85*(H588-2*'Parametros'!$B$7)*(I588-2*'Parametros'!$B$7)*'Parametros'!$B$4))</f>
        <v>0</v>
      </c>
      <c r="AW588" s="10">
        <f>AV588*2*((H588-2*'Parametros'!$B$7)+(I588-2*'Parametros'!$B$7))*'Parametros'!$B$4/'Parametros'!$B$3</f>
        <v>0</v>
      </c>
      <c r="AX588" s="17" t="n">
        <v>0</v>
      </c>
      <c r="AY588" s="10" t="str">
        <f>IF(AV588=0,"DESPRECIABLE",IF('Parametros'!$B$11/AP588&gt;=AV588,"CUMPLE","NO CUMPLE"))</f>
        <v>DESPRECIABLE</v>
      </c>
      <c r="AZ588" s="10" t="str">
        <f>IF(AND(X588="CUMPLE",AE588="CUMPLE",AS588="CUMPLE",OR(AY588="CUMPLE",AY588="DESPRECIABLE")),IF(OR(F588&lt;&gt;H588,G588&lt;&gt;I588),"CUMPLE - REANALIZAR SAP","CUMPLE"),"NO CUMPLE")</f>
        <v>CUMPLE</v>
      </c>
    </row>
    <row r="589">
      <c r="A589" s="29" t="inlineStr">
        <is>
          <t>VRAUX</t>
        </is>
      </c>
      <c r="B589" s="29" t="inlineStr">
        <is>
          <t>138</t>
        </is>
      </c>
      <c r="C589" s="10" t="n">
        <v>1</v>
      </c>
      <c r="D589" s="10" t="n">
        <v>2.6</v>
      </c>
      <c r="E589" s="10" t="n">
        <v>2.6</v>
      </c>
      <c r="F589" s="10" t="n">
        <v>350</v>
      </c>
      <c r="G589" s="10" t="n">
        <v>400</v>
      </c>
      <c r="H589" s="15" t="n">
        <v>350</v>
      </c>
      <c r="I589" s="15" t="n">
        <v>400</v>
      </c>
      <c r="J589" s="16" t="n">
        <v>8.334899999999999</v>
      </c>
      <c r="K589" s="10" t="inlineStr">
        <is>
          <t>138</t>
        </is>
      </c>
      <c r="L589" s="16" t="n">
        <v>4.3133</v>
      </c>
      <c r="M589" s="10" t="inlineStr">
        <is>
          <t>138</t>
        </is>
      </c>
      <c r="N589" s="16" t="n">
        <v>9.034000000000001</v>
      </c>
      <c r="O589" s="16" t="n">
        <v>25.556</v>
      </c>
      <c r="P589" s="10" t="inlineStr">
        <is>
          <t>138</t>
        </is>
      </c>
      <c r="Q589" s="16" t="n">
        <v>0.2173</v>
      </c>
      <c r="R589" s="10">
        <f>MAX(MAX(1.4/'Parametros'!$B$3,0.25*SQRT('Parametros'!$B$2)/'Parametros'!$B$3)*H589*U589,(0.85*'Parametros'!$B$2/'Parametros'!$B$3)*(1-SQRT(1-2*(J589*1000000/('Parametros'!$B$5*H589*U589^2))/(0.85*'Parametros'!$B$2)))*H589*U589)</f>
        <v>399.641666666667</v>
      </c>
      <c r="S589" s="17" t="n">
        <v>3</v>
      </c>
      <c r="T589" s="18" t="n">
        <v>1</v>
      </c>
      <c r="U589" s="10">
        <f>IF(T589=1,I589-('Parametros'!$B$7+'Parametros'!$B$9+'Parametros'!$B$12/2),I589-(ROUNDUP(S589/2,0)*('Parametros'!$B$7+'Parametros'!$B$9+'Parametros'!$B$12/2)+ROUNDDOWN(S589/2,0)*('Parametros'!$B$7+'Parametros'!$B$9+'Parametros'!$B$12/2+'Parametros'!$B$12+'Parametros'!$B$10))/S589)</f>
        <v>342.55</v>
      </c>
      <c r="V589" s="10">
        <f>S589*'Parametros'!$B$8</f>
        <v>597</v>
      </c>
      <c r="W589" s="10">
        <f>'Parametros'!$B$5*V589*'Parametros'!$B$3*(U589-(V589*'Parametros'!$B$3/(0.85*'Parametros'!$B$2*H589))/2)/1000000</f>
        <v>73.905520182353</v>
      </c>
      <c r="X589" s="10" t="str">
        <f>IF(W589&gt;=J589,"CUMPLE","NO CUMPLE")</f>
        <v>CUMPLE</v>
      </c>
      <c r="Y589" s="10">
        <f>MAX(MAX(1.4/'Parametros'!$B$3,0.25*SQRT('Parametros'!$B$2)/'Parametros'!$B$3)*H589*AB589,(0.85*'Parametros'!$B$2/'Parametros'!$B$3)*(1-SQRT(1-2*(L589*1000000/('Parametros'!$B$5*H589*AB589^2))/(0.85*'Parametros'!$B$2)))*H589*AB589)</f>
        <v>399.641666666667</v>
      </c>
      <c r="Z589" s="17" t="n">
        <v>3</v>
      </c>
      <c r="AA589" s="18" t="n">
        <v>1</v>
      </c>
      <c r="AB589" s="10">
        <f>IF(AA589=1,I589-('Parametros'!$B$7+'Parametros'!$B$9+'Parametros'!$B$12/2),I589-(ROUNDUP(Z589/2,0)*('Parametros'!$B$7+'Parametros'!$B$9+'Parametros'!$B$12/2)+ROUNDDOWN(Z589/2,0)*('Parametros'!$B$7+'Parametros'!$B$9+'Parametros'!$B$12/2+'Parametros'!$B$12+'Parametros'!$B$10))/Z589)</f>
        <v>342.55</v>
      </c>
      <c r="AC589" s="10">
        <f>Z589*'Parametros'!$B$8</f>
        <v>597</v>
      </c>
      <c r="AD589" s="10">
        <f>'Parametros'!$B$5*AC589*'Parametros'!$B$3*(AB589-(AC589*'Parametros'!$B$3/(0.85*'Parametros'!$B$2*H589))/2)/1000000</f>
        <v>73.905520182353</v>
      </c>
      <c r="AE589" s="10" t="str">
        <f>IF(AD589&gt;=L589,"CUMPLE","NO CUMPLE")</f>
        <v>CUMPLE</v>
      </c>
      <c r="AF589" s="10">
        <f>V589*1.25*'Parametros'!$B$3*(U589-(V589*1.25*'Parametros'!$B$3/(0.85*'Parametros'!$B$2*H589))/2)/1000000</f>
        <v>101.467261323529</v>
      </c>
      <c r="AG589" s="10">
        <f>AC589*1.25*'Parametros'!$B$3*(AB589-(AC589*1.25*'Parametros'!$B$3/(0.85*'Parametros'!$B$2*H589))/2)/1000000</f>
        <v>101.467261323529</v>
      </c>
      <c r="AH589" s="10">
        <f>N589+(AF589+AG589)/D589</f>
        <v>87.085739479638</v>
      </c>
      <c r="AI589" s="10">
        <f>MIN(O589,MAX(N589,AH589))</f>
        <v>25.556</v>
      </c>
      <c r="AJ589" s="10">
        <f>0.17*SQRT('Parametros'!$B$2)*H589*MIN(U589,AB589)/1000</f>
        <v>107.849951281016</v>
      </c>
      <c r="AK589" s="10">
        <f>MAX(AI589/'Parametros'!$B$6-AJ589,0)</f>
        <v>0</v>
      </c>
      <c r="AL589" s="10">
        <f>0.66*SQRT('Parametros'!$B$2)*H589*MIN(U589,AB589)/1000</f>
        <v>418.711575561591</v>
      </c>
      <c r="AM589" s="10" t="str">
        <f>IF(AK589&lt;=AL589,"CUMPLE","NO CUMPLE")</f>
        <v>CUMPLE</v>
      </c>
      <c r="AN589" s="15" t="inlineStr">
        <is>
          <t>Nº3 cerrado</t>
        </is>
      </c>
      <c r="AO589" s="17" t="n">
        <v>2</v>
      </c>
      <c r="AP589" s="10">
        <f>ROUNDDOWN(MIN(IF(AK589=0,1000000000,AO589*'Parametros'!$B$11*'Parametros'!$B$4*MIN(U589,AB589)/(AK589*1000)),IF(AV589=0,1000000000,'Parametros'!$B$11/AV589),MIN(U589,AB589)/4,8*'Parametros'!$B$12,24*'Parametros'!$B$9,300)/10,0)*10</f>
        <v>80</v>
      </c>
      <c r="AQ589" s="10">
        <f>ROUNDDOWN(MIN(IF(AK589=0,1000000000,AO589*'Parametros'!$B$11*'Parametros'!$B$4*MIN(U589,AB589)/(AK589*1000)),IF(AV589=0,1000000000,'Parametros'!$B$11/AV589),MIN(U589,AB589)/2,600)/10,0)*10</f>
        <v>170</v>
      </c>
      <c r="AR589" s="10">
        <f>'Parametros'!$B$6*(AJ589+AO589*'Parametros'!$B$11*'Parametros'!$B$4*MIN(U589,AB589)/AP589/1000)</f>
        <v>272.415732210762</v>
      </c>
      <c r="AS589" s="10" t="str">
        <f>IF(AND(AM589="CUMPLE",AR589&gt;=AI589),"CUMPLE","NO CUMPLE")</f>
        <v>CUMPLE</v>
      </c>
      <c r="AT589" s="10">
        <f>'Parametros'!$B$6*0.083*SQRT('Parametros'!$B$2)*(H589*I589)^2/(2*(H589+I589))/1000000</f>
        <v>4.30410823283988</v>
      </c>
      <c r="AU589" s="10" t="str">
        <f>IF(Q589&lt;=AT589,"DESPRECIABLE","DISEÑAR")</f>
        <v>DESPRECIABLE</v>
      </c>
      <c r="AV589" s="10">
        <f>IF(Q589&lt;=AT589,0,Q589*1000000/('Parametros'!$B$6*2*0.85*(H589-2*'Parametros'!$B$7)*(I589-2*'Parametros'!$B$7)*'Parametros'!$B$4))</f>
        <v>0</v>
      </c>
      <c r="AW589" s="10">
        <f>AV589*2*((H589-2*'Parametros'!$B$7)+(I589-2*'Parametros'!$B$7))*'Parametros'!$B$4/'Parametros'!$B$3</f>
        <v>0</v>
      </c>
      <c r="AX589" s="17" t="n">
        <v>0</v>
      </c>
      <c r="AY589" s="10" t="str">
        <f>IF(AV589=0,"DESPRECIABLE",IF('Parametros'!$B$11/AP589&gt;=AV589,"CUMPLE","NO CUMPLE"))</f>
        <v>DESPRECIABLE</v>
      </c>
      <c r="AZ589" s="10" t="str">
        <f>IF(AND(X589="CUMPLE",AE589="CUMPLE",AS589="CUMPLE",OR(AY589="CUMPLE",AY589="DESPRECIABLE")),IF(OR(F589&lt;&gt;H589,G589&lt;&gt;I589),"CUMPLE - REANALIZAR SAP","CUMPLE"),"NO CUMPLE")</f>
        <v>CUMPLE</v>
      </c>
    </row>
    <row r="590">
      <c r="A590" s="29" t="inlineStr">
        <is>
          <t>VRAUX</t>
        </is>
      </c>
      <c r="B590" s="29" t="inlineStr">
        <is>
          <t>139</t>
        </is>
      </c>
      <c r="C590" s="10" t="n">
        <v>1</v>
      </c>
      <c r="D590" s="10" t="n">
        <v>2.6</v>
      </c>
      <c r="E590" s="10" t="n">
        <v>2.6</v>
      </c>
      <c r="F590" s="10" t="n">
        <v>350</v>
      </c>
      <c r="G590" s="10" t="n">
        <v>400</v>
      </c>
      <c r="H590" s="15" t="n">
        <v>350</v>
      </c>
      <c r="I590" s="15" t="n">
        <v>400</v>
      </c>
      <c r="J590" s="16" t="n">
        <v>8.3133</v>
      </c>
      <c r="K590" s="10" t="inlineStr">
        <is>
          <t>139</t>
        </is>
      </c>
      <c r="L590" s="16" t="n">
        <v>4.3011</v>
      </c>
      <c r="M590" s="10" t="inlineStr">
        <is>
          <t>139</t>
        </is>
      </c>
      <c r="N590" s="16" t="n">
        <v>9.016999999999999</v>
      </c>
      <c r="O590" s="16" t="n">
        <v>25.54</v>
      </c>
      <c r="P590" s="10" t="inlineStr">
        <is>
          <t>139</t>
        </is>
      </c>
      <c r="Q590" s="16" t="n">
        <v>0.2178</v>
      </c>
      <c r="R590" s="10">
        <f>MAX(MAX(1.4/'Parametros'!$B$3,0.25*SQRT('Parametros'!$B$2)/'Parametros'!$B$3)*H590*U590,(0.85*'Parametros'!$B$2/'Parametros'!$B$3)*(1-SQRT(1-2*(J590*1000000/('Parametros'!$B$5*H590*U590^2))/(0.85*'Parametros'!$B$2)))*H590*U590)</f>
        <v>399.641666666667</v>
      </c>
      <c r="S590" s="17" t="n">
        <v>3</v>
      </c>
      <c r="T590" s="18" t="n">
        <v>1</v>
      </c>
      <c r="U590" s="10">
        <f>IF(T590=1,I590-('Parametros'!$B$7+'Parametros'!$B$9+'Parametros'!$B$12/2),I590-(ROUNDUP(S590/2,0)*('Parametros'!$B$7+'Parametros'!$B$9+'Parametros'!$B$12/2)+ROUNDDOWN(S590/2,0)*('Parametros'!$B$7+'Parametros'!$B$9+'Parametros'!$B$12/2+'Parametros'!$B$12+'Parametros'!$B$10))/S590)</f>
        <v>342.55</v>
      </c>
      <c r="V590" s="10">
        <f>S590*'Parametros'!$B$8</f>
        <v>597</v>
      </c>
      <c r="W590" s="10">
        <f>'Parametros'!$B$5*V590*'Parametros'!$B$3*(U590-(V590*'Parametros'!$B$3/(0.85*'Parametros'!$B$2*H590))/2)/1000000</f>
        <v>73.905520182353</v>
      </c>
      <c r="X590" s="10" t="str">
        <f>IF(W590&gt;=J590,"CUMPLE","NO CUMPLE")</f>
        <v>CUMPLE</v>
      </c>
      <c r="Y590" s="10">
        <f>MAX(MAX(1.4/'Parametros'!$B$3,0.25*SQRT('Parametros'!$B$2)/'Parametros'!$B$3)*H590*AB590,(0.85*'Parametros'!$B$2/'Parametros'!$B$3)*(1-SQRT(1-2*(L590*1000000/('Parametros'!$B$5*H590*AB590^2))/(0.85*'Parametros'!$B$2)))*H590*AB590)</f>
        <v>399.641666666667</v>
      </c>
      <c r="Z590" s="17" t="n">
        <v>3</v>
      </c>
      <c r="AA590" s="18" t="n">
        <v>1</v>
      </c>
      <c r="AB590" s="10">
        <f>IF(AA590=1,I590-('Parametros'!$B$7+'Parametros'!$B$9+'Parametros'!$B$12/2),I590-(ROUNDUP(Z590/2,0)*('Parametros'!$B$7+'Parametros'!$B$9+'Parametros'!$B$12/2)+ROUNDDOWN(Z590/2,0)*('Parametros'!$B$7+'Parametros'!$B$9+'Parametros'!$B$12/2+'Parametros'!$B$12+'Parametros'!$B$10))/Z590)</f>
        <v>342.55</v>
      </c>
      <c r="AC590" s="10">
        <f>Z590*'Parametros'!$B$8</f>
        <v>597</v>
      </c>
      <c r="AD590" s="10">
        <f>'Parametros'!$B$5*AC590*'Parametros'!$B$3*(AB590-(AC590*'Parametros'!$B$3/(0.85*'Parametros'!$B$2*H590))/2)/1000000</f>
        <v>73.905520182353</v>
      </c>
      <c r="AE590" s="10" t="str">
        <f>IF(AD590&gt;=L590,"CUMPLE","NO CUMPLE")</f>
        <v>CUMPLE</v>
      </c>
      <c r="AF590" s="10">
        <f>V590*1.25*'Parametros'!$B$3*(U590-(V590*1.25*'Parametros'!$B$3/(0.85*'Parametros'!$B$2*H590))/2)/1000000</f>
        <v>101.467261323529</v>
      </c>
      <c r="AG590" s="10">
        <f>AC590*1.25*'Parametros'!$B$3*(AB590-(AC590*1.25*'Parametros'!$B$3/(0.85*'Parametros'!$B$2*H590))/2)/1000000</f>
        <v>101.467261323529</v>
      </c>
      <c r="AH590" s="10">
        <f>N590+(AF590+AG590)/D590</f>
        <v>87.068739479638</v>
      </c>
      <c r="AI590" s="10">
        <f>MIN(O590,MAX(N590,AH590))</f>
        <v>25.54</v>
      </c>
      <c r="AJ590" s="10">
        <f>0.17*SQRT('Parametros'!$B$2)*H590*MIN(U590,AB590)/1000</f>
        <v>107.849951281016</v>
      </c>
      <c r="AK590" s="10">
        <f>MAX(AI590/'Parametros'!$B$6-AJ590,0)</f>
        <v>0</v>
      </c>
      <c r="AL590" s="10">
        <f>0.66*SQRT('Parametros'!$B$2)*H590*MIN(U590,AB590)/1000</f>
        <v>418.711575561591</v>
      </c>
      <c r="AM590" s="10" t="str">
        <f>IF(AK590&lt;=AL590,"CUMPLE","NO CUMPLE")</f>
        <v>CUMPLE</v>
      </c>
      <c r="AN590" s="15" t="inlineStr">
        <is>
          <t>Nº3 cerrado</t>
        </is>
      </c>
      <c r="AO590" s="17" t="n">
        <v>2</v>
      </c>
      <c r="AP590" s="10">
        <f>ROUNDDOWN(MIN(IF(AK590=0,1000000000,AO590*'Parametros'!$B$11*'Parametros'!$B$4*MIN(U590,AB590)/(AK590*1000)),IF(AV590=0,1000000000,'Parametros'!$B$11/AV590),MIN(U590,AB590)/4,8*'Parametros'!$B$12,24*'Parametros'!$B$9,300)/10,0)*10</f>
        <v>80</v>
      </c>
      <c r="AQ590" s="10">
        <f>ROUNDDOWN(MIN(IF(AK590=0,1000000000,AO590*'Parametros'!$B$11*'Parametros'!$B$4*MIN(U590,AB590)/(AK590*1000)),IF(AV590=0,1000000000,'Parametros'!$B$11/AV590),MIN(U590,AB590)/2,600)/10,0)*10</f>
        <v>170</v>
      </c>
      <c r="AR590" s="10">
        <f>'Parametros'!$B$6*(AJ590+AO590*'Parametros'!$B$11*'Parametros'!$B$4*MIN(U590,AB590)/AP590/1000)</f>
        <v>272.415732210762</v>
      </c>
      <c r="AS590" s="10" t="str">
        <f>IF(AND(AM590="CUMPLE",AR590&gt;=AI590),"CUMPLE","NO CUMPLE")</f>
        <v>CUMPLE</v>
      </c>
      <c r="AT590" s="10">
        <f>'Parametros'!$B$6*0.083*SQRT('Parametros'!$B$2)*(H590*I590)^2/(2*(H590+I590))/1000000</f>
        <v>4.30410823283988</v>
      </c>
      <c r="AU590" s="10" t="str">
        <f>IF(Q590&lt;=AT590,"DESPRECIABLE","DISEÑAR")</f>
        <v>DESPRECIABLE</v>
      </c>
      <c r="AV590" s="10">
        <f>IF(Q590&lt;=AT590,0,Q590*1000000/('Parametros'!$B$6*2*0.85*(H590-2*'Parametros'!$B$7)*(I590-2*'Parametros'!$B$7)*'Parametros'!$B$4))</f>
        <v>0</v>
      </c>
      <c r="AW590" s="10">
        <f>AV590*2*((H590-2*'Parametros'!$B$7)+(I590-2*'Parametros'!$B$7))*'Parametros'!$B$4/'Parametros'!$B$3</f>
        <v>0</v>
      </c>
      <c r="AX590" s="17" t="n">
        <v>0</v>
      </c>
      <c r="AY590" s="10" t="str">
        <f>IF(AV590=0,"DESPRECIABLE",IF('Parametros'!$B$11/AP590&gt;=AV590,"CUMPLE","NO CUMPLE"))</f>
        <v>DESPRECIABLE</v>
      </c>
      <c r="AZ590" s="10" t="str">
        <f>IF(AND(X590="CUMPLE",AE590="CUMPLE",AS590="CUMPLE",OR(AY590="CUMPLE",AY590="DESPRECIABLE")),IF(OR(F590&lt;&gt;H590,G590&lt;&gt;I590),"CUMPLE - REANALIZAR SAP","CUMPLE"),"NO CUMPLE")</f>
        <v>CUMPLE</v>
      </c>
    </row>
    <row r="591">
      <c r="A591" s="29" t="inlineStr">
        <is>
          <t>VRAUX</t>
        </is>
      </c>
      <c r="B591" s="29" t="inlineStr">
        <is>
          <t>140</t>
        </is>
      </c>
      <c r="C591" s="10" t="n">
        <v>1</v>
      </c>
      <c r="D591" s="10" t="n">
        <v>2.6</v>
      </c>
      <c r="E591" s="10" t="n">
        <v>2.6</v>
      </c>
      <c r="F591" s="10" t="n">
        <v>350</v>
      </c>
      <c r="G591" s="10" t="n">
        <v>400</v>
      </c>
      <c r="H591" s="15" t="n">
        <v>350</v>
      </c>
      <c r="I591" s="15" t="n">
        <v>400</v>
      </c>
      <c r="J591" s="16" t="n">
        <v>8.3123</v>
      </c>
      <c r="K591" s="10" t="inlineStr">
        <is>
          <t>140</t>
        </is>
      </c>
      <c r="L591" s="16" t="n">
        <v>4.3012</v>
      </c>
      <c r="M591" s="10" t="inlineStr">
        <is>
          <t>140</t>
        </is>
      </c>
      <c r="N591" s="16" t="n">
        <v>9.016999999999999</v>
      </c>
      <c r="O591" s="16" t="n">
        <v>25.539</v>
      </c>
      <c r="P591" s="10" t="inlineStr">
        <is>
          <t>140</t>
        </is>
      </c>
      <c r="Q591" s="16" t="n">
        <v>0.2202</v>
      </c>
      <c r="R591" s="10">
        <f>MAX(MAX(1.4/'Parametros'!$B$3,0.25*SQRT('Parametros'!$B$2)/'Parametros'!$B$3)*H591*U591,(0.85*'Parametros'!$B$2/'Parametros'!$B$3)*(1-SQRT(1-2*(J591*1000000/('Parametros'!$B$5*H591*U591^2))/(0.85*'Parametros'!$B$2)))*H591*U591)</f>
        <v>399.641666666667</v>
      </c>
      <c r="S591" s="17" t="n">
        <v>3</v>
      </c>
      <c r="T591" s="18" t="n">
        <v>1</v>
      </c>
      <c r="U591" s="10">
        <f>IF(T591=1,I591-('Parametros'!$B$7+'Parametros'!$B$9+'Parametros'!$B$12/2),I591-(ROUNDUP(S591/2,0)*('Parametros'!$B$7+'Parametros'!$B$9+'Parametros'!$B$12/2)+ROUNDDOWN(S591/2,0)*('Parametros'!$B$7+'Parametros'!$B$9+'Parametros'!$B$12/2+'Parametros'!$B$12+'Parametros'!$B$10))/S591)</f>
        <v>342.55</v>
      </c>
      <c r="V591" s="10">
        <f>S591*'Parametros'!$B$8</f>
        <v>597</v>
      </c>
      <c r="W591" s="10">
        <f>'Parametros'!$B$5*V591*'Parametros'!$B$3*(U591-(V591*'Parametros'!$B$3/(0.85*'Parametros'!$B$2*H591))/2)/1000000</f>
        <v>73.905520182353</v>
      </c>
      <c r="X591" s="10" t="str">
        <f>IF(W591&gt;=J591,"CUMPLE","NO CUMPLE")</f>
        <v>CUMPLE</v>
      </c>
      <c r="Y591" s="10">
        <f>MAX(MAX(1.4/'Parametros'!$B$3,0.25*SQRT('Parametros'!$B$2)/'Parametros'!$B$3)*H591*AB591,(0.85*'Parametros'!$B$2/'Parametros'!$B$3)*(1-SQRT(1-2*(L591*1000000/('Parametros'!$B$5*H591*AB591^2))/(0.85*'Parametros'!$B$2)))*H591*AB591)</f>
        <v>399.641666666667</v>
      </c>
      <c r="Z591" s="17" t="n">
        <v>3</v>
      </c>
      <c r="AA591" s="18" t="n">
        <v>1</v>
      </c>
      <c r="AB591" s="10">
        <f>IF(AA591=1,I591-('Parametros'!$B$7+'Parametros'!$B$9+'Parametros'!$B$12/2),I591-(ROUNDUP(Z591/2,0)*('Parametros'!$B$7+'Parametros'!$B$9+'Parametros'!$B$12/2)+ROUNDDOWN(Z591/2,0)*('Parametros'!$B$7+'Parametros'!$B$9+'Parametros'!$B$12/2+'Parametros'!$B$12+'Parametros'!$B$10))/Z591)</f>
        <v>342.55</v>
      </c>
      <c r="AC591" s="10">
        <f>Z591*'Parametros'!$B$8</f>
        <v>597</v>
      </c>
      <c r="AD591" s="10">
        <f>'Parametros'!$B$5*AC591*'Parametros'!$B$3*(AB591-(AC591*'Parametros'!$B$3/(0.85*'Parametros'!$B$2*H591))/2)/1000000</f>
        <v>73.905520182353</v>
      </c>
      <c r="AE591" s="10" t="str">
        <f>IF(AD591&gt;=L591,"CUMPLE","NO CUMPLE")</f>
        <v>CUMPLE</v>
      </c>
      <c r="AF591" s="10">
        <f>V591*1.25*'Parametros'!$B$3*(U591-(V591*1.25*'Parametros'!$B$3/(0.85*'Parametros'!$B$2*H591))/2)/1000000</f>
        <v>101.467261323529</v>
      </c>
      <c r="AG591" s="10">
        <f>AC591*1.25*'Parametros'!$B$3*(AB591-(AC591*1.25*'Parametros'!$B$3/(0.85*'Parametros'!$B$2*H591))/2)/1000000</f>
        <v>101.467261323529</v>
      </c>
      <c r="AH591" s="10">
        <f>N591+(AF591+AG591)/D591</f>
        <v>87.068739479638</v>
      </c>
      <c r="AI591" s="10">
        <f>MIN(O591,MAX(N591,AH591))</f>
        <v>25.539</v>
      </c>
      <c r="AJ591" s="10">
        <f>0.17*SQRT('Parametros'!$B$2)*H591*MIN(U591,AB591)/1000</f>
        <v>107.849951281016</v>
      </c>
      <c r="AK591" s="10">
        <f>MAX(AI591/'Parametros'!$B$6-AJ591,0)</f>
        <v>0</v>
      </c>
      <c r="AL591" s="10">
        <f>0.66*SQRT('Parametros'!$B$2)*H591*MIN(U591,AB591)/1000</f>
        <v>418.711575561591</v>
      </c>
      <c r="AM591" s="10" t="str">
        <f>IF(AK591&lt;=AL591,"CUMPLE","NO CUMPLE")</f>
        <v>CUMPLE</v>
      </c>
      <c r="AN591" s="15" t="inlineStr">
        <is>
          <t>Nº3 cerrado</t>
        </is>
      </c>
      <c r="AO591" s="17" t="n">
        <v>2</v>
      </c>
      <c r="AP591" s="10">
        <f>ROUNDDOWN(MIN(IF(AK591=0,1000000000,AO591*'Parametros'!$B$11*'Parametros'!$B$4*MIN(U591,AB591)/(AK591*1000)),IF(AV591=0,1000000000,'Parametros'!$B$11/AV591),MIN(U591,AB591)/4,8*'Parametros'!$B$12,24*'Parametros'!$B$9,300)/10,0)*10</f>
        <v>80</v>
      </c>
      <c r="AQ591" s="10">
        <f>ROUNDDOWN(MIN(IF(AK591=0,1000000000,AO591*'Parametros'!$B$11*'Parametros'!$B$4*MIN(U591,AB591)/(AK591*1000)),IF(AV591=0,1000000000,'Parametros'!$B$11/AV591),MIN(U591,AB591)/2,600)/10,0)*10</f>
        <v>170</v>
      </c>
      <c r="AR591" s="10">
        <f>'Parametros'!$B$6*(AJ591+AO591*'Parametros'!$B$11*'Parametros'!$B$4*MIN(U591,AB591)/AP591/1000)</f>
        <v>272.415732210762</v>
      </c>
      <c r="AS591" s="10" t="str">
        <f>IF(AND(AM591="CUMPLE",AR591&gt;=AI591),"CUMPLE","NO CUMPLE")</f>
        <v>CUMPLE</v>
      </c>
      <c r="AT591" s="10">
        <f>'Parametros'!$B$6*0.083*SQRT('Parametros'!$B$2)*(H591*I591)^2/(2*(H591+I591))/1000000</f>
        <v>4.30410823283988</v>
      </c>
      <c r="AU591" s="10" t="str">
        <f>IF(Q591&lt;=AT591,"DESPRECIABLE","DISEÑAR")</f>
        <v>DESPRECIABLE</v>
      </c>
      <c r="AV591" s="10">
        <f>IF(Q591&lt;=AT591,0,Q591*1000000/('Parametros'!$B$6*2*0.85*(H591-2*'Parametros'!$B$7)*(I591-2*'Parametros'!$B$7)*'Parametros'!$B$4))</f>
        <v>0</v>
      </c>
      <c r="AW591" s="10">
        <f>AV591*2*((H591-2*'Parametros'!$B$7)+(I591-2*'Parametros'!$B$7))*'Parametros'!$B$4/'Parametros'!$B$3</f>
        <v>0</v>
      </c>
      <c r="AX591" s="17" t="n">
        <v>0</v>
      </c>
      <c r="AY591" s="10" t="str">
        <f>IF(AV591=0,"DESPRECIABLE",IF('Parametros'!$B$11/AP591&gt;=AV591,"CUMPLE","NO CUMPLE"))</f>
        <v>DESPRECIABLE</v>
      </c>
      <c r="AZ591" s="10" t="str">
        <f>IF(AND(X591="CUMPLE",AE591="CUMPLE",AS591="CUMPLE",OR(AY591="CUMPLE",AY591="DESPRECIABLE")),IF(OR(F591&lt;&gt;H591,G591&lt;&gt;I591),"CUMPLE - REANALIZAR SAP","CUMPLE"),"NO CUMPLE")</f>
        <v>CUMPLE</v>
      </c>
    </row>
    <row r="592">
      <c r="A592" s="29" t="inlineStr">
        <is>
          <t>VRAUX</t>
        </is>
      </c>
      <c r="B592" s="29" t="inlineStr">
        <is>
          <t>141</t>
        </is>
      </c>
      <c r="C592" s="10" t="n">
        <v>1</v>
      </c>
      <c r="D592" s="10" t="n">
        <v>2.5</v>
      </c>
      <c r="E592" s="10" t="n">
        <v>2.5</v>
      </c>
      <c r="F592" s="10" t="n">
        <v>350</v>
      </c>
      <c r="G592" s="10" t="n">
        <v>400</v>
      </c>
      <c r="H592" s="15" t="n">
        <v>350</v>
      </c>
      <c r="I592" s="15" t="n">
        <v>400</v>
      </c>
      <c r="J592" s="16" t="n">
        <v>13.8817</v>
      </c>
      <c r="K592" s="10" t="inlineStr">
        <is>
          <t>141</t>
        </is>
      </c>
      <c r="L592" s="16" t="n">
        <v>4.0459</v>
      </c>
      <c r="M592" s="10" t="inlineStr">
        <is>
          <t>141</t>
        </is>
      </c>
      <c r="N592" s="16" t="n">
        <v>10.959</v>
      </c>
      <c r="O592" s="16" t="n">
        <v>24.642</v>
      </c>
      <c r="P592" s="10" t="inlineStr">
        <is>
          <t>141</t>
        </is>
      </c>
      <c r="Q592" s="16" t="n">
        <v>3.7512</v>
      </c>
      <c r="R592" s="10">
        <f>MAX(MAX(1.4/'Parametros'!$B$3,0.25*SQRT('Parametros'!$B$2)/'Parametros'!$B$3)*H592*U592,(0.85*'Parametros'!$B$2/'Parametros'!$B$3)*(1-SQRT(1-2*(J592*1000000/('Parametros'!$B$5*H592*U592^2))/(0.85*'Parametros'!$B$2)))*H592*U592)</f>
        <v>399.641666666667</v>
      </c>
      <c r="S592" s="17" t="n">
        <v>3</v>
      </c>
      <c r="T592" s="18" t="n">
        <v>1</v>
      </c>
      <c r="U592" s="10">
        <f>IF(T592=1,I592-('Parametros'!$B$7+'Parametros'!$B$9+'Parametros'!$B$12/2),I592-(ROUNDUP(S592/2,0)*('Parametros'!$B$7+'Parametros'!$B$9+'Parametros'!$B$12/2)+ROUNDDOWN(S592/2,0)*('Parametros'!$B$7+'Parametros'!$B$9+'Parametros'!$B$12/2+'Parametros'!$B$12+'Parametros'!$B$10))/S592)</f>
        <v>342.55</v>
      </c>
      <c r="V592" s="10">
        <f>S592*'Parametros'!$B$8</f>
        <v>597</v>
      </c>
      <c r="W592" s="10">
        <f>'Parametros'!$B$5*V592*'Parametros'!$B$3*(U592-(V592*'Parametros'!$B$3/(0.85*'Parametros'!$B$2*H592))/2)/1000000</f>
        <v>73.905520182353</v>
      </c>
      <c r="X592" s="10" t="str">
        <f>IF(W592&gt;=J592,"CUMPLE","NO CUMPLE")</f>
        <v>CUMPLE</v>
      </c>
      <c r="Y592" s="10">
        <f>MAX(MAX(1.4/'Parametros'!$B$3,0.25*SQRT('Parametros'!$B$2)/'Parametros'!$B$3)*H592*AB592,(0.85*'Parametros'!$B$2/'Parametros'!$B$3)*(1-SQRT(1-2*(L592*1000000/('Parametros'!$B$5*H592*AB592^2))/(0.85*'Parametros'!$B$2)))*H592*AB592)</f>
        <v>399.641666666667</v>
      </c>
      <c r="Z592" s="17" t="n">
        <v>3</v>
      </c>
      <c r="AA592" s="18" t="n">
        <v>1</v>
      </c>
      <c r="AB592" s="10">
        <f>IF(AA592=1,I592-('Parametros'!$B$7+'Parametros'!$B$9+'Parametros'!$B$12/2),I592-(ROUNDUP(Z592/2,0)*('Parametros'!$B$7+'Parametros'!$B$9+'Parametros'!$B$12/2)+ROUNDDOWN(Z592/2,0)*('Parametros'!$B$7+'Parametros'!$B$9+'Parametros'!$B$12/2+'Parametros'!$B$12+'Parametros'!$B$10))/Z592)</f>
        <v>342.55</v>
      </c>
      <c r="AC592" s="10">
        <f>Z592*'Parametros'!$B$8</f>
        <v>597</v>
      </c>
      <c r="AD592" s="10">
        <f>'Parametros'!$B$5*AC592*'Parametros'!$B$3*(AB592-(AC592*'Parametros'!$B$3/(0.85*'Parametros'!$B$2*H592))/2)/1000000</f>
        <v>73.905520182353</v>
      </c>
      <c r="AE592" s="10" t="str">
        <f>IF(AD592&gt;=L592,"CUMPLE","NO CUMPLE")</f>
        <v>CUMPLE</v>
      </c>
      <c r="AF592" s="10">
        <f>V592*1.25*'Parametros'!$B$3*(U592-(V592*1.25*'Parametros'!$B$3/(0.85*'Parametros'!$B$2*H592))/2)/1000000</f>
        <v>101.467261323529</v>
      </c>
      <c r="AG592" s="10">
        <f>AC592*1.25*'Parametros'!$B$3*(AB592-(AC592*1.25*'Parametros'!$B$3/(0.85*'Parametros'!$B$2*H592))/2)/1000000</f>
        <v>101.467261323529</v>
      </c>
      <c r="AH592" s="10">
        <f>N592+(AF592+AG592)/D592</f>
        <v>92.1328090588235</v>
      </c>
      <c r="AI592" s="10">
        <f>MIN(O592,MAX(N592,AH592))</f>
        <v>24.642</v>
      </c>
      <c r="AJ592" s="10">
        <f>0.17*SQRT('Parametros'!$B$2)*H592*MIN(U592,AB592)/1000</f>
        <v>107.849951281016</v>
      </c>
      <c r="AK592" s="10">
        <f>MAX(AI592/'Parametros'!$B$6-AJ592,0)</f>
        <v>0</v>
      </c>
      <c r="AL592" s="10">
        <f>0.66*SQRT('Parametros'!$B$2)*H592*MIN(U592,AB592)/1000</f>
        <v>418.711575561591</v>
      </c>
      <c r="AM592" s="10" t="str">
        <f>IF(AK592&lt;=AL592,"CUMPLE","NO CUMPLE")</f>
        <v>CUMPLE</v>
      </c>
      <c r="AN592" s="15" t="inlineStr">
        <is>
          <t>Nº3 cerrado</t>
        </is>
      </c>
      <c r="AO592" s="17" t="n">
        <v>2</v>
      </c>
      <c r="AP592" s="10">
        <f>ROUNDDOWN(MIN(IF(AK592=0,1000000000,AO592*'Parametros'!$B$11*'Parametros'!$B$4*MIN(U592,AB592)/(AK592*1000)),IF(AV592=0,1000000000,'Parametros'!$B$11/AV592),MIN(U592,AB592)/4,8*'Parametros'!$B$12,24*'Parametros'!$B$9,300)/10,0)*10</f>
        <v>80</v>
      </c>
      <c r="AQ592" s="10">
        <f>ROUNDDOWN(MIN(IF(AK592=0,1000000000,AO592*'Parametros'!$B$11*'Parametros'!$B$4*MIN(U592,AB592)/(AK592*1000)),IF(AV592=0,1000000000,'Parametros'!$B$11/AV592),MIN(U592,AB592)/2,600)/10,0)*10</f>
        <v>170</v>
      </c>
      <c r="AR592" s="10">
        <f>'Parametros'!$B$6*(AJ592+AO592*'Parametros'!$B$11*'Parametros'!$B$4*MIN(U592,AB592)/AP592/1000)</f>
        <v>272.415732210762</v>
      </c>
      <c r="AS592" s="10" t="str">
        <f>IF(AND(AM592="CUMPLE",AR592&gt;=AI592),"CUMPLE","NO CUMPLE")</f>
        <v>CUMPLE</v>
      </c>
      <c r="AT592" s="10">
        <f>'Parametros'!$B$6*0.083*SQRT('Parametros'!$B$2)*(H592*I592)^2/(2*(H592+I592))/1000000</f>
        <v>4.30410823283988</v>
      </c>
      <c r="AU592" s="10" t="str">
        <f>IF(Q592&lt;=AT592,"DESPRECIABLE","DISEÑAR")</f>
        <v>DESPRECIABLE</v>
      </c>
      <c r="AV592" s="10">
        <f>IF(Q592&lt;=AT592,0,Q592*1000000/('Parametros'!$B$6*2*0.85*(H592-2*'Parametros'!$B$7)*(I592-2*'Parametros'!$B$7)*'Parametros'!$B$4))</f>
        <v>0</v>
      </c>
      <c r="AW592" s="10">
        <f>AV592*2*((H592-2*'Parametros'!$B$7)+(I592-2*'Parametros'!$B$7))*'Parametros'!$B$4/'Parametros'!$B$3</f>
        <v>0</v>
      </c>
      <c r="AX592" s="17" t="n">
        <v>0</v>
      </c>
      <c r="AY592" s="10" t="str">
        <f>IF(AV592=0,"DESPRECIABLE",IF('Parametros'!$B$11/AP592&gt;=AV592,"CUMPLE","NO CUMPLE"))</f>
        <v>DESPRECIABLE</v>
      </c>
      <c r="AZ592" s="10" t="str">
        <f>IF(AND(X592="CUMPLE",AE592="CUMPLE",AS592="CUMPLE",OR(AY592="CUMPLE",AY592="DESPRECIABLE")),IF(OR(F592&lt;&gt;H592,G592&lt;&gt;I592),"CUMPLE - REANALIZAR SAP","CUMPLE"),"NO CUMPLE")</f>
        <v>CUMPLE</v>
      </c>
    </row>
    <row r="593">
      <c r="A593" s="29" t="inlineStr">
        <is>
          <t>VRAUX</t>
        </is>
      </c>
      <c r="B593" s="29" t="inlineStr">
        <is>
          <t>142</t>
        </is>
      </c>
      <c r="C593" s="10" t="n">
        <v>1</v>
      </c>
      <c r="D593" s="10" t="n">
        <v>2.5</v>
      </c>
      <c r="E593" s="10" t="n">
        <v>2.5</v>
      </c>
      <c r="F593" s="10" t="n">
        <v>350</v>
      </c>
      <c r="G593" s="10" t="n">
        <v>400</v>
      </c>
      <c r="H593" s="15" t="n">
        <v>350</v>
      </c>
      <c r="I593" s="15" t="n">
        <v>400</v>
      </c>
      <c r="J593" s="16" t="n">
        <v>13.8045</v>
      </c>
      <c r="K593" s="10" t="inlineStr">
        <is>
          <t>142</t>
        </is>
      </c>
      <c r="L593" s="16" t="n">
        <v>4.0437</v>
      </c>
      <c r="M593" s="10" t="inlineStr">
        <is>
          <t>142</t>
        </is>
      </c>
      <c r="N593" s="16" t="n">
        <v>10.926</v>
      </c>
      <c r="O593" s="16" t="n">
        <v>24.608</v>
      </c>
      <c r="P593" s="10" t="inlineStr">
        <is>
          <t>142</t>
        </is>
      </c>
      <c r="Q593" s="16" t="n">
        <v>3.7406</v>
      </c>
      <c r="R593" s="10">
        <f>MAX(MAX(1.4/'Parametros'!$B$3,0.25*SQRT('Parametros'!$B$2)/'Parametros'!$B$3)*H593*U593,(0.85*'Parametros'!$B$2/'Parametros'!$B$3)*(1-SQRT(1-2*(J593*1000000/('Parametros'!$B$5*H593*U593^2))/(0.85*'Parametros'!$B$2)))*H593*U593)</f>
        <v>399.641666666667</v>
      </c>
      <c r="S593" s="17" t="n">
        <v>3</v>
      </c>
      <c r="T593" s="18" t="n">
        <v>1</v>
      </c>
      <c r="U593" s="10">
        <f>IF(T593=1,I593-('Parametros'!$B$7+'Parametros'!$B$9+'Parametros'!$B$12/2),I593-(ROUNDUP(S593/2,0)*('Parametros'!$B$7+'Parametros'!$B$9+'Parametros'!$B$12/2)+ROUNDDOWN(S593/2,0)*('Parametros'!$B$7+'Parametros'!$B$9+'Parametros'!$B$12/2+'Parametros'!$B$12+'Parametros'!$B$10))/S593)</f>
        <v>342.55</v>
      </c>
      <c r="V593" s="10">
        <f>S593*'Parametros'!$B$8</f>
        <v>597</v>
      </c>
      <c r="W593" s="10">
        <f>'Parametros'!$B$5*V593*'Parametros'!$B$3*(U593-(V593*'Parametros'!$B$3/(0.85*'Parametros'!$B$2*H593))/2)/1000000</f>
        <v>73.905520182353</v>
      </c>
      <c r="X593" s="10" t="str">
        <f>IF(W593&gt;=J593,"CUMPLE","NO CUMPLE")</f>
        <v>CUMPLE</v>
      </c>
      <c r="Y593" s="10">
        <f>MAX(MAX(1.4/'Parametros'!$B$3,0.25*SQRT('Parametros'!$B$2)/'Parametros'!$B$3)*H593*AB593,(0.85*'Parametros'!$B$2/'Parametros'!$B$3)*(1-SQRT(1-2*(L593*1000000/('Parametros'!$B$5*H593*AB593^2))/(0.85*'Parametros'!$B$2)))*H593*AB593)</f>
        <v>399.641666666667</v>
      </c>
      <c r="Z593" s="17" t="n">
        <v>3</v>
      </c>
      <c r="AA593" s="18" t="n">
        <v>1</v>
      </c>
      <c r="AB593" s="10">
        <f>IF(AA593=1,I593-('Parametros'!$B$7+'Parametros'!$B$9+'Parametros'!$B$12/2),I593-(ROUNDUP(Z593/2,0)*('Parametros'!$B$7+'Parametros'!$B$9+'Parametros'!$B$12/2)+ROUNDDOWN(Z593/2,0)*('Parametros'!$B$7+'Parametros'!$B$9+'Parametros'!$B$12/2+'Parametros'!$B$12+'Parametros'!$B$10))/Z593)</f>
        <v>342.55</v>
      </c>
      <c r="AC593" s="10">
        <f>Z593*'Parametros'!$B$8</f>
        <v>597</v>
      </c>
      <c r="AD593" s="10">
        <f>'Parametros'!$B$5*AC593*'Parametros'!$B$3*(AB593-(AC593*'Parametros'!$B$3/(0.85*'Parametros'!$B$2*H593))/2)/1000000</f>
        <v>73.905520182353</v>
      </c>
      <c r="AE593" s="10" t="str">
        <f>IF(AD593&gt;=L593,"CUMPLE","NO CUMPLE")</f>
        <v>CUMPLE</v>
      </c>
      <c r="AF593" s="10">
        <f>V593*1.25*'Parametros'!$B$3*(U593-(V593*1.25*'Parametros'!$B$3/(0.85*'Parametros'!$B$2*H593))/2)/1000000</f>
        <v>101.467261323529</v>
      </c>
      <c r="AG593" s="10">
        <f>AC593*1.25*'Parametros'!$B$3*(AB593-(AC593*1.25*'Parametros'!$B$3/(0.85*'Parametros'!$B$2*H593))/2)/1000000</f>
        <v>101.467261323529</v>
      </c>
      <c r="AH593" s="10">
        <f>N593+(AF593+AG593)/D593</f>
        <v>92.0998090588235</v>
      </c>
      <c r="AI593" s="10">
        <f>MIN(O593,MAX(N593,AH593))</f>
        <v>24.608</v>
      </c>
      <c r="AJ593" s="10">
        <f>0.17*SQRT('Parametros'!$B$2)*H593*MIN(U593,AB593)/1000</f>
        <v>107.849951281016</v>
      </c>
      <c r="AK593" s="10">
        <f>MAX(AI593/'Parametros'!$B$6-AJ593,0)</f>
        <v>0</v>
      </c>
      <c r="AL593" s="10">
        <f>0.66*SQRT('Parametros'!$B$2)*H593*MIN(U593,AB593)/1000</f>
        <v>418.711575561591</v>
      </c>
      <c r="AM593" s="10" t="str">
        <f>IF(AK593&lt;=AL593,"CUMPLE","NO CUMPLE")</f>
        <v>CUMPLE</v>
      </c>
      <c r="AN593" s="15" t="inlineStr">
        <is>
          <t>Nº3 cerrado</t>
        </is>
      </c>
      <c r="AO593" s="17" t="n">
        <v>2</v>
      </c>
      <c r="AP593" s="10">
        <f>ROUNDDOWN(MIN(IF(AK593=0,1000000000,AO593*'Parametros'!$B$11*'Parametros'!$B$4*MIN(U593,AB593)/(AK593*1000)),IF(AV593=0,1000000000,'Parametros'!$B$11/AV593),MIN(U593,AB593)/4,8*'Parametros'!$B$12,24*'Parametros'!$B$9,300)/10,0)*10</f>
        <v>80</v>
      </c>
      <c r="AQ593" s="10">
        <f>ROUNDDOWN(MIN(IF(AK593=0,1000000000,AO593*'Parametros'!$B$11*'Parametros'!$B$4*MIN(U593,AB593)/(AK593*1000)),IF(AV593=0,1000000000,'Parametros'!$B$11/AV593),MIN(U593,AB593)/2,600)/10,0)*10</f>
        <v>170</v>
      </c>
      <c r="AR593" s="10">
        <f>'Parametros'!$B$6*(AJ593+AO593*'Parametros'!$B$11*'Parametros'!$B$4*MIN(U593,AB593)/AP593/1000)</f>
        <v>272.415732210762</v>
      </c>
      <c r="AS593" s="10" t="str">
        <f>IF(AND(AM593="CUMPLE",AR593&gt;=AI593),"CUMPLE","NO CUMPLE")</f>
        <v>CUMPLE</v>
      </c>
      <c r="AT593" s="10">
        <f>'Parametros'!$B$6*0.083*SQRT('Parametros'!$B$2)*(H593*I593)^2/(2*(H593+I593))/1000000</f>
        <v>4.30410823283988</v>
      </c>
      <c r="AU593" s="10" t="str">
        <f>IF(Q593&lt;=AT593,"DESPRECIABLE","DISEÑAR")</f>
        <v>DESPRECIABLE</v>
      </c>
      <c r="AV593" s="10">
        <f>IF(Q593&lt;=AT593,0,Q593*1000000/('Parametros'!$B$6*2*0.85*(H593-2*'Parametros'!$B$7)*(I593-2*'Parametros'!$B$7)*'Parametros'!$B$4))</f>
        <v>0</v>
      </c>
      <c r="AW593" s="10">
        <f>AV593*2*((H593-2*'Parametros'!$B$7)+(I593-2*'Parametros'!$B$7))*'Parametros'!$B$4/'Parametros'!$B$3</f>
        <v>0</v>
      </c>
      <c r="AX593" s="17" t="n">
        <v>0</v>
      </c>
      <c r="AY593" s="10" t="str">
        <f>IF(AV593=0,"DESPRECIABLE",IF('Parametros'!$B$11/AP593&gt;=AV593,"CUMPLE","NO CUMPLE"))</f>
        <v>DESPRECIABLE</v>
      </c>
      <c r="AZ593" s="10" t="str">
        <f>IF(AND(X593="CUMPLE",AE593="CUMPLE",AS593="CUMPLE",OR(AY593="CUMPLE",AY593="DESPRECIABLE")),IF(OR(F593&lt;&gt;H593,G593&lt;&gt;I593),"CUMPLE - REANALIZAR SAP","CUMPLE"),"NO CUMPLE")</f>
        <v>CUMPLE</v>
      </c>
    </row>
    <row r="594">
      <c r="A594" s="29" t="inlineStr">
        <is>
          <t>VRAUX</t>
        </is>
      </c>
      <c r="B594" s="29" t="inlineStr">
        <is>
          <t>143</t>
        </is>
      </c>
      <c r="C594" s="10" t="n">
        <v>1</v>
      </c>
      <c r="D594" s="10" t="n">
        <v>2.5</v>
      </c>
      <c r="E594" s="10" t="n">
        <v>2.5</v>
      </c>
      <c r="F594" s="10" t="n">
        <v>350</v>
      </c>
      <c r="G594" s="10" t="n">
        <v>400</v>
      </c>
      <c r="H594" s="15" t="n">
        <v>350</v>
      </c>
      <c r="I594" s="15" t="n">
        <v>400</v>
      </c>
      <c r="J594" s="16" t="n">
        <v>13.7906</v>
      </c>
      <c r="K594" s="10" t="inlineStr">
        <is>
          <t>143</t>
        </is>
      </c>
      <c r="L594" s="16" t="n">
        <v>4.0381</v>
      </c>
      <c r="M594" s="10" t="inlineStr">
        <is>
          <t>143</t>
        </is>
      </c>
      <c r="N594" s="16" t="n">
        <v>10.913</v>
      </c>
      <c r="O594" s="16" t="n">
        <v>24.613</v>
      </c>
      <c r="P594" s="10" t="inlineStr">
        <is>
          <t>143</t>
        </is>
      </c>
      <c r="Q594" s="16" t="n">
        <v>3.7393</v>
      </c>
      <c r="R594" s="10">
        <f>MAX(MAX(1.4/'Parametros'!$B$3,0.25*SQRT('Parametros'!$B$2)/'Parametros'!$B$3)*H594*U594,(0.85*'Parametros'!$B$2/'Parametros'!$B$3)*(1-SQRT(1-2*(J594*1000000/('Parametros'!$B$5*H594*U594^2))/(0.85*'Parametros'!$B$2)))*H594*U594)</f>
        <v>399.641666666667</v>
      </c>
      <c r="S594" s="17" t="n">
        <v>3</v>
      </c>
      <c r="T594" s="18" t="n">
        <v>1</v>
      </c>
      <c r="U594" s="10">
        <f>IF(T594=1,I594-('Parametros'!$B$7+'Parametros'!$B$9+'Parametros'!$B$12/2),I594-(ROUNDUP(S594/2,0)*('Parametros'!$B$7+'Parametros'!$B$9+'Parametros'!$B$12/2)+ROUNDDOWN(S594/2,0)*('Parametros'!$B$7+'Parametros'!$B$9+'Parametros'!$B$12/2+'Parametros'!$B$12+'Parametros'!$B$10))/S594)</f>
        <v>342.55</v>
      </c>
      <c r="V594" s="10">
        <f>S594*'Parametros'!$B$8</f>
        <v>597</v>
      </c>
      <c r="W594" s="10">
        <f>'Parametros'!$B$5*V594*'Parametros'!$B$3*(U594-(V594*'Parametros'!$B$3/(0.85*'Parametros'!$B$2*H594))/2)/1000000</f>
        <v>73.905520182353</v>
      </c>
      <c r="X594" s="10" t="str">
        <f>IF(W594&gt;=J594,"CUMPLE","NO CUMPLE")</f>
        <v>CUMPLE</v>
      </c>
      <c r="Y594" s="10">
        <f>MAX(MAX(1.4/'Parametros'!$B$3,0.25*SQRT('Parametros'!$B$2)/'Parametros'!$B$3)*H594*AB594,(0.85*'Parametros'!$B$2/'Parametros'!$B$3)*(1-SQRT(1-2*(L594*1000000/('Parametros'!$B$5*H594*AB594^2))/(0.85*'Parametros'!$B$2)))*H594*AB594)</f>
        <v>399.641666666667</v>
      </c>
      <c r="Z594" s="17" t="n">
        <v>3</v>
      </c>
      <c r="AA594" s="18" t="n">
        <v>1</v>
      </c>
      <c r="AB594" s="10">
        <f>IF(AA594=1,I594-('Parametros'!$B$7+'Parametros'!$B$9+'Parametros'!$B$12/2),I594-(ROUNDUP(Z594/2,0)*('Parametros'!$B$7+'Parametros'!$B$9+'Parametros'!$B$12/2)+ROUNDDOWN(Z594/2,0)*('Parametros'!$B$7+'Parametros'!$B$9+'Parametros'!$B$12/2+'Parametros'!$B$12+'Parametros'!$B$10))/Z594)</f>
        <v>342.55</v>
      </c>
      <c r="AC594" s="10">
        <f>Z594*'Parametros'!$B$8</f>
        <v>597</v>
      </c>
      <c r="AD594" s="10">
        <f>'Parametros'!$B$5*AC594*'Parametros'!$B$3*(AB594-(AC594*'Parametros'!$B$3/(0.85*'Parametros'!$B$2*H594))/2)/1000000</f>
        <v>73.905520182353</v>
      </c>
      <c r="AE594" s="10" t="str">
        <f>IF(AD594&gt;=L594,"CUMPLE","NO CUMPLE")</f>
        <v>CUMPLE</v>
      </c>
      <c r="AF594" s="10">
        <f>V594*1.25*'Parametros'!$B$3*(U594-(V594*1.25*'Parametros'!$B$3/(0.85*'Parametros'!$B$2*H594))/2)/1000000</f>
        <v>101.467261323529</v>
      </c>
      <c r="AG594" s="10">
        <f>AC594*1.25*'Parametros'!$B$3*(AB594-(AC594*1.25*'Parametros'!$B$3/(0.85*'Parametros'!$B$2*H594))/2)/1000000</f>
        <v>101.467261323529</v>
      </c>
      <c r="AH594" s="10">
        <f>N594+(AF594+AG594)/D594</f>
        <v>92.0868090588235</v>
      </c>
      <c r="AI594" s="10">
        <f>MIN(O594,MAX(N594,AH594))</f>
        <v>24.613</v>
      </c>
      <c r="AJ594" s="10">
        <f>0.17*SQRT('Parametros'!$B$2)*H594*MIN(U594,AB594)/1000</f>
        <v>107.849951281016</v>
      </c>
      <c r="AK594" s="10">
        <f>MAX(AI594/'Parametros'!$B$6-AJ594,0)</f>
        <v>0</v>
      </c>
      <c r="AL594" s="10">
        <f>0.66*SQRT('Parametros'!$B$2)*H594*MIN(U594,AB594)/1000</f>
        <v>418.711575561591</v>
      </c>
      <c r="AM594" s="10" t="str">
        <f>IF(AK594&lt;=AL594,"CUMPLE","NO CUMPLE")</f>
        <v>CUMPLE</v>
      </c>
      <c r="AN594" s="15" t="inlineStr">
        <is>
          <t>Nº3 cerrado</t>
        </is>
      </c>
      <c r="AO594" s="17" t="n">
        <v>2</v>
      </c>
      <c r="AP594" s="10">
        <f>ROUNDDOWN(MIN(IF(AK594=0,1000000000,AO594*'Parametros'!$B$11*'Parametros'!$B$4*MIN(U594,AB594)/(AK594*1000)),IF(AV594=0,1000000000,'Parametros'!$B$11/AV594),MIN(U594,AB594)/4,8*'Parametros'!$B$12,24*'Parametros'!$B$9,300)/10,0)*10</f>
        <v>80</v>
      </c>
      <c r="AQ594" s="10">
        <f>ROUNDDOWN(MIN(IF(AK594=0,1000000000,AO594*'Parametros'!$B$11*'Parametros'!$B$4*MIN(U594,AB594)/(AK594*1000)),IF(AV594=0,1000000000,'Parametros'!$B$11/AV594),MIN(U594,AB594)/2,600)/10,0)*10</f>
        <v>170</v>
      </c>
      <c r="AR594" s="10">
        <f>'Parametros'!$B$6*(AJ594+AO594*'Parametros'!$B$11*'Parametros'!$B$4*MIN(U594,AB594)/AP594/1000)</f>
        <v>272.415732210762</v>
      </c>
      <c r="AS594" s="10" t="str">
        <f>IF(AND(AM594="CUMPLE",AR594&gt;=AI594),"CUMPLE","NO CUMPLE")</f>
        <v>CUMPLE</v>
      </c>
      <c r="AT594" s="10">
        <f>'Parametros'!$B$6*0.083*SQRT('Parametros'!$B$2)*(H594*I594)^2/(2*(H594+I594))/1000000</f>
        <v>4.30410823283988</v>
      </c>
      <c r="AU594" s="10" t="str">
        <f>IF(Q594&lt;=AT594,"DESPRECIABLE","DISEÑAR")</f>
        <v>DESPRECIABLE</v>
      </c>
      <c r="AV594" s="10">
        <f>IF(Q594&lt;=AT594,0,Q594*1000000/('Parametros'!$B$6*2*0.85*(H594-2*'Parametros'!$B$7)*(I594-2*'Parametros'!$B$7)*'Parametros'!$B$4))</f>
        <v>0</v>
      </c>
      <c r="AW594" s="10">
        <f>AV594*2*((H594-2*'Parametros'!$B$7)+(I594-2*'Parametros'!$B$7))*'Parametros'!$B$4/'Parametros'!$B$3</f>
        <v>0</v>
      </c>
      <c r="AX594" s="17" t="n">
        <v>0</v>
      </c>
      <c r="AY594" s="10" t="str">
        <f>IF(AV594=0,"DESPRECIABLE",IF('Parametros'!$B$11/AP594&gt;=AV594,"CUMPLE","NO CUMPLE"))</f>
        <v>DESPRECIABLE</v>
      </c>
      <c r="AZ594" s="10" t="str">
        <f>IF(AND(X594="CUMPLE",AE594="CUMPLE",AS594="CUMPLE",OR(AY594="CUMPLE",AY594="DESPRECIABLE")),IF(OR(F594&lt;&gt;H594,G594&lt;&gt;I594),"CUMPLE - REANALIZAR SAP","CUMPLE"),"NO CUMPLE")</f>
        <v>CUMPLE</v>
      </c>
    </row>
    <row r="595">
      <c r="A595" s="29" t="inlineStr">
        <is>
          <t>VRAUX</t>
        </is>
      </c>
      <c r="B595" s="29" t="inlineStr">
        <is>
          <t>144</t>
        </is>
      </c>
      <c r="C595" s="10" t="n">
        <v>1</v>
      </c>
      <c r="D595" s="10" t="n">
        <v>2.5</v>
      </c>
      <c r="E595" s="10" t="n">
        <v>2.5</v>
      </c>
      <c r="F595" s="10" t="n">
        <v>350</v>
      </c>
      <c r="G595" s="10" t="n">
        <v>400</v>
      </c>
      <c r="H595" s="15" t="n">
        <v>350</v>
      </c>
      <c r="I595" s="15" t="n">
        <v>400</v>
      </c>
      <c r="J595" s="16" t="n">
        <v>13.8563</v>
      </c>
      <c r="K595" s="10" t="inlineStr">
        <is>
          <t>144</t>
        </is>
      </c>
      <c r="L595" s="16" t="n">
        <v>4.0398</v>
      </c>
      <c r="M595" s="10" t="inlineStr">
        <is>
          <t>144</t>
        </is>
      </c>
      <c r="N595" s="16" t="n">
        <v>10.941</v>
      </c>
      <c r="O595" s="16" t="n">
        <v>24.642</v>
      </c>
      <c r="P595" s="10" t="inlineStr">
        <is>
          <t>144</t>
        </is>
      </c>
      <c r="Q595" s="16" t="n">
        <v>3.7498</v>
      </c>
      <c r="R595" s="10">
        <f>MAX(MAX(1.4/'Parametros'!$B$3,0.25*SQRT('Parametros'!$B$2)/'Parametros'!$B$3)*H595*U595,(0.85*'Parametros'!$B$2/'Parametros'!$B$3)*(1-SQRT(1-2*(J595*1000000/('Parametros'!$B$5*H595*U595^2))/(0.85*'Parametros'!$B$2)))*H595*U595)</f>
        <v>399.641666666667</v>
      </c>
      <c r="S595" s="17" t="n">
        <v>3</v>
      </c>
      <c r="T595" s="18" t="n">
        <v>1</v>
      </c>
      <c r="U595" s="10">
        <f>IF(T595=1,I595-('Parametros'!$B$7+'Parametros'!$B$9+'Parametros'!$B$12/2),I595-(ROUNDUP(S595/2,0)*('Parametros'!$B$7+'Parametros'!$B$9+'Parametros'!$B$12/2)+ROUNDDOWN(S595/2,0)*('Parametros'!$B$7+'Parametros'!$B$9+'Parametros'!$B$12/2+'Parametros'!$B$12+'Parametros'!$B$10))/S595)</f>
        <v>342.55</v>
      </c>
      <c r="V595" s="10">
        <f>S595*'Parametros'!$B$8</f>
        <v>597</v>
      </c>
      <c r="W595" s="10">
        <f>'Parametros'!$B$5*V595*'Parametros'!$B$3*(U595-(V595*'Parametros'!$B$3/(0.85*'Parametros'!$B$2*H595))/2)/1000000</f>
        <v>73.905520182353</v>
      </c>
      <c r="X595" s="10" t="str">
        <f>IF(W595&gt;=J595,"CUMPLE","NO CUMPLE")</f>
        <v>CUMPLE</v>
      </c>
      <c r="Y595" s="10">
        <f>MAX(MAX(1.4/'Parametros'!$B$3,0.25*SQRT('Parametros'!$B$2)/'Parametros'!$B$3)*H595*AB595,(0.85*'Parametros'!$B$2/'Parametros'!$B$3)*(1-SQRT(1-2*(L595*1000000/('Parametros'!$B$5*H595*AB595^2))/(0.85*'Parametros'!$B$2)))*H595*AB595)</f>
        <v>399.641666666667</v>
      </c>
      <c r="Z595" s="17" t="n">
        <v>3</v>
      </c>
      <c r="AA595" s="18" t="n">
        <v>1</v>
      </c>
      <c r="AB595" s="10">
        <f>IF(AA595=1,I595-('Parametros'!$B$7+'Parametros'!$B$9+'Parametros'!$B$12/2),I595-(ROUNDUP(Z595/2,0)*('Parametros'!$B$7+'Parametros'!$B$9+'Parametros'!$B$12/2)+ROUNDDOWN(Z595/2,0)*('Parametros'!$B$7+'Parametros'!$B$9+'Parametros'!$B$12/2+'Parametros'!$B$12+'Parametros'!$B$10))/Z595)</f>
        <v>342.55</v>
      </c>
      <c r="AC595" s="10">
        <f>Z595*'Parametros'!$B$8</f>
        <v>597</v>
      </c>
      <c r="AD595" s="10">
        <f>'Parametros'!$B$5*AC595*'Parametros'!$B$3*(AB595-(AC595*'Parametros'!$B$3/(0.85*'Parametros'!$B$2*H595))/2)/1000000</f>
        <v>73.905520182353</v>
      </c>
      <c r="AE595" s="10" t="str">
        <f>IF(AD595&gt;=L595,"CUMPLE","NO CUMPLE")</f>
        <v>CUMPLE</v>
      </c>
      <c r="AF595" s="10">
        <f>V595*1.25*'Parametros'!$B$3*(U595-(V595*1.25*'Parametros'!$B$3/(0.85*'Parametros'!$B$2*H595))/2)/1000000</f>
        <v>101.467261323529</v>
      </c>
      <c r="AG595" s="10">
        <f>AC595*1.25*'Parametros'!$B$3*(AB595-(AC595*1.25*'Parametros'!$B$3/(0.85*'Parametros'!$B$2*H595))/2)/1000000</f>
        <v>101.467261323529</v>
      </c>
      <c r="AH595" s="10">
        <f>N595+(AF595+AG595)/D595</f>
        <v>92.1148090588235</v>
      </c>
      <c r="AI595" s="10">
        <f>MIN(O595,MAX(N595,AH595))</f>
        <v>24.642</v>
      </c>
      <c r="AJ595" s="10">
        <f>0.17*SQRT('Parametros'!$B$2)*H595*MIN(U595,AB595)/1000</f>
        <v>107.849951281016</v>
      </c>
      <c r="AK595" s="10">
        <f>MAX(AI595/'Parametros'!$B$6-AJ595,0)</f>
        <v>0</v>
      </c>
      <c r="AL595" s="10">
        <f>0.66*SQRT('Parametros'!$B$2)*H595*MIN(U595,AB595)/1000</f>
        <v>418.711575561591</v>
      </c>
      <c r="AM595" s="10" t="str">
        <f>IF(AK595&lt;=AL595,"CUMPLE","NO CUMPLE")</f>
        <v>CUMPLE</v>
      </c>
      <c r="AN595" s="15" t="inlineStr">
        <is>
          <t>Nº3 cerrado</t>
        </is>
      </c>
      <c r="AO595" s="17" t="n">
        <v>2</v>
      </c>
      <c r="AP595" s="10">
        <f>ROUNDDOWN(MIN(IF(AK595=0,1000000000,AO595*'Parametros'!$B$11*'Parametros'!$B$4*MIN(U595,AB595)/(AK595*1000)),IF(AV595=0,1000000000,'Parametros'!$B$11/AV595),MIN(U595,AB595)/4,8*'Parametros'!$B$12,24*'Parametros'!$B$9,300)/10,0)*10</f>
        <v>80</v>
      </c>
      <c r="AQ595" s="10">
        <f>ROUNDDOWN(MIN(IF(AK595=0,1000000000,AO595*'Parametros'!$B$11*'Parametros'!$B$4*MIN(U595,AB595)/(AK595*1000)),IF(AV595=0,1000000000,'Parametros'!$B$11/AV595),MIN(U595,AB595)/2,600)/10,0)*10</f>
        <v>170</v>
      </c>
      <c r="AR595" s="10">
        <f>'Parametros'!$B$6*(AJ595+AO595*'Parametros'!$B$11*'Parametros'!$B$4*MIN(U595,AB595)/AP595/1000)</f>
        <v>272.415732210762</v>
      </c>
      <c r="AS595" s="10" t="str">
        <f>IF(AND(AM595="CUMPLE",AR595&gt;=AI595),"CUMPLE","NO CUMPLE")</f>
        <v>CUMPLE</v>
      </c>
      <c r="AT595" s="10">
        <f>'Parametros'!$B$6*0.083*SQRT('Parametros'!$B$2)*(H595*I595)^2/(2*(H595+I595))/1000000</f>
        <v>4.30410823283988</v>
      </c>
      <c r="AU595" s="10" t="str">
        <f>IF(Q595&lt;=AT595,"DESPRECIABLE","DISEÑAR")</f>
        <v>DESPRECIABLE</v>
      </c>
      <c r="AV595" s="10">
        <f>IF(Q595&lt;=AT595,0,Q595*1000000/('Parametros'!$B$6*2*0.85*(H595-2*'Parametros'!$B$7)*(I595-2*'Parametros'!$B$7)*'Parametros'!$B$4))</f>
        <v>0</v>
      </c>
      <c r="AW595" s="10">
        <f>AV595*2*((H595-2*'Parametros'!$B$7)+(I595-2*'Parametros'!$B$7))*'Parametros'!$B$4/'Parametros'!$B$3</f>
        <v>0</v>
      </c>
      <c r="AX595" s="17" t="n">
        <v>0</v>
      </c>
      <c r="AY595" s="10" t="str">
        <f>IF(AV595=0,"DESPRECIABLE",IF('Parametros'!$B$11/AP595&gt;=AV595,"CUMPLE","NO CUMPLE"))</f>
        <v>DESPRECIABLE</v>
      </c>
      <c r="AZ595" s="10" t="str">
        <f>IF(AND(X595="CUMPLE",AE595="CUMPLE",AS595="CUMPLE",OR(AY595="CUMPLE",AY595="DESPRECIABLE")),IF(OR(F595&lt;&gt;H595,G595&lt;&gt;I595),"CUMPLE - REANALIZAR SAP","CUMPLE"),"NO CUMPLE")</f>
        <v>CUMPLE</v>
      </c>
    </row>
  </sheetData>
  <autoFilter ref="A3:AZ595"/>
  <mergeCells count="2">
    <mergeCell ref="A2:AZ2"/>
    <mergeCell ref="A1:AZ1"/>
  </mergeCells>
  <conditionalFormatting sqref="X4:X595">
    <cfRule type="cellIs" priority="1" operator="equal" dxfId="0">
      <formula>"CUMPLE"</formula>
    </cfRule>
  </conditionalFormatting>
  <conditionalFormatting sqref="AE4:AE595">
    <cfRule type="cellIs" priority="2" operator="equal" dxfId="0">
      <formula>"CUMPLE"</formula>
    </cfRule>
  </conditionalFormatting>
  <conditionalFormatting sqref="AS4:AS595">
    <cfRule type="cellIs" priority="3" operator="equal" dxfId="0">
      <formula>"CUMPLE"</formula>
    </cfRule>
  </conditionalFormatting>
  <conditionalFormatting sqref="AZ4:AZ595"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26" customWidth="1" min="10" max="10"/>
  </cols>
  <sheetData>
    <row r="1">
      <c r="A1" s="11" t="inlineStr">
        <is>
          <t>AUDITORÍA DE DATOS Y RESULTADOS</t>
        </is>
      </c>
    </row>
    <row r="3">
      <c r="A3" s="2" t="inlineStr">
        <is>
          <t>Archivos separados vs combinado</t>
        </is>
      </c>
      <c r="B3" s="3" t="inlineStr">
        <is>
          <t>0 discrepancias en M3, V2 y T</t>
        </is>
      </c>
    </row>
    <row r="4">
      <c r="A4" s="2" t="inlineStr">
        <is>
          <t>Frames en cortante y flexion.xlsx</t>
        </is>
      </c>
      <c r="B4" s="3" t="inlineStr">
        <is>
          <t>892</t>
        </is>
      </c>
    </row>
    <row r="5">
      <c r="A5" s="2" t="inlineStr">
        <is>
          <t>Vigas incluidas en grupos</t>
        </is>
      </c>
      <c r="B5" s="3" t="inlineStr">
        <is>
          <t>592</t>
        </is>
      </c>
    </row>
    <row r="6">
      <c r="A6" s="2" t="inlineStr">
        <is>
          <t>Elementos excluidos (columnas)</t>
        </is>
      </c>
      <c r="B6" s="3" t="inlineStr">
        <is>
          <t>300</t>
        </is>
      </c>
    </row>
    <row r="7">
      <c r="A7" s="2" t="inlineStr">
        <is>
          <t>Grupos con estado NO CUMPLE</t>
        </is>
      </c>
      <c r="B7" s="3" t="inlineStr">
        <is>
          <t>0</t>
        </is>
      </c>
    </row>
    <row r="8">
      <c r="A8" s="2" t="inlineStr">
        <is>
          <t>Vigas con estado NO CUMPLE</t>
        </is>
      </c>
      <c r="B8" s="3" t="inlineStr">
        <is>
          <t>0</t>
        </is>
      </c>
    </row>
    <row r="9">
      <c r="A9" s="2" t="inlineStr">
        <is>
          <t>Advertencia</t>
        </is>
      </c>
      <c r="B9" s="3" t="inlineStr">
        <is>
          <t>VR3 cambia de 0.35×0.40 a 0.40×0.55 m: reanalizar SAP.</t>
        </is>
      </c>
    </row>
    <row r="12">
      <c r="A12" s="5" t="inlineStr">
        <is>
          <t>Archivo</t>
        </is>
      </c>
      <c r="B12" s="5" t="inlineStr">
        <is>
          <t>SHA-256</t>
        </is>
      </c>
    </row>
    <row r="13">
      <c r="A13" s="4" t="inlineStr">
        <is>
          <t>ENV FLEXION.xlsx</t>
        </is>
      </c>
      <c r="B13" s="4" t="inlineStr">
        <is>
          <t>012e3f5848c7c18f39ad13537d9bcb7b1a8608129f1df609ea15cbf2c0354516</t>
        </is>
      </c>
    </row>
    <row r="14">
      <c r="A14" s="4" t="inlineStr">
        <is>
          <t>ENV CORTANTE.xlsx</t>
        </is>
      </c>
      <c r="B14" s="4" t="inlineStr">
        <is>
          <t>d0377c78455076d8771a024c2c834c9b620b687dd2d7f2e08ab625752b7cb2b1</t>
        </is>
      </c>
    </row>
    <row r="15">
      <c r="A15" s="4" t="inlineStr">
        <is>
          <t>cortante y flexion.xlsx</t>
        </is>
      </c>
      <c r="B15" s="4" t="inlineStr">
        <is>
          <t>cd70a36b5ba20fc6991d36aa376034949e62f9f31c33638db37d5abeab28db76</t>
        </is>
      </c>
    </row>
    <row r="18">
      <c r="A18" s="30" t="inlineStr">
        <is>
          <t>Grupo</t>
        </is>
      </c>
      <c r="B18" s="30" t="inlineStr">
        <is>
          <t>N</t>
        </is>
      </c>
      <c r="C18" s="30" t="inlineStr">
        <is>
          <t>L mín</t>
        </is>
      </c>
      <c r="D18" s="30" t="inlineStr">
        <is>
          <t>L máx</t>
        </is>
      </c>
      <c r="E18" s="30" t="inlineStr">
        <is>
          <t>Frame Mu−</t>
        </is>
      </c>
      <c r="F18" s="30" t="inlineStr">
        <is>
          <t>Frame Mu+</t>
        </is>
      </c>
      <c r="G18" s="30" t="inlineStr">
        <is>
          <t>Frame Vu</t>
        </is>
      </c>
      <c r="H18" s="30" t="inlineStr">
        <is>
          <t>Estado</t>
        </is>
      </c>
      <c r="I18" s="30" t="inlineStr">
        <is>
          <t>Sección adoptada</t>
        </is>
      </c>
      <c r="J18" s="30" t="inlineStr">
        <is>
          <t>Nota</t>
        </is>
      </c>
    </row>
    <row r="19">
      <c r="A19" s="14" t="inlineStr">
        <is>
          <t>VC1</t>
        </is>
      </c>
      <c r="B19" s="10" t="n">
        <v>20</v>
      </c>
      <c r="C19" s="10" t="n">
        <v>3.75</v>
      </c>
      <c r="D19" s="10" t="n">
        <v>3.75</v>
      </c>
      <c r="E19" s="10" t="inlineStr">
        <is>
          <t>178</t>
        </is>
      </c>
      <c r="F19" s="10" t="inlineStr">
        <is>
          <t>179</t>
        </is>
      </c>
      <c r="G19" s="10" t="inlineStr">
        <is>
          <t>178</t>
        </is>
      </c>
      <c r="H19" s="10" t="inlineStr">
        <is>
          <t>CUMPLE</t>
        </is>
      </c>
      <c r="I19" s="10" t="inlineStr">
        <is>
          <t>300×400 mm</t>
        </is>
      </c>
      <c r="J19" s="10" t="inlineStr">
        <is>
          <t>Sin cambio</t>
        </is>
      </c>
    </row>
    <row r="20">
      <c r="A20" s="19" t="inlineStr">
        <is>
          <t>VC2</t>
        </is>
      </c>
      <c r="B20" s="10" t="n">
        <v>40</v>
      </c>
      <c r="C20" s="10" t="n">
        <v>3.75</v>
      </c>
      <c r="D20" s="10" t="n">
        <v>4</v>
      </c>
      <c r="E20" s="10" t="inlineStr">
        <is>
          <t>1365</t>
        </is>
      </c>
      <c r="F20" s="10" t="inlineStr">
        <is>
          <t>1365</t>
        </is>
      </c>
      <c r="G20" s="10" t="inlineStr">
        <is>
          <t>1365</t>
        </is>
      </c>
      <c r="H20" s="10" t="inlineStr">
        <is>
          <t>CUMPLE</t>
        </is>
      </c>
      <c r="I20" s="10" t="inlineStr">
        <is>
          <t>300×400 mm</t>
        </is>
      </c>
      <c r="J20" s="10" t="inlineStr">
        <is>
          <t>Sin cambio</t>
        </is>
      </c>
    </row>
    <row r="21">
      <c r="A21" s="15" t="inlineStr">
        <is>
          <t>VC3</t>
        </is>
      </c>
      <c r="B21" s="10" t="n">
        <v>40</v>
      </c>
      <c r="C21" s="10" t="n">
        <v>3.81477</v>
      </c>
      <c r="D21" s="10" t="n">
        <v>4</v>
      </c>
      <c r="E21" s="10" t="inlineStr">
        <is>
          <t>290</t>
        </is>
      </c>
      <c r="F21" s="10" t="inlineStr">
        <is>
          <t>92</t>
        </is>
      </c>
      <c r="G21" s="10" t="inlineStr">
        <is>
          <t>289</t>
        </is>
      </c>
      <c r="H21" s="10" t="inlineStr">
        <is>
          <t>CUMPLE</t>
        </is>
      </c>
      <c r="I21" s="10" t="inlineStr">
        <is>
          <t>300×400 mm</t>
        </is>
      </c>
      <c r="J21" s="10" t="inlineStr">
        <is>
          <t>Sin cambio</t>
        </is>
      </c>
    </row>
    <row r="22">
      <c r="A22" s="20" t="inlineStr">
        <is>
          <t>VC4</t>
        </is>
      </c>
      <c r="B22" s="10" t="n">
        <v>20</v>
      </c>
      <c r="C22" s="10" t="n">
        <v>3.85</v>
      </c>
      <c r="D22" s="10" t="n">
        <v>3.85</v>
      </c>
      <c r="E22" s="10" t="inlineStr">
        <is>
          <t>88</t>
        </is>
      </c>
      <c r="F22" s="10" t="inlineStr">
        <is>
          <t>62</t>
        </is>
      </c>
      <c r="G22" s="10" t="inlineStr">
        <is>
          <t>88</t>
        </is>
      </c>
      <c r="H22" s="10" t="inlineStr">
        <is>
          <t>CUMPLE</t>
        </is>
      </c>
      <c r="I22" s="10" t="inlineStr">
        <is>
          <t>300×400 mm</t>
        </is>
      </c>
      <c r="J22" s="10" t="inlineStr">
        <is>
          <t>Sin cambio</t>
        </is>
      </c>
    </row>
    <row r="23">
      <c r="A23" s="21" t="inlineStr">
        <is>
          <t>VC5</t>
        </is>
      </c>
      <c r="B23" s="10" t="n">
        <v>40</v>
      </c>
      <c r="C23" s="10" t="n">
        <v>3.85</v>
      </c>
      <c r="D23" s="10" t="n">
        <v>3.9</v>
      </c>
      <c r="E23" s="10" t="inlineStr">
        <is>
          <t>284</t>
        </is>
      </c>
      <c r="F23" s="10" t="inlineStr">
        <is>
          <t>86</t>
        </is>
      </c>
      <c r="G23" s="10" t="inlineStr">
        <is>
          <t>284</t>
        </is>
      </c>
      <c r="H23" s="10" t="inlineStr">
        <is>
          <t>CUMPLE</t>
        </is>
      </c>
      <c r="I23" s="10" t="inlineStr">
        <is>
          <t>300×400 mm</t>
        </is>
      </c>
      <c r="J23" s="10" t="inlineStr">
        <is>
          <t>Sin cambio</t>
        </is>
      </c>
    </row>
    <row r="24">
      <c r="A24" s="22" t="inlineStr">
        <is>
          <t>VC6</t>
        </is>
      </c>
      <c r="B24" s="10" t="n">
        <v>40</v>
      </c>
      <c r="C24" s="10" t="n">
        <v>3.85</v>
      </c>
      <c r="D24" s="10" t="n">
        <v>3.9</v>
      </c>
      <c r="E24" s="10" t="inlineStr">
        <is>
          <t>268</t>
        </is>
      </c>
      <c r="F24" s="10" t="inlineStr">
        <is>
          <t>279</t>
        </is>
      </c>
      <c r="G24" s="10" t="inlineStr">
        <is>
          <t>281</t>
        </is>
      </c>
      <c r="H24" s="10" t="inlineStr">
        <is>
          <t>CUMPLE</t>
        </is>
      </c>
      <c r="I24" s="10" t="inlineStr">
        <is>
          <t>300×400 mm</t>
        </is>
      </c>
      <c r="J24" s="10" t="inlineStr">
        <is>
          <t>Sin cambio</t>
        </is>
      </c>
    </row>
    <row r="25">
      <c r="A25" s="23" t="inlineStr">
        <is>
          <t>VC7</t>
        </is>
      </c>
      <c r="B25" s="10" t="n">
        <v>40</v>
      </c>
      <c r="C25" s="10" t="n">
        <v>2.65</v>
      </c>
      <c r="D25" s="10" t="n">
        <v>5.1</v>
      </c>
      <c r="E25" s="10" t="inlineStr">
        <is>
          <t>78</t>
        </is>
      </c>
      <c r="F25" s="10" t="inlineStr">
        <is>
          <t>274</t>
        </is>
      </c>
      <c r="G25" s="10" t="inlineStr">
        <is>
          <t>278</t>
        </is>
      </c>
      <c r="H25" s="10" t="inlineStr">
        <is>
          <t>CUMPLE</t>
        </is>
      </c>
      <c r="I25" s="10" t="inlineStr">
        <is>
          <t>300×400 mm</t>
        </is>
      </c>
      <c r="J25" s="10" t="inlineStr">
        <is>
          <t>Sin cambio</t>
        </is>
      </c>
    </row>
    <row r="26">
      <c r="A26" s="24" t="inlineStr">
        <is>
          <t>VR1</t>
        </is>
      </c>
      <c r="B26" s="10" t="n">
        <v>80</v>
      </c>
      <c r="C26" s="10" t="n">
        <v>2.5</v>
      </c>
      <c r="D26" s="10" t="n">
        <v>4</v>
      </c>
      <c r="E26" s="10" t="inlineStr">
        <is>
          <t>250</t>
        </is>
      </c>
      <c r="F26" s="10" t="inlineStr">
        <is>
          <t>251</t>
        </is>
      </c>
      <c r="G26" s="10" t="inlineStr">
        <is>
          <t>251</t>
        </is>
      </c>
      <c r="H26" s="10" t="inlineStr">
        <is>
          <t>CUMPLE</t>
        </is>
      </c>
      <c r="I26" s="10" t="inlineStr">
        <is>
          <t>350×400 mm</t>
        </is>
      </c>
      <c r="J26" s="10" t="inlineStr">
        <is>
          <t>Sin cambio</t>
        </is>
      </c>
    </row>
    <row r="27">
      <c r="A27" s="25" t="inlineStr">
        <is>
          <t>VR N1</t>
        </is>
      </c>
      <c r="B27" s="10" t="n">
        <v>22</v>
      </c>
      <c r="C27" s="10" t="n">
        <v>2.5</v>
      </c>
      <c r="D27" s="10" t="n">
        <v>5.5</v>
      </c>
      <c r="E27" s="10" t="inlineStr">
        <is>
          <t>48</t>
        </is>
      </c>
      <c r="F27" s="10" t="inlineStr">
        <is>
          <t>51</t>
        </is>
      </c>
      <c r="G27" s="10" t="inlineStr">
        <is>
          <t>51</t>
        </is>
      </c>
      <c r="H27" s="10" t="inlineStr">
        <is>
          <t>CUMPLE</t>
        </is>
      </c>
      <c r="I27" s="10" t="inlineStr">
        <is>
          <t>350×400 mm</t>
        </is>
      </c>
      <c r="J27" s="10" t="inlineStr">
        <is>
          <t>Sin cambio</t>
        </is>
      </c>
    </row>
    <row r="28">
      <c r="A28" s="26" t="inlineStr">
        <is>
          <t>VR2</t>
        </is>
      </c>
      <c r="B28" s="10" t="n">
        <v>140</v>
      </c>
      <c r="C28" s="10" t="n">
        <v>1.5</v>
      </c>
      <c r="D28" s="10" t="n">
        <v>4.17612</v>
      </c>
      <c r="E28" s="10" t="inlineStr">
        <is>
          <t>35</t>
        </is>
      </c>
      <c r="F28" s="10" t="inlineStr">
        <is>
          <t>36</t>
        </is>
      </c>
      <c r="G28" s="10" t="inlineStr">
        <is>
          <t>36</t>
        </is>
      </c>
      <c r="H28" s="10" t="inlineStr">
        <is>
          <t>CUMPLE</t>
        </is>
      </c>
      <c r="I28" s="10" t="inlineStr">
        <is>
          <t>350×400 mm</t>
        </is>
      </c>
      <c r="J28" s="10" t="inlineStr">
        <is>
          <t>Sin cambio</t>
        </is>
      </c>
    </row>
    <row r="29">
      <c r="A29" s="27" t="inlineStr">
        <is>
          <t>VR3</t>
        </is>
      </c>
      <c r="B29" s="10" t="n">
        <v>70</v>
      </c>
      <c r="C29" s="10" t="n">
        <v>1.5</v>
      </c>
      <c r="D29" s="10" t="n">
        <v>4</v>
      </c>
      <c r="E29" s="10" t="inlineStr">
        <is>
          <t>231</t>
        </is>
      </c>
      <c r="F29" s="10" t="inlineStr">
        <is>
          <t>969</t>
        </is>
      </c>
      <c r="G29" s="10" t="inlineStr">
        <is>
          <t>30</t>
        </is>
      </c>
      <c r="H29" s="10" t="inlineStr">
        <is>
          <t>CUMPLE</t>
        </is>
      </c>
      <c r="I29" s="10" t="inlineStr">
        <is>
          <t>400×550 mm</t>
        </is>
      </c>
      <c r="J29" s="10" t="inlineStr">
        <is>
          <t>Reanalizar SAP</t>
        </is>
      </c>
    </row>
    <row r="30">
      <c r="A30" s="29" t="inlineStr">
        <is>
          <t>VRAUX</t>
        </is>
      </c>
      <c r="B30" s="10" t="n">
        <v>40</v>
      </c>
      <c r="C30" s="10" t="n">
        <v>2.5</v>
      </c>
      <c r="D30" s="10" t="n">
        <v>2.6</v>
      </c>
      <c r="E30" s="10" t="inlineStr">
        <is>
          <t>111</t>
        </is>
      </c>
      <c r="F30" s="10" t="inlineStr">
        <is>
          <t>109</t>
        </is>
      </c>
      <c r="G30" s="10" t="inlineStr">
        <is>
          <t>109</t>
        </is>
      </c>
      <c r="H30" s="10" t="inlineStr">
        <is>
          <t>CUMPLE</t>
        </is>
      </c>
      <c r="I30" s="10" t="inlineStr">
        <is>
          <t>350×400 mm</t>
        </is>
      </c>
      <c r="J30" s="10" t="inlineStr">
        <is>
          <t>Sin cambio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2026-07-17T21:43:20Z</dcterms:created>
  <dcterms:modified xmlns:dcterms="http://purl.org/dc/terms/" xmlns:xsi="http://www.w3.org/2001/XMLSchema-instance" xsi:type="dcterms:W3CDTF">2026-07-17T21:43:21Z</dcterms:modified>
</cp:coreProperties>
</file>