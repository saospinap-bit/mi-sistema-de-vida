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ateriales" sheetId="2" state="visible" r:id="rId2"/>
    <sheet name="Viguetas" sheetId="3" state="visible" r:id="rId3"/>
    <sheet name="Vigas" sheetId="4" state="visible" r:id="rId4"/>
    <sheet name="Riost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BBDEFB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COMO USAR ESTA HERRAMIENTA (Viguetas, Vigas, Riostras)</t>
        </is>
      </c>
    </row>
    <row r="3">
      <c r="A3" s="2" t="inlineStr">
        <is>
          <t>1</t>
        </is>
      </c>
      <c r="B3" s="3" t="inlineStr">
        <is>
          <t>Ve a la hoja del elemento: Viguetas, Vigas o Riostras.</t>
        </is>
      </c>
      <c r="C3" s="4" t="n"/>
      <c r="D3" s="4" t="n"/>
    </row>
    <row r="4">
      <c r="A4" s="2" t="inlineStr">
        <is>
          <t>2</t>
        </is>
      </c>
      <c r="B4" s="3" t="inlineStr">
        <is>
          <t>Llena las celdas AZULES (materiales y geometria): f'c, fy, b, h, recubrimiento, diametros.</t>
        </is>
      </c>
      <c r="C4" s="4" t="n"/>
      <c r="D4" s="4" t="n"/>
    </row>
    <row r="5">
      <c r="A5" s="2" t="inlineStr">
        <is>
          <t>3</t>
        </is>
      </c>
      <c r="B5" s="3" t="inlineStr">
        <is>
          <t>Llena las celdas AMARILLAS con los MOMENTOS y FUERZAS de tu modelo (Mu+, Mu-, Vu, Tu).</t>
        </is>
      </c>
      <c r="C5" s="4" t="n"/>
      <c r="D5" s="4" t="n"/>
    </row>
    <row r="6">
      <c r="A6" s="2" t="inlineStr">
        <is>
          <t>4</t>
        </is>
      </c>
      <c r="B6" s="3" t="inlineStr">
        <is>
          <t>La hoja calcula As, No. de barras, separacion, estribos, torsion, deflexion, desarrollo y despiece.</t>
        </is>
      </c>
      <c r="C6" s="4" t="n"/>
      <c r="D6" s="4" t="n"/>
    </row>
    <row r="7">
      <c r="A7" s="2" t="inlineStr">
        <is>
          <t>5</t>
        </is>
      </c>
      <c r="B7" s="3" t="inlineStr">
        <is>
          <t>Columna de CHEQUEOS: verde = CUMPLE, rojo = NO CUMPLE / REVISAR.</t>
        </is>
      </c>
      <c r="C7" s="4" t="n"/>
      <c r="D7" s="4" t="n"/>
    </row>
    <row r="8">
      <c r="A8" s="2" t="inlineStr">
        <is>
          <t>6</t>
        </is>
      </c>
      <c r="B8" s="3" t="inlineStr">
        <is>
          <t>Si algo sale rojo: aumenta seccion (h o b), f'c o el acero, hasta que quede verde.</t>
        </is>
      </c>
      <c r="C8" s="4" t="n"/>
      <c r="D8" s="4" t="n"/>
    </row>
    <row r="10">
      <c r="A10" s="5" t="inlineStr">
        <is>
          <t>LEYENDA DE COLORES</t>
        </is>
      </c>
    </row>
    <row r="11">
      <c r="A11" s="6" t="inlineStr">
        <is>
          <t>Celda AZUL</t>
        </is>
      </c>
      <c r="B11" s="3" t="inlineStr">
        <is>
          <t>Dato de entrada: materiales y geometria</t>
        </is>
      </c>
    </row>
    <row r="12">
      <c r="A12" s="7" t="inlineStr">
        <is>
          <t>Celda AMARILLA</t>
        </is>
      </c>
      <c r="B12" s="3" t="inlineStr">
        <is>
          <t>Dato de entrada: MOMENTOS y FUERZAS (de tu modelo SAP/ETABS)</t>
        </is>
      </c>
    </row>
    <row r="13">
      <c r="A13" s="8" t="inlineStr">
        <is>
          <t>Verde</t>
        </is>
      </c>
      <c r="B13" s="3" t="inlineStr">
        <is>
          <t>El chequeo CUMPLE</t>
        </is>
      </c>
    </row>
    <row r="14">
      <c r="A14" s="9" t="inlineStr">
        <is>
          <t>Rojo</t>
        </is>
      </c>
      <c r="B14" s="3" t="inlineStr">
        <is>
          <t>El chequeo NO CUMPLE / revisar</t>
        </is>
      </c>
    </row>
    <row r="16">
      <c r="A16" s="10" t="inlineStr">
        <is>
          <t>Especializada en viguetas, vigas y riostras. Base: NSR-10 (Titulos B, A, C) / ACI 318. Unidades SI.</t>
        </is>
      </c>
    </row>
  </sheetData>
  <mergeCells count="12">
    <mergeCell ref="A1:D1"/>
    <mergeCell ref="B11:D11"/>
    <mergeCell ref="B3:D3"/>
    <mergeCell ref="B5:D5"/>
    <mergeCell ref="B14:D14"/>
    <mergeCell ref="B8:D8"/>
    <mergeCell ref="B4:D4"/>
    <mergeCell ref="B13:D13"/>
    <mergeCell ref="A10:D10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TABLA DE BARRAS DE REFUERZO (referencia)</t>
        </is>
      </c>
    </row>
    <row r="2">
      <c r="A2" s="11" t="inlineStr">
        <is>
          <t>Barra No.</t>
        </is>
      </c>
      <c r="B2" s="11" t="inlineStr">
        <is>
          <t>db (mm)</t>
        </is>
      </c>
      <c r="C2" s="11" t="inlineStr">
        <is>
          <t>Area (mm2)</t>
        </is>
      </c>
      <c r="D2" s="11" t="inlineStr">
        <is>
          <t>Uso tipico</t>
        </is>
      </c>
    </row>
    <row r="3">
      <c r="A3" s="12" t="inlineStr">
        <is>
          <t>No.2</t>
        </is>
      </c>
      <c r="B3" s="12" t="n">
        <v>6.4</v>
      </c>
      <c r="C3" s="12" t="n">
        <v>32</v>
      </c>
      <c r="D3" s="3" t="inlineStr">
        <is>
          <t>Estribos de viguetas</t>
        </is>
      </c>
    </row>
    <row r="4">
      <c r="A4" s="12" t="inlineStr">
        <is>
          <t>No.3</t>
        </is>
      </c>
      <c r="B4" s="12" t="n">
        <v>9.5</v>
      </c>
      <c r="C4" s="12" t="n">
        <v>71</v>
      </c>
      <c r="D4" s="3" t="inlineStr">
        <is>
          <t>Estribos / refuerzo menor</t>
        </is>
      </c>
    </row>
    <row r="5">
      <c r="A5" s="12" t="inlineStr">
        <is>
          <t>No.4</t>
        </is>
      </c>
      <c r="B5" s="12" t="n">
        <v>12.7</v>
      </c>
      <c r="C5" s="12" t="n">
        <v>129</v>
      </c>
      <c r="D5" s="3" t="inlineStr">
        <is>
          <t>Refuerzo longitudinal</t>
        </is>
      </c>
    </row>
    <row r="6">
      <c r="A6" s="12" t="inlineStr">
        <is>
          <t>No.5</t>
        </is>
      </c>
      <c r="B6" s="12" t="n">
        <v>15.9</v>
      </c>
      <c r="C6" s="12" t="n">
        <v>199</v>
      </c>
      <c r="D6" s="3" t="inlineStr">
        <is>
          <t>Refuerzo longitudinal</t>
        </is>
      </c>
    </row>
    <row r="7">
      <c r="A7" s="12" t="inlineStr">
        <is>
          <t>No.6</t>
        </is>
      </c>
      <c r="B7" s="12" t="n">
        <v>19.1</v>
      </c>
      <c r="C7" s="12" t="n">
        <v>284</v>
      </c>
      <c r="D7" s="3" t="inlineStr">
        <is>
          <t>Vigas</t>
        </is>
      </c>
    </row>
    <row r="8">
      <c r="A8" s="12" t="inlineStr">
        <is>
          <t>No.7</t>
        </is>
      </c>
      <c r="B8" s="12" t="n">
        <v>22.2</v>
      </c>
      <c r="C8" s="12" t="n">
        <v>387</v>
      </c>
      <c r="D8" s="3" t="inlineStr">
        <is>
          <t>Vigas</t>
        </is>
      </c>
    </row>
    <row r="9">
      <c r="A9" s="12" t="inlineStr">
        <is>
          <t>No.8</t>
        </is>
      </c>
      <c r="B9" s="12" t="n">
        <v>25.4</v>
      </c>
      <c r="C9" s="12" t="n">
        <v>510</v>
      </c>
      <c r="D9" s="3" t="inlineStr">
        <is>
          <t>Vigas / columnas</t>
        </is>
      </c>
    </row>
    <row r="11">
      <c r="A11" s="10" t="inlineStr">
        <is>
          <t>Areas nominales. En las hojas el area se calcula como pi/4*db^2 a partir del diametro elegido.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DISENO DE VIGUETA (seccion T) - NSR-10</t>
        </is>
      </c>
    </row>
    <row r="3">
      <c r="A3" s="5" t="inlineStr">
        <is>
          <t>DATOS DE ENTRADA  (azul = materiales/geometria, amarillo = fuerzas)</t>
        </is>
      </c>
    </row>
    <row r="4">
      <c r="A4" s="3" t="inlineStr">
        <is>
          <t>f'c</t>
        </is>
      </c>
      <c r="B4" s="6" t="n">
        <v>21</v>
      </c>
      <c r="C4" s="12" t="inlineStr">
        <is>
          <t>MPa</t>
        </is>
      </c>
      <c r="D4" s="3" t="inlineStr"/>
    </row>
    <row r="5">
      <c r="A5" s="3" t="inlineStr">
        <is>
          <t>fy (longitudinal)</t>
        </is>
      </c>
      <c r="B5" s="6" t="n">
        <v>420</v>
      </c>
      <c r="C5" s="12" t="inlineStr">
        <is>
          <t>MPa</t>
        </is>
      </c>
      <c r="D5" s="3" t="inlineStr"/>
    </row>
    <row r="6">
      <c r="A6" s="3" t="inlineStr">
        <is>
          <t>fyt (transversal)</t>
        </is>
      </c>
      <c r="B6" s="6" t="n">
        <v>420</v>
      </c>
      <c r="C6" s="12" t="inlineStr">
        <is>
          <t>MPa</t>
        </is>
      </c>
      <c r="D6" s="3" t="inlineStr"/>
    </row>
    <row r="7">
      <c r="A7" s="3" t="inlineStr">
        <is>
          <t>b / bw (ancho)</t>
        </is>
      </c>
      <c r="B7" s="6" t="n">
        <v>100</v>
      </c>
      <c r="C7" s="12" t="inlineStr">
        <is>
          <t>mm</t>
        </is>
      </c>
      <c r="D7" s="3" t="inlineStr"/>
    </row>
    <row r="8">
      <c r="A8" s="3" t="inlineStr">
        <is>
          <t>h (altura total)</t>
        </is>
      </c>
      <c r="B8" s="6" t="n">
        <v>400</v>
      </c>
      <c r="C8" s="12" t="inlineStr">
        <is>
          <t>mm</t>
        </is>
      </c>
      <c r="D8" s="3" t="inlineStr"/>
    </row>
    <row r="9">
      <c r="A9" s="3" t="inlineStr">
        <is>
          <t>recubrimiento libre cc</t>
        </is>
      </c>
      <c r="B9" s="6" t="n">
        <v>25</v>
      </c>
      <c r="C9" s="12" t="inlineStr">
        <is>
          <t>mm</t>
        </is>
      </c>
      <c r="D9" s="3" t="inlineStr"/>
    </row>
    <row r="10">
      <c r="A10" s="3" t="inlineStr">
        <is>
          <t>db estribo</t>
        </is>
      </c>
      <c r="B10" s="6" t="n">
        <v>6.4</v>
      </c>
      <c r="C10" s="12" t="inlineStr">
        <is>
          <t>mm</t>
        </is>
      </c>
      <c r="D10" s="3" t="inlineStr">
        <is>
          <t>No.2=6.4 / No.3=9.5</t>
        </is>
      </c>
    </row>
    <row r="11">
      <c r="A11" s="3" t="inlineStr">
        <is>
          <t>db barra longitudinal</t>
        </is>
      </c>
      <c r="B11" s="6" t="n">
        <v>15.9</v>
      </c>
      <c r="C11" s="12" t="inlineStr">
        <is>
          <t>mm</t>
        </is>
      </c>
      <c r="D11" s="3" t="inlineStr">
        <is>
          <t>No.4=12.7 / No.5=15.9 / No.6=19.1</t>
        </is>
      </c>
    </row>
    <row r="12">
      <c r="A12" s="3" t="inlineStr">
        <is>
          <t>hf (espesor loseta)</t>
        </is>
      </c>
      <c r="B12" s="6" t="n">
        <v>50</v>
      </c>
      <c r="C12" s="12" t="inlineStr">
        <is>
          <t>mm</t>
        </is>
      </c>
      <c r="D12" s="3" t="inlineStr"/>
    </row>
    <row r="13">
      <c r="A13" s="3" t="inlineStr">
        <is>
          <t>bf (ancho efectivo ala)</t>
        </is>
      </c>
      <c r="B13" s="6" t="n">
        <v>850</v>
      </c>
      <c r="C13" s="12" t="inlineStr">
        <is>
          <t>mm</t>
        </is>
      </c>
      <c r="D13" s="3" t="inlineStr">
        <is>
          <t>min(L/4, bw+16hf, sep nervios)</t>
        </is>
      </c>
    </row>
    <row r="14">
      <c r="A14" s="3" t="inlineStr">
        <is>
          <t>L (luz libre)</t>
        </is>
      </c>
      <c r="B14" s="6" t="n">
        <v>5000</v>
      </c>
      <c r="C14" s="12" t="inlineStr">
        <is>
          <t>mm</t>
        </is>
      </c>
      <c r="D14" s="3" t="inlineStr"/>
    </row>
    <row r="15">
      <c r="A15" s="3" t="inlineStr">
        <is>
          <t>Factor apoyo</t>
        </is>
      </c>
      <c r="B15" s="6" t="n">
        <v>18.5</v>
      </c>
      <c r="C15" s="12" t="inlineStr">
        <is>
          <t>-</t>
        </is>
      </c>
      <c r="D15" s="3" t="inlineStr">
        <is>
          <t>16 simple / 18.5 un extr. / 21 ambos / 8 voladizo</t>
        </is>
      </c>
    </row>
    <row r="16">
      <c r="A16" s="3" t="inlineStr">
        <is>
          <t>Mu+  (momento positivo)</t>
        </is>
      </c>
      <c r="B16" s="7" t="n">
        <v>25</v>
      </c>
      <c r="C16" s="12" t="inlineStr">
        <is>
          <t>kN*m</t>
        </is>
      </c>
      <c r="D16" s="3" t="inlineStr">
        <is>
          <t>&lt;-- DATO de tu modelo</t>
        </is>
      </c>
    </row>
    <row r="17">
      <c r="A17" s="3" t="inlineStr">
        <is>
          <t>Mu-  (momento negativo)</t>
        </is>
      </c>
      <c r="B17" s="7" t="n">
        <v>30</v>
      </c>
      <c r="C17" s="12" t="inlineStr">
        <is>
          <t>kN*m</t>
        </is>
      </c>
      <c r="D17" s="3" t="inlineStr">
        <is>
          <t>&lt;-- DATO de tu modelo</t>
        </is>
      </c>
    </row>
    <row r="18">
      <c r="A18" s="3" t="inlineStr">
        <is>
          <t>Vu  (cortante)</t>
        </is>
      </c>
      <c r="B18" s="7" t="n">
        <v>35</v>
      </c>
      <c r="C18" s="12" t="inlineStr">
        <is>
          <t>kN</t>
        </is>
      </c>
      <c r="D18" s="3" t="inlineStr">
        <is>
          <t>&lt;-- DATO de tu modelo</t>
        </is>
      </c>
    </row>
    <row r="19">
      <c r="A19" s="3" t="inlineStr">
        <is>
          <t>Tu  (torsion)</t>
        </is>
      </c>
      <c r="B19" s="7" t="n">
        <v>0.3</v>
      </c>
      <c r="C19" s="12" t="inlineStr">
        <is>
          <t>kN*m</t>
        </is>
      </c>
      <c r="D19" s="3" t="inlineStr">
        <is>
          <t>&lt;-- DATO de tu modelo</t>
        </is>
      </c>
    </row>
    <row r="20">
      <c r="A20" s="3" t="inlineStr">
        <is>
          <t>phi flexion</t>
        </is>
      </c>
      <c r="B20" s="6" t="n">
        <v>0.9</v>
      </c>
      <c r="C20" s="12" t="inlineStr">
        <is>
          <t>-</t>
        </is>
      </c>
      <c r="D20" s="3" t="inlineStr"/>
    </row>
    <row r="21">
      <c r="A21" s="3" t="inlineStr">
        <is>
          <t>phi cortante/torsion</t>
        </is>
      </c>
      <c r="B21" s="6" t="n">
        <v>0.75</v>
      </c>
      <c r="C21" s="12" t="inlineStr">
        <is>
          <t>-</t>
        </is>
      </c>
      <c r="D21" s="3" t="inlineStr"/>
    </row>
    <row r="23">
      <c r="A23" s="5" t="inlineStr">
        <is>
          <t>GEOMETRIA Y MATERIALES CALCULADOS</t>
        </is>
      </c>
    </row>
    <row r="24">
      <c r="A24" s="3" t="inlineStr">
        <is>
          <t>d (efectiva) = h-cc-db_estr-db_long/2</t>
        </is>
      </c>
      <c r="B24" s="13">
        <f>B8-B9-B10-B11/2</f>
        <v/>
      </c>
      <c r="C24" s="12" t="inlineStr">
        <is>
          <t>mm</t>
        </is>
      </c>
      <c r="D24" s="4" t="n"/>
    </row>
    <row r="25">
      <c r="A25" s="3" t="inlineStr">
        <is>
          <t>Area 1 barra long = pi/4*db^2</t>
        </is>
      </c>
      <c r="B25" s="14">
        <f>PI()/4*B11^2</f>
        <v/>
      </c>
      <c r="C25" s="12" t="inlineStr">
        <is>
          <t>mm2</t>
        </is>
      </c>
      <c r="D25" s="4" t="n"/>
    </row>
    <row r="26">
      <c r="A26" s="3" t="inlineStr">
        <is>
          <t>Av estribo (2 ramas)</t>
        </is>
      </c>
      <c r="B26" s="14">
        <f>2*PI()/4*B10^2</f>
        <v/>
      </c>
      <c r="C26" s="12" t="inlineStr">
        <is>
          <t>mm2</t>
        </is>
      </c>
      <c r="D26" s="4" t="n"/>
    </row>
    <row r="27">
      <c r="A27" s="3" t="inlineStr">
        <is>
          <t>beta1</t>
        </is>
      </c>
      <c r="B27" s="15">
        <f>IF(B4&lt;=28,0.85,MAX(0.65,0.85-0.05*(B4-28)/7))</f>
        <v/>
      </c>
      <c r="C27" s="12" t="inlineStr">
        <is>
          <t>-</t>
        </is>
      </c>
      <c r="D27" s="4" t="n"/>
    </row>
    <row r="28">
      <c r="A28" s="3" t="inlineStr">
        <is>
          <t>As minimo = max(1.4/fy ; 0.25raizf'c/fy)*b*d</t>
        </is>
      </c>
      <c r="B28" s="14">
        <f>MAX(1.4/B5,0.25*SQRT(B4)/B5)*B7*B24</f>
        <v/>
      </c>
      <c r="C28" s="12" t="inlineStr">
        <is>
          <t>mm2</t>
        </is>
      </c>
      <c r="D28" s="4" t="n"/>
    </row>
    <row r="29">
      <c r="A29" s="3" t="inlineStr">
        <is>
          <t>rho maximo (ductil et=0.005)</t>
        </is>
      </c>
      <c r="B29" s="16">
        <f>0.85*B27*B4/B5*(3/8)</f>
        <v/>
      </c>
      <c r="C29" s="12" t="inlineStr">
        <is>
          <t>-</t>
        </is>
      </c>
      <c r="D29" s="4" t="n"/>
    </row>
    <row r="31">
      <c r="A31" s="5" t="inlineStr">
        <is>
          <t>FLEXION POSITIVA (+)  abajo -&gt; ancho bf (ala)</t>
        </is>
      </c>
    </row>
    <row r="32">
      <c r="A32" s="3" t="inlineStr">
        <is>
          <t>Rn = Mu/(phi*ancho*d^2)</t>
        </is>
      </c>
      <c r="B32" s="15">
        <f>B16*10^6/(B20*B13*B24^2)</f>
        <v/>
      </c>
      <c r="C32" s="12" t="inlineStr">
        <is>
          <t>MPa</t>
        </is>
      </c>
      <c r="D32" s="4" t="n"/>
    </row>
    <row r="33">
      <c r="A33" s="3" t="inlineStr">
        <is>
          <t>rho</t>
        </is>
      </c>
      <c r="B33" s="16">
        <f>(0.85*B4/B5)*(1-SQRT(1-2*B32/(0.85*B4)))</f>
        <v/>
      </c>
      <c r="C33" s="12" t="inlineStr">
        <is>
          <t>-</t>
        </is>
      </c>
      <c r="D33" s="4" t="n"/>
    </row>
    <row r="34">
      <c r="A34" s="3" t="inlineStr">
        <is>
          <t>As requerido</t>
        </is>
      </c>
      <c r="B34" s="14">
        <f>B33*B13*B24</f>
        <v/>
      </c>
      <c r="C34" s="12" t="inlineStr">
        <is>
          <t>mm2</t>
        </is>
      </c>
      <c r="D34" s="4" t="n"/>
    </row>
    <row r="35">
      <c r="A35" s="3" t="inlineStr">
        <is>
          <t>As ADOPTADO = max(req, As_min)</t>
        </is>
      </c>
      <c r="B35" s="17">
        <f>MAX(B34,B28)</f>
        <v/>
      </c>
      <c r="C35" s="12" t="inlineStr">
        <is>
          <t>mm2</t>
        </is>
      </c>
      <c r="D35" s="4" t="n"/>
    </row>
    <row r="36">
      <c r="A36" s="3" t="inlineStr">
        <is>
          <t>a (profundidad bloque)</t>
        </is>
      </c>
      <c r="B36" s="13">
        <f>B35*B5/(0.85*B4*B13)</f>
        <v/>
      </c>
      <c r="C36" s="12" t="inlineStr">
        <is>
          <t>mm</t>
        </is>
      </c>
      <c r="D36" s="4" t="n"/>
    </row>
    <row r="37">
      <c r="A37" s="3" t="inlineStr">
        <is>
          <t>Chequeo ductilidad (rho&lt;=rho_max)</t>
        </is>
      </c>
      <c r="B37" s="2">
        <f>IF(B33&lt;=B29,"CUMPLE","NO CUMPLE")</f>
        <v/>
      </c>
      <c r="C37" s="12" t="inlineStr"/>
      <c r="D37" s="4" t="n"/>
    </row>
    <row r="38">
      <c r="A38" s="3" t="inlineStr">
        <is>
          <t>No. de barras</t>
        </is>
      </c>
      <c r="B38" s="18">
        <f>ROUNDUP(B35/B25,0)</f>
        <v/>
      </c>
      <c r="C38" s="12" t="inlineStr">
        <is>
          <t>barras</t>
        </is>
      </c>
      <c r="D38" s="4" t="n"/>
    </row>
    <row r="39">
      <c r="A39" s="3" t="inlineStr">
        <is>
          <t>As provisto</t>
        </is>
      </c>
      <c r="B39" s="14">
        <f>B38*B25</f>
        <v/>
      </c>
      <c r="C39" s="12" t="inlineStr">
        <is>
          <t>mm2</t>
        </is>
      </c>
      <c r="D39" s="4" t="n"/>
    </row>
    <row r="40">
      <c r="A40" s="3" t="inlineStr">
        <is>
          <t>Chequeo acero (As_prov&gt;=As_adopt)</t>
        </is>
      </c>
      <c r="B40" s="2">
        <f>IF(B39&gt;=B35,"CUMPLE","NO CUMPLE")</f>
        <v/>
      </c>
      <c r="C40" s="12" t="inlineStr"/>
      <c r="D40" s="4" t="n"/>
    </row>
    <row r="42">
      <c r="A42" s="5" t="inlineStr">
        <is>
          <t>FLEXION NEGATIVA (-)  arriba -&gt; ancho bw</t>
        </is>
      </c>
    </row>
    <row r="43">
      <c r="A43" s="3" t="inlineStr">
        <is>
          <t>Rn = Mu/(phi*ancho*d^2)</t>
        </is>
      </c>
      <c r="B43" s="15">
        <f>B17*10^6/(B20*B7*B24^2)</f>
        <v/>
      </c>
      <c r="C43" s="12" t="inlineStr">
        <is>
          <t>MPa</t>
        </is>
      </c>
      <c r="D43" s="4" t="n"/>
    </row>
    <row r="44">
      <c r="A44" s="3" t="inlineStr">
        <is>
          <t>rho</t>
        </is>
      </c>
      <c r="B44" s="16">
        <f>(0.85*B4/B5)*(1-SQRT(1-2*B43/(0.85*B4)))</f>
        <v/>
      </c>
      <c r="C44" s="12" t="inlineStr">
        <is>
          <t>-</t>
        </is>
      </c>
      <c r="D44" s="4" t="n"/>
    </row>
    <row r="45">
      <c r="A45" s="3" t="inlineStr">
        <is>
          <t>As requerido</t>
        </is>
      </c>
      <c r="B45" s="14">
        <f>B44*B7*B24</f>
        <v/>
      </c>
      <c r="C45" s="12" t="inlineStr">
        <is>
          <t>mm2</t>
        </is>
      </c>
      <c r="D45" s="4" t="n"/>
    </row>
    <row r="46">
      <c r="A46" s="3" t="inlineStr">
        <is>
          <t>As ADOPTADO = max(req, As_min)</t>
        </is>
      </c>
      <c r="B46" s="17">
        <f>MAX(B45,B28)</f>
        <v/>
      </c>
      <c r="C46" s="12" t="inlineStr">
        <is>
          <t>mm2</t>
        </is>
      </c>
      <c r="D46" s="4" t="n"/>
    </row>
    <row r="47">
      <c r="A47" s="3" t="inlineStr">
        <is>
          <t>a (profundidad bloque)</t>
        </is>
      </c>
      <c r="B47" s="13">
        <f>B46*B5/(0.85*B4*B7)</f>
        <v/>
      </c>
      <c r="C47" s="12" t="inlineStr">
        <is>
          <t>mm</t>
        </is>
      </c>
      <c r="D47" s="4" t="n"/>
    </row>
    <row r="48">
      <c r="A48" s="3" t="inlineStr">
        <is>
          <t>Chequeo ductilidad (rho&lt;=rho_max)</t>
        </is>
      </c>
      <c r="B48" s="2">
        <f>IF(B44&lt;=B29,"CUMPLE","NO CUMPLE")</f>
        <v/>
      </c>
      <c r="C48" s="12" t="inlineStr"/>
      <c r="D48" s="4" t="n"/>
    </row>
    <row r="49">
      <c r="A49" s="3" t="inlineStr">
        <is>
          <t>No. de barras</t>
        </is>
      </c>
      <c r="B49" s="18">
        <f>ROUNDUP(B46/B25,0)</f>
        <v/>
      </c>
      <c r="C49" s="12" t="inlineStr">
        <is>
          <t>barras</t>
        </is>
      </c>
      <c r="D49" s="4" t="n"/>
    </row>
    <row r="50">
      <c r="A50" s="3" t="inlineStr">
        <is>
          <t>As provisto</t>
        </is>
      </c>
      <c r="B50" s="14">
        <f>B49*B25</f>
        <v/>
      </c>
      <c r="C50" s="12" t="inlineStr">
        <is>
          <t>mm2</t>
        </is>
      </c>
      <c r="D50" s="4" t="n"/>
    </row>
    <row r="51">
      <c r="A51" s="3" t="inlineStr">
        <is>
          <t>Chequeo acero (As_prov&gt;=As_adopt)</t>
        </is>
      </c>
      <c r="B51" s="2">
        <f>IF(B50&gt;=B46,"CUMPLE","NO CUMPLE")</f>
        <v/>
      </c>
      <c r="C51" s="12" t="inlineStr"/>
      <c r="D51" s="4" t="n"/>
    </row>
    <row r="53">
      <c r="A53" s="5" t="inlineStr">
        <is>
          <t>CORTANTE (viguetas: NSR-10 C.8.13 permite 1.1*Vc)</t>
        </is>
      </c>
    </row>
    <row r="54">
      <c r="A54" s="3" t="inlineStr">
        <is>
          <t>Vc = 0.17*raizf'c*bw*d</t>
        </is>
      </c>
      <c r="B54" s="19">
        <f>0.17*SQRT(B4)*B7*B24/1000</f>
        <v/>
      </c>
      <c r="C54" s="12" t="inlineStr">
        <is>
          <t>kN</t>
        </is>
      </c>
      <c r="D54" s="4" t="n"/>
    </row>
    <row r="55">
      <c r="A55" s="3" t="inlineStr">
        <is>
          <t>1.1*Vc</t>
        </is>
      </c>
      <c r="B55" s="19">
        <f>1.1*B54</f>
        <v/>
      </c>
      <c r="C55" s="12" t="inlineStr">
        <is>
          <t>kN</t>
        </is>
      </c>
      <c r="D55" s="4" t="n"/>
    </row>
    <row r="56">
      <c r="A56" s="3" t="inlineStr">
        <is>
          <t>phi*1.1Vc</t>
        </is>
      </c>
      <c r="B56" s="19">
        <f>B21*B55</f>
        <v/>
      </c>
      <c r="C56" s="12" t="inlineStr">
        <is>
          <t>kN</t>
        </is>
      </c>
      <c r="D56" s="4" t="n"/>
    </row>
    <row r="57">
      <c r="A57" s="3" t="inlineStr">
        <is>
          <t>Vs requerido = Vu/phi - 1.1Vc</t>
        </is>
      </c>
      <c r="B57" s="19">
        <f>MAX(B18/B21-B55,0)</f>
        <v/>
      </c>
      <c r="C57" s="12" t="inlineStr">
        <is>
          <t>kN</t>
        </is>
      </c>
      <c r="D57" s="4" t="n"/>
    </row>
    <row r="58">
      <c r="A58" s="3" t="inlineStr">
        <is>
          <t>s requerido = Av*fyt*d/Vs</t>
        </is>
      </c>
      <c r="B58" s="14">
        <f>IF(B57&lt;=0,9999,B26*B6*B24/(B57*1000))</f>
        <v/>
      </c>
      <c r="C58" s="12" t="inlineStr">
        <is>
          <t>mm</t>
        </is>
      </c>
      <c r="D58" s="4" t="n"/>
    </row>
    <row r="59">
      <c r="A59" s="3" t="inlineStr">
        <is>
          <t>s maximo = min(d/2,600)</t>
        </is>
      </c>
      <c r="B59" s="14">
        <f>MIN(B24/2,600)</f>
        <v/>
      </c>
      <c r="C59" s="12" t="inlineStr">
        <is>
          <t>mm</t>
        </is>
      </c>
      <c r="D59" s="4" t="n"/>
    </row>
    <row r="60">
      <c r="A60" s="3" t="inlineStr">
        <is>
          <t>s ADOPTADO</t>
        </is>
      </c>
      <c r="B60" s="18">
        <f>IF(B18&lt;=B56,B59,MIN(B58,B59))</f>
        <v/>
      </c>
      <c r="C60" s="12" t="inlineStr">
        <is>
          <t>mm</t>
        </is>
      </c>
      <c r="D60" s="4" t="n"/>
    </row>
    <row r="61">
      <c r="A61" s="3" t="inlineStr">
        <is>
          <t>RESULTADO</t>
        </is>
      </c>
      <c r="B61" s="12">
        <f>IF(B18&lt;=B56,"Concreto resiste: estribos de montaje @ "&amp;B59&amp;" mm","Estribos #2 @ "&amp;ROUND(B60,0)&amp;" mm")</f>
        <v/>
      </c>
      <c r="C61" s="12" t="inlineStr"/>
      <c r="D61" s="4" t="n"/>
    </row>
    <row r="62">
      <c r="A62" s="3" t="inlineStr">
        <is>
          <t>phi*Vn con s adoptado</t>
        </is>
      </c>
      <c r="B62" s="19">
        <f>B21*(B55+B26*B6*B24/B60/1000)</f>
        <v/>
      </c>
      <c r="C62" s="12" t="inlineStr">
        <is>
          <t>kN</t>
        </is>
      </c>
      <c r="D62" s="4" t="n"/>
    </row>
    <row r="63">
      <c r="A63" s="3" t="inlineStr">
        <is>
          <t>Chequeo cortante (Vu&lt;=phiVn)</t>
        </is>
      </c>
      <c r="B63" s="2">
        <f>IF(B18&lt;=B62,"CUMPLE","NO CUMPLE")</f>
        <v/>
      </c>
      <c r="C63" s="12" t="inlineStr"/>
      <c r="D63" s="4" t="n"/>
    </row>
    <row r="65">
      <c r="A65" s="5" t="inlineStr">
        <is>
          <t>TORSION (umbral)</t>
        </is>
      </c>
    </row>
    <row r="66">
      <c r="A66" s="3" t="inlineStr">
        <is>
          <t>Acp=bw*h</t>
        </is>
      </c>
      <c r="B66" s="14">
        <f>B7*B8</f>
        <v/>
      </c>
      <c r="C66" s="12" t="inlineStr">
        <is>
          <t>mm2</t>
        </is>
      </c>
      <c r="D66" s="4" t="n"/>
    </row>
    <row r="67">
      <c r="A67" s="3" t="inlineStr">
        <is>
          <t>pcp=2(bw+h)</t>
        </is>
      </c>
      <c r="B67" s="14">
        <f>2*(B7+B8)</f>
        <v/>
      </c>
      <c r="C67" s="12" t="inlineStr">
        <is>
          <t>mm</t>
        </is>
      </c>
      <c r="D67" s="4" t="n"/>
    </row>
    <row r="68">
      <c r="A68" s="3" t="inlineStr">
        <is>
          <t>phi*Tth = phi*0.083raizf'c*Acp^2/pcp</t>
        </is>
      </c>
      <c r="B68" s="15">
        <f>B21*0.083*SQRT(B4)*(B66^2/B67)/10^6</f>
        <v/>
      </c>
      <c r="C68" s="12" t="inlineStr">
        <is>
          <t>kN*m</t>
        </is>
      </c>
      <c r="D68" s="4" t="n"/>
    </row>
    <row r="69">
      <c r="A69" s="3" t="inlineStr">
        <is>
          <t>Chequeo torsion</t>
        </is>
      </c>
      <c r="B69" s="2">
        <f>IF(B19&lt;B68,"DESPRECIABLE","DISENAR")</f>
        <v/>
      </c>
      <c r="C69" s="12" t="inlineStr"/>
      <c r="D69" s="4" t="n"/>
    </row>
    <row r="71">
      <c r="A71" s="5" t="inlineStr">
        <is>
          <t>DEFLEXIONES (C.9.5)</t>
        </is>
      </c>
    </row>
    <row r="72">
      <c r="A72" s="3" t="inlineStr">
        <is>
          <t>h minimo = L/factor</t>
        </is>
      </c>
      <c r="B72" s="14">
        <f>B14/B15</f>
        <v/>
      </c>
      <c r="C72" s="12" t="inlineStr">
        <is>
          <t>mm</t>
        </is>
      </c>
      <c r="D72" s="4" t="n"/>
    </row>
    <row r="73">
      <c r="A73" s="3" t="inlineStr">
        <is>
          <t>Chequeo deflexion</t>
        </is>
      </c>
      <c r="B73" s="2">
        <f>IF(B8&gt;=B72,"NO CALCULAR","CALCULAR")</f>
        <v/>
      </c>
      <c r="C73" s="12" t="inlineStr"/>
      <c r="D73" s="4" t="n"/>
    </row>
    <row r="75">
      <c r="A75" s="5" t="inlineStr">
        <is>
          <t>LONGITUDES DE DESARROLLO (barras &lt;=No.6)</t>
        </is>
      </c>
    </row>
    <row r="76">
      <c r="A76" s="3" t="inlineStr">
        <is>
          <t>ld inferior = (fy/(2.1raizf'c))*db</t>
        </is>
      </c>
      <c r="B76" s="14">
        <f>(B5/(2.1*SQRT(B4)))*B11</f>
        <v/>
      </c>
      <c r="C76" s="12" t="inlineStr">
        <is>
          <t>mm</t>
        </is>
      </c>
      <c r="D76" s="4" t="n"/>
    </row>
    <row r="77">
      <c r="A77" s="3" t="inlineStr">
        <is>
          <t>ld superior (psi_t=1.3)</t>
        </is>
      </c>
      <c r="B77" s="14">
        <f>1.3*B76</f>
        <v/>
      </c>
      <c r="C77" s="12" t="inlineStr">
        <is>
          <t>mm</t>
        </is>
      </c>
      <c r="D77" s="4" t="n"/>
    </row>
    <row r="78">
      <c r="A78" s="3" t="inlineStr">
        <is>
          <t>gancho ldh</t>
        </is>
      </c>
      <c r="B78" s="14">
        <f>MAX(0.24*B5/SQRT(B4)*B11,8*B11,150)</f>
        <v/>
      </c>
      <c r="C78" s="12" t="inlineStr">
        <is>
          <t>mm</t>
        </is>
      </c>
      <c r="D78" s="4" t="n"/>
    </row>
    <row r="80">
      <c r="A80" s="5" t="inlineStr">
        <is>
          <t>SEPARACION DE BARRAS Y DESPIECE</t>
        </is>
      </c>
    </row>
    <row r="81">
      <c r="A81" s="3" t="inlineStr">
        <is>
          <t>sep libre inferior</t>
        </is>
      </c>
      <c r="B81" s="14">
        <f>IF(B38&gt;1,(B7-2*B9-2*B10-B38*B11)/(B38-1),9999)</f>
        <v/>
      </c>
      <c r="C81" s="12" t="inlineStr">
        <is>
          <t>mm</t>
        </is>
      </c>
      <c r="D81" s="4" t="n"/>
    </row>
    <row r="82">
      <c r="A82" s="3" t="inlineStr">
        <is>
          <t>Chequeo separacion (&gt;=max(25,db))</t>
        </is>
      </c>
      <c r="B82" s="2">
        <f>IF(B38&lt;=1,"CUMPLE",IF(B81&gt;=MAX(25,B11),"CUMPLE","REVISAR"))</f>
        <v/>
      </c>
      <c r="C82" s="12" t="inlineStr"/>
      <c r="D82" s="4" t="n"/>
    </row>
    <row r="83">
      <c r="A83" s="3" t="inlineStr">
        <is>
          <t>Baston negativo: long. desde cara = Ln/4 + ld_sup</t>
        </is>
      </c>
      <c r="B83" s="14">
        <f>B14/4+B77</f>
        <v/>
      </c>
      <c r="C83" s="12" t="inlineStr">
        <is>
          <t>mm</t>
        </is>
      </c>
      <c r="D83" s="4" t="n"/>
    </row>
    <row r="84">
      <c r="A84" s="3" t="inlineStr">
        <is>
          <t>Barras (+) corren toda la luz + ld en apoyo</t>
        </is>
      </c>
      <c r="B84" s="14">
        <f>B14+B76</f>
        <v/>
      </c>
      <c r="C84" s="12" t="inlineStr">
        <is>
          <t>mm</t>
        </is>
      </c>
      <c r="D84" s="4" t="n"/>
    </row>
    <row r="85">
      <c r="A85" s="3" t="inlineStr">
        <is>
          <t>Estribos: zona confinamiento desde cara (2h)</t>
        </is>
      </c>
      <c r="B85" s="14">
        <f>2*B8</f>
        <v/>
      </c>
      <c r="C85" s="12" t="inlineStr">
        <is>
          <t>mm</t>
        </is>
      </c>
      <c r="D85" s="4" t="n"/>
    </row>
    <row r="86">
      <c r="A86" s="10" t="inlineStr">
        <is>
          <t>En la zona de confinamiento coloca los estribos a s/2; en el resto a la s adoptada. As+ usa bf; As- usa bw (a&lt;=hf).</t>
        </is>
      </c>
    </row>
  </sheetData>
  <mergeCells count="10">
    <mergeCell ref="A1:D1"/>
    <mergeCell ref="A23:D23"/>
    <mergeCell ref="A75:D75"/>
    <mergeCell ref="A80:D80"/>
    <mergeCell ref="A31:D31"/>
    <mergeCell ref="A53:D53"/>
    <mergeCell ref="A3:D3"/>
    <mergeCell ref="A65:D65"/>
    <mergeCell ref="A71:D71"/>
    <mergeCell ref="A42:D42"/>
  </mergeCells>
  <conditionalFormatting sqref="B31:B88">
    <cfRule type="cellIs" priority="1" operator="equal" dxfId="0">
      <formula>"CUMPLE"</formula>
    </cfRule>
    <cfRule type="cellIs" priority="2" operator="equal" dxfId="0">
      <formula>"DESPRECIABLE"</formula>
    </cfRule>
    <cfRule type="cellIs" priority="3" operator="equal" dxfId="0">
      <formula>"NO CALCULAR"</formula>
    </cfRule>
    <cfRule type="cellIs" priority="4" operator="equal" dxfId="0">
      <formula>"OK"</formula>
    </cfRule>
    <cfRule type="cellIs" priority="5" operator="equal" dxfId="1">
      <formula>"NO CUMPLE"</formula>
    </cfRule>
    <cfRule type="cellIs" priority="6" operator="equal" dxfId="1">
      <formula>"REVISAR"</formula>
    </cfRule>
    <cfRule type="cellIs" priority="7" operator="equal" dxfId="1">
      <formula>"DISENAR"</formula>
    </cfRule>
    <cfRule type="cellIs" priority="8" operator="equal" dxfId="1">
      <formula>"CALCULAR"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DISENO DE VIGA rectangular - flexion, cortante, torsion y capacidad - NSR-10</t>
        </is>
      </c>
    </row>
    <row r="3">
      <c r="A3" s="5" t="inlineStr">
        <is>
          <t>DATOS DE ENTRADA  (azul = materiales/geometria, amarillo = fuerzas)</t>
        </is>
      </c>
    </row>
    <row r="4">
      <c r="A4" s="3" t="inlineStr">
        <is>
          <t>f'c</t>
        </is>
      </c>
      <c r="B4" s="6" t="n">
        <v>21</v>
      </c>
      <c r="C4" s="12" t="inlineStr">
        <is>
          <t>MPa</t>
        </is>
      </c>
      <c r="D4" s="3" t="inlineStr"/>
    </row>
    <row r="5">
      <c r="A5" s="3" t="inlineStr">
        <is>
          <t>fy (longitudinal)</t>
        </is>
      </c>
      <c r="B5" s="6" t="n">
        <v>420</v>
      </c>
      <c r="C5" s="12" t="inlineStr">
        <is>
          <t>MPa</t>
        </is>
      </c>
      <c r="D5" s="3" t="inlineStr"/>
    </row>
    <row r="6">
      <c r="A6" s="3" t="inlineStr">
        <is>
          <t>fyt (transversal)</t>
        </is>
      </c>
      <c r="B6" s="6" t="n">
        <v>420</v>
      </c>
      <c r="C6" s="12" t="inlineStr">
        <is>
          <t>MPa</t>
        </is>
      </c>
      <c r="D6" s="3" t="inlineStr"/>
    </row>
    <row r="7">
      <c r="A7" s="3" t="inlineStr">
        <is>
          <t>b / bw (ancho)</t>
        </is>
      </c>
      <c r="B7" s="6" t="n">
        <v>300</v>
      </c>
      <c r="C7" s="12" t="inlineStr">
        <is>
          <t>mm</t>
        </is>
      </c>
      <c r="D7" s="3" t="inlineStr"/>
    </row>
    <row r="8">
      <c r="A8" s="3" t="inlineStr">
        <is>
          <t>h (altura total)</t>
        </is>
      </c>
      <c r="B8" s="6" t="n">
        <v>500</v>
      </c>
      <c r="C8" s="12" t="inlineStr">
        <is>
          <t>mm</t>
        </is>
      </c>
      <c r="D8" s="3" t="inlineStr"/>
    </row>
    <row r="9">
      <c r="A9" s="3" t="inlineStr">
        <is>
          <t>recubrimiento libre cc</t>
        </is>
      </c>
      <c r="B9" s="6" t="n">
        <v>40</v>
      </c>
      <c r="C9" s="12" t="inlineStr">
        <is>
          <t>mm</t>
        </is>
      </c>
      <c r="D9" s="3" t="inlineStr"/>
    </row>
    <row r="10">
      <c r="A10" s="3" t="inlineStr">
        <is>
          <t>db estribo</t>
        </is>
      </c>
      <c r="B10" s="6" t="n">
        <v>9.5</v>
      </c>
      <c r="C10" s="12" t="inlineStr">
        <is>
          <t>mm</t>
        </is>
      </c>
      <c r="D10" s="3" t="inlineStr">
        <is>
          <t>No.2=6.4 / No.3=9.5</t>
        </is>
      </c>
    </row>
    <row r="11">
      <c r="A11" s="3" t="inlineStr">
        <is>
          <t>db barra longitudinal</t>
        </is>
      </c>
      <c r="B11" s="6" t="n">
        <v>15.9</v>
      </c>
      <c r="C11" s="12" t="inlineStr">
        <is>
          <t>mm</t>
        </is>
      </c>
      <c r="D11" s="3" t="inlineStr">
        <is>
          <t>No.4=12.7 / No.5=15.9 / No.6=19.1</t>
        </is>
      </c>
    </row>
    <row r="12">
      <c r="A12" s="3" t="inlineStr">
        <is>
          <t>hf (no aplica)</t>
        </is>
      </c>
      <c r="B12" s="6" t="n">
        <v>0</v>
      </c>
      <c r="C12" s="12" t="inlineStr">
        <is>
          <t>mm</t>
        </is>
      </c>
      <c r="D12" s="3" t="inlineStr">
        <is>
          <t>0 = rectangular</t>
        </is>
      </c>
    </row>
    <row r="13">
      <c r="A13" s="3" t="inlineStr">
        <is>
          <t>bf (= b)</t>
        </is>
      </c>
      <c r="B13" s="6">
        <f>B7</f>
        <v/>
      </c>
      <c r="C13" s="12" t="inlineStr">
        <is>
          <t>mm</t>
        </is>
      </c>
      <c r="D13" s="3" t="inlineStr"/>
    </row>
    <row r="14">
      <c r="A14" s="3" t="inlineStr">
        <is>
          <t>L (luz libre)</t>
        </is>
      </c>
      <c r="B14" s="6" t="n">
        <v>5000</v>
      </c>
      <c r="C14" s="12" t="inlineStr">
        <is>
          <t>mm</t>
        </is>
      </c>
      <c r="D14" s="3" t="inlineStr"/>
    </row>
    <row r="15">
      <c r="A15" s="3" t="inlineStr">
        <is>
          <t>Factor apoyo</t>
        </is>
      </c>
      <c r="B15" s="6" t="n">
        <v>18.5</v>
      </c>
      <c r="C15" s="12" t="inlineStr">
        <is>
          <t>-</t>
        </is>
      </c>
      <c r="D15" s="3" t="inlineStr">
        <is>
          <t>16 simple / 18.5 un extr. / 21 ambos / 8 voladizo</t>
        </is>
      </c>
    </row>
    <row r="16">
      <c r="A16" s="3" t="inlineStr">
        <is>
          <t>Mu+  (momento positivo)</t>
        </is>
      </c>
      <c r="B16" s="7" t="n">
        <v>120</v>
      </c>
      <c r="C16" s="12" t="inlineStr">
        <is>
          <t>kN*m</t>
        </is>
      </c>
      <c r="D16" s="3" t="inlineStr">
        <is>
          <t>&lt;-- DATO de tu modelo</t>
        </is>
      </c>
    </row>
    <row r="17">
      <c r="A17" s="3" t="inlineStr">
        <is>
          <t>Mu-  (momento negativo)</t>
        </is>
      </c>
      <c r="B17" s="7" t="n">
        <v>150</v>
      </c>
      <c r="C17" s="12" t="inlineStr">
        <is>
          <t>kN*m</t>
        </is>
      </c>
      <c r="D17" s="3" t="inlineStr">
        <is>
          <t>&lt;-- DATO de tu modelo</t>
        </is>
      </c>
    </row>
    <row r="18">
      <c r="A18" s="3" t="inlineStr">
        <is>
          <t>Vu  (cortante)</t>
        </is>
      </c>
      <c r="B18" s="7" t="n">
        <v>140</v>
      </c>
      <c r="C18" s="12" t="inlineStr">
        <is>
          <t>kN</t>
        </is>
      </c>
      <c r="D18" s="3" t="inlineStr">
        <is>
          <t>&lt;-- DATO de tu modelo</t>
        </is>
      </c>
    </row>
    <row r="19">
      <c r="A19" s="3" t="inlineStr">
        <is>
          <t>Tu  (torsion)</t>
        </is>
      </c>
      <c r="B19" s="7" t="n">
        <v>12</v>
      </c>
      <c r="C19" s="12" t="inlineStr">
        <is>
          <t>kN*m</t>
        </is>
      </c>
      <c r="D19" s="3" t="inlineStr">
        <is>
          <t>&lt;-- DATO de tu modelo</t>
        </is>
      </c>
    </row>
    <row r="20">
      <c r="A20" s="3" t="inlineStr">
        <is>
          <t>phi flexion</t>
        </is>
      </c>
      <c r="B20" s="6" t="n">
        <v>0.9</v>
      </c>
      <c r="C20" s="12" t="inlineStr">
        <is>
          <t>-</t>
        </is>
      </c>
      <c r="D20" s="3" t="inlineStr"/>
    </row>
    <row r="21">
      <c r="A21" s="3" t="inlineStr">
        <is>
          <t>phi cortante/torsion</t>
        </is>
      </c>
      <c r="B21" s="6" t="n">
        <v>0.75</v>
      </c>
      <c r="C21" s="12" t="inlineStr">
        <is>
          <t>-</t>
        </is>
      </c>
      <c r="D21" s="3" t="inlineStr"/>
    </row>
    <row r="22">
      <c r="A22" s="3" t="inlineStr">
        <is>
          <t>Sistema (DMI/DMO/DES)</t>
        </is>
      </c>
      <c r="B22" s="6" t="inlineStr">
        <is>
          <t>DES</t>
        </is>
      </c>
      <c r="C22" s="12" t="inlineStr">
        <is>
          <t>-</t>
        </is>
      </c>
      <c r="D22" s="3" t="inlineStr">
        <is>
          <t>DES o DMO activan diseno por capacidad</t>
        </is>
      </c>
    </row>
    <row r="23">
      <c r="A23" s="5" t="inlineStr">
        <is>
          <t>GEOMETRIA Y MATERIALES CALCULADOS</t>
        </is>
      </c>
    </row>
    <row r="24">
      <c r="A24" s="3" t="inlineStr">
        <is>
          <t>d (efectiva) = h-cc-db_estr-db_long/2</t>
        </is>
      </c>
      <c r="B24" s="13">
        <f>B8-B9-B10-B11/2</f>
        <v/>
      </c>
      <c r="C24" s="12" t="inlineStr">
        <is>
          <t>mm</t>
        </is>
      </c>
      <c r="D24" s="4" t="n"/>
    </row>
    <row r="25">
      <c r="A25" s="3" t="inlineStr">
        <is>
          <t>Area 1 barra long = pi/4*db^2</t>
        </is>
      </c>
      <c r="B25" s="14">
        <f>PI()/4*B11^2</f>
        <v/>
      </c>
      <c r="C25" s="12" t="inlineStr">
        <is>
          <t>mm2</t>
        </is>
      </c>
      <c r="D25" s="4" t="n"/>
    </row>
    <row r="26">
      <c r="A26" s="3" t="inlineStr">
        <is>
          <t>Av estribo (2 ramas)</t>
        </is>
      </c>
      <c r="B26" s="14">
        <f>2*PI()/4*B10^2</f>
        <v/>
      </c>
      <c r="C26" s="12" t="inlineStr">
        <is>
          <t>mm2</t>
        </is>
      </c>
      <c r="D26" s="4" t="n"/>
    </row>
    <row r="27">
      <c r="A27" s="3" t="inlineStr">
        <is>
          <t>beta1</t>
        </is>
      </c>
      <c r="B27" s="15">
        <f>IF(B4&lt;=28,0.85,MAX(0.65,0.85-0.05*(B4-28)/7))</f>
        <v/>
      </c>
      <c r="C27" s="12" t="inlineStr">
        <is>
          <t>-</t>
        </is>
      </c>
      <c r="D27" s="4" t="n"/>
    </row>
    <row r="28">
      <c r="A28" s="3" t="inlineStr">
        <is>
          <t>As minimo = max(1.4/fy ; 0.25raizf'c/fy)*b*d</t>
        </is>
      </c>
      <c r="B28" s="14">
        <f>MAX(1.4/B5,0.25*SQRT(B4)/B5)*B7*B24</f>
        <v/>
      </c>
      <c r="C28" s="12" t="inlineStr">
        <is>
          <t>mm2</t>
        </is>
      </c>
      <c r="D28" s="4" t="n"/>
    </row>
    <row r="29">
      <c r="A29" s="3" t="inlineStr">
        <is>
          <t>rho maximo (ductil et=0.005)</t>
        </is>
      </c>
      <c r="B29" s="16">
        <f>0.85*B27*B4/B5*(3/8)</f>
        <v/>
      </c>
      <c r="C29" s="12" t="inlineStr">
        <is>
          <t>-</t>
        </is>
      </c>
      <c r="D29" s="4" t="n"/>
    </row>
    <row r="31">
      <c r="A31" s="5" t="inlineStr">
        <is>
          <t>FLEXION POSITIVA (+)  centro de luz</t>
        </is>
      </c>
    </row>
    <row r="32">
      <c r="A32" s="3" t="inlineStr">
        <is>
          <t>Rn = Mu/(phi*ancho*d^2)</t>
        </is>
      </c>
      <c r="B32" s="15">
        <f>B16*10^6/(B20*B7*B24^2)</f>
        <v/>
      </c>
      <c r="C32" s="12" t="inlineStr">
        <is>
          <t>MPa</t>
        </is>
      </c>
      <c r="D32" s="4" t="n"/>
    </row>
    <row r="33">
      <c r="A33" s="3" t="inlineStr">
        <is>
          <t>rho</t>
        </is>
      </c>
      <c r="B33" s="16">
        <f>(0.85*B4/B5)*(1-SQRT(1-2*B32/(0.85*B4)))</f>
        <v/>
      </c>
      <c r="C33" s="12" t="inlineStr">
        <is>
          <t>-</t>
        </is>
      </c>
      <c r="D33" s="4" t="n"/>
    </row>
    <row r="34">
      <c r="A34" s="3" t="inlineStr">
        <is>
          <t>As requerido</t>
        </is>
      </c>
      <c r="B34" s="14">
        <f>B33*B7*B24</f>
        <v/>
      </c>
      <c r="C34" s="12" t="inlineStr">
        <is>
          <t>mm2</t>
        </is>
      </c>
      <c r="D34" s="4" t="n"/>
    </row>
    <row r="35">
      <c r="A35" s="3" t="inlineStr">
        <is>
          <t>As ADOPTADO = max(req, As_min)</t>
        </is>
      </c>
      <c r="B35" s="17">
        <f>MAX(B34,B28)</f>
        <v/>
      </c>
      <c r="C35" s="12" t="inlineStr">
        <is>
          <t>mm2</t>
        </is>
      </c>
      <c r="D35" s="4" t="n"/>
    </row>
    <row r="36">
      <c r="A36" s="3" t="inlineStr">
        <is>
          <t>a (profundidad bloque)</t>
        </is>
      </c>
      <c r="B36" s="13">
        <f>B35*B5/(0.85*B4*B7)</f>
        <v/>
      </c>
      <c r="C36" s="12" t="inlineStr">
        <is>
          <t>mm</t>
        </is>
      </c>
      <c r="D36" s="4" t="n"/>
    </row>
    <row r="37">
      <c r="A37" s="3" t="inlineStr">
        <is>
          <t>Chequeo ductilidad (rho&lt;=rho_max)</t>
        </is>
      </c>
      <c r="B37" s="2">
        <f>IF(B33&lt;=B29,"CUMPLE","NO CUMPLE")</f>
        <v/>
      </c>
      <c r="C37" s="12" t="inlineStr"/>
      <c r="D37" s="4" t="n"/>
    </row>
    <row r="38">
      <c r="A38" s="3" t="inlineStr">
        <is>
          <t>No. de barras</t>
        </is>
      </c>
      <c r="B38" s="18">
        <f>ROUNDUP(B35/B25,0)</f>
        <v/>
      </c>
      <c r="C38" s="12" t="inlineStr">
        <is>
          <t>barras</t>
        </is>
      </c>
      <c r="D38" s="4" t="n"/>
    </row>
    <row r="39">
      <c r="A39" s="3" t="inlineStr">
        <is>
          <t>As provisto</t>
        </is>
      </c>
      <c r="B39" s="14">
        <f>B38*B25</f>
        <v/>
      </c>
      <c r="C39" s="12" t="inlineStr">
        <is>
          <t>mm2</t>
        </is>
      </c>
      <c r="D39" s="4" t="n"/>
    </row>
    <row r="40">
      <c r="A40" s="3" t="inlineStr">
        <is>
          <t>Chequeo acero (As_prov&gt;=As_adopt)</t>
        </is>
      </c>
      <c r="B40" s="2">
        <f>IF(B39&gt;=B35,"CUMPLE","NO CUMPLE")</f>
        <v/>
      </c>
      <c r="C40" s="12" t="inlineStr"/>
      <c r="D40" s="4" t="n"/>
    </row>
    <row r="42">
      <c r="A42" s="5" t="inlineStr">
        <is>
          <t>FLEXION NEGATIVA (-)  apoyos</t>
        </is>
      </c>
    </row>
    <row r="43">
      <c r="A43" s="3" t="inlineStr">
        <is>
          <t>Rn = Mu/(phi*ancho*d^2)</t>
        </is>
      </c>
      <c r="B43" s="15">
        <f>B17*10^6/(B20*B7*B24^2)</f>
        <v/>
      </c>
      <c r="C43" s="12" t="inlineStr">
        <is>
          <t>MPa</t>
        </is>
      </c>
      <c r="D43" s="4" t="n"/>
    </row>
    <row r="44">
      <c r="A44" s="3" t="inlineStr">
        <is>
          <t>rho</t>
        </is>
      </c>
      <c r="B44" s="16">
        <f>(0.85*B4/B5)*(1-SQRT(1-2*B43/(0.85*B4)))</f>
        <v/>
      </c>
      <c r="C44" s="12" t="inlineStr">
        <is>
          <t>-</t>
        </is>
      </c>
      <c r="D44" s="4" t="n"/>
    </row>
    <row r="45">
      <c r="A45" s="3" t="inlineStr">
        <is>
          <t>As requerido</t>
        </is>
      </c>
      <c r="B45" s="14">
        <f>B44*B7*B24</f>
        <v/>
      </c>
      <c r="C45" s="12" t="inlineStr">
        <is>
          <t>mm2</t>
        </is>
      </c>
      <c r="D45" s="4" t="n"/>
    </row>
    <row r="46">
      <c r="A46" s="3" t="inlineStr">
        <is>
          <t>As ADOPTADO = max(req, As_min)</t>
        </is>
      </c>
      <c r="B46" s="17">
        <f>MAX(B45,B28)</f>
        <v/>
      </c>
      <c r="C46" s="12" t="inlineStr">
        <is>
          <t>mm2</t>
        </is>
      </c>
      <c r="D46" s="4" t="n"/>
    </row>
    <row r="47">
      <c r="A47" s="3" t="inlineStr">
        <is>
          <t>a (profundidad bloque)</t>
        </is>
      </c>
      <c r="B47" s="13">
        <f>B46*B5/(0.85*B4*B7)</f>
        <v/>
      </c>
      <c r="C47" s="12" t="inlineStr">
        <is>
          <t>mm</t>
        </is>
      </c>
      <c r="D47" s="4" t="n"/>
    </row>
    <row r="48">
      <c r="A48" s="3" t="inlineStr">
        <is>
          <t>Chequeo ductilidad (rho&lt;=rho_max)</t>
        </is>
      </c>
      <c r="B48" s="2">
        <f>IF(B44&lt;=B29,"CUMPLE","NO CUMPLE")</f>
        <v/>
      </c>
      <c r="C48" s="12" t="inlineStr"/>
      <c r="D48" s="4" t="n"/>
    </row>
    <row r="49">
      <c r="A49" s="3" t="inlineStr">
        <is>
          <t>No. de barras</t>
        </is>
      </c>
      <c r="B49" s="18">
        <f>ROUNDUP(B46/B25,0)</f>
        <v/>
      </c>
      <c r="C49" s="12" t="inlineStr">
        <is>
          <t>barras</t>
        </is>
      </c>
      <c r="D49" s="4" t="n"/>
    </row>
    <row r="50">
      <c r="A50" s="3" t="inlineStr">
        <is>
          <t>As provisto</t>
        </is>
      </c>
      <c r="B50" s="14">
        <f>B49*B25</f>
        <v/>
      </c>
      <c r="C50" s="12" t="inlineStr">
        <is>
          <t>mm2</t>
        </is>
      </c>
      <c r="D50" s="4" t="n"/>
    </row>
    <row r="51">
      <c r="A51" s="3" t="inlineStr">
        <is>
          <t>Chequeo acero (As_prov&gt;=As_adopt)</t>
        </is>
      </c>
      <c r="B51" s="2">
        <f>IF(B50&gt;=B46,"CUMPLE","NO CUMPLE")</f>
        <v/>
      </c>
      <c r="C51" s="12" t="inlineStr"/>
      <c r="D51" s="4" t="n"/>
    </row>
    <row r="53">
      <c r="A53" s="5" t="inlineStr">
        <is>
          <t>CORTANTE</t>
        </is>
      </c>
    </row>
    <row r="54">
      <c r="A54" s="3" t="inlineStr">
        <is>
          <t>Vc = 0.17*raizf'c*b*d</t>
        </is>
      </c>
      <c r="B54" s="19">
        <f>0.17*SQRT(B4)*B7*B24/1000</f>
        <v/>
      </c>
      <c r="C54" s="12" t="inlineStr">
        <is>
          <t>kN</t>
        </is>
      </c>
      <c r="D54" s="4" t="n"/>
    </row>
    <row r="55">
      <c r="A55" s="3" t="inlineStr">
        <is>
          <t>phi*Vc</t>
        </is>
      </c>
      <c r="B55" s="19">
        <f>B21*B54</f>
        <v/>
      </c>
      <c r="C55" s="12" t="inlineStr">
        <is>
          <t>kN</t>
        </is>
      </c>
      <c r="D55" s="4" t="n"/>
    </row>
    <row r="56">
      <c r="A56" s="3" t="inlineStr">
        <is>
          <t>phi*Vc/2</t>
        </is>
      </c>
      <c r="B56" s="19">
        <f>B21*B54/2</f>
        <v/>
      </c>
      <c r="C56" s="12" t="inlineStr">
        <is>
          <t>kN</t>
        </is>
      </c>
      <c r="D56" s="4" t="n"/>
    </row>
    <row r="57">
      <c r="A57" s="3" t="inlineStr">
        <is>
          <t>Vs requerido = Vu/phi - Vc</t>
        </is>
      </c>
      <c r="B57" s="19">
        <f>MAX(B18/B21-B54,0)</f>
        <v/>
      </c>
      <c r="C57" s="12" t="inlineStr">
        <is>
          <t>kN</t>
        </is>
      </c>
      <c r="D57" s="4" t="n"/>
    </row>
    <row r="58">
      <c r="A58" s="3" t="inlineStr">
        <is>
          <t>Limite 0.33raizf'c*b*d</t>
        </is>
      </c>
      <c r="B58" s="19">
        <f>0.33*SQRT(B4)*B7*B24/1000</f>
        <v/>
      </c>
      <c r="C58" s="12" t="inlineStr">
        <is>
          <t>kN</t>
        </is>
      </c>
      <c r="D58" s="4" t="n"/>
    </row>
    <row r="59">
      <c r="A59" s="3" t="inlineStr">
        <is>
          <t>s max (segun Vs)</t>
        </is>
      </c>
      <c r="B59" s="14">
        <f>IF(B57&lt;=B58,MIN(B24/2,600),MIN(B24/4,300))</f>
        <v/>
      </c>
      <c r="C59" s="12" t="inlineStr">
        <is>
          <t>mm</t>
        </is>
      </c>
      <c r="D59" s="4" t="n"/>
    </row>
    <row r="60">
      <c r="A60" s="3" t="inlineStr">
        <is>
          <t>s por resistencia = Av*fyt*d/Vs</t>
        </is>
      </c>
      <c r="B60" s="14">
        <f>IF(B57&lt;=0,9999,B26*B6*B24/(B57*1000))</f>
        <v/>
      </c>
      <c r="C60" s="12" t="inlineStr">
        <is>
          <t>mm</t>
        </is>
      </c>
      <c r="D60" s="4" t="n"/>
    </row>
    <row r="61">
      <c r="A61" s="3" t="inlineStr">
        <is>
          <t>s por minimo (Av,min)</t>
        </is>
      </c>
      <c r="B61" s="14">
        <f>B26*B6/MAX(0.062*SQRT(B4)*B7,0.35*B7)</f>
        <v/>
      </c>
      <c r="C61" s="12" t="inlineStr">
        <is>
          <t>mm</t>
        </is>
      </c>
      <c r="D61" s="4" t="n"/>
    </row>
    <row r="62">
      <c r="A62" s="3" t="inlineStr">
        <is>
          <t>s ADOPTADO</t>
        </is>
      </c>
      <c r="B62" s="18">
        <f>IF(B18&lt;=B56,B59,MIN(B59,B60,B61))</f>
        <v/>
      </c>
      <c r="C62" s="12" t="inlineStr">
        <is>
          <t>mm</t>
        </is>
      </c>
      <c r="D62" s="4" t="n"/>
    </row>
    <row r="63">
      <c r="A63" s="3" t="inlineStr">
        <is>
          <t>RESULTADO</t>
        </is>
      </c>
      <c r="B63" s="12">
        <f>IF(B18&lt;=B56,"No requiere estribos por resistencia","Estribos @ "&amp;ROUND(B62,0)&amp;" mm")</f>
        <v/>
      </c>
      <c r="C63" s="12" t="inlineStr"/>
      <c r="D63" s="4" t="n"/>
    </row>
    <row r="64">
      <c r="A64" s="3" t="inlineStr">
        <is>
          <t>phi*Vn con s adoptado</t>
        </is>
      </c>
      <c r="B64" s="19">
        <f>B21*(B54+B26*B6*B24/B62/1000)</f>
        <v/>
      </c>
      <c r="C64" s="12" t="inlineStr">
        <is>
          <t>kN</t>
        </is>
      </c>
      <c r="D64" s="4" t="n"/>
    </row>
    <row r="65">
      <c r="A65" s="3" t="inlineStr">
        <is>
          <t>Chequeo cortante (Vu&lt;=phiVn)</t>
        </is>
      </c>
      <c r="B65" s="2">
        <f>IF(B18&lt;=B64,"CUMPLE","NO CUMPLE")</f>
        <v/>
      </c>
      <c r="C65" s="12" t="inlineStr"/>
      <c r="D65" s="4" t="n"/>
    </row>
    <row r="67">
      <c r="A67" s="5" t="inlineStr">
        <is>
          <t>DISENO POR CAPACIDAD (DMO/DES)</t>
        </is>
      </c>
    </row>
    <row r="68">
      <c r="A68" s="3" t="inlineStr">
        <is>
          <t>a+ (bloque)</t>
        </is>
      </c>
      <c r="B68" s="13">
        <f>B35*B5/(0.85*B4*B7)</f>
        <v/>
      </c>
      <c r="C68" s="12" t="inlineStr">
        <is>
          <t>mm</t>
        </is>
      </c>
      <c r="D68" s="4" t="n"/>
    </row>
    <row r="69">
      <c r="A69" s="3" t="inlineStr">
        <is>
          <t>Mpr+ = 1.25*As+*fy*(d-a/2)</t>
        </is>
      </c>
      <c r="B69" s="13">
        <f>1.25*B35*B5*(B24-0.5*B68)/10^6</f>
        <v/>
      </c>
      <c r="C69" s="12" t="inlineStr">
        <is>
          <t>kN*m</t>
        </is>
      </c>
      <c r="D69" s="4" t="n"/>
    </row>
    <row r="70">
      <c r="A70" s="3" t="inlineStr">
        <is>
          <t>a- (bloque)</t>
        </is>
      </c>
      <c r="B70" s="13">
        <f>B46*B5/(0.85*B4*B7)</f>
        <v/>
      </c>
      <c r="C70" s="12" t="inlineStr">
        <is>
          <t>mm</t>
        </is>
      </c>
      <c r="D70" s="4" t="n"/>
    </row>
    <row r="71">
      <c r="A71" s="3" t="inlineStr">
        <is>
          <t>Mpr- = 1.25*As-*fy*(d-a/2)</t>
        </is>
      </c>
      <c r="B71" s="13">
        <f>1.25*B46*B5*(B24-0.5*B70)/10^6</f>
        <v/>
      </c>
      <c r="C71" s="12" t="inlineStr">
        <is>
          <t>kN*m</t>
        </is>
      </c>
      <c r="D71" s="4" t="n"/>
    </row>
    <row r="72">
      <c r="A72" s="3" t="inlineStr">
        <is>
          <t>Ve (cortante por capacidad) = (Mpr++Mpr-)/ln + Vu</t>
        </is>
      </c>
      <c r="B72" s="13">
        <f>(B69+B71)/(B14/1000)+B18</f>
        <v/>
      </c>
      <c r="C72" s="12" t="inlineStr">
        <is>
          <t>kN</t>
        </is>
      </c>
      <c r="D72" s="4" t="n"/>
    </row>
    <row r="73">
      <c r="A73" s="3" t="inlineStr">
        <is>
          <t>Cortante de diseno (DMO/DES)</t>
        </is>
      </c>
      <c r="B73" s="20">
        <f>IF(OR(B22="DES",B22="DMO"),MAX(B18,B72),B18)</f>
        <v/>
      </c>
      <c r="C73" s="12" t="inlineStr">
        <is>
          <t>kN</t>
        </is>
      </c>
      <c r="D73" s="4" t="n"/>
    </row>
    <row r="74">
      <c r="A74" s="3" t="inlineStr">
        <is>
          <t>Chequeo capacidad (Vdiseno&lt;=phiVn)</t>
        </is>
      </c>
      <c r="B74" s="2">
        <f>IF(B73&lt;=B64,"CUMPLE","NO CUMPLE")</f>
        <v/>
      </c>
      <c r="C74" s="12" t="inlineStr"/>
      <c r="D74" s="4" t="n"/>
    </row>
    <row r="76">
      <c r="A76" s="5" t="inlineStr">
        <is>
          <t>TORSION</t>
        </is>
      </c>
    </row>
    <row r="77">
      <c r="A77" s="3" t="inlineStr">
        <is>
          <t>Acp=b*h</t>
        </is>
      </c>
      <c r="B77" s="14">
        <f>B7*B8</f>
        <v/>
      </c>
      <c r="C77" s="12" t="inlineStr">
        <is>
          <t>mm2</t>
        </is>
      </c>
      <c r="D77" s="4" t="n"/>
    </row>
    <row r="78">
      <c r="A78" s="3" t="inlineStr">
        <is>
          <t>pcp=2(b+h)</t>
        </is>
      </c>
      <c r="B78" s="14">
        <f>2*(B7+B8)</f>
        <v/>
      </c>
      <c r="C78" s="12" t="inlineStr">
        <is>
          <t>mm</t>
        </is>
      </c>
      <c r="D78" s="4" t="n"/>
    </row>
    <row r="79">
      <c r="A79" s="3" t="inlineStr">
        <is>
          <t>phi*Tth (umbral)</t>
        </is>
      </c>
      <c r="B79" s="15">
        <f>B21*0.083*SQRT(B4)*(B77^2/B78)/10^6</f>
        <v/>
      </c>
      <c r="C79" s="12" t="inlineStr">
        <is>
          <t>kN*m</t>
        </is>
      </c>
      <c r="D79" s="4" t="n"/>
    </row>
    <row r="80">
      <c r="A80" s="3" t="inlineStr">
        <is>
          <t>Aoh=(b-2cc)(h-2cc)</t>
        </is>
      </c>
      <c r="B80" s="14">
        <f>(B7-2*B9)*(B8-2*B9)</f>
        <v/>
      </c>
      <c r="C80" s="12" t="inlineStr">
        <is>
          <t>mm2</t>
        </is>
      </c>
      <c r="D80" s="4" t="n"/>
    </row>
    <row r="81">
      <c r="A81" s="3" t="inlineStr">
        <is>
          <t>ph=2((b-2cc)+(h-2cc))</t>
        </is>
      </c>
      <c r="B81" s="14">
        <f>2*((B7-2*B9)+(B8-2*B9))</f>
        <v/>
      </c>
      <c r="C81" s="12" t="inlineStr">
        <is>
          <t>mm</t>
        </is>
      </c>
      <c r="D81" s="4" t="n"/>
    </row>
    <row r="82">
      <c r="A82" s="3" t="inlineStr">
        <is>
          <t>Ao=0.85*Aoh</t>
        </is>
      </c>
      <c r="B82" s="14">
        <f>0.85*B80</f>
        <v/>
      </c>
      <c r="C82" s="12" t="inlineStr">
        <is>
          <t>mm2</t>
        </is>
      </c>
      <c r="D82" s="4" t="n"/>
    </row>
    <row r="83">
      <c r="A83" s="3" t="inlineStr">
        <is>
          <t>At/s (1 rama)=Tu/(phi*2*Ao*fyt)</t>
        </is>
      </c>
      <c r="B83" s="15">
        <f>IF(B19&lt;B79,0,B19*10^6/(B21*2*B82*B6))</f>
        <v/>
      </c>
      <c r="C83" s="12" t="inlineStr">
        <is>
          <t>mm2/mm</t>
        </is>
      </c>
      <c r="D83" s="4" t="n"/>
    </row>
    <row r="84">
      <c r="A84" s="3" t="inlineStr">
        <is>
          <t>Al (acero long. torsion)=(At/s)*ph*(fyt/fy)</t>
        </is>
      </c>
      <c r="B84" s="14">
        <f>B83*B81*(B6/B5)</f>
        <v/>
      </c>
      <c r="C84" s="12" t="inlineStr">
        <is>
          <t>mm2</t>
        </is>
      </c>
      <c r="D84" s="4" t="n"/>
    </row>
    <row r="85">
      <c r="A85" s="3" t="inlineStr">
        <is>
          <t>Chequeo torsion</t>
        </is>
      </c>
      <c r="B85" s="2">
        <f>IF(B19&lt;B79,"DESPRECIABLE","DISENAR")</f>
        <v/>
      </c>
      <c r="C85" s="12" t="inlineStr"/>
      <c r="D85" s="4" t="n"/>
    </row>
    <row r="87">
      <c r="A87" s="5" t="inlineStr">
        <is>
          <t>DEFLEXIONES / DESARROLLO / DESPIECE</t>
        </is>
      </c>
    </row>
    <row r="88">
      <c r="A88" s="3" t="inlineStr">
        <is>
          <t>h minimo = L/factor</t>
        </is>
      </c>
      <c r="B88" s="14">
        <f>B14/B15</f>
        <v/>
      </c>
      <c r="C88" s="12" t="inlineStr">
        <is>
          <t>mm</t>
        </is>
      </c>
      <c r="D88" s="4" t="n"/>
    </row>
    <row r="89">
      <c r="A89" s="3" t="inlineStr">
        <is>
          <t>Chequeo deflexion</t>
        </is>
      </c>
      <c r="B89" s="2">
        <f>IF(B8&gt;=B88,"NO CALCULAR","CALCULAR")</f>
        <v/>
      </c>
      <c r="C89" s="12" t="inlineStr"/>
      <c r="D89" s="4" t="n"/>
    </row>
    <row r="90">
      <c r="A90" s="3" t="inlineStr">
        <is>
          <t>ld inferior</t>
        </is>
      </c>
      <c r="B90" s="14">
        <f>IF(B11&gt;=19.1,(B5/(1.7*SQRT(B4)))*B11,(B5/(2.1*SQRT(B4)))*B11)</f>
        <v/>
      </c>
      <c r="C90" s="12" t="inlineStr">
        <is>
          <t>mm</t>
        </is>
      </c>
      <c r="D90" s="4" t="n"/>
    </row>
    <row r="91">
      <c r="A91" s="3" t="inlineStr">
        <is>
          <t>ld superior (psi_t=1.3)</t>
        </is>
      </c>
      <c r="B91" s="14">
        <f>1.3*B90</f>
        <v/>
      </c>
      <c r="C91" s="12" t="inlineStr">
        <is>
          <t>mm</t>
        </is>
      </c>
      <c r="D91" s="4" t="n"/>
    </row>
    <row r="92">
      <c r="A92" s="3" t="inlineStr">
        <is>
          <t>Empalme clase B = 1.3*ld</t>
        </is>
      </c>
      <c r="B92" s="14">
        <f>1.3*B90</f>
        <v/>
      </c>
      <c r="C92" s="12" t="inlineStr">
        <is>
          <t>mm</t>
        </is>
      </c>
      <c r="D92" s="4" t="n"/>
    </row>
    <row r="93">
      <c r="A93" s="3" t="inlineStr">
        <is>
          <t>sep libre inferior</t>
        </is>
      </c>
      <c r="B93" s="14">
        <f>IF(B38&gt;1,(B7-2*B9-2*B10-B38*B11)/(B38-1),9999)</f>
        <v/>
      </c>
      <c r="C93" s="12" t="inlineStr">
        <is>
          <t>mm</t>
        </is>
      </c>
      <c r="D93" s="4" t="n"/>
    </row>
    <row r="94">
      <c r="A94" s="3" t="inlineStr">
        <is>
          <t>Chequeo separacion</t>
        </is>
      </c>
      <c r="B94" s="2">
        <f>IF(B38&lt;=1,"CUMPLE",IF(B93&gt;=MAX(25,B11),"CUMPLE","REVISAR"))</f>
        <v/>
      </c>
      <c r="C94" s="12" t="inlineStr"/>
      <c r="D94" s="4" t="n"/>
    </row>
    <row r="96">
      <c r="A96" s="10" t="inlineStr">
        <is>
          <t>Estribo total por rama = (cortante: 0.5*Av/s) + (torsion: At/s). En zona confinada (2h desde cara) usa s/2.</t>
        </is>
      </c>
    </row>
  </sheetData>
  <mergeCells count="9">
    <mergeCell ref="A1:D1"/>
    <mergeCell ref="A23:D23"/>
    <mergeCell ref="A67:D67"/>
    <mergeCell ref="A31:D31"/>
    <mergeCell ref="A53:D53"/>
    <mergeCell ref="A3:D3"/>
    <mergeCell ref="A87:D87"/>
    <mergeCell ref="A42:D42"/>
    <mergeCell ref="A76:D76"/>
  </mergeCells>
  <conditionalFormatting sqref="B31:B98">
    <cfRule type="cellIs" priority="1" operator="equal" dxfId="0">
      <formula>"CUMPLE"</formula>
    </cfRule>
    <cfRule type="cellIs" priority="2" operator="equal" dxfId="0">
      <formula>"DESPRECIABLE"</formula>
    </cfRule>
    <cfRule type="cellIs" priority="3" operator="equal" dxfId="0">
      <formula>"NO CALCULAR"</formula>
    </cfRule>
    <cfRule type="cellIs" priority="4" operator="equal" dxfId="0">
      <formula>"OK"</formula>
    </cfRule>
    <cfRule type="cellIs" priority="5" operator="equal" dxfId="1">
      <formula>"NO CUMPLE"</formula>
    </cfRule>
    <cfRule type="cellIs" priority="6" operator="equal" dxfId="1">
      <formula>"REVISAR"</formula>
    </cfRule>
    <cfRule type="cellIs" priority="7" operator="equal" dxfId="1">
      <formula>"DISENAR"</formula>
    </cfRule>
    <cfRule type="cellIs" priority="8" operator="equal" dxfId="1">
      <formula>"CALCULAR"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DISENO DE RIOSTRA - flexion y cortante simple - NSR-10</t>
        </is>
      </c>
    </row>
    <row r="3">
      <c r="A3" s="5" t="inlineStr">
        <is>
          <t>DATOS DE ENTRADA</t>
        </is>
      </c>
    </row>
    <row r="4">
      <c r="A4" s="3" t="inlineStr">
        <is>
          <t>f'c</t>
        </is>
      </c>
      <c r="B4" s="6" t="n">
        <v>21</v>
      </c>
      <c r="C4" s="12" t="inlineStr">
        <is>
          <t>MPa</t>
        </is>
      </c>
      <c r="D4" s="3" t="inlineStr"/>
    </row>
    <row r="5">
      <c r="A5" s="3" t="inlineStr">
        <is>
          <t>fy</t>
        </is>
      </c>
      <c r="B5" s="6" t="n">
        <v>420</v>
      </c>
      <c r="C5" s="12" t="inlineStr">
        <is>
          <t>MPa</t>
        </is>
      </c>
      <c r="D5" s="3" t="inlineStr"/>
    </row>
    <row r="6">
      <c r="A6" s="3" t="inlineStr">
        <is>
          <t>fyt</t>
        </is>
      </c>
      <c r="B6" s="6" t="n">
        <v>420</v>
      </c>
      <c r="C6" s="12" t="inlineStr">
        <is>
          <t>MPa</t>
        </is>
      </c>
      <c r="D6" s="3" t="inlineStr"/>
    </row>
    <row r="7">
      <c r="A7" s="3" t="inlineStr">
        <is>
          <t>b</t>
        </is>
      </c>
      <c r="B7" s="6" t="n">
        <v>100</v>
      </c>
      <c r="C7" s="12" t="inlineStr">
        <is>
          <t>mm</t>
        </is>
      </c>
      <c r="D7" s="3" t="inlineStr"/>
    </row>
    <row r="8">
      <c r="A8" s="3" t="inlineStr">
        <is>
          <t>h</t>
        </is>
      </c>
      <c r="B8" s="6" t="n">
        <v>400</v>
      </c>
      <c r="C8" s="12" t="inlineStr">
        <is>
          <t>mm</t>
        </is>
      </c>
      <c r="D8" s="3" t="inlineStr"/>
    </row>
    <row r="9">
      <c r="A9" s="3" t="inlineStr">
        <is>
          <t>cc</t>
        </is>
      </c>
      <c r="B9" s="6" t="n">
        <v>25</v>
      </c>
      <c r="C9" s="12" t="inlineStr">
        <is>
          <t>mm</t>
        </is>
      </c>
      <c r="D9" s="3" t="inlineStr"/>
    </row>
    <row r="10">
      <c r="A10" s="3" t="inlineStr">
        <is>
          <t>db estribo</t>
        </is>
      </c>
      <c r="B10" s="6" t="n">
        <v>6.4</v>
      </c>
      <c r="C10" s="12" t="inlineStr">
        <is>
          <t>mm</t>
        </is>
      </c>
      <c r="D10" s="3" t="inlineStr"/>
    </row>
    <row r="11">
      <c r="A11" s="3" t="inlineStr">
        <is>
          <t>db long</t>
        </is>
      </c>
      <c r="B11" s="6" t="n">
        <v>12.7</v>
      </c>
      <c r="C11" s="12" t="inlineStr">
        <is>
          <t>mm</t>
        </is>
      </c>
      <c r="D11" s="3" t="inlineStr"/>
    </row>
    <row r="12">
      <c r="A12" s="3" t="inlineStr">
        <is>
          <t>L (luz)</t>
        </is>
      </c>
      <c r="B12" s="6" t="n">
        <v>4000</v>
      </c>
      <c r="C12" s="12" t="inlineStr">
        <is>
          <t>mm</t>
        </is>
      </c>
      <c r="D12" s="3" t="inlineStr"/>
    </row>
    <row r="13">
      <c r="A13" s="3" t="inlineStr">
        <is>
          <t>Mu</t>
        </is>
      </c>
      <c r="B13" s="7" t="n">
        <v>18</v>
      </c>
      <c r="C13" s="12" t="inlineStr">
        <is>
          <t>kN*m</t>
        </is>
      </c>
      <c r="D13" s="3" t="inlineStr">
        <is>
          <t>&lt;-- DATO</t>
        </is>
      </c>
    </row>
    <row r="14">
      <c r="A14" s="3" t="inlineStr">
        <is>
          <t>Vu</t>
        </is>
      </c>
      <c r="B14" s="7" t="n">
        <v>20</v>
      </c>
      <c r="C14" s="12" t="inlineStr">
        <is>
          <t>kN</t>
        </is>
      </c>
      <c r="D14" s="3" t="inlineStr">
        <is>
          <t>&lt;-- DATO</t>
        </is>
      </c>
    </row>
    <row r="15">
      <c r="A15" s="3" t="inlineStr">
        <is>
          <t>phi flexion</t>
        </is>
      </c>
      <c r="B15" s="6" t="n">
        <v>0.9</v>
      </c>
      <c r="C15" s="12" t="inlineStr">
        <is>
          <t>-</t>
        </is>
      </c>
      <c r="D15" s="3" t="inlineStr"/>
    </row>
    <row r="16">
      <c r="A16" s="3" t="inlineStr">
        <is>
          <t>phi cortante</t>
        </is>
      </c>
      <c r="B16" s="6" t="n">
        <v>0.75</v>
      </c>
      <c r="C16" s="12" t="inlineStr">
        <is>
          <t>-</t>
        </is>
      </c>
      <c r="D16" s="3" t="inlineStr"/>
    </row>
    <row r="18">
      <c r="A18" s="5" t="inlineStr">
        <is>
          <t>GEOMETRIA CALCULADA</t>
        </is>
      </c>
    </row>
    <row r="19">
      <c r="A19" s="3" t="inlineStr">
        <is>
          <t>d</t>
        </is>
      </c>
      <c r="B19" s="13">
        <f>B8-B9-B10-B11/2</f>
        <v/>
      </c>
      <c r="C19" s="12" t="inlineStr">
        <is>
          <t>mm</t>
        </is>
      </c>
      <c r="D19" s="4" t="n"/>
    </row>
    <row r="20">
      <c r="A20" s="3" t="inlineStr">
        <is>
          <t>Area barra</t>
        </is>
      </c>
      <c r="B20" s="14">
        <f>PI()/4*B11^2</f>
        <v/>
      </c>
      <c r="C20" s="12" t="inlineStr">
        <is>
          <t>mm2</t>
        </is>
      </c>
      <c r="D20" s="4" t="n"/>
    </row>
    <row r="21">
      <c r="A21" s="3" t="inlineStr">
        <is>
          <t>Av (2 ramas)</t>
        </is>
      </c>
      <c r="B21" s="14">
        <f>2*PI()/4*B10^2</f>
        <v/>
      </c>
      <c r="C21" s="12" t="inlineStr">
        <is>
          <t>mm2</t>
        </is>
      </c>
      <c r="D21" s="4" t="n"/>
    </row>
    <row r="22">
      <c r="A22" s="3" t="inlineStr">
        <is>
          <t>As minimo</t>
        </is>
      </c>
      <c r="B22" s="14">
        <f>MAX(1.4/B5,0.25*SQRT(B4)/B5)*B7*B19</f>
        <v/>
      </c>
      <c r="C22" s="12" t="inlineStr">
        <is>
          <t>mm2</t>
        </is>
      </c>
      <c r="D22" s="4" t="n"/>
    </row>
    <row r="23">
      <c r="A23" s="3" t="inlineStr">
        <is>
          <t>beta1</t>
        </is>
      </c>
      <c r="B23" s="15">
        <f>IF(B4&lt;=28,0.85,MAX(0.65,0.85-0.05*(B4-28)/7))</f>
        <v/>
      </c>
      <c r="C23" s="12" t="inlineStr">
        <is>
          <t>-</t>
        </is>
      </c>
      <c r="D23" s="4" t="n"/>
    </row>
    <row r="24">
      <c r="A24" s="3" t="inlineStr">
        <is>
          <t>rho maximo</t>
        </is>
      </c>
      <c r="B24" s="16">
        <f>0.85*B23*B4/B5*(3/8)</f>
        <v/>
      </c>
      <c r="C24" s="12" t="inlineStr">
        <is>
          <t>-</t>
        </is>
      </c>
      <c r="D24" s="4" t="n"/>
    </row>
    <row r="26">
      <c r="A26" s="5" t="inlineStr">
        <is>
          <t>FLEXION</t>
        </is>
      </c>
    </row>
    <row r="27">
      <c r="A27" s="3" t="inlineStr">
        <is>
          <t>Rn</t>
        </is>
      </c>
      <c r="B27" s="15">
        <f>B13*10^6/(B15*B7*B19^2)</f>
        <v/>
      </c>
      <c r="C27" s="12" t="inlineStr">
        <is>
          <t>MPa</t>
        </is>
      </c>
      <c r="D27" s="4" t="n"/>
    </row>
    <row r="28">
      <c r="A28" s="3" t="inlineStr">
        <is>
          <t>rho</t>
        </is>
      </c>
      <c r="B28" s="16">
        <f>(0.85*B4/B5)*(1-SQRT(1-2*B27/(0.85*B4)))</f>
        <v/>
      </c>
      <c r="C28" s="12" t="inlineStr">
        <is>
          <t>-</t>
        </is>
      </c>
      <c r="D28" s="4" t="n"/>
    </row>
    <row r="29">
      <c r="A29" s="3" t="inlineStr">
        <is>
          <t>As requerido</t>
        </is>
      </c>
      <c r="B29" s="14">
        <f>B28*B7*B19</f>
        <v/>
      </c>
      <c r="C29" s="12" t="inlineStr">
        <is>
          <t>mm2</t>
        </is>
      </c>
      <c r="D29" s="4" t="n"/>
    </row>
    <row r="30">
      <c r="A30" s="3" t="inlineStr">
        <is>
          <t>Chequeo ductilidad</t>
        </is>
      </c>
      <c r="B30" s="2">
        <f>IF(B28&lt;=B24,"CUMPLE","NO CUMPLE")</f>
        <v/>
      </c>
      <c r="C30" s="12" t="inlineStr"/>
      <c r="D30" s="4" t="n"/>
    </row>
    <row r="31">
      <c r="A31" s="3" t="inlineStr">
        <is>
          <t>As ADOPTADO</t>
        </is>
      </c>
      <c r="B31" s="17">
        <f>MAX(B29,B22)</f>
        <v/>
      </c>
      <c r="C31" s="12" t="inlineStr">
        <is>
          <t>mm2</t>
        </is>
      </c>
      <c r="D31" s="4" t="n"/>
    </row>
    <row r="32">
      <c r="A32" s="3" t="inlineStr">
        <is>
          <t>No. de barras</t>
        </is>
      </c>
      <c r="B32" s="18">
        <f>ROUNDUP(B31/B20,0)</f>
        <v/>
      </c>
      <c r="C32" s="12" t="inlineStr">
        <is>
          <t>barras</t>
        </is>
      </c>
      <c r="D32" s="4" t="n"/>
    </row>
    <row r="33">
      <c r="A33" s="3" t="inlineStr">
        <is>
          <t>As provisto</t>
        </is>
      </c>
      <c r="B33" s="14">
        <f>B32*B20</f>
        <v/>
      </c>
      <c r="C33" s="12" t="inlineStr">
        <is>
          <t>mm2</t>
        </is>
      </c>
      <c r="D33" s="4" t="n"/>
    </row>
    <row r="34">
      <c r="A34" s="3" t="inlineStr">
        <is>
          <t>Chequeo acero</t>
        </is>
      </c>
      <c r="B34" s="2">
        <f>IF(B33&gt;=B31,"CUMPLE","NO CUMPLE")</f>
        <v/>
      </c>
      <c r="C34" s="12" t="inlineStr"/>
      <c r="D34" s="4" t="n"/>
    </row>
    <row r="36">
      <c r="A36" s="5" t="inlineStr">
        <is>
          <t>CORTANTE</t>
        </is>
      </c>
    </row>
    <row r="37">
      <c r="A37" s="3" t="inlineStr">
        <is>
          <t>Vc</t>
        </is>
      </c>
      <c r="B37" s="19">
        <f>0.17*SQRT(B4)*B7*B19/1000</f>
        <v/>
      </c>
      <c r="C37" s="12" t="inlineStr">
        <is>
          <t>kN</t>
        </is>
      </c>
      <c r="D37" s="4" t="n"/>
    </row>
    <row r="38">
      <c r="A38" s="3" t="inlineStr">
        <is>
          <t>phi*Vc</t>
        </is>
      </c>
      <c r="B38" s="19">
        <f>B16*B37</f>
        <v/>
      </c>
      <c r="C38" s="12" t="inlineStr">
        <is>
          <t>kN</t>
        </is>
      </c>
      <c r="D38" s="4" t="n"/>
    </row>
    <row r="39">
      <c r="A39" s="3" t="inlineStr">
        <is>
          <t>Vs requerido</t>
        </is>
      </c>
      <c r="B39" s="19">
        <f>MAX(B14/B16-B37,0)</f>
        <v/>
      </c>
      <c r="C39" s="12" t="inlineStr">
        <is>
          <t>kN</t>
        </is>
      </c>
      <c r="D39" s="4" t="n"/>
    </row>
    <row r="40">
      <c r="A40" s="3" t="inlineStr">
        <is>
          <t>s calculado</t>
        </is>
      </c>
      <c r="B40" s="14">
        <f>IF(B39&lt;=0,9999,B21*B6*B19/(B39*1000))</f>
        <v/>
      </c>
      <c r="C40" s="12" t="inlineStr">
        <is>
          <t>mm</t>
        </is>
      </c>
      <c r="D40" s="4" t="n"/>
    </row>
    <row r="41">
      <c r="A41" s="3" t="inlineStr">
        <is>
          <t>s ADOPTADO</t>
        </is>
      </c>
      <c r="B41" s="18">
        <f>IF(B14&lt;=B38,MIN(B19/2,600),MIN(B40,B19/2,600))</f>
        <v/>
      </c>
      <c r="C41" s="12" t="inlineStr">
        <is>
          <t>mm</t>
        </is>
      </c>
      <c r="D41" s="4" t="n"/>
    </row>
    <row r="42">
      <c r="A42" s="3" t="inlineStr">
        <is>
          <t>RESULTADO</t>
        </is>
      </c>
      <c r="B42" s="12">
        <f>IF(B14&lt;=B38,"Concreto resiste","Estribos @ "&amp;ROUND(B41,0)&amp;" mm")</f>
        <v/>
      </c>
      <c r="C42" s="12" t="inlineStr"/>
      <c r="D42" s="4" t="n"/>
    </row>
    <row r="44">
      <c r="A44" s="5" t="inlineStr">
        <is>
          <t>DESARROLLO Y DESPIECE</t>
        </is>
      </c>
    </row>
    <row r="45">
      <c r="A45" s="3" t="inlineStr">
        <is>
          <t>ld = (fy/(2.1raizf'c))*db</t>
        </is>
      </c>
      <c r="B45" s="14">
        <f>(B5/(2.1*SQRT(B4)))*B11</f>
        <v/>
      </c>
      <c r="C45" s="12" t="inlineStr">
        <is>
          <t>mm</t>
        </is>
      </c>
      <c r="D45" s="4" t="n"/>
    </row>
    <row r="46">
      <c r="A46" s="3" t="inlineStr">
        <is>
          <t>sep libre</t>
        </is>
      </c>
      <c r="B46" s="14">
        <f>IF(B32&gt;1,(B7-2*B9-2*B10-B32*B11)/(B32-1),9999)</f>
        <v/>
      </c>
      <c r="C46" s="12" t="inlineStr">
        <is>
          <t>mm</t>
        </is>
      </c>
      <c r="D46" s="4" t="n"/>
    </row>
    <row r="47">
      <c r="A47" s="3" t="inlineStr">
        <is>
          <t>Chequeo separacion</t>
        </is>
      </c>
      <c r="B47" s="2">
        <f>IF(B32&lt;=1,"CUMPLE",IF(B46&gt;=MAX(25,B11),"CUMPLE","REVISAR"))</f>
        <v/>
      </c>
      <c r="C47" s="12" t="inlineStr"/>
      <c r="D47" s="4" t="n"/>
    </row>
  </sheetData>
  <mergeCells count="6">
    <mergeCell ref="A1:D1"/>
    <mergeCell ref="A18:D18"/>
    <mergeCell ref="A3:D3"/>
    <mergeCell ref="A26:D26"/>
    <mergeCell ref="A36:D36"/>
    <mergeCell ref="A44:D44"/>
  </mergeCells>
  <conditionalFormatting sqref="B18:B49">
    <cfRule type="cellIs" priority="1" operator="equal" dxfId="0">
      <formula>"CUMPLE"</formula>
    </cfRule>
    <cfRule type="cellIs" priority="2" operator="equal" dxfId="0">
      <formula>"DESPRECIABLE"</formula>
    </cfRule>
    <cfRule type="cellIs" priority="3" operator="equal" dxfId="0">
      <formula>"NO CALCULAR"</formula>
    </cfRule>
    <cfRule type="cellIs" priority="4" operator="equal" dxfId="0">
      <formula>"OK"</formula>
    </cfRule>
    <cfRule type="cellIs" priority="5" operator="equal" dxfId="1">
      <formula>"NO CUMPLE"</formula>
    </cfRule>
    <cfRule type="cellIs" priority="6" operator="equal" dxfId="1">
      <formula>"REVISAR"</formula>
    </cfRule>
    <cfRule type="cellIs" priority="7" operator="equal" dxfId="1">
      <formula>"DISENAR"</formula>
    </cfRule>
    <cfRule type="cellIs" priority="8" operator="equal" dxfId="1">
      <formula>"CALCULAR"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2026-06-22T21:09:00Z</dcterms:created>
  <dcterms:modified xsi:type="dcterms:W3CDTF">2026-06-22T21:09:00Z</dcterms:modified>
</cp:coreProperties>
</file>